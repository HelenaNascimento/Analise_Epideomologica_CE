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is\Desktop\"/>
    </mc:Choice>
  </mc:AlternateContent>
  <xr:revisionPtr revIDLastSave="0" documentId="8_{091A5C71-BACB-4A30-9AF6-D0497170D8E5}" xr6:coauthVersionLast="47" xr6:coauthVersionMax="47" xr10:uidLastSave="{00000000-0000-0000-0000-000000000000}"/>
  <bookViews>
    <workbookView xWindow="-120" yWindow="-120" windowWidth="29040" windowHeight="15840" xr2:uid="{46563677-F076-4DFF-9B8C-D5E8086B79C5}"/>
  </bookViews>
  <sheets>
    <sheet name="OL. PROMO NOVA Q.G. 09-06-2026" sheetId="1" r:id="rId1"/>
    <sheet name="Planilha1" sheetId="2" r:id="rId2"/>
  </sheets>
  <definedNames>
    <definedName name="_xlnm._FilterDatabase" localSheetId="0" hidden="1">'OL. PROMO NOVA Q.G. 09-06-2026'!$A$1:$AA$188</definedName>
    <definedName name="MATRIZ1">Planilha1!$1:$1048576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" l="1"/>
  <c r="U34" i="1"/>
  <c r="U50" i="1"/>
  <c r="U66" i="1"/>
  <c r="U82" i="1"/>
  <c r="U99" i="1"/>
  <c r="U115" i="1"/>
  <c r="U133" i="1"/>
  <c r="U149" i="1"/>
  <c r="U165" i="1"/>
  <c r="U181" i="1"/>
  <c r="R37" i="1"/>
  <c r="L37" i="1" s="1"/>
  <c r="R101" i="1"/>
  <c r="L101" i="1" s="1"/>
  <c r="R165" i="1"/>
  <c r="L165" i="1" s="1"/>
  <c r="P28" i="1"/>
  <c r="P73" i="1"/>
  <c r="P112" i="1"/>
  <c r="Q3" i="1"/>
  <c r="U3" i="1" s="1"/>
  <c r="Q4" i="1"/>
  <c r="U4" i="1" s="1"/>
  <c r="Q5" i="1"/>
  <c r="U5" i="1" s="1"/>
  <c r="Q6" i="1"/>
  <c r="U6" i="1" s="1"/>
  <c r="Q7" i="1"/>
  <c r="M7" i="1" s="1"/>
  <c r="Q8" i="1"/>
  <c r="R8" i="1" s="1"/>
  <c r="L8" i="1" s="1"/>
  <c r="Q9" i="1"/>
  <c r="U9" i="1" s="1"/>
  <c r="Q10" i="1"/>
  <c r="R10" i="1" s="1"/>
  <c r="Q11" i="1"/>
  <c r="R11" i="1" s="1"/>
  <c r="L11" i="1" s="1"/>
  <c r="Q12" i="1"/>
  <c r="R12" i="1" s="1"/>
  <c r="L12" i="1" s="1"/>
  <c r="Q13" i="1"/>
  <c r="R13" i="1" s="1"/>
  <c r="L13" i="1" s="1"/>
  <c r="Q14" i="1"/>
  <c r="P14" i="1" s="1"/>
  <c r="Q15" i="1"/>
  <c r="J15" i="1" s="1"/>
  <c r="Q16" i="1"/>
  <c r="K16" i="1" s="1"/>
  <c r="Q17" i="1"/>
  <c r="K17" i="1" s="1"/>
  <c r="Q18" i="1"/>
  <c r="P18" i="1" s="1"/>
  <c r="Q19" i="1"/>
  <c r="U19" i="1" s="1"/>
  <c r="Q20" i="1"/>
  <c r="U20" i="1" s="1"/>
  <c r="Q21" i="1"/>
  <c r="U21" i="1" s="1"/>
  <c r="Q22" i="1"/>
  <c r="U22" i="1" s="1"/>
  <c r="Q23" i="1"/>
  <c r="K23" i="1" s="1"/>
  <c r="Q24" i="1"/>
  <c r="R24" i="1" s="1"/>
  <c r="L24" i="1" s="1"/>
  <c r="Q25" i="1"/>
  <c r="U25" i="1" s="1"/>
  <c r="Q26" i="1"/>
  <c r="R26" i="1" s="1"/>
  <c r="L26" i="1" s="1"/>
  <c r="Q27" i="1"/>
  <c r="R27" i="1" s="1"/>
  <c r="L27" i="1" s="1"/>
  <c r="Q28" i="1"/>
  <c r="R28" i="1" s="1"/>
  <c r="L28" i="1" s="1"/>
  <c r="Q29" i="1"/>
  <c r="R29" i="1" s="1"/>
  <c r="L29" i="1" s="1"/>
  <c r="Q30" i="1"/>
  <c r="P30" i="1" s="1"/>
  <c r="Q31" i="1"/>
  <c r="U31" i="1" s="1"/>
  <c r="Q32" i="1"/>
  <c r="K32" i="1" s="1"/>
  <c r="Q33" i="1"/>
  <c r="K33" i="1" s="1"/>
  <c r="Q34" i="1"/>
  <c r="P34" i="1" s="1"/>
  <c r="Q35" i="1"/>
  <c r="U35" i="1" s="1"/>
  <c r="Q36" i="1"/>
  <c r="U36" i="1" s="1"/>
  <c r="Q37" i="1"/>
  <c r="U37" i="1" s="1"/>
  <c r="Q38" i="1"/>
  <c r="U38" i="1" s="1"/>
  <c r="Q39" i="1"/>
  <c r="R39" i="1" s="1"/>
  <c r="L39" i="1" s="1"/>
  <c r="Q40" i="1"/>
  <c r="R40" i="1" s="1"/>
  <c r="L40" i="1" s="1"/>
  <c r="Q41" i="1"/>
  <c r="R41" i="1" s="1"/>
  <c r="L41" i="1" s="1"/>
  <c r="Q42" i="1"/>
  <c r="R42" i="1" s="1"/>
  <c r="L42" i="1" s="1"/>
  <c r="Q43" i="1"/>
  <c r="R43" i="1" s="1"/>
  <c r="L43" i="1" s="1"/>
  <c r="Q44" i="1"/>
  <c r="R44" i="1" s="1"/>
  <c r="L44" i="1" s="1"/>
  <c r="Q45" i="1"/>
  <c r="R45" i="1" s="1"/>
  <c r="L45" i="1" s="1"/>
  <c r="Q46" i="1"/>
  <c r="P46" i="1" s="1"/>
  <c r="Q47" i="1"/>
  <c r="U47" i="1" s="1"/>
  <c r="Q48" i="1"/>
  <c r="K48" i="1" s="1"/>
  <c r="Q49" i="1"/>
  <c r="K49" i="1" s="1"/>
  <c r="Q50" i="1"/>
  <c r="P50" i="1" s="1"/>
  <c r="Q51" i="1"/>
  <c r="U51" i="1" s="1"/>
  <c r="Q52" i="1"/>
  <c r="U52" i="1" s="1"/>
  <c r="Q54" i="1"/>
  <c r="U54" i="1" s="1"/>
  <c r="Q55" i="1"/>
  <c r="M55" i="1" s="1"/>
  <c r="Q56" i="1"/>
  <c r="R56" i="1" s="1"/>
  <c r="L56" i="1" s="1"/>
  <c r="Q57" i="1"/>
  <c r="R57" i="1" s="1"/>
  <c r="L57" i="1" s="1"/>
  <c r="Q58" i="1"/>
  <c r="R58" i="1" s="1"/>
  <c r="L58" i="1" s="1"/>
  <c r="Q59" i="1"/>
  <c r="R59" i="1" s="1"/>
  <c r="L59" i="1" s="1"/>
  <c r="Q60" i="1"/>
  <c r="R60" i="1" s="1"/>
  <c r="L60" i="1" s="1"/>
  <c r="Q61" i="1"/>
  <c r="R61" i="1" s="1"/>
  <c r="L61" i="1" s="1"/>
  <c r="Q62" i="1"/>
  <c r="P62" i="1" s="1"/>
  <c r="Q63" i="1"/>
  <c r="U63" i="1" s="1"/>
  <c r="Q64" i="1"/>
  <c r="K64" i="1" s="1"/>
  <c r="Q65" i="1"/>
  <c r="K65" i="1" s="1"/>
  <c r="Q66" i="1"/>
  <c r="P66" i="1" s="1"/>
  <c r="Q67" i="1"/>
  <c r="U67" i="1" s="1"/>
  <c r="Q68" i="1"/>
  <c r="U68" i="1" s="1"/>
  <c r="Q69" i="1"/>
  <c r="U69" i="1" s="1"/>
  <c r="Q70" i="1"/>
  <c r="U70" i="1" s="1"/>
  <c r="Q71" i="1"/>
  <c r="K71" i="1" s="1"/>
  <c r="Q72" i="1"/>
  <c r="R72" i="1" s="1"/>
  <c r="L72" i="1" s="1"/>
  <c r="Q73" i="1"/>
  <c r="U73" i="1" s="1"/>
  <c r="Q74" i="1"/>
  <c r="R74" i="1" s="1"/>
  <c r="L74" i="1" s="1"/>
  <c r="Q75" i="1"/>
  <c r="R75" i="1" s="1"/>
  <c r="L75" i="1" s="1"/>
  <c r="Q76" i="1"/>
  <c r="R76" i="1" s="1"/>
  <c r="L76" i="1" s="1"/>
  <c r="Q77" i="1"/>
  <c r="R77" i="1" s="1"/>
  <c r="L77" i="1" s="1"/>
  <c r="Q78" i="1"/>
  <c r="P78" i="1" s="1"/>
  <c r="Q79" i="1"/>
  <c r="U79" i="1" s="1"/>
  <c r="Q80" i="1"/>
  <c r="K80" i="1" s="1"/>
  <c r="Q81" i="1"/>
  <c r="K81" i="1" s="1"/>
  <c r="Q82" i="1"/>
  <c r="P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R88" i="1" s="1"/>
  <c r="L88" i="1" s="1"/>
  <c r="Q89" i="1"/>
  <c r="P89" i="1" s="1"/>
  <c r="Q90" i="1"/>
  <c r="R90" i="1" s="1"/>
  <c r="L90" i="1" s="1"/>
  <c r="Q92" i="1"/>
  <c r="R92" i="1" s="1"/>
  <c r="L92" i="1" s="1"/>
  <c r="Q93" i="1"/>
  <c r="R93" i="1" s="1"/>
  <c r="L93" i="1" s="1"/>
  <c r="Q94" i="1"/>
  <c r="P94" i="1" s="1"/>
  <c r="Q95" i="1"/>
  <c r="J95" i="1" s="1"/>
  <c r="Q96" i="1"/>
  <c r="K96" i="1" s="1"/>
  <c r="Q97" i="1"/>
  <c r="K97" i="1" s="1"/>
  <c r="Q98" i="1"/>
  <c r="P98" i="1" s="1"/>
  <c r="Q99" i="1"/>
  <c r="Q100" i="1"/>
  <c r="U100" i="1" s="1"/>
  <c r="Q101" i="1"/>
  <c r="U101" i="1" s="1"/>
  <c r="Q102" i="1"/>
  <c r="U102" i="1" s="1"/>
  <c r="Q103" i="1"/>
  <c r="R103" i="1" s="1"/>
  <c r="L103" i="1" s="1"/>
  <c r="Q104" i="1"/>
  <c r="R104" i="1" s="1"/>
  <c r="L104" i="1" s="1"/>
  <c r="Q105" i="1"/>
  <c r="R105" i="1" s="1"/>
  <c r="L105" i="1" s="1"/>
  <c r="Q106" i="1"/>
  <c r="R106" i="1" s="1"/>
  <c r="L106" i="1" s="1"/>
  <c r="Q107" i="1"/>
  <c r="R107" i="1" s="1"/>
  <c r="L107" i="1" s="1"/>
  <c r="Q108" i="1"/>
  <c r="R108" i="1" s="1"/>
  <c r="L108" i="1" s="1"/>
  <c r="Q109" i="1"/>
  <c r="R109" i="1" s="1"/>
  <c r="L109" i="1" s="1"/>
  <c r="Q110" i="1"/>
  <c r="P110" i="1" s="1"/>
  <c r="Q111" i="1"/>
  <c r="U111" i="1" s="1"/>
  <c r="Q112" i="1"/>
  <c r="K112" i="1" s="1"/>
  <c r="Q113" i="1"/>
  <c r="K113" i="1" s="1"/>
  <c r="Q114" i="1"/>
  <c r="P114" i="1" s="1"/>
  <c r="Q115" i="1"/>
  <c r="Q116" i="1"/>
  <c r="U116" i="1" s="1"/>
  <c r="Q117" i="1"/>
  <c r="U117" i="1" s="1"/>
  <c r="Q118" i="1"/>
  <c r="U118" i="1" s="1"/>
  <c r="Q119" i="1"/>
  <c r="P119" i="1" s="1"/>
  <c r="Q120" i="1"/>
  <c r="R120" i="1" s="1"/>
  <c r="L120" i="1" s="1"/>
  <c r="Q121" i="1"/>
  <c r="P121" i="1" s="1"/>
  <c r="Q124" i="1"/>
  <c r="R124" i="1" s="1"/>
  <c r="L124" i="1" s="1"/>
  <c r="Q125" i="1"/>
  <c r="R125" i="1" s="1"/>
  <c r="L125" i="1" s="1"/>
  <c r="Q126" i="1"/>
  <c r="P126" i="1" s="1"/>
  <c r="Q127" i="1"/>
  <c r="U127" i="1" s="1"/>
  <c r="Q128" i="1"/>
  <c r="K128" i="1" s="1"/>
  <c r="Q129" i="1"/>
  <c r="U129" i="1" s="1"/>
  <c r="Q130" i="1"/>
  <c r="P130" i="1" s="1"/>
  <c r="Q131" i="1"/>
  <c r="U131" i="1" s="1"/>
  <c r="Q132" i="1"/>
  <c r="U132" i="1" s="1"/>
  <c r="Q133" i="1"/>
  <c r="R133" i="1" s="1"/>
  <c r="L133" i="1" s="1"/>
  <c r="Q134" i="1"/>
  <c r="U134" i="1" s="1"/>
  <c r="Q135" i="1"/>
  <c r="U135" i="1" s="1"/>
  <c r="Q136" i="1"/>
  <c r="R136" i="1" s="1"/>
  <c r="L136" i="1" s="1"/>
  <c r="Q137" i="1"/>
  <c r="U137" i="1" s="1"/>
  <c r="Q138" i="1"/>
  <c r="R138" i="1" s="1"/>
  <c r="L138" i="1" s="1"/>
  <c r="Q139" i="1"/>
  <c r="R139" i="1" s="1"/>
  <c r="L139" i="1" s="1"/>
  <c r="Q140" i="1"/>
  <c r="R140" i="1" s="1"/>
  <c r="L140" i="1" s="1"/>
  <c r="Q141" i="1"/>
  <c r="R141" i="1" s="1"/>
  <c r="L141" i="1" s="1"/>
  <c r="Q142" i="1"/>
  <c r="P142" i="1" s="1"/>
  <c r="Q143" i="1"/>
  <c r="U143" i="1" s="1"/>
  <c r="Q144" i="1"/>
  <c r="K144" i="1" s="1"/>
  <c r="Q145" i="1"/>
  <c r="U145" i="1" s="1"/>
  <c r="Q146" i="1"/>
  <c r="P146" i="1" s="1"/>
  <c r="Q147" i="1"/>
  <c r="U147" i="1" s="1"/>
  <c r="Q148" i="1"/>
  <c r="U148" i="1" s="1"/>
  <c r="Q149" i="1"/>
  <c r="R149" i="1" s="1"/>
  <c r="L149" i="1" s="1"/>
  <c r="Q150" i="1"/>
  <c r="U150" i="1" s="1"/>
  <c r="Q151" i="1"/>
  <c r="U151" i="1" s="1"/>
  <c r="Q152" i="1"/>
  <c r="R152" i="1" s="1"/>
  <c r="L152" i="1" s="1"/>
  <c r="Q153" i="1"/>
  <c r="U153" i="1" s="1"/>
  <c r="Q154" i="1"/>
  <c r="R154" i="1" s="1"/>
  <c r="L154" i="1" s="1"/>
  <c r="Q155" i="1"/>
  <c r="R155" i="1" s="1"/>
  <c r="L155" i="1" s="1"/>
  <c r="Q156" i="1"/>
  <c r="R156" i="1" s="1"/>
  <c r="L156" i="1" s="1"/>
  <c r="Q157" i="1"/>
  <c r="R157" i="1" s="1"/>
  <c r="L157" i="1" s="1"/>
  <c r="Q158" i="1"/>
  <c r="P158" i="1" s="1"/>
  <c r="Q159" i="1"/>
  <c r="U159" i="1" s="1"/>
  <c r="Q160" i="1"/>
  <c r="K160" i="1" s="1"/>
  <c r="Q161" i="1"/>
  <c r="U161" i="1" s="1"/>
  <c r="Q162" i="1"/>
  <c r="P162" i="1" s="1"/>
  <c r="Q163" i="1"/>
  <c r="U163" i="1" s="1"/>
  <c r="Q164" i="1"/>
  <c r="U164" i="1" s="1"/>
  <c r="Q165" i="1"/>
  <c r="Q166" i="1"/>
  <c r="U166" i="1" s="1"/>
  <c r="Q167" i="1"/>
  <c r="R167" i="1" s="1"/>
  <c r="L167" i="1" s="1"/>
  <c r="Q168" i="1"/>
  <c r="R168" i="1" s="1"/>
  <c r="L168" i="1" s="1"/>
  <c r="Q169" i="1"/>
  <c r="R169" i="1" s="1"/>
  <c r="L169" i="1" s="1"/>
  <c r="Q170" i="1"/>
  <c r="R170" i="1" s="1"/>
  <c r="L170" i="1" s="1"/>
  <c r="Q171" i="1"/>
  <c r="R171" i="1" s="1"/>
  <c r="L171" i="1" s="1"/>
  <c r="Q172" i="1"/>
  <c r="R172" i="1" s="1"/>
  <c r="L172" i="1" s="1"/>
  <c r="Q173" i="1"/>
  <c r="R173" i="1" s="1"/>
  <c r="L173" i="1" s="1"/>
  <c r="Q174" i="1"/>
  <c r="P174" i="1" s="1"/>
  <c r="Q175" i="1"/>
  <c r="U175" i="1" s="1"/>
  <c r="Q176" i="1"/>
  <c r="K176" i="1" s="1"/>
  <c r="Q177" i="1"/>
  <c r="U177" i="1" s="1"/>
  <c r="Q178" i="1"/>
  <c r="P178" i="1" s="1"/>
  <c r="Q179" i="1"/>
  <c r="U179" i="1" s="1"/>
  <c r="Q180" i="1"/>
  <c r="U180" i="1" s="1"/>
  <c r="Q181" i="1"/>
  <c r="R181" i="1" s="1"/>
  <c r="L181" i="1" s="1"/>
  <c r="Q182" i="1"/>
  <c r="U182" i="1" s="1"/>
  <c r="Q183" i="1"/>
  <c r="U183" i="1" s="1"/>
  <c r="Q184" i="1"/>
  <c r="R184" i="1" s="1"/>
  <c r="L184" i="1" s="1"/>
  <c r="Q185" i="1"/>
  <c r="U185" i="1" s="1"/>
  <c r="Q186" i="1"/>
  <c r="R186" i="1" s="1"/>
  <c r="L186" i="1" s="1"/>
  <c r="Q187" i="1"/>
  <c r="R187" i="1" s="1"/>
  <c r="L187" i="1" s="1"/>
  <c r="Q188" i="1"/>
  <c r="R188" i="1" s="1"/>
  <c r="L188" i="1" s="1"/>
  <c r="Q2" i="1"/>
  <c r="J2" i="1" s="1"/>
  <c r="K4" i="1"/>
  <c r="M4" i="1"/>
  <c r="K5" i="1"/>
  <c r="M5" i="1"/>
  <c r="K6" i="1"/>
  <c r="K8" i="1"/>
  <c r="M8" i="1"/>
  <c r="K9" i="1"/>
  <c r="M9" i="1"/>
  <c r="L10" i="1"/>
  <c r="M10" i="1"/>
  <c r="K11" i="1"/>
  <c r="K12" i="1"/>
  <c r="M12" i="1"/>
  <c r="K13" i="1"/>
  <c r="M13" i="1"/>
  <c r="M16" i="1"/>
  <c r="K18" i="1"/>
  <c r="M18" i="1"/>
  <c r="K19" i="1"/>
  <c r="K20" i="1"/>
  <c r="M20" i="1"/>
  <c r="K21" i="1"/>
  <c r="K22" i="1"/>
  <c r="K24" i="1"/>
  <c r="M24" i="1"/>
  <c r="K25" i="1"/>
  <c r="M25" i="1"/>
  <c r="K26" i="1"/>
  <c r="M26" i="1"/>
  <c r="K27" i="1"/>
  <c r="K28" i="1"/>
  <c r="K29" i="1"/>
  <c r="M29" i="1"/>
  <c r="M30" i="1"/>
  <c r="M32" i="1"/>
  <c r="M34" i="1"/>
  <c r="K35" i="1"/>
  <c r="M35" i="1"/>
  <c r="K36" i="1"/>
  <c r="M36" i="1"/>
  <c r="K37" i="1"/>
  <c r="K38" i="1"/>
  <c r="M38" i="1"/>
  <c r="M40" i="1"/>
  <c r="K41" i="1"/>
  <c r="M41" i="1"/>
  <c r="K42" i="1"/>
  <c r="M42" i="1"/>
  <c r="K43" i="1"/>
  <c r="K44" i="1"/>
  <c r="K45" i="1"/>
  <c r="M45" i="1"/>
  <c r="M46" i="1"/>
  <c r="M47" i="1"/>
  <c r="M48" i="1"/>
  <c r="K50" i="1"/>
  <c r="M50" i="1"/>
  <c r="K52" i="1"/>
  <c r="M52" i="1"/>
  <c r="M54" i="1"/>
  <c r="K56" i="1"/>
  <c r="K57" i="1"/>
  <c r="M57" i="1"/>
  <c r="K58" i="1"/>
  <c r="K59" i="1"/>
  <c r="K60" i="1"/>
  <c r="M60" i="1"/>
  <c r="K61" i="1"/>
  <c r="M61" i="1"/>
  <c r="M64" i="1"/>
  <c r="M66" i="1"/>
  <c r="K68" i="1"/>
  <c r="K69" i="1"/>
  <c r="K70" i="1"/>
  <c r="K72" i="1"/>
  <c r="M72" i="1"/>
  <c r="K73" i="1"/>
  <c r="M73" i="1"/>
  <c r="K75" i="1"/>
  <c r="M75" i="1"/>
  <c r="M76" i="1"/>
  <c r="K77" i="1"/>
  <c r="M77" i="1"/>
  <c r="K78" i="1"/>
  <c r="M78" i="1"/>
  <c r="M80" i="1"/>
  <c r="K82" i="1"/>
  <c r="K83" i="1"/>
  <c r="K84" i="1"/>
  <c r="M84" i="1"/>
  <c r="K85" i="1"/>
  <c r="M85" i="1"/>
  <c r="M88" i="1"/>
  <c r="M89" i="1"/>
  <c r="K90" i="1"/>
  <c r="M90" i="1"/>
  <c r="M92" i="1"/>
  <c r="K93" i="1"/>
  <c r="M93" i="1"/>
  <c r="K94" i="1"/>
  <c r="M94" i="1"/>
  <c r="M96" i="1"/>
  <c r="K98" i="1"/>
  <c r="K99" i="1"/>
  <c r="M99" i="1"/>
  <c r="M100" i="1"/>
  <c r="M101" i="1"/>
  <c r="K103" i="1"/>
  <c r="M103" i="1"/>
  <c r="K105" i="1"/>
  <c r="M105" i="1"/>
  <c r="K106" i="1"/>
  <c r="M106" i="1"/>
  <c r="K107" i="1"/>
  <c r="M107" i="1"/>
  <c r="K108" i="1"/>
  <c r="K109" i="1"/>
  <c r="M109" i="1"/>
  <c r="K110" i="1"/>
  <c r="M112" i="1"/>
  <c r="K114" i="1"/>
  <c r="M114" i="1"/>
  <c r="K115" i="1"/>
  <c r="M115" i="1"/>
  <c r="M116" i="1"/>
  <c r="K117" i="1"/>
  <c r="M117" i="1"/>
  <c r="K118" i="1"/>
  <c r="M118" i="1"/>
  <c r="K119" i="1"/>
  <c r="M119" i="1"/>
  <c r="K121" i="1"/>
  <c r="M121" i="1"/>
  <c r="M124" i="1"/>
  <c r="K125" i="1"/>
  <c r="M125" i="1"/>
  <c r="M128" i="1"/>
  <c r="M130" i="1"/>
  <c r="K131" i="1"/>
  <c r="M131" i="1"/>
  <c r="K132" i="1"/>
  <c r="K133" i="1"/>
  <c r="M133" i="1"/>
  <c r="K134" i="1"/>
  <c r="K135" i="1"/>
  <c r="M135" i="1"/>
  <c r="K136" i="1"/>
  <c r="M136" i="1"/>
  <c r="K139" i="1"/>
  <c r="M139" i="1"/>
  <c r="M140" i="1"/>
  <c r="K141" i="1"/>
  <c r="M141" i="1"/>
  <c r="K142" i="1"/>
  <c r="M142" i="1"/>
  <c r="M144" i="1"/>
  <c r="K146" i="1"/>
  <c r="K148" i="1"/>
  <c r="M148" i="1"/>
  <c r="K149" i="1"/>
  <c r="M149" i="1"/>
  <c r="K153" i="1"/>
  <c r="M153" i="1"/>
  <c r="K155" i="1"/>
  <c r="M155" i="1"/>
  <c r="M156" i="1"/>
  <c r="M157" i="1"/>
  <c r="K162" i="1"/>
  <c r="K163" i="1"/>
  <c r="M163" i="1"/>
  <c r="M165" i="1"/>
  <c r="K166" i="1"/>
  <c r="M166" i="1"/>
  <c r="M168" i="1"/>
  <c r="M170" i="1"/>
  <c r="K171" i="1"/>
  <c r="M171" i="1"/>
  <c r="K172" i="1"/>
  <c r="K173" i="1"/>
  <c r="M173" i="1"/>
  <c r="K174" i="1"/>
  <c r="M176" i="1"/>
  <c r="K178" i="1"/>
  <c r="M178" i="1"/>
  <c r="M180" i="1"/>
  <c r="K181" i="1"/>
  <c r="M181" i="1"/>
  <c r="K182" i="1"/>
  <c r="M182" i="1"/>
  <c r="K187" i="1"/>
  <c r="K188" i="1"/>
  <c r="M188" i="1"/>
  <c r="J3" i="1"/>
  <c r="J4" i="1"/>
  <c r="J6" i="1"/>
  <c r="J8" i="1"/>
  <c r="J9" i="1"/>
  <c r="J10" i="1"/>
  <c r="J12" i="1"/>
  <c r="J13" i="1"/>
  <c r="J16" i="1"/>
  <c r="J18" i="1"/>
  <c r="J19" i="1"/>
  <c r="J20" i="1"/>
  <c r="J21" i="1"/>
  <c r="J25" i="1"/>
  <c r="J26" i="1"/>
  <c r="J27" i="1"/>
  <c r="J29" i="1"/>
  <c r="J30" i="1"/>
  <c r="J32" i="1"/>
  <c r="J34" i="1"/>
  <c r="J35" i="1"/>
  <c r="J36" i="1"/>
  <c r="J37" i="1"/>
  <c r="J40" i="1"/>
  <c r="J41" i="1"/>
  <c r="J42" i="1"/>
  <c r="J43" i="1"/>
  <c r="J44" i="1"/>
  <c r="J45" i="1"/>
  <c r="J46" i="1"/>
  <c r="J47" i="1"/>
  <c r="J48" i="1"/>
  <c r="J50" i="1"/>
  <c r="J51" i="1"/>
  <c r="J52" i="1"/>
  <c r="J54" i="1"/>
  <c r="J57" i="1"/>
  <c r="J59" i="1"/>
  <c r="J60" i="1"/>
  <c r="J61" i="1"/>
  <c r="J64" i="1"/>
  <c r="J68" i="1"/>
  <c r="J69" i="1"/>
  <c r="J70" i="1"/>
  <c r="J72" i="1"/>
  <c r="J73" i="1"/>
  <c r="J74" i="1"/>
  <c r="J76" i="1"/>
  <c r="J77" i="1"/>
  <c r="J78" i="1"/>
  <c r="J80" i="1"/>
  <c r="J82" i="1"/>
  <c r="J84" i="1"/>
  <c r="J85" i="1"/>
  <c r="J86" i="1"/>
  <c r="J88" i="1"/>
  <c r="J89" i="1"/>
  <c r="J93" i="1"/>
  <c r="J94" i="1"/>
  <c r="J96" i="1"/>
  <c r="J98" i="1"/>
  <c r="J99" i="1"/>
  <c r="J101" i="1"/>
  <c r="J102" i="1"/>
  <c r="J103" i="1"/>
  <c r="J105" i="1"/>
  <c r="J106" i="1"/>
  <c r="J108" i="1"/>
  <c r="J109" i="1"/>
  <c r="J110" i="1"/>
  <c r="J111" i="1"/>
  <c r="J112" i="1"/>
  <c r="J115" i="1"/>
  <c r="J116" i="1"/>
  <c r="J118" i="1"/>
  <c r="J119" i="1"/>
  <c r="J121" i="1"/>
  <c r="J125" i="1"/>
  <c r="J128" i="1"/>
  <c r="J130" i="1"/>
  <c r="J132" i="1"/>
  <c r="J133" i="1"/>
  <c r="J135" i="1"/>
  <c r="J136" i="1"/>
  <c r="J139" i="1"/>
  <c r="J140" i="1"/>
  <c r="J141" i="1"/>
  <c r="J142" i="1"/>
  <c r="J144" i="1"/>
  <c r="J146" i="1"/>
  <c r="J149" i="1"/>
  <c r="J150" i="1"/>
  <c r="J155" i="1"/>
  <c r="J156" i="1"/>
  <c r="J162" i="1"/>
  <c r="J163" i="1"/>
  <c r="J166" i="1"/>
  <c r="J169" i="1"/>
  <c r="J171" i="1"/>
  <c r="J172" i="1"/>
  <c r="J173" i="1"/>
  <c r="N173" i="1" s="1"/>
  <c r="S173" i="1" s="1"/>
  <c r="J174" i="1"/>
  <c r="J176" i="1"/>
  <c r="J180" i="1"/>
  <c r="J181" i="1"/>
  <c r="J184" i="1"/>
  <c r="J186" i="1"/>
  <c r="J187" i="1"/>
  <c r="J18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3" i="1"/>
  <c r="Q123" i="1" s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I53" i="1" s="1"/>
  <c r="Q53" i="1" s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I91" i="1" s="1"/>
  <c r="Q91" i="1" s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I122" i="1" s="1"/>
  <c r="Q122" i="1" s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I2" i="1"/>
  <c r="H2" i="1"/>
  <c r="U53" i="1" l="1"/>
  <c r="M53" i="1"/>
  <c r="J53" i="1"/>
  <c r="M185" i="1"/>
  <c r="J185" i="1"/>
  <c r="K185" i="1"/>
  <c r="K184" i="1"/>
  <c r="J183" i="1"/>
  <c r="M183" i="1"/>
  <c r="K183" i="1"/>
  <c r="J179" i="1"/>
  <c r="M179" i="1"/>
  <c r="K179" i="1"/>
  <c r="M169" i="1"/>
  <c r="N169" i="1" s="1"/>
  <c r="S169" i="1" s="1"/>
  <c r="K169" i="1"/>
  <c r="J167" i="1"/>
  <c r="M167" i="1"/>
  <c r="K167" i="1"/>
  <c r="J164" i="1"/>
  <c r="M164" i="1"/>
  <c r="M160" i="1"/>
  <c r="J160" i="1"/>
  <c r="N160" i="1" s="1"/>
  <c r="S160" i="1" s="1"/>
  <c r="M158" i="1"/>
  <c r="K158" i="1"/>
  <c r="J157" i="1"/>
  <c r="K157" i="1"/>
  <c r="J153" i="1"/>
  <c r="P157" i="1"/>
  <c r="M152" i="1"/>
  <c r="J152" i="1"/>
  <c r="K151" i="1"/>
  <c r="J151" i="1"/>
  <c r="M151" i="1"/>
  <c r="J147" i="1"/>
  <c r="K147" i="1"/>
  <c r="J137" i="1"/>
  <c r="M137" i="1"/>
  <c r="K137" i="1"/>
  <c r="K124" i="1"/>
  <c r="M102" i="1"/>
  <c r="K102" i="1"/>
  <c r="K89" i="1"/>
  <c r="N89" i="1" s="1"/>
  <c r="S89" i="1" s="1"/>
  <c r="M69" i="1"/>
  <c r="M67" i="1"/>
  <c r="J67" i="1"/>
  <c r="K67" i="1"/>
  <c r="J38" i="1"/>
  <c r="N38" i="1" s="1"/>
  <c r="S38" i="1" s="1"/>
  <c r="K30" i="1"/>
  <c r="K14" i="1"/>
  <c r="M11" i="1"/>
  <c r="K3" i="1"/>
  <c r="J71" i="1"/>
  <c r="J7" i="1"/>
  <c r="K170" i="1"/>
  <c r="K55" i="1"/>
  <c r="P156" i="1"/>
  <c r="P109" i="1"/>
  <c r="P71" i="1"/>
  <c r="P26" i="1"/>
  <c r="R160" i="1"/>
  <c r="L160" i="1" s="1"/>
  <c r="R96" i="1"/>
  <c r="L96" i="1" s="1"/>
  <c r="R32" i="1"/>
  <c r="L32" i="1" s="1"/>
  <c r="N32" i="1" s="1"/>
  <c r="S32" i="1" s="1"/>
  <c r="U114" i="1"/>
  <c r="U98" i="1"/>
  <c r="U81" i="1"/>
  <c r="U65" i="1"/>
  <c r="U49" i="1"/>
  <c r="U33" i="1"/>
  <c r="U17" i="1"/>
  <c r="P154" i="1"/>
  <c r="P108" i="1"/>
  <c r="P64" i="1"/>
  <c r="P25" i="1"/>
  <c r="R153" i="1"/>
  <c r="L153" i="1" s="1"/>
  <c r="R89" i="1"/>
  <c r="L89" i="1" s="1"/>
  <c r="R25" i="1"/>
  <c r="L25" i="1" s="1"/>
  <c r="U113" i="1"/>
  <c r="U97" i="1"/>
  <c r="U80" i="1"/>
  <c r="U64" i="1"/>
  <c r="U48" i="1"/>
  <c r="U32" i="1"/>
  <c r="U16" i="1"/>
  <c r="N183" i="1"/>
  <c r="S183" i="1" s="1"/>
  <c r="P153" i="1"/>
  <c r="P106" i="1"/>
  <c r="P61" i="1"/>
  <c r="P23" i="1"/>
  <c r="R151" i="1"/>
  <c r="L151" i="1" s="1"/>
  <c r="R87" i="1"/>
  <c r="L87" i="1" s="1"/>
  <c r="R23" i="1"/>
  <c r="L23" i="1" s="1"/>
  <c r="U178" i="1"/>
  <c r="U162" i="1"/>
  <c r="U146" i="1"/>
  <c r="U130" i="1"/>
  <c r="U112" i="1"/>
  <c r="U96" i="1"/>
  <c r="U15" i="1"/>
  <c r="N181" i="1"/>
  <c r="J138" i="1"/>
  <c r="K120" i="1"/>
  <c r="P151" i="1"/>
  <c r="P105" i="1"/>
  <c r="P60" i="1"/>
  <c r="P16" i="1"/>
  <c r="R85" i="1"/>
  <c r="L85" i="1" s="1"/>
  <c r="N85" i="1" s="1"/>
  <c r="S85" i="1" s="1"/>
  <c r="R21" i="1"/>
  <c r="L21" i="1" s="1"/>
  <c r="U95" i="1"/>
  <c r="U78" i="1"/>
  <c r="U62" i="1"/>
  <c r="U46" i="1"/>
  <c r="U30" i="1"/>
  <c r="U14" i="1"/>
  <c r="J87" i="1"/>
  <c r="N25" i="1"/>
  <c r="S25" i="1" s="1"/>
  <c r="M87" i="1"/>
  <c r="M39" i="1"/>
  <c r="P188" i="1"/>
  <c r="P144" i="1"/>
  <c r="P103" i="1"/>
  <c r="P58" i="1"/>
  <c r="P13" i="1"/>
  <c r="R144" i="1"/>
  <c r="L144" i="1" s="1"/>
  <c r="R80" i="1"/>
  <c r="L80" i="1" s="1"/>
  <c r="R16" i="1"/>
  <c r="L16" i="1" s="1"/>
  <c r="U176" i="1"/>
  <c r="U160" i="1"/>
  <c r="U144" i="1"/>
  <c r="U128" i="1"/>
  <c r="U110" i="1"/>
  <c r="U94" i="1"/>
  <c r="U77" i="1"/>
  <c r="U61" i="1"/>
  <c r="U45" i="1"/>
  <c r="U29" i="1"/>
  <c r="U13" i="1"/>
  <c r="J23" i="1"/>
  <c r="K39" i="1"/>
  <c r="K7" i="1"/>
  <c r="P186" i="1"/>
  <c r="P141" i="1"/>
  <c r="P96" i="1"/>
  <c r="P57" i="1"/>
  <c r="P12" i="1"/>
  <c r="R137" i="1"/>
  <c r="L137" i="1" s="1"/>
  <c r="R73" i="1"/>
  <c r="L73" i="1" s="1"/>
  <c r="R9" i="1"/>
  <c r="L9" i="1" s="1"/>
  <c r="U109" i="1"/>
  <c r="U93" i="1"/>
  <c r="U76" i="1"/>
  <c r="U60" i="1"/>
  <c r="U44" i="1"/>
  <c r="U28" i="1"/>
  <c r="U12" i="1"/>
  <c r="J154" i="1"/>
  <c r="M154" i="1"/>
  <c r="K87" i="1"/>
  <c r="P185" i="1"/>
  <c r="P140" i="1"/>
  <c r="P93" i="1"/>
  <c r="P55" i="1"/>
  <c r="P10" i="1"/>
  <c r="R135" i="1"/>
  <c r="L135" i="1" s="1"/>
  <c r="R71" i="1"/>
  <c r="L71" i="1" s="1"/>
  <c r="R7" i="1"/>
  <c r="L7" i="1" s="1"/>
  <c r="U174" i="1"/>
  <c r="U158" i="1"/>
  <c r="U142" i="1"/>
  <c r="U126" i="1"/>
  <c r="U108" i="1"/>
  <c r="U92" i="1"/>
  <c r="U75" i="1"/>
  <c r="U59" i="1"/>
  <c r="U43" i="1"/>
  <c r="U27" i="1"/>
  <c r="U11" i="1"/>
  <c r="N133" i="1"/>
  <c r="K186" i="1"/>
  <c r="N186" i="1" s="1"/>
  <c r="S186" i="1" s="1"/>
  <c r="K154" i="1"/>
  <c r="P183" i="1"/>
  <c r="P138" i="1"/>
  <c r="P92" i="1"/>
  <c r="P48" i="1"/>
  <c r="P9" i="1"/>
  <c r="R69" i="1"/>
  <c r="L69" i="1" s="1"/>
  <c r="R5" i="1"/>
  <c r="L5" i="1" s="1"/>
  <c r="U173" i="1"/>
  <c r="U157" i="1"/>
  <c r="U141" i="1"/>
  <c r="U125" i="1"/>
  <c r="U107" i="1"/>
  <c r="U90" i="1"/>
  <c r="U74" i="1"/>
  <c r="U58" i="1"/>
  <c r="U42" i="1"/>
  <c r="U26" i="1"/>
  <c r="U10" i="1"/>
  <c r="N105" i="1"/>
  <c r="S105" i="1" s="1"/>
  <c r="P176" i="1"/>
  <c r="P137" i="1"/>
  <c r="P90" i="1"/>
  <c r="P45" i="1"/>
  <c r="P7" i="1"/>
  <c r="R128" i="1"/>
  <c r="L128" i="1" s="1"/>
  <c r="R64" i="1"/>
  <c r="L64" i="1" s="1"/>
  <c r="N64" i="1" s="1"/>
  <c r="S64" i="1" s="1"/>
  <c r="U188" i="1"/>
  <c r="U172" i="1"/>
  <c r="U156" i="1"/>
  <c r="U140" i="1"/>
  <c r="U124" i="1"/>
  <c r="U106" i="1"/>
  <c r="U89" i="1"/>
  <c r="U57" i="1"/>
  <c r="U41" i="1"/>
  <c r="J104" i="1"/>
  <c r="J39" i="1"/>
  <c r="P173" i="1"/>
  <c r="P135" i="1"/>
  <c r="P44" i="1"/>
  <c r="R185" i="1"/>
  <c r="L185" i="1" s="1"/>
  <c r="R121" i="1"/>
  <c r="L121" i="1" s="1"/>
  <c r="N121" i="1" s="1"/>
  <c r="S121" i="1" s="1"/>
  <c r="U187" i="1"/>
  <c r="U171" i="1"/>
  <c r="U155" i="1"/>
  <c r="U139" i="1"/>
  <c r="U121" i="1"/>
  <c r="U105" i="1"/>
  <c r="U88" i="1"/>
  <c r="U72" i="1"/>
  <c r="U56" i="1"/>
  <c r="U40" i="1"/>
  <c r="U24" i="1"/>
  <c r="U8" i="1"/>
  <c r="N103" i="1"/>
  <c r="S103" i="1" s="1"/>
  <c r="J55" i="1"/>
  <c r="M71" i="1"/>
  <c r="P172" i="1"/>
  <c r="P128" i="1"/>
  <c r="P87" i="1"/>
  <c r="P42" i="1"/>
  <c r="R183" i="1"/>
  <c r="L183" i="1" s="1"/>
  <c r="R119" i="1"/>
  <c r="L119" i="1" s="1"/>
  <c r="R55" i="1"/>
  <c r="L55" i="1" s="1"/>
  <c r="U186" i="1"/>
  <c r="U170" i="1"/>
  <c r="U154" i="1"/>
  <c r="U138" i="1"/>
  <c r="U120" i="1"/>
  <c r="U104" i="1"/>
  <c r="U71" i="1"/>
  <c r="U55" i="1"/>
  <c r="U39" i="1"/>
  <c r="U23" i="1"/>
  <c r="U7" i="1"/>
  <c r="J170" i="1"/>
  <c r="P170" i="1"/>
  <c r="P125" i="1"/>
  <c r="P80" i="1"/>
  <c r="P41" i="1"/>
  <c r="R117" i="1"/>
  <c r="L117" i="1" s="1"/>
  <c r="R53" i="1"/>
  <c r="L53" i="1" s="1"/>
  <c r="U169" i="1"/>
  <c r="U119" i="1"/>
  <c r="U103" i="1"/>
  <c r="M104" i="1"/>
  <c r="P169" i="1"/>
  <c r="P124" i="1"/>
  <c r="P77" i="1"/>
  <c r="P39" i="1"/>
  <c r="R176" i="1"/>
  <c r="L176" i="1" s="1"/>
  <c r="N176" i="1" s="1"/>
  <c r="S176" i="1" s="1"/>
  <c r="R112" i="1"/>
  <c r="L112" i="1" s="1"/>
  <c r="N112" i="1" s="1"/>
  <c r="S112" i="1" s="1"/>
  <c r="R48" i="1"/>
  <c r="L48" i="1" s="1"/>
  <c r="U184" i="1"/>
  <c r="U168" i="1"/>
  <c r="U152" i="1"/>
  <c r="U136" i="1"/>
  <c r="J120" i="1"/>
  <c r="M23" i="1"/>
  <c r="P167" i="1"/>
  <c r="P76" i="1"/>
  <c r="P32" i="1"/>
  <c r="U167" i="1"/>
  <c r="N119" i="1"/>
  <c r="S119" i="1" s="1"/>
  <c r="P160" i="1"/>
  <c r="P74" i="1"/>
  <c r="P29" i="1"/>
  <c r="P2" i="1"/>
  <c r="R2" i="1"/>
  <c r="L2" i="1" s="1"/>
  <c r="U2" i="1"/>
  <c r="R123" i="1"/>
  <c r="L123" i="1" s="1"/>
  <c r="K123" i="1"/>
  <c r="U123" i="1"/>
  <c r="J123" i="1"/>
  <c r="R122" i="1"/>
  <c r="L122" i="1" s="1"/>
  <c r="J122" i="1"/>
  <c r="U122" i="1"/>
  <c r="P122" i="1"/>
  <c r="K122" i="1"/>
  <c r="R91" i="1"/>
  <c r="L91" i="1" s="1"/>
  <c r="U91" i="1"/>
  <c r="K91" i="1"/>
  <c r="M91" i="1"/>
  <c r="J91" i="1"/>
  <c r="N171" i="1"/>
  <c r="S171" i="1" s="1"/>
  <c r="N128" i="1"/>
  <c r="S128" i="1" s="1"/>
  <c r="N170" i="1"/>
  <c r="N149" i="1"/>
  <c r="S149" i="1" s="1"/>
  <c r="N60" i="1"/>
  <c r="S60" i="1" s="1"/>
  <c r="N77" i="1"/>
  <c r="S77" i="1" s="1"/>
  <c r="S181" i="1"/>
  <c r="S133" i="1"/>
  <c r="N139" i="1"/>
  <c r="S139" i="1" s="1"/>
  <c r="K177" i="1"/>
  <c r="P177" i="1"/>
  <c r="R177" i="1"/>
  <c r="L177" i="1" s="1"/>
  <c r="K161" i="1"/>
  <c r="P161" i="1"/>
  <c r="R161" i="1"/>
  <c r="L161" i="1" s="1"/>
  <c r="K145" i="1"/>
  <c r="P145" i="1"/>
  <c r="R145" i="1"/>
  <c r="L145" i="1" s="1"/>
  <c r="K129" i="1"/>
  <c r="P129" i="1"/>
  <c r="R129" i="1"/>
  <c r="L129" i="1" s="1"/>
  <c r="N180" i="1"/>
  <c r="S180" i="1" s="1"/>
  <c r="N155" i="1"/>
  <c r="S155" i="1" s="1"/>
  <c r="N136" i="1"/>
  <c r="S136" i="1" s="1"/>
  <c r="P175" i="1"/>
  <c r="J175" i="1"/>
  <c r="R175" i="1"/>
  <c r="L175" i="1" s="1"/>
  <c r="K175" i="1"/>
  <c r="M175" i="1"/>
  <c r="K159" i="1"/>
  <c r="P159" i="1"/>
  <c r="M159" i="1"/>
  <c r="J159" i="1"/>
  <c r="R159" i="1"/>
  <c r="L159" i="1" s="1"/>
  <c r="P143" i="1"/>
  <c r="K143" i="1"/>
  <c r="M143" i="1"/>
  <c r="R143" i="1"/>
  <c r="L143" i="1" s="1"/>
  <c r="J143" i="1"/>
  <c r="P127" i="1"/>
  <c r="R127" i="1"/>
  <c r="L127" i="1" s="1"/>
  <c r="K127" i="1"/>
  <c r="J127" i="1"/>
  <c r="M127" i="1"/>
  <c r="P111" i="1"/>
  <c r="R111" i="1"/>
  <c r="L111" i="1" s="1"/>
  <c r="K111" i="1"/>
  <c r="N111" i="1" s="1"/>
  <c r="S111" i="1" s="1"/>
  <c r="M111" i="1"/>
  <c r="K95" i="1"/>
  <c r="P95" i="1"/>
  <c r="M95" i="1"/>
  <c r="R95" i="1"/>
  <c r="L95" i="1" s="1"/>
  <c r="P79" i="1"/>
  <c r="K79" i="1"/>
  <c r="M79" i="1"/>
  <c r="R79" i="1"/>
  <c r="L79" i="1" s="1"/>
  <c r="J79" i="1"/>
  <c r="P63" i="1"/>
  <c r="R63" i="1"/>
  <c r="L63" i="1" s="1"/>
  <c r="K63" i="1"/>
  <c r="M63" i="1"/>
  <c r="J63" i="1"/>
  <c r="P47" i="1"/>
  <c r="R47" i="1"/>
  <c r="L47" i="1" s="1"/>
  <c r="N47" i="1" s="1"/>
  <c r="S47" i="1" s="1"/>
  <c r="K47" i="1"/>
  <c r="P31" i="1"/>
  <c r="K31" i="1"/>
  <c r="R31" i="1"/>
  <c r="L31" i="1" s="1"/>
  <c r="M31" i="1"/>
  <c r="J31" i="1"/>
  <c r="P15" i="1"/>
  <c r="R15" i="1"/>
  <c r="L15" i="1" s="1"/>
  <c r="N15" i="1" s="1"/>
  <c r="S15" i="1" s="1"/>
  <c r="K15" i="1"/>
  <c r="M15" i="1"/>
  <c r="N154" i="1"/>
  <c r="S154" i="1" s="1"/>
  <c r="N135" i="1"/>
  <c r="S135" i="1" s="1"/>
  <c r="N69" i="1"/>
  <c r="S69" i="1" s="1"/>
  <c r="J168" i="1"/>
  <c r="J134" i="1"/>
  <c r="J117" i="1"/>
  <c r="N117" i="1" s="1"/>
  <c r="S117" i="1" s="1"/>
  <c r="J100" i="1"/>
  <c r="J83" i="1"/>
  <c r="J66" i="1"/>
  <c r="N48" i="1"/>
  <c r="S48" i="1" s="1"/>
  <c r="J14" i="1"/>
  <c r="M187" i="1"/>
  <c r="N187" i="1" s="1"/>
  <c r="S187" i="1" s="1"/>
  <c r="K165" i="1"/>
  <c r="M147" i="1"/>
  <c r="K130" i="1"/>
  <c r="M123" i="1"/>
  <c r="K101" i="1"/>
  <c r="N101" i="1" s="1"/>
  <c r="S101" i="1" s="1"/>
  <c r="M83" i="1"/>
  <c r="K66" i="1"/>
  <c r="M59" i="1"/>
  <c r="N59" i="1" s="1"/>
  <c r="S59" i="1" s="1"/>
  <c r="K54" i="1"/>
  <c r="M28" i="1"/>
  <c r="M22" i="1"/>
  <c r="K10" i="1"/>
  <c r="N10" i="1" s="1"/>
  <c r="S10" i="1" s="1"/>
  <c r="M3" i="1"/>
  <c r="P187" i="1"/>
  <c r="P171" i="1"/>
  <c r="P155" i="1"/>
  <c r="P139" i="1"/>
  <c r="P123" i="1"/>
  <c r="P107" i="1"/>
  <c r="P91" i="1"/>
  <c r="P75" i="1"/>
  <c r="P59" i="1"/>
  <c r="P43" i="1"/>
  <c r="P27" i="1"/>
  <c r="P11" i="1"/>
  <c r="R182" i="1"/>
  <c r="L182" i="1" s="1"/>
  <c r="R166" i="1"/>
  <c r="L166" i="1" s="1"/>
  <c r="N166" i="1" s="1"/>
  <c r="S166" i="1" s="1"/>
  <c r="R150" i="1"/>
  <c r="L150" i="1" s="1"/>
  <c r="R134" i="1"/>
  <c r="L134" i="1" s="1"/>
  <c r="R118" i="1"/>
  <c r="L118" i="1" s="1"/>
  <c r="N118" i="1" s="1"/>
  <c r="S118" i="1" s="1"/>
  <c r="R102" i="1"/>
  <c r="L102" i="1" s="1"/>
  <c r="N102" i="1" s="1"/>
  <c r="S102" i="1" s="1"/>
  <c r="R86" i="1"/>
  <c r="L86" i="1" s="1"/>
  <c r="R70" i="1"/>
  <c r="L70" i="1" s="1"/>
  <c r="R54" i="1"/>
  <c r="L54" i="1" s="1"/>
  <c r="R38" i="1"/>
  <c r="L38" i="1" s="1"/>
  <c r="R22" i="1"/>
  <c r="L22" i="1" s="1"/>
  <c r="R6" i="1"/>
  <c r="L6" i="1" s="1"/>
  <c r="N80" i="1"/>
  <c r="S80" i="1" s="1"/>
  <c r="N29" i="1"/>
  <c r="S29" i="1" s="1"/>
  <c r="N12" i="1"/>
  <c r="R180" i="1"/>
  <c r="L180" i="1" s="1"/>
  <c r="R164" i="1"/>
  <c r="L164" i="1" s="1"/>
  <c r="R148" i="1"/>
  <c r="L148" i="1" s="1"/>
  <c r="R132" i="1"/>
  <c r="L132" i="1" s="1"/>
  <c r="N132" i="1" s="1"/>
  <c r="S132" i="1" s="1"/>
  <c r="R116" i="1"/>
  <c r="L116" i="1" s="1"/>
  <c r="N116" i="1" s="1"/>
  <c r="S116" i="1" s="1"/>
  <c r="R100" i="1"/>
  <c r="L100" i="1" s="1"/>
  <c r="R84" i="1"/>
  <c r="L84" i="1" s="1"/>
  <c r="N84" i="1" s="1"/>
  <c r="S84" i="1" s="1"/>
  <c r="R68" i="1"/>
  <c r="L68" i="1" s="1"/>
  <c r="R52" i="1"/>
  <c r="L52" i="1" s="1"/>
  <c r="N52" i="1" s="1"/>
  <c r="S52" i="1" s="1"/>
  <c r="R36" i="1"/>
  <c r="L36" i="1" s="1"/>
  <c r="N36" i="1" s="1"/>
  <c r="S36" i="1" s="1"/>
  <c r="R20" i="1"/>
  <c r="L20" i="1" s="1"/>
  <c r="R4" i="1"/>
  <c r="L4" i="1" s="1"/>
  <c r="N4" i="1" s="1"/>
  <c r="S4" i="1" s="1"/>
  <c r="J182" i="1"/>
  <c r="J165" i="1"/>
  <c r="N165" i="1" s="1"/>
  <c r="S165" i="1" s="1"/>
  <c r="J148" i="1"/>
  <c r="J131" i="1"/>
  <c r="J114" i="1"/>
  <c r="N96" i="1"/>
  <c r="S96" i="1" s="1"/>
  <c r="J62" i="1"/>
  <c r="N45" i="1"/>
  <c r="S45" i="1" s="1"/>
  <c r="J28" i="1"/>
  <c r="N28" i="1" s="1"/>
  <c r="S28" i="1" s="1"/>
  <c r="J11" i="1"/>
  <c r="M186" i="1"/>
  <c r="M174" i="1"/>
  <c r="K164" i="1"/>
  <c r="K152" i="1"/>
  <c r="M146" i="1"/>
  <c r="K140" i="1"/>
  <c r="N140" i="1" s="1"/>
  <c r="S140" i="1" s="1"/>
  <c r="M134" i="1"/>
  <c r="M122" i="1"/>
  <c r="M110" i="1"/>
  <c r="K100" i="1"/>
  <c r="K88" i="1"/>
  <c r="N88" i="1" s="1"/>
  <c r="S88" i="1" s="1"/>
  <c r="M82" i="1"/>
  <c r="K76" i="1"/>
  <c r="M70" i="1"/>
  <c r="M58" i="1"/>
  <c r="K53" i="1"/>
  <c r="K46" i="1"/>
  <c r="K40" i="1"/>
  <c r="N40" i="1" s="1"/>
  <c r="S40" i="1" s="1"/>
  <c r="K34" i="1"/>
  <c r="N34" i="1" s="1"/>
  <c r="S34" i="1" s="1"/>
  <c r="M27" i="1"/>
  <c r="N27" i="1" s="1"/>
  <c r="S27" i="1" s="1"/>
  <c r="M21" i="1"/>
  <c r="M14" i="1"/>
  <c r="P184" i="1"/>
  <c r="P168" i="1"/>
  <c r="P152" i="1"/>
  <c r="P136" i="1"/>
  <c r="P120" i="1"/>
  <c r="P104" i="1"/>
  <c r="P88" i="1"/>
  <c r="P72" i="1"/>
  <c r="P56" i="1"/>
  <c r="P40" i="1"/>
  <c r="P24" i="1"/>
  <c r="P8" i="1"/>
  <c r="R179" i="1"/>
  <c r="L179" i="1" s="1"/>
  <c r="N179" i="1" s="1"/>
  <c r="S179" i="1" s="1"/>
  <c r="R163" i="1"/>
  <c r="L163" i="1" s="1"/>
  <c r="N163" i="1" s="1"/>
  <c r="S163" i="1" s="1"/>
  <c r="R147" i="1"/>
  <c r="L147" i="1" s="1"/>
  <c r="N147" i="1" s="1"/>
  <c r="S147" i="1" s="1"/>
  <c r="R131" i="1"/>
  <c r="L131" i="1" s="1"/>
  <c r="R115" i="1"/>
  <c r="L115" i="1" s="1"/>
  <c r="N115" i="1" s="1"/>
  <c r="S115" i="1" s="1"/>
  <c r="R99" i="1"/>
  <c r="L99" i="1" s="1"/>
  <c r="N99" i="1" s="1"/>
  <c r="S99" i="1" s="1"/>
  <c r="R83" i="1"/>
  <c r="L83" i="1" s="1"/>
  <c r="R67" i="1"/>
  <c r="L67" i="1" s="1"/>
  <c r="R51" i="1"/>
  <c r="L51" i="1" s="1"/>
  <c r="R35" i="1"/>
  <c r="L35" i="1" s="1"/>
  <c r="N35" i="1" s="1"/>
  <c r="S35" i="1" s="1"/>
  <c r="R19" i="1"/>
  <c r="L19" i="1" s="1"/>
  <c r="R3" i="1"/>
  <c r="L3" i="1" s="1"/>
  <c r="N61" i="1"/>
  <c r="S61" i="1" s="1"/>
  <c r="R178" i="1"/>
  <c r="L178" i="1" s="1"/>
  <c r="R162" i="1"/>
  <c r="L162" i="1" s="1"/>
  <c r="R146" i="1"/>
  <c r="L146" i="1" s="1"/>
  <c r="R130" i="1"/>
  <c r="L130" i="1" s="1"/>
  <c r="N130" i="1" s="1"/>
  <c r="S130" i="1" s="1"/>
  <c r="R114" i="1"/>
  <c r="L114" i="1" s="1"/>
  <c r="R98" i="1"/>
  <c r="L98" i="1" s="1"/>
  <c r="N98" i="1" s="1"/>
  <c r="S98" i="1" s="1"/>
  <c r="R82" i="1"/>
  <c r="L82" i="1" s="1"/>
  <c r="R66" i="1"/>
  <c r="L66" i="1" s="1"/>
  <c r="R50" i="1"/>
  <c r="L50" i="1" s="1"/>
  <c r="R34" i="1"/>
  <c r="L34" i="1" s="1"/>
  <c r="R18" i="1"/>
  <c r="L18" i="1" s="1"/>
  <c r="N18" i="1" s="1"/>
  <c r="S18" i="1" s="1"/>
  <c r="N26" i="1"/>
  <c r="S26" i="1" s="1"/>
  <c r="N9" i="1"/>
  <c r="S9" i="1" s="1"/>
  <c r="P182" i="1"/>
  <c r="P166" i="1"/>
  <c r="P150" i="1"/>
  <c r="P134" i="1"/>
  <c r="P118" i="1"/>
  <c r="P102" i="1"/>
  <c r="P86" i="1"/>
  <c r="P70" i="1"/>
  <c r="P54" i="1"/>
  <c r="P38" i="1"/>
  <c r="P22" i="1"/>
  <c r="P6" i="1"/>
  <c r="R113" i="1"/>
  <c r="L113" i="1" s="1"/>
  <c r="R97" i="1"/>
  <c r="L97" i="1" s="1"/>
  <c r="R81" i="1"/>
  <c r="L81" i="1" s="1"/>
  <c r="R65" i="1"/>
  <c r="L65" i="1" s="1"/>
  <c r="R49" i="1"/>
  <c r="L49" i="1" s="1"/>
  <c r="R33" i="1"/>
  <c r="L33" i="1" s="1"/>
  <c r="R17" i="1"/>
  <c r="L17" i="1" s="1"/>
  <c r="S12" i="1"/>
  <c r="N93" i="1"/>
  <c r="S93" i="1" s="1"/>
  <c r="P181" i="1"/>
  <c r="P165" i="1"/>
  <c r="P149" i="1"/>
  <c r="P133" i="1"/>
  <c r="P117" i="1"/>
  <c r="P101" i="1"/>
  <c r="P85" i="1"/>
  <c r="P69" i="1"/>
  <c r="P53" i="1"/>
  <c r="P37" i="1"/>
  <c r="P21" i="1"/>
  <c r="P5" i="1"/>
  <c r="N144" i="1"/>
  <c r="S144" i="1" s="1"/>
  <c r="N76" i="1"/>
  <c r="S76" i="1" s="1"/>
  <c r="N42" i="1"/>
  <c r="S42" i="1" s="1"/>
  <c r="N8" i="1"/>
  <c r="S8" i="1" s="1"/>
  <c r="J178" i="1"/>
  <c r="N178" i="1" s="1"/>
  <c r="S178" i="1" s="1"/>
  <c r="J126" i="1"/>
  <c r="N109" i="1"/>
  <c r="S109" i="1" s="1"/>
  <c r="J92" i="1"/>
  <c r="J75" i="1"/>
  <c r="N75" i="1" s="1"/>
  <c r="S75" i="1" s="1"/>
  <c r="J58" i="1"/>
  <c r="N58" i="1" s="1"/>
  <c r="S58" i="1" s="1"/>
  <c r="N41" i="1"/>
  <c r="S41" i="1" s="1"/>
  <c r="J24" i="1"/>
  <c r="K180" i="1"/>
  <c r="K168" i="1"/>
  <c r="M162" i="1"/>
  <c r="N162" i="1" s="1"/>
  <c r="S162" i="1" s="1"/>
  <c r="K156" i="1"/>
  <c r="N156" i="1" s="1"/>
  <c r="S156" i="1" s="1"/>
  <c r="M150" i="1"/>
  <c r="M138" i="1"/>
  <c r="M126" i="1"/>
  <c r="K116" i="1"/>
  <c r="K104" i="1"/>
  <c r="M98" i="1"/>
  <c r="K92" i="1"/>
  <c r="M86" i="1"/>
  <c r="M74" i="1"/>
  <c r="M62" i="1"/>
  <c r="M51" i="1"/>
  <c r="M44" i="1"/>
  <c r="P180" i="1"/>
  <c r="P164" i="1"/>
  <c r="P148" i="1"/>
  <c r="P132" i="1"/>
  <c r="P116" i="1"/>
  <c r="P100" i="1"/>
  <c r="P84" i="1"/>
  <c r="P68" i="1"/>
  <c r="P52" i="1"/>
  <c r="P36" i="1"/>
  <c r="P20" i="1"/>
  <c r="P4" i="1"/>
  <c r="S170" i="1"/>
  <c r="N125" i="1"/>
  <c r="S125" i="1" s="1"/>
  <c r="N57" i="1"/>
  <c r="S57" i="1" s="1"/>
  <c r="P179" i="1"/>
  <c r="P163" i="1"/>
  <c r="P147" i="1"/>
  <c r="P131" i="1"/>
  <c r="P115" i="1"/>
  <c r="P99" i="1"/>
  <c r="P83" i="1"/>
  <c r="P67" i="1"/>
  <c r="P51" i="1"/>
  <c r="P35" i="1"/>
  <c r="P19" i="1"/>
  <c r="P3" i="1"/>
  <c r="R174" i="1"/>
  <c r="L174" i="1" s="1"/>
  <c r="R158" i="1"/>
  <c r="L158" i="1" s="1"/>
  <c r="R142" i="1"/>
  <c r="L142" i="1" s="1"/>
  <c r="N142" i="1" s="1"/>
  <c r="S142" i="1" s="1"/>
  <c r="R126" i="1"/>
  <c r="L126" i="1" s="1"/>
  <c r="R94" i="1"/>
  <c r="L94" i="1" s="1"/>
  <c r="N94" i="1" s="1"/>
  <c r="S94" i="1" s="1"/>
  <c r="R78" i="1"/>
  <c r="L78" i="1" s="1"/>
  <c r="N78" i="1" s="1"/>
  <c r="S78" i="1" s="1"/>
  <c r="R62" i="1"/>
  <c r="L62" i="1" s="1"/>
  <c r="R46" i="1"/>
  <c r="L46" i="1" s="1"/>
  <c r="N46" i="1" s="1"/>
  <c r="S46" i="1" s="1"/>
  <c r="R30" i="1"/>
  <c r="L30" i="1" s="1"/>
  <c r="R14" i="1"/>
  <c r="L14" i="1" s="1"/>
  <c r="R110" i="1"/>
  <c r="L110" i="1" s="1"/>
  <c r="N110" i="1" s="1"/>
  <c r="S110" i="1" s="1"/>
  <c r="J158" i="1"/>
  <c r="N141" i="1"/>
  <c r="S141" i="1" s="1"/>
  <c r="J124" i="1"/>
  <c r="N124" i="1" s="1"/>
  <c r="S124" i="1" s="1"/>
  <c r="J107" i="1"/>
  <c r="N107" i="1" s="1"/>
  <c r="S107" i="1" s="1"/>
  <c r="J90" i="1"/>
  <c r="N90" i="1" s="1"/>
  <c r="S90" i="1" s="1"/>
  <c r="N73" i="1"/>
  <c r="S73" i="1" s="1"/>
  <c r="J56" i="1"/>
  <c r="J22" i="1"/>
  <c r="J5" i="1"/>
  <c r="N5" i="1" s="1"/>
  <c r="S5" i="1" s="1"/>
  <c r="M184" i="1"/>
  <c r="N184" i="1" s="1"/>
  <c r="S184" i="1" s="1"/>
  <c r="M172" i="1"/>
  <c r="N172" i="1" s="1"/>
  <c r="S172" i="1" s="1"/>
  <c r="K150" i="1"/>
  <c r="N150" i="1" s="1"/>
  <c r="S150" i="1" s="1"/>
  <c r="K138" i="1"/>
  <c r="M132" i="1"/>
  <c r="K126" i="1"/>
  <c r="M120" i="1"/>
  <c r="M108" i="1"/>
  <c r="N108" i="1" s="1"/>
  <c r="S108" i="1" s="1"/>
  <c r="K86" i="1"/>
  <c r="N86" i="1" s="1"/>
  <c r="S86" i="1" s="1"/>
  <c r="K74" i="1"/>
  <c r="N74" i="1" s="1"/>
  <c r="S74" i="1" s="1"/>
  <c r="M68" i="1"/>
  <c r="N68" i="1" s="1"/>
  <c r="S68" i="1" s="1"/>
  <c r="K62" i="1"/>
  <c r="M56" i="1"/>
  <c r="K51" i="1"/>
  <c r="M43" i="1"/>
  <c r="N43" i="1" s="1"/>
  <c r="S43" i="1" s="1"/>
  <c r="M37" i="1"/>
  <c r="N37" i="1" s="1"/>
  <c r="S37" i="1" s="1"/>
  <c r="M19" i="1"/>
  <c r="M6" i="1"/>
  <c r="N6" i="1" s="1"/>
  <c r="S6" i="1" s="1"/>
  <c r="N106" i="1"/>
  <c r="S106" i="1" s="1"/>
  <c r="N72" i="1"/>
  <c r="S72" i="1" s="1"/>
  <c r="N21" i="1"/>
  <c r="S21" i="1" s="1"/>
  <c r="P113" i="1"/>
  <c r="P97" i="1"/>
  <c r="P81" i="1"/>
  <c r="P65" i="1"/>
  <c r="P49" i="1"/>
  <c r="P33" i="1"/>
  <c r="P17" i="1"/>
  <c r="N54" i="1"/>
  <c r="S54" i="1" s="1"/>
  <c r="N20" i="1"/>
  <c r="S20" i="1" s="1"/>
  <c r="N19" i="1"/>
  <c r="S19" i="1" s="1"/>
  <c r="N188" i="1"/>
  <c r="S188" i="1" s="1"/>
  <c r="N50" i="1"/>
  <c r="S50" i="1" s="1"/>
  <c r="N13" i="1"/>
  <c r="S13" i="1" s="1"/>
  <c r="N114" i="1"/>
  <c r="S114" i="1" s="1"/>
  <c r="N44" i="1"/>
  <c r="S44" i="1" s="1"/>
  <c r="N24" i="1"/>
  <c r="S24" i="1" s="1"/>
  <c r="N7" i="1"/>
  <c r="S7" i="1" s="1"/>
  <c r="N23" i="1"/>
  <c r="S23" i="1" s="1"/>
  <c r="N39" i="1"/>
  <c r="S39" i="1" s="1"/>
  <c r="N16" i="1"/>
  <c r="S16" i="1" s="1"/>
  <c r="J177" i="1"/>
  <c r="J161" i="1"/>
  <c r="J145" i="1"/>
  <c r="J129" i="1"/>
  <c r="J113" i="1"/>
  <c r="J97" i="1"/>
  <c r="J81" i="1"/>
  <c r="J65" i="1"/>
  <c r="J49" i="1"/>
  <c r="J33" i="1"/>
  <c r="J17" i="1"/>
  <c r="M177" i="1"/>
  <c r="M161" i="1"/>
  <c r="M145" i="1"/>
  <c r="M129" i="1"/>
  <c r="M113" i="1"/>
  <c r="M97" i="1"/>
  <c r="M81" i="1"/>
  <c r="M65" i="1"/>
  <c r="M49" i="1"/>
  <c r="M33" i="1"/>
  <c r="M17" i="1"/>
  <c r="M2" i="1"/>
  <c r="K2" i="1"/>
  <c r="N53" i="1" l="1"/>
  <c r="S53" i="1" s="1"/>
  <c r="N185" i="1"/>
  <c r="S185" i="1" s="1"/>
  <c r="N167" i="1"/>
  <c r="S167" i="1" s="1"/>
  <c r="N164" i="1"/>
  <c r="S164" i="1" s="1"/>
  <c r="N158" i="1"/>
  <c r="S158" i="1" s="1"/>
  <c r="N157" i="1"/>
  <c r="S157" i="1" s="1"/>
  <c r="N153" i="1"/>
  <c r="S153" i="1" s="1"/>
  <c r="N152" i="1"/>
  <c r="S152" i="1" s="1"/>
  <c r="N151" i="1"/>
  <c r="S151" i="1" s="1"/>
  <c r="N137" i="1"/>
  <c r="S137" i="1" s="1"/>
  <c r="N95" i="1"/>
  <c r="S95" i="1" s="1"/>
  <c r="N91" i="1"/>
  <c r="S91" i="1" s="1"/>
  <c r="N67" i="1"/>
  <c r="S67" i="1" s="1"/>
  <c r="N51" i="1"/>
  <c r="S51" i="1" s="1"/>
  <c r="N30" i="1"/>
  <c r="S30" i="1" s="1"/>
  <c r="N11" i="1"/>
  <c r="S11" i="1" s="1"/>
  <c r="N3" i="1"/>
  <c r="S3" i="1" s="1"/>
  <c r="N131" i="1"/>
  <c r="S131" i="1" s="1"/>
  <c r="N71" i="1"/>
  <c r="S71" i="1" s="1"/>
  <c r="N138" i="1"/>
  <c r="S138" i="1" s="1"/>
  <c r="N66" i="1"/>
  <c r="S66" i="1" s="1"/>
  <c r="N87" i="1"/>
  <c r="S87" i="1" s="1"/>
  <c r="N56" i="1"/>
  <c r="S56" i="1" s="1"/>
  <c r="N70" i="1"/>
  <c r="S70" i="1" s="1"/>
  <c r="N55" i="1"/>
  <c r="S55" i="1" s="1"/>
  <c r="N146" i="1"/>
  <c r="S146" i="1" s="1"/>
  <c r="N174" i="1"/>
  <c r="S174" i="1" s="1"/>
  <c r="N97" i="1"/>
  <c r="S97" i="1" s="1"/>
  <c r="N79" i="1"/>
  <c r="S79" i="1" s="1"/>
  <c r="N83" i="1"/>
  <c r="S83" i="1" s="1"/>
  <c r="N82" i="1"/>
  <c r="S82" i="1" s="1"/>
  <c r="N104" i="1"/>
  <c r="S104" i="1" s="1"/>
  <c r="N120" i="1"/>
  <c r="S120" i="1" s="1"/>
  <c r="N123" i="1"/>
  <c r="S123" i="1" s="1"/>
  <c r="N122" i="1"/>
  <c r="S122" i="1" s="1"/>
  <c r="N92" i="1"/>
  <c r="S92" i="1" s="1"/>
  <c r="N62" i="1"/>
  <c r="S62" i="1" s="1"/>
  <c r="N126" i="1"/>
  <c r="S126" i="1" s="1"/>
  <c r="N175" i="1"/>
  <c r="S175" i="1" s="1"/>
  <c r="N143" i="1"/>
  <c r="S143" i="1" s="1"/>
  <c r="N17" i="1"/>
  <c r="S17" i="1" s="1"/>
  <c r="N148" i="1"/>
  <c r="S148" i="1" s="1"/>
  <c r="N33" i="1"/>
  <c r="S33" i="1" s="1"/>
  <c r="N14" i="1"/>
  <c r="S14" i="1" s="1"/>
  <c r="N63" i="1"/>
  <c r="S63" i="1" s="1"/>
  <c r="N65" i="1"/>
  <c r="S65" i="1" s="1"/>
  <c r="N49" i="1"/>
  <c r="S49" i="1" s="1"/>
  <c r="N182" i="1"/>
  <c r="S182" i="1" s="1"/>
  <c r="N81" i="1"/>
  <c r="S81" i="1" s="1"/>
  <c r="N113" i="1"/>
  <c r="S113" i="1" s="1"/>
  <c r="N100" i="1"/>
  <c r="S100" i="1" s="1"/>
  <c r="N159" i="1"/>
  <c r="S159" i="1" s="1"/>
  <c r="N129" i="1"/>
  <c r="S129" i="1" s="1"/>
  <c r="N145" i="1"/>
  <c r="S145" i="1" s="1"/>
  <c r="N134" i="1"/>
  <c r="S134" i="1" s="1"/>
  <c r="N31" i="1"/>
  <c r="S31" i="1" s="1"/>
  <c r="N22" i="1"/>
  <c r="S22" i="1" s="1"/>
  <c r="N168" i="1"/>
  <c r="S168" i="1" s="1"/>
  <c r="N127" i="1"/>
  <c r="S127" i="1" s="1"/>
  <c r="N161" i="1"/>
  <c r="S161" i="1" s="1"/>
  <c r="N177" i="1"/>
  <c r="S177" i="1" s="1"/>
  <c r="N2" i="1"/>
  <c r="S2" i="1" s="1"/>
  <c r="Y54" i="1" l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52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2" i="1"/>
  <c r="J187" i="2"/>
  <c r="H186" i="2"/>
  <c r="K186" i="2" s="1"/>
  <c r="H185" i="2"/>
  <c r="K185" i="2" s="1"/>
  <c r="H184" i="2"/>
  <c r="K184" i="2" s="1"/>
  <c r="H183" i="2"/>
  <c r="K183" i="2" s="1"/>
  <c r="H182" i="2"/>
  <c r="K182" i="2" s="1"/>
  <c r="H181" i="2"/>
  <c r="K181" i="2" s="1"/>
  <c r="H180" i="2"/>
  <c r="K180" i="2" s="1"/>
  <c r="H179" i="2"/>
  <c r="K179" i="2" s="1"/>
  <c r="H178" i="2"/>
  <c r="K178" i="2" s="1"/>
  <c r="H177" i="2"/>
  <c r="K177" i="2" s="1"/>
  <c r="H176" i="2"/>
  <c r="K176" i="2" s="1"/>
  <c r="H175" i="2"/>
  <c r="K175" i="2" s="1"/>
  <c r="H174" i="2"/>
  <c r="K174" i="2" s="1"/>
  <c r="H173" i="2"/>
  <c r="K173" i="2" s="1"/>
  <c r="H172" i="2"/>
  <c r="K172" i="2" s="1"/>
  <c r="H171" i="2"/>
  <c r="K171" i="2" s="1"/>
  <c r="H170" i="2"/>
  <c r="K170" i="2" s="1"/>
  <c r="H169" i="2"/>
  <c r="K169" i="2" s="1"/>
  <c r="H168" i="2"/>
  <c r="K168" i="2" s="1"/>
  <c r="H167" i="2"/>
  <c r="K167" i="2" s="1"/>
  <c r="H166" i="2"/>
  <c r="K166" i="2" s="1"/>
  <c r="H165" i="2"/>
  <c r="K165" i="2" s="1"/>
  <c r="H164" i="2"/>
  <c r="K164" i="2" s="1"/>
  <c r="H163" i="2"/>
  <c r="K163" i="2" s="1"/>
  <c r="H162" i="2"/>
  <c r="K162" i="2" s="1"/>
  <c r="H161" i="2"/>
  <c r="K161" i="2" s="1"/>
  <c r="H160" i="2"/>
  <c r="K160" i="2" s="1"/>
  <c r="H159" i="2"/>
  <c r="K159" i="2" s="1"/>
  <c r="H158" i="2"/>
  <c r="K158" i="2" s="1"/>
  <c r="H157" i="2"/>
  <c r="K157" i="2" s="1"/>
  <c r="H156" i="2"/>
  <c r="K156" i="2" s="1"/>
  <c r="H155" i="2"/>
  <c r="K155" i="2" s="1"/>
  <c r="H154" i="2"/>
  <c r="K154" i="2" s="1"/>
  <c r="H153" i="2"/>
  <c r="K153" i="2" s="1"/>
  <c r="H152" i="2"/>
  <c r="K152" i="2" s="1"/>
  <c r="H151" i="2"/>
  <c r="K151" i="2" s="1"/>
  <c r="H150" i="2"/>
  <c r="K150" i="2" s="1"/>
  <c r="H149" i="2"/>
  <c r="K149" i="2" s="1"/>
  <c r="H148" i="2"/>
  <c r="K148" i="2" s="1"/>
  <c r="H147" i="2"/>
  <c r="K147" i="2" s="1"/>
  <c r="H146" i="2"/>
  <c r="K146" i="2" s="1"/>
  <c r="H145" i="2"/>
  <c r="K145" i="2" s="1"/>
  <c r="H144" i="2"/>
  <c r="K144" i="2" s="1"/>
  <c r="H143" i="2"/>
  <c r="K143" i="2" s="1"/>
  <c r="H142" i="2"/>
  <c r="K142" i="2" s="1"/>
  <c r="H141" i="2"/>
  <c r="K141" i="2" s="1"/>
  <c r="H140" i="2"/>
  <c r="K140" i="2" s="1"/>
  <c r="H139" i="2"/>
  <c r="K139" i="2" s="1"/>
  <c r="H138" i="2"/>
  <c r="K138" i="2" s="1"/>
  <c r="H137" i="2"/>
  <c r="K137" i="2" s="1"/>
  <c r="H136" i="2"/>
  <c r="K136" i="2" s="1"/>
  <c r="H135" i="2"/>
  <c r="K135" i="2" s="1"/>
  <c r="H134" i="2"/>
  <c r="K134" i="2" s="1"/>
  <c r="H133" i="2"/>
  <c r="K133" i="2" s="1"/>
  <c r="H132" i="2"/>
  <c r="K132" i="2" s="1"/>
  <c r="H131" i="2"/>
  <c r="K131" i="2" s="1"/>
  <c r="H130" i="2"/>
  <c r="K130" i="2" s="1"/>
  <c r="H129" i="2"/>
  <c r="K129" i="2" s="1"/>
  <c r="H128" i="2"/>
  <c r="K128" i="2" s="1"/>
  <c r="H127" i="2"/>
  <c r="K127" i="2" s="1"/>
  <c r="H126" i="2"/>
  <c r="K126" i="2" s="1"/>
  <c r="H125" i="2"/>
  <c r="K125" i="2" s="1"/>
  <c r="H124" i="2"/>
  <c r="K124" i="2" s="1"/>
  <c r="H123" i="2"/>
  <c r="K123" i="2" s="1"/>
  <c r="H122" i="2"/>
  <c r="K122" i="2" s="1"/>
  <c r="H121" i="2"/>
  <c r="K121" i="2" s="1"/>
  <c r="H120" i="2"/>
  <c r="K120" i="2" s="1"/>
  <c r="H119" i="2"/>
  <c r="K119" i="2" s="1"/>
  <c r="H118" i="2"/>
  <c r="K118" i="2" s="1"/>
  <c r="H117" i="2"/>
  <c r="K117" i="2" s="1"/>
  <c r="H116" i="2"/>
  <c r="K116" i="2" s="1"/>
  <c r="H115" i="2"/>
  <c r="K115" i="2" s="1"/>
  <c r="H114" i="2"/>
  <c r="K114" i="2" s="1"/>
  <c r="H113" i="2"/>
  <c r="K113" i="2" s="1"/>
  <c r="H112" i="2"/>
  <c r="K112" i="2" s="1"/>
  <c r="H111" i="2"/>
  <c r="K111" i="2" s="1"/>
  <c r="H110" i="2"/>
  <c r="K110" i="2" s="1"/>
  <c r="H109" i="2"/>
  <c r="K109" i="2" s="1"/>
  <c r="H108" i="2"/>
  <c r="K108" i="2" s="1"/>
  <c r="H107" i="2"/>
  <c r="K107" i="2" s="1"/>
  <c r="H106" i="2"/>
  <c r="K106" i="2" s="1"/>
  <c r="H105" i="2"/>
  <c r="K105" i="2" s="1"/>
  <c r="H104" i="2"/>
  <c r="K104" i="2" s="1"/>
  <c r="H103" i="2"/>
  <c r="K103" i="2" s="1"/>
  <c r="H102" i="2"/>
  <c r="K102" i="2" s="1"/>
  <c r="H101" i="2"/>
  <c r="K101" i="2" s="1"/>
  <c r="H100" i="2"/>
  <c r="K100" i="2" s="1"/>
  <c r="H99" i="2"/>
  <c r="K99" i="2" s="1"/>
  <c r="H98" i="2"/>
  <c r="K98" i="2" s="1"/>
  <c r="H97" i="2"/>
  <c r="K97" i="2" s="1"/>
  <c r="H96" i="2"/>
  <c r="K96" i="2" s="1"/>
  <c r="H95" i="2"/>
  <c r="K95" i="2" s="1"/>
  <c r="H94" i="2"/>
  <c r="K94" i="2" s="1"/>
  <c r="H93" i="2"/>
  <c r="K93" i="2" s="1"/>
  <c r="H92" i="2"/>
  <c r="K92" i="2" s="1"/>
  <c r="H91" i="2"/>
  <c r="K91" i="2" s="1"/>
  <c r="H90" i="2"/>
  <c r="K90" i="2" s="1"/>
  <c r="H89" i="2"/>
  <c r="K89" i="2" s="1"/>
  <c r="H88" i="2"/>
  <c r="K88" i="2" s="1"/>
  <c r="H87" i="2"/>
  <c r="K87" i="2" s="1"/>
  <c r="H86" i="2"/>
  <c r="K86" i="2" s="1"/>
  <c r="H85" i="2"/>
  <c r="K85" i="2" s="1"/>
  <c r="H84" i="2"/>
  <c r="K84" i="2" s="1"/>
  <c r="H83" i="2"/>
  <c r="K83" i="2" s="1"/>
  <c r="H82" i="2"/>
  <c r="K82" i="2" s="1"/>
  <c r="H81" i="2"/>
  <c r="K81" i="2" s="1"/>
  <c r="H80" i="2"/>
  <c r="K80" i="2" s="1"/>
  <c r="H79" i="2"/>
  <c r="K79" i="2" s="1"/>
  <c r="H78" i="2"/>
  <c r="K78" i="2" s="1"/>
  <c r="H77" i="2"/>
  <c r="K77" i="2" s="1"/>
  <c r="H76" i="2"/>
  <c r="K76" i="2" s="1"/>
  <c r="H75" i="2"/>
  <c r="K75" i="2" s="1"/>
  <c r="H74" i="2"/>
  <c r="K74" i="2" s="1"/>
  <c r="H73" i="2"/>
  <c r="K73" i="2" s="1"/>
  <c r="H72" i="2"/>
  <c r="K72" i="2" s="1"/>
  <c r="H71" i="2"/>
  <c r="K71" i="2" s="1"/>
  <c r="H70" i="2"/>
  <c r="K70" i="2" s="1"/>
  <c r="H69" i="2"/>
  <c r="K69" i="2" s="1"/>
  <c r="H68" i="2"/>
  <c r="K68" i="2" s="1"/>
  <c r="H67" i="2"/>
  <c r="K67" i="2" s="1"/>
  <c r="H66" i="2"/>
  <c r="K66" i="2" s="1"/>
  <c r="H65" i="2"/>
  <c r="K65" i="2" s="1"/>
  <c r="H64" i="2"/>
  <c r="K64" i="2" s="1"/>
  <c r="H63" i="2"/>
  <c r="K63" i="2" s="1"/>
  <c r="H62" i="2"/>
  <c r="K62" i="2" s="1"/>
  <c r="H61" i="2"/>
  <c r="K61" i="2" s="1"/>
  <c r="H60" i="2"/>
  <c r="K60" i="2" s="1"/>
  <c r="H59" i="2"/>
  <c r="K59" i="2" s="1"/>
  <c r="H58" i="2"/>
  <c r="K58" i="2" s="1"/>
  <c r="H57" i="2"/>
  <c r="K57" i="2" s="1"/>
  <c r="H56" i="2"/>
  <c r="K56" i="2" s="1"/>
  <c r="H55" i="2"/>
  <c r="K55" i="2" s="1"/>
  <c r="H54" i="2"/>
  <c r="K54" i="2" s="1"/>
  <c r="H53" i="2"/>
  <c r="K53" i="2" s="1"/>
  <c r="H52" i="2"/>
  <c r="K52" i="2" s="1"/>
  <c r="H51" i="2"/>
  <c r="K51" i="2" s="1"/>
  <c r="H50" i="2"/>
  <c r="K50" i="2" s="1"/>
  <c r="H49" i="2"/>
  <c r="K49" i="2" s="1"/>
  <c r="H48" i="2"/>
  <c r="K48" i="2" s="1"/>
  <c r="H47" i="2"/>
  <c r="K47" i="2" s="1"/>
  <c r="H46" i="2"/>
  <c r="K46" i="2" s="1"/>
  <c r="H45" i="2"/>
  <c r="K45" i="2" s="1"/>
  <c r="H44" i="2"/>
  <c r="K44" i="2" s="1"/>
  <c r="H43" i="2"/>
  <c r="K43" i="2" s="1"/>
  <c r="H42" i="2"/>
  <c r="K42" i="2" s="1"/>
  <c r="H41" i="2"/>
  <c r="K41" i="2" s="1"/>
  <c r="H40" i="2"/>
  <c r="K40" i="2" s="1"/>
  <c r="H39" i="2"/>
  <c r="K39" i="2" s="1"/>
  <c r="H38" i="2"/>
  <c r="K38" i="2" s="1"/>
  <c r="H37" i="2"/>
  <c r="K37" i="2" s="1"/>
  <c r="H36" i="2"/>
  <c r="K36" i="2" s="1"/>
  <c r="H35" i="2"/>
  <c r="K35" i="2" s="1"/>
  <c r="H34" i="2"/>
  <c r="K34" i="2" s="1"/>
  <c r="H33" i="2"/>
  <c r="K33" i="2" s="1"/>
  <c r="H32" i="2"/>
  <c r="K32" i="2" s="1"/>
  <c r="H31" i="2"/>
  <c r="K31" i="2" s="1"/>
  <c r="H30" i="2"/>
  <c r="K30" i="2" s="1"/>
  <c r="H29" i="2"/>
  <c r="K29" i="2" s="1"/>
  <c r="H28" i="2"/>
  <c r="K28" i="2" s="1"/>
  <c r="H27" i="2"/>
  <c r="K27" i="2" s="1"/>
  <c r="H26" i="2"/>
  <c r="K26" i="2" s="1"/>
  <c r="H25" i="2"/>
  <c r="K25" i="2" s="1"/>
  <c r="H24" i="2"/>
  <c r="K24" i="2" s="1"/>
  <c r="H23" i="2"/>
  <c r="K23" i="2" s="1"/>
  <c r="H22" i="2"/>
  <c r="K22" i="2" s="1"/>
  <c r="H21" i="2"/>
  <c r="K21" i="2" s="1"/>
  <c r="H20" i="2"/>
  <c r="K20" i="2" s="1"/>
  <c r="H19" i="2"/>
  <c r="K19" i="2" s="1"/>
  <c r="H18" i="2"/>
  <c r="K18" i="2" s="1"/>
  <c r="H17" i="2"/>
  <c r="K17" i="2" s="1"/>
  <c r="H16" i="2"/>
  <c r="K16" i="2" s="1"/>
  <c r="H15" i="2"/>
  <c r="K15" i="2" s="1"/>
  <c r="H14" i="2"/>
  <c r="K14" i="2" s="1"/>
  <c r="H13" i="2"/>
  <c r="K13" i="2" s="1"/>
  <c r="H12" i="2"/>
  <c r="K12" i="2" s="1"/>
  <c r="H11" i="2"/>
  <c r="K11" i="2" s="1"/>
  <c r="H10" i="2"/>
  <c r="K10" i="2" s="1"/>
  <c r="H9" i="2"/>
  <c r="K9" i="2" s="1"/>
  <c r="H8" i="2"/>
  <c r="K8" i="2" s="1"/>
  <c r="H7" i="2"/>
  <c r="K7" i="2" s="1"/>
  <c r="H6" i="2"/>
  <c r="K6" i="2" s="1"/>
  <c r="H5" i="2"/>
  <c r="K5" i="2" s="1"/>
  <c r="H4" i="2"/>
  <c r="K4" i="2" s="1"/>
  <c r="H3" i="2"/>
  <c r="K3" i="2" s="1"/>
  <c r="H2" i="2"/>
  <c r="K2" i="2" s="1"/>
  <c r="Y42" i="1" l="1"/>
  <c r="Y28" i="1"/>
  <c r="Y41" i="1"/>
  <c r="Y27" i="1"/>
  <c r="Y15" i="1"/>
  <c r="Y26" i="1"/>
  <c r="Y14" i="1"/>
  <c r="Y40" i="1"/>
  <c r="Y25" i="1"/>
  <c r="Y13" i="1"/>
  <c r="Y39" i="1"/>
  <c r="Y12" i="1"/>
  <c r="Y38" i="1"/>
  <c r="Y11" i="1"/>
  <c r="Y2" i="1"/>
  <c r="Y37" i="1"/>
  <c r="Y24" i="1"/>
  <c r="Y10" i="1"/>
  <c r="Y51" i="1"/>
  <c r="Y36" i="1"/>
  <c r="Y23" i="1"/>
  <c r="Y9" i="1"/>
  <c r="Y50" i="1"/>
  <c r="Y35" i="1"/>
  <c r="Y22" i="1"/>
  <c r="Y8" i="1"/>
  <c r="Y49" i="1"/>
  <c r="Y7" i="1"/>
  <c r="Y48" i="1"/>
  <c r="Y34" i="1"/>
  <c r="Y21" i="1"/>
  <c r="Y6" i="1"/>
  <c r="Y47" i="1"/>
  <c r="Y33" i="1"/>
  <c r="Y20" i="1"/>
  <c r="Y5" i="1"/>
  <c r="Y46" i="1"/>
  <c r="Y32" i="1"/>
  <c r="Y19" i="1"/>
  <c r="Y45" i="1"/>
  <c r="Y31" i="1"/>
  <c r="Y18" i="1"/>
  <c r="Y44" i="1"/>
  <c r="Y30" i="1"/>
  <c r="Y17" i="1"/>
  <c r="Y4" i="1"/>
  <c r="Y43" i="1"/>
  <c r="Y29" i="1"/>
  <c r="Y16" i="1"/>
  <c r="Y3" i="1"/>
  <c r="K18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Darlon Barbosa</author>
  </authors>
  <commentList>
    <comment ref="B2" authorId="0" shapeId="0" xr:uid="{B9B7D42A-D832-43E4-B505-E4928A9AE9E1}">
      <text>
        <r>
          <rPr>
            <b/>
            <sz val="9"/>
            <color indexed="81"/>
            <rFont val="Segoe UI"/>
            <family val="2"/>
          </rPr>
          <t>EXCLUSIVO NQ</t>
        </r>
      </text>
    </comment>
    <comment ref="B73" authorId="0" shapeId="0" xr:uid="{54619443-0AA5-4C7E-BFF4-70FC9B07DBCB}">
      <text>
        <r>
          <rPr>
            <b/>
            <sz val="9"/>
            <color indexed="81"/>
            <rFont val="Segoe UI"/>
            <family val="2"/>
          </rPr>
          <t>EXCLUSIVO NQ</t>
        </r>
      </text>
    </comment>
    <comment ref="B108" authorId="0" shapeId="0" xr:uid="{820358CD-0B22-49CF-BEE2-071E4AEE6751}">
      <text>
        <r>
          <rPr>
            <b/>
            <sz val="9"/>
            <color indexed="81"/>
            <rFont val="Segoe UI"/>
            <family val="2"/>
          </rPr>
          <t>EXCLUSIVO NQ</t>
        </r>
      </text>
    </comment>
    <comment ref="B141" authorId="0" shapeId="0" xr:uid="{53871F26-6116-4518-84CB-8C77407F7AD8}">
      <text>
        <r>
          <rPr>
            <b/>
            <sz val="9"/>
            <color indexed="81"/>
            <rFont val="Segoe UI"/>
            <family val="2"/>
          </rPr>
          <t>EXCLUSIVO NQ</t>
        </r>
      </text>
    </comment>
    <comment ref="B172" authorId="0" shapeId="0" xr:uid="{B37E4C00-1E6C-4095-896C-32AD4EEF24C1}">
      <text>
        <r>
          <rPr>
            <b/>
            <sz val="9"/>
            <color indexed="81"/>
            <rFont val="Segoe UI"/>
            <family val="2"/>
          </rPr>
          <t>EXCLUSIVO NQ</t>
        </r>
      </text>
    </comment>
  </commentList>
</comments>
</file>

<file path=xl/sharedStrings.xml><?xml version="1.0" encoding="utf-8"?>
<sst xmlns="http://schemas.openxmlformats.org/spreadsheetml/2006/main" count="1098" uniqueCount="421">
  <si>
    <t>CODIGO</t>
  </si>
  <si>
    <t>COD.BARRAS</t>
  </si>
  <si>
    <t>DESCRICAO</t>
  </si>
  <si>
    <t>UND</t>
  </si>
  <si>
    <t>CT</t>
  </si>
  <si>
    <t>EST.DIS</t>
  </si>
  <si>
    <t>ACEBROFILINA 25 MG INF XPE 120 ML</t>
  </si>
  <si>
    <t>CX</t>
  </si>
  <si>
    <t>GP</t>
  </si>
  <si>
    <t>ACEBROFILINA 50 MG ADT XPE 120 ML</t>
  </si>
  <si>
    <t>ACECLOFENACO 100 MG C/12 CPR</t>
  </si>
  <si>
    <t>ACICLOVIR 200 MG C/30 CPR</t>
  </si>
  <si>
    <t>UN</t>
  </si>
  <si>
    <t>ACICLOVIR CREME 10G</t>
  </si>
  <si>
    <t>ACIDO FUSIDICO + VAL BETAMETASONA 15G</t>
  </si>
  <si>
    <t>ALBENDAZOL 40 MG SUSP 10 ML</t>
  </si>
  <si>
    <t>ALENDRONATO ** 70 MG C/4</t>
  </si>
  <si>
    <t>ALPRAZOLAM (B1) 0,5 MG C/30 CPR</t>
  </si>
  <si>
    <t>ALPRAZOLAM (B1) 1 MG C/30 CPR</t>
  </si>
  <si>
    <t>ALPRAZOLAM (B1) 2 MG C/30 CPR</t>
  </si>
  <si>
    <t>AMOXICILINA 500 MG C/15 CAPS</t>
  </si>
  <si>
    <t>AMOXICILINA 500MG C/21 CAPS</t>
  </si>
  <si>
    <t>AMOXICILINA 875 MG C/14 CPR</t>
  </si>
  <si>
    <t>AMPICILINA 500MG C/10 CAPS (MULTILAB)</t>
  </si>
  <si>
    <t>ANLODIPINO 10 MG C/30 CPR</t>
  </si>
  <si>
    <t>ANLODIPINO 5 MG C/30 CPR</t>
  </si>
  <si>
    <t>ARIPIPRAZOL (C1) 10 MG C/30 CPR.</t>
  </si>
  <si>
    <t>ARIPIPRAZOL (C1) 15 MG C/30 CPR</t>
  </si>
  <si>
    <t>ATORVASTATINA 10 MG C/30 CPR</t>
  </si>
  <si>
    <t>ATORVASTATINA 20 MG C/30 CPR</t>
  </si>
  <si>
    <t>ATORVASTATINA 40 MG C/30 CPR</t>
  </si>
  <si>
    <t>AZITROMICINA 500 MG C/3 CPR</t>
  </si>
  <si>
    <t>BISOPROLOL 2,5MG  C/30 CPR</t>
  </si>
  <si>
    <t>BISOPROLOL 5 MG C/ 30 CPR</t>
  </si>
  <si>
    <t>BROMOPRIDA 4 MG/ML 20 ML</t>
  </si>
  <si>
    <t>BUPROPIONA (C1) 150 MG C/30 CPR LIB. PROL</t>
  </si>
  <si>
    <t>BUPROPIONA (C1) 150 MG C/60 CPR</t>
  </si>
  <si>
    <t>BUPROPIONA (C1) 300 MG C/30 CPR</t>
  </si>
  <si>
    <t>CABERGOLINA 0,5 MG C/2 CPR</t>
  </si>
  <si>
    <t>CABERGOLINA 0,5 MG C/8 CPR</t>
  </si>
  <si>
    <t>CAPTOPRIL 25 MG C/30 CPR</t>
  </si>
  <si>
    <t>CARVEDILOL 12,5 MG C/30 CPR</t>
  </si>
  <si>
    <t>CARVEDILOL 25 MG C/30 CPR</t>
  </si>
  <si>
    <t>CARVEDILOL 3,125 MG C/30 CPR</t>
  </si>
  <si>
    <t>CARVEDILOL 6,25 MG C/30 CPR</t>
  </si>
  <si>
    <t>CEFALEXINA 500 MG C/10 CPR</t>
  </si>
  <si>
    <t>CETOCONAZOL+BETAM CREME 30G</t>
  </si>
  <si>
    <t>CETOCONAZOL+BETAM+NEOM CREME 30G</t>
  </si>
  <si>
    <t>GN</t>
  </si>
  <si>
    <t>CICLOBENZAPRINA 10 MG C/15 CPR</t>
  </si>
  <si>
    <t>CICLOBENZAPRINA 10 MG C/30 CPR</t>
  </si>
  <si>
    <t>CICLOBENZAPRINA 5 MG C/15 CPR</t>
  </si>
  <si>
    <t>CICLOBENZAPRINA 5 MG C/30 CPR</t>
  </si>
  <si>
    <t>CIPROFLOXACINO 500 MG C/14 CPR</t>
  </si>
  <si>
    <t>CITALOPRAM (C1) 20 MG C/30 CPR</t>
  </si>
  <si>
    <t>CLOBETASOL CREME 30G</t>
  </si>
  <si>
    <t>CLOBETASOL POMADA 30G</t>
  </si>
  <si>
    <t>CLONAZEPAM (B1) 2 MG C/30 CPR</t>
  </si>
  <si>
    <t>CLOPIDOGREL 75 MG C/28 CPR</t>
  </si>
  <si>
    <t>CODEINA  (C1)  30 MG C/30 CPR</t>
  </si>
  <si>
    <t>COLCHICINA 0,5 MG C/30 CPR</t>
  </si>
  <si>
    <t>DAPAGLIFLOZINA 10MG C/30 CPR REV</t>
  </si>
  <si>
    <t>DEFLAZACORTE 30 MG C/10 CPR</t>
  </si>
  <si>
    <t>DEFLAZACORTE 6 MG C/20 CPR</t>
  </si>
  <si>
    <t>DESLORATADINA 0,5 MG XPE 100 ML</t>
  </si>
  <si>
    <t>DESLORATADINA 0,5 MG XPE 60 ML</t>
  </si>
  <si>
    <t>DESLORATADINA 5 MG C/10 CPR</t>
  </si>
  <si>
    <t>DESLORATADINA 5 MG C/30 CPR</t>
  </si>
  <si>
    <t>DEXAMETASONA .1MG/G CR DERM 10G</t>
  </si>
  <si>
    <t>DEXCLORF+BETAM C/20 CPR</t>
  </si>
  <si>
    <t>DICLOF SODICO 100 MG C/ 10 CPR</t>
  </si>
  <si>
    <t>DILTIAZEM 30 MG C/50 CPR</t>
  </si>
  <si>
    <t>DILTIAZEM 60 MG C/50 CPR</t>
  </si>
  <si>
    <t>DIPIRONA 500 MG C/240 CPR (24X10)</t>
  </si>
  <si>
    <t>DIPIRONA 500 MG GOTAS 20 ML</t>
  </si>
  <si>
    <t>DIPIRONA MONOIDRATADA 500G C/30 CPR</t>
  </si>
  <si>
    <t>DOMPERIDONA 10 MG C/30 CPR</t>
  </si>
  <si>
    <t>DOMPERIDONA 10 MG C/60 CPR</t>
  </si>
  <si>
    <t>DONEPEZILA (C1)  10 MG C/30 CPR REV</t>
  </si>
  <si>
    <t>DONEPEZILA (C1)  5MG C/30 CPR REV</t>
  </si>
  <si>
    <t>DORZOLAMIDA 2% SOL OFT 5 ML</t>
  </si>
  <si>
    <t>DORZOLAMIDA+TIMOLOL SOL OFT 5 ML</t>
  </si>
  <si>
    <t>DROSPIRENONA+ETINIL 3+0,02 MG C/24 CPR</t>
  </si>
  <si>
    <t>DROSPIRENONA+ETINIL 3+0,02 MG C/72 CPR</t>
  </si>
  <si>
    <t>DROSPIRENONA+ETINIL 3+0,03 MG C/21 CPR</t>
  </si>
  <si>
    <t>DROSPIRENONA+ETINIL 3+0,03 MG C/63 CPR</t>
  </si>
  <si>
    <t>DULOXETINA (C1) 30 MG C/30 CAPS</t>
  </si>
  <si>
    <t>DULOXETINA (C1) 60 MG C/30 CAPS</t>
  </si>
  <si>
    <t>ENALAPRIL 10 MG C/ 30 CPR</t>
  </si>
  <si>
    <t>ENALAPRIL 20 MG C/30 CPR</t>
  </si>
  <si>
    <t>ESCITALOPRAM (C1) 15MG C/30 CPR</t>
  </si>
  <si>
    <t>ESCITALOPRAM (C1)20 MG C/30 CPR</t>
  </si>
  <si>
    <t>ESCITALOPRAM(C1) 10 MG C/30 CPR</t>
  </si>
  <si>
    <t>ESOMEPRAZOL MAG 40 MG C/28 CPR</t>
  </si>
  <si>
    <t>EZETIMIBA 10 MG C/30 CPR</t>
  </si>
  <si>
    <t>EZETIMIBA 10 MG C/60 CPR</t>
  </si>
  <si>
    <t>FENOFIBRATO 200MG C/30 CPR</t>
  </si>
  <si>
    <t>FEXOFENADINA 120 MG C/10 CPR</t>
  </si>
  <si>
    <t>FEXOFENADINA 180 MG C/10 CPR</t>
  </si>
  <si>
    <t>FEXOFENADINA 6MG/ML SUS OR 150ML</t>
  </si>
  <si>
    <t>FEXOFENADINA 6MG/ML SUS OR 60ML</t>
  </si>
  <si>
    <t>FINASTERIDA 1 MG C/30 CPR</t>
  </si>
  <si>
    <t>FINASTERIDA 5 MG C/30 CPR</t>
  </si>
  <si>
    <t>FINASTERIDA 5 MG C/60 CPR</t>
  </si>
  <si>
    <t>GALANTAMINA (C1) 16MG C/ 28 CPR</t>
  </si>
  <si>
    <t>FM</t>
  </si>
  <si>
    <t>GALANTAMINA (C1) 8MG C/ 28 CPR</t>
  </si>
  <si>
    <t>GLIBENCLAMIDA 5 MG C/30 CPR</t>
  </si>
  <si>
    <t>GLICOSAMINA 1,5 MG PO C/30 SCH</t>
  </si>
  <si>
    <t>HIDROXIZINA 25 MG C/30 CPR</t>
  </si>
  <si>
    <t>IBUPROFENO 100 MG GOTAS 20 ML</t>
  </si>
  <si>
    <t>IPRATROPIO 20 ML</t>
  </si>
  <si>
    <t>ISOTRETINOINA (C2) 10 MG C/ 30 CPR</t>
  </si>
  <si>
    <t>ISOTRETINOINA (C2) 20 MG C/30 CPR</t>
  </si>
  <si>
    <t>LANSOPRAZOL 30 MG C/28 CPR</t>
  </si>
  <si>
    <t>LERCANIDIPINO 10 MG C/30 CPR</t>
  </si>
  <si>
    <t>LISDEXANFETAMINA (A3) 30MG C/30 CAPS</t>
  </si>
  <si>
    <t>LISDEXANFETAMINA (A3) 50MG C/30 CAPS</t>
  </si>
  <si>
    <t>LISDEXANFETAMINA (A3) 70MG 30 CAPS</t>
  </si>
  <si>
    <t>LOSARTANA 50 MG C/30 CPR</t>
  </si>
  <si>
    <t>MELOXICAM 15 MG C/10 CPR</t>
  </si>
  <si>
    <t>MELOXICAM 7,5 MG C/10 CPR</t>
  </si>
  <si>
    <t>MEMANTINA (C1) 10 MG C/30 CPR</t>
  </si>
  <si>
    <t>MEMANTINA (C1) 10 MG C/60 CPR</t>
  </si>
  <si>
    <t>METILFENIDATO (A3) 10MG C/30 CPR</t>
  </si>
  <si>
    <t>METILFENIDATO (A3) 10MG C/60 CPR</t>
  </si>
  <si>
    <t>METRONIDAZOL GEL VAG 50G C/10 APLIC</t>
  </si>
  <si>
    <t>MIRTAZAPINA (C1) 15 MG C/30 CPR ORODISP</t>
  </si>
  <si>
    <t>MIRTAZAPINA (C1) 30 MG C/30 CPR</t>
  </si>
  <si>
    <t>NARATRIPTANA 2,5 MG C/04 CPR</t>
  </si>
  <si>
    <t>NARATRIPTANA 2,5 MG C/08 CPR</t>
  </si>
  <si>
    <t>NARATRIPTANA 2,5 MG C/10 CPR</t>
  </si>
  <si>
    <t>NARATRIPTANA 2,5 MG C/20 CPR</t>
  </si>
  <si>
    <t>NIMESULIDA 100 MG C/12 CPR</t>
  </si>
  <si>
    <t>NISTATINA+OX ZINCO POM 60G</t>
  </si>
  <si>
    <t>OLANZAPINA (C1) 10 MG C/30 CPR</t>
  </si>
  <si>
    <t>OLANZAPINA (C1) 2,5 MG C/30 CPR</t>
  </si>
  <si>
    <t>OLANZAPINA (C1) 5 MG C/30 CPR</t>
  </si>
  <si>
    <t>OMEPRAZOL 20 MG C/28 CAPS</t>
  </si>
  <si>
    <t>OMEPRAZOL 40 MG C/30 CAPS LIB.RETARD</t>
  </si>
  <si>
    <t>OMEPRAZOL** 20 MG C/56 CAPS</t>
  </si>
  <si>
    <t>ONDANSETRONA  4MG C/10 CPR</t>
  </si>
  <si>
    <t>ONDANSETRONA 8MG C/10 CPR</t>
  </si>
  <si>
    <t>PANTOPRAZOL 20 MG C/28 CPR</t>
  </si>
  <si>
    <t>PANTOPRAZOL 40 MG C/28 CPR</t>
  </si>
  <si>
    <t>PARACETAMOL 750 MG C/20 CPR</t>
  </si>
  <si>
    <t>PARACETAMOL GOTAS 15 ML</t>
  </si>
  <si>
    <t>PARACETAMOL+COD ( A2 ) 500MG C/ 12 CPR</t>
  </si>
  <si>
    <t>PARACETAMOL+COD (C1) 500 MG+30 MG C/24 CPR</t>
  </si>
  <si>
    <t>PARACETAMOL+COD (C1) 500 MG+30 MG C/36 CPR</t>
  </si>
  <si>
    <t>PAROXETINA (C1) 20 MG C/30 CPR</t>
  </si>
  <si>
    <t>PIOGLITAZONA 30 MG C/15 CPR</t>
  </si>
  <si>
    <t>PIOGLITAZONA 30 MG C/30 CPR</t>
  </si>
  <si>
    <t>PREDNISONA 20 MG C/10 CPR</t>
  </si>
  <si>
    <t>PREDNISONA 5 MG C/20 CPR</t>
  </si>
  <si>
    <t>PREGABALINA (C1) 150MG C/30 CAPS</t>
  </si>
  <si>
    <t>PREGABALINA (C1) 75 MG C/30 CAPS</t>
  </si>
  <si>
    <t>QUETIAPINA (C1) 100 MG C/ 30 CPR</t>
  </si>
  <si>
    <t>QUETIAPINA (C1) 200 MG C/ 30 CPR</t>
  </si>
  <si>
    <t>QUETIAPINA (C1) 25 MG C/30 CPR</t>
  </si>
  <si>
    <t>RISEDRONATO 35 MG C/4 CPR</t>
  </si>
  <si>
    <t>RISPERIDONA (C1) 1 MG/ML GTS 30ML</t>
  </si>
  <si>
    <t>ROSUVASTATINA CAL 10 MG C/30 CPR</t>
  </si>
  <si>
    <t>ROSUVASTATINA CAL 20 MG C/30 CPR</t>
  </si>
  <si>
    <t>SECNIDAZOL 1000 MG C/2 CPR</t>
  </si>
  <si>
    <t>SERTRALINA (C1) 50 MG C/30 CPR</t>
  </si>
  <si>
    <t>SIBUTRAMINA ** (B2) 15 MG C/30 CAPS</t>
  </si>
  <si>
    <t>SIMETICONA 125 MG C/10 CAPS</t>
  </si>
  <si>
    <t>SIMETICONA 40 MG C/20 CAPS</t>
  </si>
  <si>
    <t>SIMETICONA 75 MG GOTAS 15 ML</t>
  </si>
  <si>
    <t>SINVASTATINA 20MG C/30 CPR</t>
  </si>
  <si>
    <t>SINVASTATINA 40MG C/30 CPR</t>
  </si>
  <si>
    <t>SOLIFENACINA 10MG C/30 CPR</t>
  </si>
  <si>
    <t>SOLIFENACINA 5MG C/30 CPR</t>
  </si>
  <si>
    <t>TADALAFILA 20 MG C/ 4 CPR</t>
  </si>
  <si>
    <t>TADALAFILA 20 MG C/2 CPR</t>
  </si>
  <si>
    <t>TADALAFILA 5 MG C/30 CPR</t>
  </si>
  <si>
    <t>TIBOLONA 2,5 MG C/30 CPR</t>
  </si>
  <si>
    <t>TOBRAMICINA 3 MG SOL OFT 5 ML</t>
  </si>
  <si>
    <t>TOPIRAMATO (C1) 100 MG C/ 60 CPR</t>
  </si>
  <si>
    <t>TOPIRAMATO (C1) 25 MG C/ 60 CPR</t>
  </si>
  <si>
    <t>TOPIRAMATO (C1) 50 MG C/ 60 CPR</t>
  </si>
  <si>
    <t>TRAMADOL (C1) 50 MG C/10 CAPS</t>
  </si>
  <si>
    <t>TRAVOPROSTA  0,04 MG 2,5 ML</t>
  </si>
  <si>
    <t>TRAZODONA (C1) 100 MG C/30 CPR</t>
  </si>
  <si>
    <t>TRAZODONA (C1) 50 MG C/60 CPR</t>
  </si>
  <si>
    <t>TROMETAMOL CETOROLACO 10MG C/10 CPR SUBL</t>
  </si>
  <si>
    <t>TROMETAMOL CETOROLACO 10MG C/20 CPR SUBL</t>
  </si>
  <si>
    <t>VAL BETA+GENTA+TOLNAF+CLIOQ POM 20G</t>
  </si>
  <si>
    <t>VALSARTANA 160 MG C/30 CPR</t>
  </si>
  <si>
    <t>VALSARTANA 320 MG C/30 CPR</t>
  </si>
  <si>
    <t>VENLAFAXINA (C1) 150 MG C/30 CAPS</t>
  </si>
  <si>
    <t>VENLAFAXINA (C1) 37,5 MG C/30 CAPS</t>
  </si>
  <si>
    <t>VENLAFAXINA (C1) 75MG 30 CAPS</t>
  </si>
  <si>
    <t>VERAPAMIL 80 MG C/30 CPR</t>
  </si>
  <si>
    <t>ZOLPIDEM (B1) 5 MG C/30 CPR SUBL</t>
  </si>
  <si>
    <t>ZOLPIDEM (C1) 10 MG C/20 CPR</t>
  </si>
  <si>
    <t>ZOLPIDEM (C1) 10 MG C/30 CPR</t>
  </si>
  <si>
    <t>DESCRIÇÃO DO PRODUTO</t>
  </si>
  <si>
    <t>COD</t>
  </si>
  <si>
    <t>EAN</t>
  </si>
  <si>
    <t>CX Emb.</t>
  </si>
  <si>
    <t>PF 20% (CE)</t>
  </si>
  <si>
    <t>REPASSE MAR</t>
  </si>
  <si>
    <t>Desc. JUN</t>
  </si>
  <si>
    <t>Preço JUN</t>
  </si>
  <si>
    <t>GRUPO
FOCO</t>
  </si>
  <si>
    <t>QTD PEDIDO</t>
  </si>
  <si>
    <t>Valor do Pedido R$</t>
  </si>
  <si>
    <t>Estoque NQ 06.03</t>
  </si>
  <si>
    <t>Forecast NQ 06.03</t>
  </si>
  <si>
    <t>PMC 20%</t>
  </si>
  <si>
    <t>AC.FUSIDICO+VAL.BETAMET.CR DERM15G-NQ</t>
  </si>
  <si>
    <t>ACEBROFILINA 25MG/5ML XPE C/120ML-NQ</t>
  </si>
  <si>
    <t>ACEBROFILINA 50MG/5ML XPE C/120ML-NQ</t>
  </si>
  <si>
    <t>ACECLOFENACO 100MG 2BL C/ 6COM REV-NQ</t>
  </si>
  <si>
    <t>ACETATO DE DEXAMET. 1MG/G CR DERM 10G-NQ</t>
  </si>
  <si>
    <t>ACICLOVIR 200MG 3BLT 10 COM - NQ</t>
  </si>
  <si>
    <t>ACICLOVIR CREME 50MG/G BISN 10G-NQ</t>
  </si>
  <si>
    <t>ALBENDAZOL 40MG/ML S.ORAL FR 10ML-NQ</t>
  </si>
  <si>
    <t>ALENDRONATO DE SODIO 70MG C/4COM-NQ</t>
  </si>
  <si>
    <t>ALPRAZOLAM (B1)0,5MG 2BLTX15COMP-NQ</t>
  </si>
  <si>
    <t>MIX FOCO</t>
  </si>
  <si>
    <t>ALPRAZOLAM (B1)1MG 2BLTX15COMP-NQ</t>
  </si>
  <si>
    <t>ALPRAZOLAM (B1)2MG 3BLTX10COMP-NQ</t>
  </si>
  <si>
    <t>AMOXICILINA 500MG 1BLT C/15 CAP DURA</t>
  </si>
  <si>
    <t>AMOXICILINA 500MG 1BLT C/21 CAP DURA</t>
  </si>
  <si>
    <t>AMOXICILINA 875MG 2BLTX7COMP REV - NQ</t>
  </si>
  <si>
    <t>AMPICILINA 500MG 10 CAP DURA-NQ</t>
  </si>
  <si>
    <t>ARIPIPRAZOL 10MG C/30</t>
  </si>
  <si>
    <t>ARIPIPRAZOL 15MG C/30</t>
  </si>
  <si>
    <t>ATORVASTATINA CALCICA10MG3BLT C/10C.R.NQ</t>
  </si>
  <si>
    <t>ATORVASTATINA CALCICA20MG3BLT C/10C.R.NQ</t>
  </si>
  <si>
    <t>ATORVASTATINA CALCICA40MG3BLT C/10C.R.NQ</t>
  </si>
  <si>
    <t>AZITROMICINA 500MG BLT C/3COMP REV-NQ</t>
  </si>
  <si>
    <t>BESILATO DE ANLODIPINO10MG 3BLTC/10COMNQ</t>
  </si>
  <si>
    <t>BESILATO DE ANLODIPINO5MG 3BLT C10COM-NQ</t>
  </si>
  <si>
    <t>BISSULFATO CLOPIDOGREL75MG 4BLX7C.REV-NQ</t>
  </si>
  <si>
    <t>BISOPROLOL 2,5MG X 30</t>
  </si>
  <si>
    <t>LANÇAMENTOS</t>
  </si>
  <si>
    <t>BISOPROLOL 5MG X 30</t>
  </si>
  <si>
    <t>BROM.IPRATROPIO0,25MG/MLSOL.INA20ML-NQ</t>
  </si>
  <si>
    <t>BROMID.CITALOPRAM(C1)20MG2BX15COM.REV.NQ</t>
  </si>
  <si>
    <t>BROMID.GALANTAMINA(C1)16MG 4BLT7 CDLP-NQ</t>
  </si>
  <si>
    <t>BROMID.GALANTAMINA(C1)8MG4 BLT 7CDLP-NQ</t>
  </si>
  <si>
    <t>BROMOPRIDA 4MG/ML SOL.ORAL 20ML-NQ</t>
  </si>
  <si>
    <t>CABERGOLINA 0,5 MG C/2 COM - NQ</t>
  </si>
  <si>
    <t>CABERGOLINA 0,5 MG C/8 COM - NQ</t>
  </si>
  <si>
    <t>CAPTOPRIL25 MG COM 30cpr</t>
  </si>
  <si>
    <t>CARVEDILOL 12,5MG 2BLTx15 COM - NQ</t>
  </si>
  <si>
    <t>CARVEDILOL 25MG 2BLTX15 COM - NQ</t>
  </si>
  <si>
    <t>CARVEDILOL 3,125MG 2BLTx15 COM - NQ</t>
  </si>
  <si>
    <t>CARVEDILOL 6,25MG 2BLTx15 COM - NQ</t>
  </si>
  <si>
    <t>CEFALEXINA 500MG 1BLT C/10 COM REV -MULT</t>
  </si>
  <si>
    <t>CETOC.+DIPROP.BETA.CREME BG 30G-NQ</t>
  </si>
  <si>
    <t>CETOCONAZOL+BETA+SULF.NEO.CR 30G-NQ</t>
  </si>
  <si>
    <t>CODEINA 30MG 2BLX15COM</t>
  </si>
  <si>
    <t>CLONAZEPAM 2MG (B1) 3BLTX10 COMP-NQ</t>
  </si>
  <si>
    <t>CLOR.BUPROPIONA 150MG3BLX10C.R.LIB.PROL-NQ</t>
  </si>
  <si>
    <t>CLOR.BUPROPIONA 150MG6BLX10C.R.LIB.PROL-NQ</t>
  </si>
  <si>
    <t>CLOR.BUPROPIONA 300MG C/ 30 COM - NQ</t>
  </si>
  <si>
    <t>CLOR.CICLOBENZAPRINA 10MG1BLX15C.R.NQ</t>
  </si>
  <si>
    <t>CLOR.CICLOBENZAPRINA 5MG 1BLX15C.REV-NQ</t>
  </si>
  <si>
    <t>CLOR.CICLOBENZAPRINA 5MG 2BLX15C.REV-NQ</t>
  </si>
  <si>
    <t>CLOR.CICLOBENZAPRINA10MG2BLX15C.R.-NQ</t>
  </si>
  <si>
    <t>CLOR.CIPROFLOXACINO 500MG 2BLX7COMP.REV</t>
  </si>
  <si>
    <t>CLOR.DILTIAZEM 30MG 2BLTX25COMP-NQ</t>
  </si>
  <si>
    <t>CLOR.DILTIAZEM 60MG 2BLTX25COMP-NQ</t>
  </si>
  <si>
    <t>CLOR.DONEPEZILA 10MG 2BL15 COM REV-NQ</t>
  </si>
  <si>
    <t>CLOR.DONEPEZILA 5MG 2BL15 COM REV-NQ</t>
  </si>
  <si>
    <t>CLOR.DORZOLAMIDA 20MG/ML 5ML SOL OFT-NQ</t>
  </si>
  <si>
    <t>CLOR.DORZOLAMIDA+MAL.TIMOLOL OFT 5ML-NQ</t>
  </si>
  <si>
    <t>CLOR.DULOXETINA(C1) 30MG 2BLTX15CAPS-NQ</t>
  </si>
  <si>
    <t>CLOR.DULOXETINA(C1) 60MG 3BLX10 CAPS-N</t>
  </si>
  <si>
    <t>CLOR.FEXOFENADINA 120MG CT C/BLX10CPR-NQ</t>
  </si>
  <si>
    <t>CLOR.FEXOFENADINA 180MG CT C/BLX10CPR-NQ</t>
  </si>
  <si>
    <t>CLOR. FEXOFENADINA 6 MG/150 ML X 1</t>
  </si>
  <si>
    <t>84,54 </t>
  </si>
  <si>
    <t>CLOR. FEXOFENADINA 6 MG/60 ML X 1</t>
  </si>
  <si>
    <t>CLOR.LERCANIDIPINO10MG 3BLT10 COM REV-NQ</t>
  </si>
  <si>
    <t>CLOR.MEMANTINA 10MG 30CPR - NQ</t>
  </si>
  <si>
    <t>CLOR.MEMANTINA 10MG 60CPR - NQ</t>
  </si>
  <si>
    <t>CLOR.NARATRIPTANA 2,5 MG C8 COM REV-NQ</t>
  </si>
  <si>
    <t>CLOR.NARATRIPTANA 2,5 MG C4 COM REV-NQ</t>
  </si>
  <si>
    <t>CLOR.PAROXETINA(C1)20MG 2BLX15COM REV-NQ</t>
  </si>
  <si>
    <t>CLOR.PIOGLITAZONA 30MG C/15 COM-NQ</t>
  </si>
  <si>
    <t>CLOR.PIOGLITAZONA 30MG C/30 COM-NQ</t>
  </si>
  <si>
    <t>CLOR.SERTRALINA(C1)50MG3BLX10C.REV-NQ</t>
  </si>
  <si>
    <t>CLOR.SIBUTRAMINA (B2)15MG 3BLTX10CAP-NQ</t>
  </si>
  <si>
    <t>CLOR.TRAMADOL 50MG(A2)1BLTX10 CAPS-NQ</t>
  </si>
  <si>
    <t>CLOR.TRAZODONA(C1) 50MG4BLT15 COM REV-NQ</t>
  </si>
  <si>
    <t>CLOR.TRAZODONA(C1)100MG2BLT15 COM REV-NQ</t>
  </si>
  <si>
    <t>CLOR.VENLAFAXINA(C1) 150MG 30CAP.LIB.L-NQ</t>
  </si>
  <si>
    <t>CLOR.VENLAFAXINA(C1)37,5MG 30CAP.LIB.L-NQ</t>
  </si>
  <si>
    <t>CLOR.VENLAFAXINA(C1)75MG 30CAP.LIB.L-NQ</t>
  </si>
  <si>
    <t>CLOR.VERAPAMIL 80MG 3BLTx10 COMP REV-NQ</t>
  </si>
  <si>
    <t>COLCHICINA 0,5MG 30CPRS GEN</t>
  </si>
  <si>
    <t>DEFLAZACORTE 30MG 1BLTX10 COMP-NQ</t>
  </si>
  <si>
    <t>DEFLAZACORTE 6MG 2BLTX10 COMP-NQ</t>
  </si>
  <si>
    <t>DESLORATADINA 5MG 1BLX30 COM REV-NQ</t>
  </si>
  <si>
    <t>DESLORATADINA 5MG C/10 COMP REV-NQ</t>
  </si>
  <si>
    <t>DESLORATADINA XPE 0,5MG/ML 100ML-NQ</t>
  </si>
  <si>
    <t>DESLORATADINA XPE 0,5MG/ML 60ML-NQ</t>
  </si>
  <si>
    <t>DICLOF.SOD100MGBLT X 10COM REV LIB PROL-NQ</t>
  </si>
  <si>
    <t>DICLORIDRATO HIDROXIZINA25MG C/30COMP-NQ</t>
  </si>
  <si>
    <t>DIPIRONA MONOIDRATADA-500 MGx30 COM-NQ</t>
  </si>
  <si>
    <t>DIPIRONA MON.500MG 24BLT C/10 COM-NQ</t>
  </si>
  <si>
    <t>DIPIRONA MON.500MG/ML GTS FR 20ML-NQ</t>
  </si>
  <si>
    <t>DOMPERIDONA 10MG 2BLT C/15 COM-NQ</t>
  </si>
  <si>
    <t>DOMPERIDONA 10MG 4BLT C/15 COM-NQ</t>
  </si>
  <si>
    <t>DROSP.+ETINIL.3MG+0,03MG 3BLTX21C.R.-NQ</t>
  </si>
  <si>
    <t>DROSP.+ETINILESTR.3MG+0,02MG C/24C.R.-NQ</t>
  </si>
  <si>
    <t>DROSP.+ETINILESTR.3MG+0,03MG C/21C.R.-NQ</t>
  </si>
  <si>
    <t>DROSP+ETINILESTR.3MG+0,02MG 3BLT24C.R-NQ</t>
  </si>
  <si>
    <t>EZETIMIBA 10 MG X 30 COM NQ</t>
  </si>
  <si>
    <t>EZETIMIBA 10 MG X 60 COM NQ</t>
  </si>
  <si>
    <t>ESOMEPRAZOL MAG. 20MG 4BLTX7COM REV - NQ</t>
  </si>
  <si>
    <t>ESOMEPRAZOL MAG. 40MG 4BLTX7COM REV - NQ</t>
  </si>
  <si>
    <t>FENOFIBRATO 200MG 2BLTX15CAPS - NQ</t>
  </si>
  <si>
    <t>FINASTERIDA 1MG 2BLTX15 COMP REV-NQ</t>
  </si>
  <si>
    <t>FINASTERIDA 5MG 2BLTX15COMP REV-NQ</t>
  </si>
  <si>
    <t>FINASTERIDA 5MG 4BLTX15COMP REV-NQ</t>
  </si>
  <si>
    <t>GLIBENCLAMIDA 5MG 2BLTX15 COMP-NQ</t>
  </si>
  <si>
    <t>HEMIT. ZOLPIDEM (B1)5MG C/30 COM SUBL</t>
  </si>
  <si>
    <t>HEM. ZOLPIDEM(B1)10MG 2BLX10COM REV-NQ</t>
  </si>
  <si>
    <t>HEM. ZOLPIDEM(B1)10MG2 BLT15COM REV-NQ</t>
  </si>
  <si>
    <t>HEMI. DE QUETIAPINA(C1)25MG2BLX15C.R.-NQ</t>
  </si>
  <si>
    <t>HEMIF.DE QUETIAPINA(C1)100MG3BLX10C.R.NQ</t>
  </si>
  <si>
    <t>HEMIF.DE QUETIAPINA(C1)200MG3BLX10C.R.NQ</t>
  </si>
  <si>
    <t>IBUPROFENO100MG/ML GOTAS CT C/FR20ML NQ</t>
  </si>
  <si>
    <t>ISOTRETINOINA 10MG 6BLT C/5 CAPS - NQ</t>
  </si>
  <si>
    <t>ISOTRETINOINA 20MG 6BLT C/5 CAPS - NQ</t>
  </si>
  <si>
    <t>LANSOPRAZOL30MG4BLTX7CAP DURA LIB RET-NQ</t>
  </si>
  <si>
    <t>LISDEXANFETAMINA 30MG FRX30 CAP DUR</t>
  </si>
  <si>
    <t>LISDEXANFETAMINA 50MG FRX30 CAP DUR</t>
  </si>
  <si>
    <t>LISDEXANFETAMINA 70MG FRX30 CAP DUR</t>
  </si>
  <si>
    <t>LOSARTANA POT. 50MG C/30 COM.REV</t>
  </si>
  <si>
    <t>MALEATO DEXCL.+BETA.2,0/0,25MG2BX10C-NQ</t>
  </si>
  <si>
    <t>MALEATO ENALAPRIL 10MG 3BLTX10COMP-NQ</t>
  </si>
  <si>
    <t>MALEATO ENALAPRIL 20MG 3BLTX10COMP-NQ</t>
  </si>
  <si>
    <t>MELOXICAM 15MG 1BLTX10COMP-NQ</t>
  </si>
  <si>
    <t>MELOXICAM 7,5MG 1BLTX10COMP-NQ</t>
  </si>
  <si>
    <t>METRONIDAZOL GEL VAG.BG50G 10APLIC-NQ</t>
  </si>
  <si>
    <t>METILFENIDATO CLORIDRATO  10 MG X 30</t>
  </si>
  <si>
    <t>METILFENIDATO CLORIDRATO  10 MG X 60</t>
  </si>
  <si>
    <t>MIRTAZAPINA(C1) 15MG 30 COM ORODISP-NQ</t>
  </si>
  <si>
    <t>MIRTAZAPINA(C1) 30MG 30 COM ORODISP-NQ</t>
  </si>
  <si>
    <t>NIMESULIDA 100MG C/12 COMP-NQ</t>
  </si>
  <si>
    <t>NISTATINA+OXIDO ZINCO POM DERM60G-NQ</t>
  </si>
  <si>
    <t>OLANZAPINA(C1) 10MG 3BLTX10 COM REV-NQ</t>
  </si>
  <si>
    <t>OLANZAPINA(C1) 2,5MG 3BLTX10 COM REV-NQ</t>
  </si>
  <si>
    <t>OLANZAPINA(C1) 5MG 3BLTX10 COM REV-NQ</t>
  </si>
  <si>
    <t>OMEPRAZOL 20MG 4BLTX7 CAP-NQ</t>
  </si>
  <si>
    <t>OMEPRAZOL 20MG 4BLX14CAP DURA LIB RET-NQ</t>
  </si>
  <si>
    <t>OMEPRAZOL 40MG 3BLT x 10CAPS LIB RETARD-NQ</t>
  </si>
  <si>
    <t>CLOR. ONDANSETRONA 4MG C/10COM ORODISP-NQ</t>
  </si>
  <si>
    <t>CLOR. ONDANSETRONA 8MG C/10COM ORODISP-NQ</t>
  </si>
  <si>
    <t>OXALATO ESCITALOPRAM(C1)10MG2BLX15C.R.NQ</t>
  </si>
  <si>
    <t>OXALATO ESCITALOPRAM(C1)15MG2BLX15C.R-NQ</t>
  </si>
  <si>
    <t>OXALATO ESCITALOPRAM(C1)20MG2BLX15C.R.NQ</t>
  </si>
  <si>
    <t>PANTOPRAZOL 20MG 4BLTX7 COMP REV - NQ</t>
  </si>
  <si>
    <t>PANTOPRAZOL 40MG 4BLTX7 COMP REV-NQ</t>
  </si>
  <si>
    <t>PARACETAMOL 200MG/ML GTS FR 15ML-NQ</t>
  </si>
  <si>
    <t>PARACETAMOL 750MG 2BLT C/10C.REV-NQ</t>
  </si>
  <si>
    <t>PARACETAMOL+COD(A2)500+30MG 2BLX12COM-NQ</t>
  </si>
  <si>
    <t>PARACETAMOL+COD(A2)500+30MG 3BLX12COM-NQ</t>
  </si>
  <si>
    <t>PARACETAMOL+COD.(A2) 500+30MG12COM NQ</t>
  </si>
  <si>
    <t>PREDNISONA 20MG 1BLT C/10 COMP-NQ</t>
  </si>
  <si>
    <t>PREDNISONA 5MG 2BLT C/10 COMP-NQ</t>
  </si>
  <si>
    <t>PREGABALINA(C1) 150MG C/30 CAP DURA-NQ</t>
  </si>
  <si>
    <t>PREGABALINA(C1) 75MG C/30 CAP DURA-NQ</t>
  </si>
  <si>
    <t>PROPIONATO CLOBETAS.CR 0,5MG/G 30G-NQ</t>
  </si>
  <si>
    <t>PROPIONATO CLOBETAS.POM0,5MG/G30G-NQ</t>
  </si>
  <si>
    <t>RISEDRONATO SODICO 35MG BLTC/4C.REV.-NQ</t>
  </si>
  <si>
    <t>RISPERIDONA 1 MG/ML SOL OR CT FR</t>
  </si>
  <si>
    <t>ROSUVASTATINA CALCICA 10MG3BLX10C.REV-NQ</t>
  </si>
  <si>
    <t>ROSUVASTATINA CALCICA 20MG3BLX10C.REV-NQ</t>
  </si>
  <si>
    <t>SECNIDAZOL 1G 1BLTX2 COM REV - NQ</t>
  </si>
  <si>
    <t>SIMETICONA 125MG 1BLTX10CAPS MOLE-NQ</t>
  </si>
  <si>
    <t>Liberado</t>
  </si>
  <si>
    <t>SIMETICONA 40MG 2BLT X 10COMP-NQ</t>
  </si>
  <si>
    <t>SIMETICONA 75MG GOTAS FR C/ 15ML - NQ</t>
  </si>
  <si>
    <t>SINVASTATINA 20MG 2BLTX15 COM VER-NQ</t>
  </si>
  <si>
    <t>SINVASTATINA 40MG 2BLTX15COMP REV-NQ</t>
  </si>
  <si>
    <t>SUC. DE SOLIFENACINA 5MG 30 COM REV-NQ</t>
  </si>
  <si>
    <t>SUC. DE SOLIFENACINA 10MG 30 COM REV-NQ</t>
  </si>
  <si>
    <t>SULF.GLICOSAMINA1,5GPO ORALC/30SACHES-NQ</t>
  </si>
  <si>
    <t>TADALAFILA 20MG C/2 COM REV - NQ</t>
  </si>
  <si>
    <t>TADALAFILA 20MG C/4 COM. REV. - NQ</t>
  </si>
  <si>
    <t>TADALAFILA 5MG 2BLT C/15 COM. REV. NQ</t>
  </si>
  <si>
    <t>TIBOLONA 2,5MG 1BLTX30 COM-NQ</t>
  </si>
  <si>
    <t>TOBRAMICINA 3MG SOL.OFT. FR 5ML - NQ</t>
  </si>
  <si>
    <t>TOPIRAMATO 100MG X 60 CPR VER</t>
  </si>
  <si>
    <t>TOPIRAMATO 25MG X 60 CPR VER</t>
  </si>
  <si>
    <t>TOPIRAMATO 50MG X 60 CPR VER</t>
  </si>
  <si>
    <t>TRAVOPROSTA 0,04MG/ML SOL OFT 2,5ML -NQ</t>
  </si>
  <si>
    <t>TROMETAMOL CETOROL. 10MG 10 COM SUBL</t>
  </si>
  <si>
    <t>TROMETAMOL CETOROL. 10MG 20 COM SUBL</t>
  </si>
  <si>
    <t>VALSARTANA 160MG C/30 COM</t>
  </si>
  <si>
    <t>VALSARTANA 320MG C/30 COM</t>
  </si>
  <si>
    <t>VAL.BET+S.GENT+TOL+CLIO POM 20G - NQ</t>
  </si>
  <si>
    <t>PF 20%</t>
  </si>
  <si>
    <t>VENCIM</t>
  </si>
  <si>
    <t/>
  </si>
  <si>
    <t>FABRICA</t>
  </si>
  <si>
    <t xml:space="preserve">NOIVA Q.G. </t>
  </si>
  <si>
    <t>P.DANFE</t>
  </si>
  <si>
    <t>ICMS</t>
  </si>
  <si>
    <t>P.CUSTO</t>
  </si>
  <si>
    <t>C.FIXO</t>
  </si>
  <si>
    <t>C. VENDA</t>
  </si>
  <si>
    <t>I.FEDERAL</t>
  </si>
  <si>
    <t>C.FINAL</t>
  </si>
  <si>
    <t>P.VENDA</t>
  </si>
  <si>
    <t>DESC.</t>
  </si>
  <si>
    <t>P.LIQ.</t>
  </si>
  <si>
    <t>P.C.RESC.</t>
  </si>
  <si>
    <t>L.LIQ.</t>
  </si>
  <si>
    <t>MARGEM</t>
  </si>
  <si>
    <t>MKP</t>
  </si>
  <si>
    <t>INVEST.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</si>
</sst>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_-* #,##0.0_-;\-* #,##0.0_-;_-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9"/>
      <color theme="5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5" tint="-0.249977111117893"/>
      <name val="Aptos Narrow"/>
      <family val="2"/>
      <scheme val="minor"/>
    </font>
    <font>
      <b/>
      <sz val="9"/>
      <color indexed="81"/>
      <name val="Segoe U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1" fontId="0" fillId="0" borderId="0" xfId="0" applyNumberFormat="1"/>
    <xf numFmtId="0" fontId="13" fillId="33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1" fontId="20" fillId="0" borderId="0" xfId="0" applyNumberFormat="1" applyFont="1" applyAlignment="1">
      <alignment horizontal="center"/>
    </xf>
    <xf numFmtId="2" fontId="20" fillId="0" borderId="0" xfId="0" applyNumberFormat="1" applyFont="1"/>
    <xf numFmtId="10" fontId="20" fillId="0" borderId="0" xfId="0" applyNumberFormat="1" applyFont="1"/>
    <xf numFmtId="10" fontId="20" fillId="0" borderId="0" xfId="3" applyNumberFormat="1" applyFont="1" applyFill="1"/>
    <xf numFmtId="0" fontId="21" fillId="0" borderId="0" xfId="0" applyFont="1" applyAlignment="1">
      <alignment horizontal="left"/>
    </xf>
    <xf numFmtId="165" fontId="20" fillId="35" borderId="0" xfId="1" applyNumberFormat="1" applyFont="1" applyFill="1" applyAlignment="1">
      <alignment horizontal="center"/>
    </xf>
    <xf numFmtId="44" fontId="0" fillId="0" borderId="0" xfId="2" applyFont="1"/>
    <xf numFmtId="3" fontId="20" fillId="0" borderId="0" xfId="1" applyNumberFormat="1" applyFont="1"/>
    <xf numFmtId="0" fontId="22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3" fillId="0" borderId="0" xfId="0" applyFont="1" applyAlignment="1">
      <alignment horizontal="left"/>
    </xf>
    <xf numFmtId="0" fontId="19" fillId="34" borderId="0" xfId="0" applyFont="1" applyFill="1"/>
    <xf numFmtId="0" fontId="18" fillId="37" borderId="0" xfId="0" applyFont="1" applyFill="1"/>
    <xf numFmtId="0" fontId="24" fillId="0" borderId="0" xfId="0" applyFont="1" applyAlignment="1">
      <alignment horizontal="left"/>
    </xf>
    <xf numFmtId="0" fontId="16" fillId="37" borderId="0" xfId="0" applyFont="1" applyFill="1"/>
    <xf numFmtId="0" fontId="25" fillId="0" borderId="0" xfId="0" applyFont="1" applyAlignment="1">
      <alignment horizontal="left"/>
    </xf>
    <xf numFmtId="2" fontId="20" fillId="34" borderId="0" xfId="0" applyNumberFormat="1" applyFont="1" applyFill="1"/>
    <xf numFmtId="1" fontId="19" fillId="34" borderId="0" xfId="0" applyNumberFormat="1" applyFont="1" applyFill="1" applyAlignment="1">
      <alignment horizontal="center"/>
    </xf>
    <xf numFmtId="0" fontId="26" fillId="0" borderId="0" xfId="0" applyFont="1" applyAlignment="1">
      <alignment horizontal="left"/>
    </xf>
    <xf numFmtId="0" fontId="0" fillId="0" borderId="0" xfId="0" applyAlignment="1">
      <alignment horizontal="left"/>
    </xf>
    <xf numFmtId="165" fontId="16" fillId="0" borderId="0" xfId="1" applyNumberFormat="1" applyFont="1"/>
    <xf numFmtId="44" fontId="16" fillId="0" borderId="0" xfId="2" applyFont="1"/>
    <xf numFmtId="166" fontId="0" fillId="0" borderId="0" xfId="0" applyNumberFormat="1"/>
    <xf numFmtId="9" fontId="0" fillId="0" borderId="0" xfId="3" applyFont="1"/>
    <xf numFmtId="165" fontId="0" fillId="0" borderId="0" xfId="3" applyNumberFormat="1" applyFont="1"/>
    <xf numFmtId="10" fontId="13" fillId="38" borderId="10" xfId="0" applyNumberFormat="1" applyFont="1" applyFill="1" applyBorder="1" applyAlignment="1">
      <alignment horizontal="center" vertical="center"/>
    </xf>
    <xf numFmtId="0" fontId="13" fillId="38" borderId="10" xfId="0" applyFont="1" applyFill="1" applyBorder="1" applyAlignment="1">
      <alignment horizontal="center" vertical="center"/>
    </xf>
    <xf numFmtId="1" fontId="13" fillId="38" borderId="10" xfId="0" applyNumberFormat="1" applyFont="1" applyFill="1" applyBorder="1" applyAlignment="1">
      <alignment horizontal="center"/>
    </xf>
    <xf numFmtId="0" fontId="13" fillId="38" borderId="10" xfId="0" applyFont="1" applyFill="1" applyBorder="1"/>
    <xf numFmtId="164" fontId="13" fillId="38" borderId="10" xfId="0" applyNumberFormat="1" applyFont="1" applyFill="1" applyBorder="1" applyAlignment="1">
      <alignment horizontal="center"/>
    </xf>
    <xf numFmtId="0" fontId="13" fillId="38" borderId="10" xfId="0" applyFont="1" applyFill="1" applyBorder="1" applyAlignment="1">
      <alignment horizontal="center"/>
    </xf>
    <xf numFmtId="14" fontId="13" fillId="38" borderId="10" xfId="0" applyNumberFormat="1" applyFont="1" applyFill="1" applyBorder="1"/>
    <xf numFmtId="1" fontId="16" fillId="0" borderId="10" xfId="0" applyNumberFormat="1" applyFont="1" applyBorder="1" applyAlignment="1">
      <alignment horizontal="center"/>
    </xf>
    <xf numFmtId="0" fontId="16" fillId="0" borderId="10" xfId="0" applyFont="1" applyBorder="1"/>
    <xf numFmtId="164" fontId="16" fillId="0" borderId="10" xfId="0" applyNumberFormat="1" applyFont="1" applyBorder="1" applyAlignment="1">
      <alignment horizontal="center"/>
    </xf>
    <xf numFmtId="10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4" fontId="16" fillId="0" borderId="10" xfId="0" applyNumberFormat="1" applyFont="1" applyBorder="1"/>
    <xf numFmtId="1" fontId="16" fillId="39" borderId="10" xfId="0" applyNumberFormat="1" applyFont="1" applyFill="1" applyBorder="1" applyAlignment="1">
      <alignment horizontal="center"/>
    </xf>
    <xf numFmtId="0" fontId="16" fillId="39" borderId="10" xfId="0" applyFont="1" applyFill="1" applyBorder="1"/>
    <xf numFmtId="164" fontId="16" fillId="39" borderId="10" xfId="0" applyNumberFormat="1" applyFont="1" applyFill="1" applyBorder="1" applyAlignment="1">
      <alignment horizontal="center"/>
    </xf>
    <xf numFmtId="10" fontId="16" fillId="39" borderId="10" xfId="0" applyNumberFormat="1" applyFont="1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14" fontId="16" fillId="39" borderId="10" xfId="0" applyNumberFormat="1" applyFont="1" applyFill="1" applyBorder="1"/>
    <xf numFmtId="44" fontId="13" fillId="38" borderId="10" xfId="0" applyNumberFormat="1" applyFont="1" applyFill="1" applyBorder="1"/>
    <xf numFmtId="44" fontId="16" fillId="0" borderId="10" xfId="0" applyNumberFormat="1" applyFont="1" applyBorder="1"/>
    <xf numFmtId="10" fontId="13" fillId="38" borderId="10" xfId="0" applyNumberFormat="1" applyFont="1" applyFill="1" applyBorder="1" applyAlignment="1">
      <alignment horizontal="center"/>
    </xf>
    <xf numFmtId="164" fontId="16" fillId="0" borderId="10" xfId="0" applyNumberFormat="1" applyFont="1" applyBorder="1"/>
    <xf numFmtId="1" fontId="16" fillId="40" borderId="10" xfId="0" applyNumberFormat="1" applyFont="1" applyFill="1" applyBorder="1" applyAlignment="1">
      <alignment horizontal="center"/>
    </xf>
    <xf numFmtId="0" fontId="16" fillId="40" borderId="10" xfId="0" applyFont="1" applyFill="1" applyBorder="1"/>
    <xf numFmtId="44" fontId="16" fillId="40" borderId="10" xfId="0" applyNumberFormat="1" applyFont="1" applyFill="1" applyBorder="1"/>
    <xf numFmtId="164" fontId="16" fillId="40" borderId="10" xfId="0" applyNumberFormat="1" applyFont="1" applyFill="1" applyBorder="1"/>
    <xf numFmtId="10" fontId="16" fillId="40" borderId="10" xfId="0" applyNumberFormat="1" applyFont="1" applyFill="1" applyBorder="1" applyAlignment="1">
      <alignment horizontal="center"/>
    </xf>
    <xf numFmtId="164" fontId="16" fillId="40" borderId="10" xfId="0" applyNumberFormat="1" applyFont="1" applyFill="1" applyBorder="1" applyAlignment="1">
      <alignment horizontal="center"/>
    </xf>
    <xf numFmtId="0" fontId="16" fillId="40" borderId="10" xfId="0" applyFont="1" applyFill="1" applyBorder="1" applyAlignment="1">
      <alignment horizontal="center"/>
    </xf>
    <xf numFmtId="14" fontId="16" fillId="40" borderId="10" xfId="0" applyNumberFormat="1" applyFont="1" applyFill="1" applyBorder="1"/>
    <xf numFmtId="1" fontId="16" fillId="35" borderId="10" xfId="0" applyNumberFormat="1" applyFont="1" applyFill="1" applyBorder="1" applyAlignment="1">
      <alignment horizontal="center"/>
    </xf>
    <xf numFmtId="0" fontId="16" fillId="35" borderId="10" xfId="0" applyFont="1" applyFill="1" applyBorder="1"/>
    <xf numFmtId="44" fontId="16" fillId="35" borderId="10" xfId="0" applyNumberFormat="1" applyFont="1" applyFill="1" applyBorder="1"/>
    <xf numFmtId="164" fontId="16" fillId="35" borderId="10" xfId="0" applyNumberFormat="1" applyFont="1" applyFill="1" applyBorder="1"/>
    <xf numFmtId="10" fontId="16" fillId="35" borderId="10" xfId="0" applyNumberFormat="1" applyFont="1" applyFill="1" applyBorder="1" applyAlignment="1">
      <alignment horizontal="center"/>
    </xf>
    <xf numFmtId="164" fontId="16" fillId="35" borderId="10" xfId="0" applyNumberFormat="1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14" fontId="16" fillId="35" borderId="10" xfId="0" applyNumberFormat="1" applyFont="1" applyFill="1" applyBorder="1"/>
  </cellXfs>
  <cellStyles count="45">
    <cellStyle name="20% - Ênfase1" xfId="22" builtinId="30" customBuiltin="1"/>
    <cellStyle name="20% - Ênfase2" xfId="26" builtinId="34" customBuiltin="1"/>
    <cellStyle name="20% - Ênfase3" xfId="30" builtinId="38" customBuiltin="1"/>
    <cellStyle name="20% - Ênfase4" xfId="34" builtinId="42" customBuiltin="1"/>
    <cellStyle name="20% - Ênfase5" xfId="38" builtinId="46" customBuiltin="1"/>
    <cellStyle name="20% - Ênfase6" xfId="42" builtinId="50" customBuiltin="1"/>
    <cellStyle name="40% - Ênfase1" xfId="23" builtinId="31" customBuiltin="1"/>
    <cellStyle name="40% - Ênfase2" xfId="27" builtinId="35" customBuiltin="1"/>
    <cellStyle name="40% - Ênfase3" xfId="31" builtinId="39" customBuiltin="1"/>
    <cellStyle name="40% - Ênfase4" xfId="35" builtinId="43" customBuiltin="1"/>
    <cellStyle name="40% - Ênfase5" xfId="39" builtinId="47" customBuiltin="1"/>
    <cellStyle name="40% - Ênfase6" xfId="43" builtinId="51" customBuiltin="1"/>
    <cellStyle name="60% - Ênfase1" xfId="24" builtinId="32" customBuiltin="1"/>
    <cellStyle name="60% - Ênfase2" xfId="28" builtinId="36" customBuiltin="1"/>
    <cellStyle name="60% - Ênfase3" xfId="32" builtinId="40" customBuiltin="1"/>
    <cellStyle name="60% - Ênfase4" xfId="36" builtinId="44" customBuiltin="1"/>
    <cellStyle name="60% - Ênfase5" xfId="40" builtinId="48" customBuiltin="1"/>
    <cellStyle name="60% - Ênfase6" xfId="44" builtinId="52" customBuiltin="1"/>
    <cellStyle name="Bom" xfId="9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21" builtinId="29" customBuiltin="1"/>
    <cellStyle name="Ênfase2" xfId="25" builtinId="33" customBuiltin="1"/>
    <cellStyle name="Ênfase3" xfId="29" builtinId="37" customBuiltin="1"/>
    <cellStyle name="Ênfase4" xfId="33" builtinId="41" customBuiltin="1"/>
    <cellStyle name="Ênfase5" xfId="37" builtinId="45" customBuiltin="1"/>
    <cellStyle name="Ênfase6" xfId="41" builtinId="49" customBuiltin="1"/>
    <cellStyle name="Entrada" xfId="12" builtinId="20" customBuiltin="1"/>
    <cellStyle name="Moeda" xfId="2" builtinId="4"/>
    <cellStyle name="Neutro" xfId="11" builtinId="28" customBuiltin="1"/>
    <cellStyle name="Normal" xfId="0" builtinId="0"/>
    <cellStyle name="Nota" xfId="18" builtinId="10" customBuiltin="1"/>
    <cellStyle name="Porcentagem" xfId="3" builtinId="5"/>
    <cellStyle name="Ruim" xfId="10" builtinId="27" customBuiltin="1"/>
    <cellStyle name="Saída" xfId="13" builtinId="21" customBuiltin="1"/>
    <cellStyle name="Texto de Aviso" xfId="17" builtinId="11" customBuiltin="1"/>
    <cellStyle name="Texto Explicativo" xfId="19" builtinId="53" customBuiltin="1"/>
    <cellStyle name="Título" xfId="4" builtinId="15" customBuiltin="1"/>
    <cellStyle name="Título 1" xfId="5" builtinId="16" customBuiltin="1"/>
    <cellStyle name="Título 2" xfId="6" builtinId="17" customBuiltin="1"/>
    <cellStyle name="Título 3" xfId="7" builtinId="18" customBuiltin="1"/>
    <cellStyle name="Título 4" xfId="8" builtinId="19" customBuiltin="1"/>
    <cellStyle name="Total" xfId="20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B6D5-FAD2-4529-A236-7A8CE508F2B9}">
  <dimension ref="A1:AA188"/>
  <sheetViews>
    <sheetView tabSelected="1" workbookViewId="0">
      <pane ySplit="1" topLeftCell="A2" activePane="bottomLeft" state="frozen"/>
      <selection pane="bottomLeft" activeCell="G54" sqref="G54"/>
    </sheetView>
  </sheetViews>
  <sheetFormatPr defaultRowHeight="15" x14ac:dyDescent="0.25"/>
  <cols>
    <col min="1" max="1" width="16.7109375" style="43" bestFit="1" customWidth="1"/>
    <col min="2" max="2" width="8.5703125" style="43" bestFit="1" customWidth="1"/>
    <col min="3" max="3" width="39.42578125" style="44" customWidth="1"/>
    <col min="4" max="4" width="5" style="44" bestFit="1" customWidth="1"/>
    <col min="5" max="5" width="3.7109375" style="44" bestFit="1" customWidth="1"/>
    <col min="6" max="6" width="11.5703125" style="44" bestFit="1" customWidth="1"/>
    <col min="7" max="7" width="11.5703125" style="56" customWidth="1"/>
    <col min="8" max="9" width="11.5703125" style="44" customWidth="1"/>
    <col min="10" max="10" width="8.5703125" style="44" customWidth="1"/>
    <col min="11" max="13" width="11.5703125" style="44" customWidth="1"/>
    <col min="14" max="14" width="10.7109375" style="44" bestFit="1" customWidth="1"/>
    <col min="15" max="15" width="11.5703125" style="56" customWidth="1"/>
    <col min="16" max="16" width="9.7109375" style="46" customWidth="1"/>
    <col min="17" max="17" width="11.140625" style="45" customWidth="1"/>
    <col min="18" max="18" width="10" style="45" customWidth="1"/>
    <col min="19" max="19" width="10.7109375" style="45" customWidth="1"/>
    <col min="20" max="20" width="10.28515625" style="45" customWidth="1"/>
    <col min="21" max="21" width="10" style="45" customWidth="1"/>
    <col min="22" max="22" width="9.42578125" style="45" hidden="1" customWidth="1"/>
    <col min="23" max="23" width="13.7109375" style="46" hidden="1" customWidth="1"/>
    <col min="24" max="24" width="10" style="46" hidden="1" customWidth="1"/>
    <col min="25" max="25" width="10.42578125" style="45" hidden="1" customWidth="1"/>
    <col min="26" max="26" width="7.42578125" style="47" bestFit="1" customWidth="1"/>
    <col min="27" max="27" width="10.42578125" style="48" bestFit="1" customWidth="1"/>
    <col min="28" max="16384" width="9.140625" style="44"/>
  </cols>
  <sheetData>
    <row r="1" spans="1:27" x14ac:dyDescent="0.25">
      <c r="A1" s="38" t="s">
        <v>1</v>
      </c>
      <c r="B1" s="38" t="s">
        <v>0</v>
      </c>
      <c r="C1" s="39" t="s">
        <v>2</v>
      </c>
      <c r="D1" s="39" t="s">
        <v>3</v>
      </c>
      <c r="E1" s="39" t="s">
        <v>4</v>
      </c>
      <c r="F1" s="39" t="s">
        <v>404</v>
      </c>
      <c r="G1" s="55" t="s">
        <v>406</v>
      </c>
      <c r="H1" s="39" t="s">
        <v>407</v>
      </c>
      <c r="I1" s="39" t="s">
        <v>408</v>
      </c>
      <c r="J1" s="39" t="s">
        <v>409</v>
      </c>
      <c r="K1" s="39" t="s">
        <v>410</v>
      </c>
      <c r="L1" s="39" t="s">
        <v>411</v>
      </c>
      <c r="M1" s="39" t="s">
        <v>420</v>
      </c>
      <c r="N1" s="39" t="s">
        <v>412</v>
      </c>
      <c r="O1" s="55" t="s">
        <v>413</v>
      </c>
      <c r="P1" s="57" t="s">
        <v>414</v>
      </c>
      <c r="Q1" s="40" t="s">
        <v>415</v>
      </c>
      <c r="R1" s="40" t="s">
        <v>416</v>
      </c>
      <c r="S1" s="40" t="s">
        <v>417</v>
      </c>
      <c r="T1" s="40" t="s">
        <v>418</v>
      </c>
      <c r="U1" s="40" t="s">
        <v>419</v>
      </c>
      <c r="V1" s="40" t="s">
        <v>401</v>
      </c>
      <c r="W1" s="36" t="s">
        <v>203</v>
      </c>
      <c r="X1" s="36" t="s">
        <v>204</v>
      </c>
      <c r="Y1" s="37" t="s">
        <v>205</v>
      </c>
      <c r="Z1" s="41" t="s">
        <v>5</v>
      </c>
      <c r="AA1" s="42" t="s">
        <v>402</v>
      </c>
    </row>
    <row r="2" spans="1:27" x14ac:dyDescent="0.25">
      <c r="A2" s="43">
        <v>7895296271042</v>
      </c>
      <c r="B2" s="43">
        <v>10374</v>
      </c>
      <c r="C2" s="44" t="s">
        <v>6</v>
      </c>
      <c r="D2" s="44" t="s">
        <v>7</v>
      </c>
      <c r="E2" s="44" t="s">
        <v>8</v>
      </c>
      <c r="F2" s="44" t="s">
        <v>405</v>
      </c>
      <c r="G2" s="56">
        <v>6.8061088480000009</v>
      </c>
      <c r="H2" s="56">
        <f>G2/100*2.16</f>
        <v>0.14701195111680002</v>
      </c>
      <c r="I2" s="56">
        <f>G2+H2</f>
        <v>6.9531207991168014</v>
      </c>
      <c r="J2" s="58">
        <f>Q2/100*7.0864</f>
        <v>0.63169993885719622</v>
      </c>
      <c r="K2" s="58">
        <f>Q2/100*4</f>
        <v>0.3565702973906052</v>
      </c>
      <c r="L2" s="58">
        <f>R2/100*3.25</f>
        <v>0.31665670972644433</v>
      </c>
      <c r="M2" s="58">
        <f>Q2/100*1</f>
        <v>8.9142574347651299E-2</v>
      </c>
      <c r="N2" s="56">
        <f>I2+J2+K2+L2+M2</f>
        <v>8.3471903194386972</v>
      </c>
      <c r="O2" s="56">
        <v>24.85</v>
      </c>
      <c r="P2" s="46">
        <f>(O2-Q2)/O2</f>
        <v>0.64127736681025638</v>
      </c>
      <c r="Q2" s="45">
        <f>I2/(1-T2)</f>
        <v>8.9142574347651298</v>
      </c>
      <c r="R2" s="45">
        <f>Q2/100*109.3</f>
        <v>9.7432833761982867</v>
      </c>
      <c r="S2" s="46">
        <f>(Q2-N2)/Q2</f>
        <v>6.3613500000000114E-2</v>
      </c>
      <c r="T2" s="46">
        <v>0.22</v>
      </c>
      <c r="U2" s="46">
        <f>((Q2/G2)-1*100%)</f>
        <v>0.30974358974358984</v>
      </c>
      <c r="V2" s="45">
        <f t="shared" ref="V2:V33" si="0">IFERROR(VLOOKUP(A2,MATRIZ1,5,0),"")</f>
        <v>24.85</v>
      </c>
      <c r="W2" s="46">
        <f t="shared" ref="W2:W33" si="1">IFERROR(VLOOKUP(A2,MATRIZ1,6,0),"")</f>
        <v>0.13980000000000001</v>
      </c>
      <c r="X2" s="46">
        <f t="shared" ref="X2:X33" si="2">IFERROR(VLOOKUP(A2,MATRIZ1,7,0),"")</f>
        <v>0.68159999999999998</v>
      </c>
      <c r="Y2" s="45">
        <f t="shared" ref="Y2:Y33" si="3">IFERROR(VLOOKUP(A2,MATRIZ1,8,0),"")</f>
        <v>6.8061088480000009</v>
      </c>
      <c r="Z2" s="47">
        <v>211</v>
      </c>
      <c r="AA2" s="48">
        <v>46837</v>
      </c>
    </row>
    <row r="3" spans="1:27" x14ac:dyDescent="0.25">
      <c r="A3" s="67">
        <v>7895296271035</v>
      </c>
      <c r="B3" s="67">
        <v>10375</v>
      </c>
      <c r="C3" s="68" t="s">
        <v>9</v>
      </c>
      <c r="D3" s="68" t="s">
        <v>7</v>
      </c>
      <c r="E3" s="68" t="s">
        <v>8</v>
      </c>
      <c r="F3" s="68" t="s">
        <v>405</v>
      </c>
      <c r="G3" s="69">
        <v>10.576511682000001</v>
      </c>
      <c r="H3" s="69">
        <f t="shared" ref="H3:H66" si="4">G3/100*2.16</f>
        <v>0.22845265233120005</v>
      </c>
      <c r="I3" s="69">
        <f t="shared" ref="I3:I66" si="5">G3+H3</f>
        <v>10.804964334331201</v>
      </c>
      <c r="J3" s="70">
        <f t="shared" ref="J3:J66" si="6">Q3/100*7.0864</f>
        <v>0.84934330847259709</v>
      </c>
      <c r="K3" s="70">
        <f t="shared" ref="K3:K66" si="7">Q3/100*4</f>
        <v>0.47942160107958742</v>
      </c>
      <c r="L3" s="70">
        <f t="shared" ref="L3:L66" si="8">R3/100*3.25</f>
        <v>0.42575634560874104</v>
      </c>
      <c r="M3" s="70">
        <f t="shared" ref="M3:M66" si="9">Q3/100*1</f>
        <v>0.11985540026989686</v>
      </c>
      <c r="N3" s="69">
        <f t="shared" ref="N3:N66" si="10">I3+J3+K3+L3+M3</f>
        <v>12.679340989762025</v>
      </c>
      <c r="O3" s="69">
        <v>34.950000000000003</v>
      </c>
      <c r="P3" s="71">
        <f t="shared" ref="P3:P66" si="11">(O3-Q3)/O3</f>
        <v>0.65706609364836377</v>
      </c>
      <c r="Q3" s="72">
        <f t="shared" ref="Q3:Q66" si="12">I3/(1-T3)</f>
        <v>11.985540026989685</v>
      </c>
      <c r="R3" s="72">
        <f t="shared" ref="R3:R66" si="13">Q3/100*109.3</f>
        <v>13.100195249499725</v>
      </c>
      <c r="S3" s="71">
        <f t="shared" ref="S3:S66" si="14">(Q3-N3)/Q3</f>
        <v>-5.7886500000000098E-2</v>
      </c>
      <c r="T3" s="71">
        <v>9.8500000000000004E-2</v>
      </c>
      <c r="U3" s="71">
        <f t="shared" ref="U3:U66" si="15">((Q3/G3)-1*100%)</f>
        <v>0.13322240709927891</v>
      </c>
      <c r="V3" s="72">
        <f t="shared" si="0"/>
        <v>34.950000000000003</v>
      </c>
      <c r="W3" s="71">
        <f t="shared" si="1"/>
        <v>0.13980000000000001</v>
      </c>
      <c r="X3" s="71">
        <f t="shared" si="2"/>
        <v>0.6482</v>
      </c>
      <c r="Y3" s="72">
        <f t="shared" si="3"/>
        <v>10.576511682000001</v>
      </c>
      <c r="Z3" s="73">
        <v>144</v>
      </c>
      <c r="AA3" s="74">
        <v>46427</v>
      </c>
    </row>
    <row r="4" spans="1:27" x14ac:dyDescent="0.25">
      <c r="A4" s="49">
        <v>7895296118064</v>
      </c>
      <c r="B4" s="49">
        <v>10376</v>
      </c>
      <c r="C4" s="50" t="s">
        <v>10</v>
      </c>
      <c r="D4" s="50" t="s">
        <v>7</v>
      </c>
      <c r="E4" s="50" t="s">
        <v>8</v>
      </c>
      <c r="F4" s="44" t="s">
        <v>405</v>
      </c>
      <c r="G4" s="56">
        <v>5.9672555711999999</v>
      </c>
      <c r="H4" s="56">
        <f t="shared" si="4"/>
        <v>0.12889272033792001</v>
      </c>
      <c r="I4" s="56">
        <f t="shared" si="5"/>
        <v>6.0961482915379204</v>
      </c>
      <c r="J4" s="58">
        <f t="shared" si="6"/>
        <v>0.5538428878609527</v>
      </c>
      <c r="K4" s="58">
        <f t="shared" si="7"/>
        <v>0.31262298930963689</v>
      </c>
      <c r="L4" s="58">
        <f t="shared" si="8"/>
        <v>0.27762875344378946</v>
      </c>
      <c r="M4" s="58">
        <f t="shared" si="9"/>
        <v>7.8155747327409222E-2</v>
      </c>
      <c r="N4" s="56">
        <f t="shared" si="10"/>
        <v>7.3183986694797083</v>
      </c>
      <c r="O4" s="56">
        <v>39.06</v>
      </c>
      <c r="P4" s="46">
        <f t="shared" si="11"/>
        <v>0.79990848098461542</v>
      </c>
      <c r="Q4" s="45">
        <f t="shared" si="12"/>
        <v>7.8155747327409228</v>
      </c>
      <c r="R4" s="45">
        <f t="shared" si="13"/>
        <v>8.5424231828858286</v>
      </c>
      <c r="S4" s="46">
        <f t="shared" si="14"/>
        <v>6.3613499999999976E-2</v>
      </c>
      <c r="T4" s="46">
        <v>0.22</v>
      </c>
      <c r="U4" s="46">
        <f t="shared" si="15"/>
        <v>0.30974358974358962</v>
      </c>
      <c r="V4" s="51">
        <f t="shared" si="0"/>
        <v>39.06</v>
      </c>
      <c r="W4" s="52">
        <f t="shared" si="1"/>
        <v>0.13980000000000001</v>
      </c>
      <c r="X4" s="52">
        <f t="shared" si="2"/>
        <v>0.82240000000000002</v>
      </c>
      <c r="Y4" s="51">
        <f t="shared" si="3"/>
        <v>5.9672555711999999</v>
      </c>
      <c r="Z4" s="53">
        <v>0</v>
      </c>
      <c r="AA4" s="54" t="s">
        <v>403</v>
      </c>
    </row>
    <row r="5" spans="1:27" x14ac:dyDescent="0.25">
      <c r="A5" s="43">
        <v>7895296446556</v>
      </c>
      <c r="B5" s="43">
        <v>22784</v>
      </c>
      <c r="C5" s="44" t="s">
        <v>11</v>
      </c>
      <c r="D5" s="44" t="s">
        <v>12</v>
      </c>
      <c r="E5" s="44" t="s">
        <v>8</v>
      </c>
      <c r="F5" s="44" t="s">
        <v>405</v>
      </c>
      <c r="G5" s="56">
        <v>9.8466233799999987</v>
      </c>
      <c r="H5" s="56">
        <f t="shared" si="4"/>
        <v>0.21268706500799997</v>
      </c>
      <c r="I5" s="56">
        <f t="shared" si="5"/>
        <v>10.059310445007998</v>
      </c>
      <c r="J5" s="58">
        <f t="shared" si="6"/>
        <v>0.91390125048082915</v>
      </c>
      <c r="K5" s="58">
        <f t="shared" si="7"/>
        <v>0.51586207410297424</v>
      </c>
      <c r="L5" s="58">
        <f t="shared" si="8"/>
        <v>0.45811776318307257</v>
      </c>
      <c r="M5" s="58">
        <f t="shared" si="9"/>
        <v>0.12896551852574356</v>
      </c>
      <c r="N5" s="56">
        <f t="shared" si="10"/>
        <v>12.076157051300619</v>
      </c>
      <c r="O5" s="56">
        <v>101.3</v>
      </c>
      <c r="P5" s="46">
        <f t="shared" si="11"/>
        <v>0.87268951774358972</v>
      </c>
      <c r="Q5" s="45">
        <f t="shared" si="12"/>
        <v>12.896551852574357</v>
      </c>
      <c r="R5" s="45">
        <f t="shared" si="13"/>
        <v>14.095931174863772</v>
      </c>
      <c r="S5" s="46">
        <f t="shared" si="14"/>
        <v>6.3613499999999892E-2</v>
      </c>
      <c r="T5" s="46">
        <v>0.22</v>
      </c>
      <c r="U5" s="46">
        <f t="shared" si="15"/>
        <v>0.30974358974358962</v>
      </c>
      <c r="V5" s="45">
        <f t="shared" si="0"/>
        <v>101.3</v>
      </c>
      <c r="W5" s="46">
        <f t="shared" si="1"/>
        <v>0.13980000000000001</v>
      </c>
      <c r="X5" s="46">
        <f t="shared" si="2"/>
        <v>0.88700000000000001</v>
      </c>
      <c r="Y5" s="45">
        <f t="shared" si="3"/>
        <v>9.8466233799999987</v>
      </c>
      <c r="Z5" s="47">
        <v>2</v>
      </c>
      <c r="AA5" s="48">
        <v>46919</v>
      </c>
    </row>
    <row r="6" spans="1:27" x14ac:dyDescent="0.25">
      <c r="A6" s="43">
        <v>7895296446655</v>
      </c>
      <c r="B6" s="43">
        <v>15307</v>
      </c>
      <c r="C6" s="44" t="s">
        <v>13</v>
      </c>
      <c r="D6" s="44" t="s">
        <v>7</v>
      </c>
      <c r="E6" s="44" t="s">
        <v>8</v>
      </c>
      <c r="F6" s="44" t="s">
        <v>405</v>
      </c>
      <c r="G6" s="56">
        <v>4.0050481900000001</v>
      </c>
      <c r="H6" s="56">
        <f t="shared" si="4"/>
        <v>8.6509040904000009E-2</v>
      </c>
      <c r="I6" s="56">
        <f t="shared" si="5"/>
        <v>4.0915572309039998</v>
      </c>
      <c r="J6" s="58">
        <f t="shared" si="6"/>
        <v>0.37172322001382185</v>
      </c>
      <c r="K6" s="58">
        <f t="shared" si="7"/>
        <v>0.20982344773866665</v>
      </c>
      <c r="L6" s="58">
        <f t="shared" si="8"/>
        <v>0.18633633555741966</v>
      </c>
      <c r="M6" s="58">
        <f t="shared" si="9"/>
        <v>5.2455861934666663E-2</v>
      </c>
      <c r="N6" s="56">
        <f t="shared" si="10"/>
        <v>4.9118960961485749</v>
      </c>
      <c r="O6" s="56">
        <v>24.7</v>
      </c>
      <c r="P6" s="46">
        <f t="shared" si="11"/>
        <v>0.78762808933333328</v>
      </c>
      <c r="Q6" s="45">
        <f t="shared" si="12"/>
        <v>5.2455861934666661</v>
      </c>
      <c r="R6" s="45">
        <f t="shared" si="13"/>
        <v>5.7334257094590662</v>
      </c>
      <c r="S6" s="46">
        <f t="shared" si="14"/>
        <v>6.3613499999999892E-2</v>
      </c>
      <c r="T6" s="46">
        <v>0.22</v>
      </c>
      <c r="U6" s="46">
        <f t="shared" si="15"/>
        <v>0.30974358974358962</v>
      </c>
      <c r="V6" s="45">
        <f t="shared" si="0"/>
        <v>24.7</v>
      </c>
      <c r="W6" s="46">
        <f t="shared" si="1"/>
        <v>0.13980000000000001</v>
      </c>
      <c r="X6" s="46">
        <f t="shared" si="2"/>
        <v>0.8115</v>
      </c>
      <c r="Y6" s="45">
        <f t="shared" si="3"/>
        <v>4.0050481900000001</v>
      </c>
      <c r="Z6" s="47">
        <v>1</v>
      </c>
      <c r="AA6" s="48">
        <v>46614</v>
      </c>
    </row>
    <row r="7" spans="1:27" x14ac:dyDescent="0.25">
      <c r="A7" s="43">
        <v>7895296034029</v>
      </c>
      <c r="B7" s="43">
        <v>10371</v>
      </c>
      <c r="C7" s="44" t="s">
        <v>14</v>
      </c>
      <c r="D7" s="44" t="s">
        <v>7</v>
      </c>
      <c r="E7" s="44" t="s">
        <v>8</v>
      </c>
      <c r="F7" s="44" t="s">
        <v>405</v>
      </c>
      <c r="G7" s="56">
        <v>35.5174223052</v>
      </c>
      <c r="H7" s="56">
        <f t="shared" si="4"/>
        <v>0.76717632179232009</v>
      </c>
      <c r="I7" s="56">
        <f t="shared" si="5"/>
        <v>36.28459862699232</v>
      </c>
      <c r="J7" s="58">
        <f t="shared" si="6"/>
        <v>3.2965023039784409</v>
      </c>
      <c r="K7" s="58">
        <f t="shared" si="7"/>
        <v>1.8607486475380677</v>
      </c>
      <c r="L7" s="58">
        <f t="shared" si="8"/>
        <v>1.6524610958042754</v>
      </c>
      <c r="M7" s="58">
        <f t="shared" si="9"/>
        <v>0.46518716188451692</v>
      </c>
      <c r="N7" s="56">
        <f t="shared" si="10"/>
        <v>43.559497836197622</v>
      </c>
      <c r="O7" s="56">
        <v>54.03</v>
      </c>
      <c r="P7" s="46">
        <f t="shared" si="11"/>
        <v>0.13902061468717952</v>
      </c>
      <c r="Q7" s="45">
        <f t="shared" si="12"/>
        <v>46.518716188451691</v>
      </c>
      <c r="R7" s="45">
        <f t="shared" si="13"/>
        <v>50.844956793977701</v>
      </c>
      <c r="S7" s="46">
        <f t="shared" si="14"/>
        <v>6.3613499999999948E-2</v>
      </c>
      <c r="T7" s="46">
        <v>0.22</v>
      </c>
      <c r="U7" s="46">
        <f t="shared" si="15"/>
        <v>0.30974358974358962</v>
      </c>
      <c r="V7" s="45">
        <f t="shared" si="0"/>
        <v>54.03</v>
      </c>
      <c r="W7" s="46">
        <f t="shared" si="1"/>
        <v>0.13980000000000001</v>
      </c>
      <c r="X7" s="46">
        <f t="shared" si="2"/>
        <v>0.23580000000000001</v>
      </c>
      <c r="Y7" s="45">
        <f t="shared" si="3"/>
        <v>35.5174223052</v>
      </c>
      <c r="Z7" s="47">
        <v>70</v>
      </c>
      <c r="AA7" s="48">
        <v>46783</v>
      </c>
    </row>
    <row r="8" spans="1:27" x14ac:dyDescent="0.25">
      <c r="A8" s="43">
        <v>7895296210218</v>
      </c>
      <c r="B8" s="43">
        <v>10372</v>
      </c>
      <c r="C8" s="44" t="s">
        <v>15</v>
      </c>
      <c r="D8" s="44" t="s">
        <v>7</v>
      </c>
      <c r="E8" s="44" t="s">
        <v>8</v>
      </c>
      <c r="F8" s="44" t="s">
        <v>405</v>
      </c>
      <c r="G8" s="56">
        <v>3.4319399399999999</v>
      </c>
      <c r="H8" s="56">
        <f t="shared" si="4"/>
        <v>7.4129902704000009E-2</v>
      </c>
      <c r="I8" s="56">
        <f t="shared" si="5"/>
        <v>3.506069842704</v>
      </c>
      <c r="J8" s="58">
        <f t="shared" si="6"/>
        <v>0.31853094017099515</v>
      </c>
      <c r="K8" s="58">
        <f t="shared" si="7"/>
        <v>0.17979845347199996</v>
      </c>
      <c r="L8" s="58">
        <f t="shared" si="8"/>
        <v>0.15967226408647797</v>
      </c>
      <c r="M8" s="58">
        <f t="shared" si="9"/>
        <v>4.4949613367999991E-2</v>
      </c>
      <c r="N8" s="56">
        <f t="shared" si="10"/>
        <v>4.209021113801473</v>
      </c>
      <c r="O8" s="56">
        <v>11</v>
      </c>
      <c r="P8" s="46">
        <f t="shared" si="11"/>
        <v>0.59136715120000005</v>
      </c>
      <c r="Q8" s="45">
        <f t="shared" si="12"/>
        <v>4.4949613367999994</v>
      </c>
      <c r="R8" s="45">
        <f t="shared" si="13"/>
        <v>4.912992741122399</v>
      </c>
      <c r="S8" s="46">
        <f t="shared" si="14"/>
        <v>6.361349999999992E-2</v>
      </c>
      <c r="T8" s="46">
        <v>0.22</v>
      </c>
      <c r="U8" s="46">
        <f t="shared" si="15"/>
        <v>0.30974358974358962</v>
      </c>
      <c r="V8" s="45">
        <f t="shared" si="0"/>
        <v>11</v>
      </c>
      <c r="W8" s="46">
        <f t="shared" si="1"/>
        <v>0.13980000000000001</v>
      </c>
      <c r="X8" s="46">
        <f t="shared" si="2"/>
        <v>0.63729999999999998</v>
      </c>
      <c r="Y8" s="45">
        <f t="shared" si="3"/>
        <v>3.4319399399999999</v>
      </c>
      <c r="Z8" s="47">
        <v>114</v>
      </c>
      <c r="AA8" s="48">
        <v>46762</v>
      </c>
    </row>
    <row r="9" spans="1:27" x14ac:dyDescent="0.25">
      <c r="A9" s="49">
        <v>7895296420020</v>
      </c>
      <c r="B9" s="49">
        <v>11424</v>
      </c>
      <c r="C9" s="50" t="s">
        <v>16</v>
      </c>
      <c r="D9" s="50" t="s">
        <v>7</v>
      </c>
      <c r="E9" s="50" t="s">
        <v>8</v>
      </c>
      <c r="F9" s="44" t="s">
        <v>405</v>
      </c>
      <c r="G9" s="56">
        <v>1.8271293150000012</v>
      </c>
      <c r="H9" s="56">
        <f t="shared" si="4"/>
        <v>3.946599320400003E-2</v>
      </c>
      <c r="I9" s="56">
        <f t="shared" si="5"/>
        <v>1.8665953082040012</v>
      </c>
      <c r="J9" s="58">
        <f t="shared" si="6"/>
        <v>0.16958257682124145</v>
      </c>
      <c r="K9" s="58">
        <f t="shared" si="7"/>
        <v>9.5722836318153898E-2</v>
      </c>
      <c r="L9" s="58">
        <f t="shared" si="8"/>
        <v>8.5007861327790535E-2</v>
      </c>
      <c r="M9" s="58">
        <f t="shared" si="9"/>
        <v>2.3930709079538474E-2</v>
      </c>
      <c r="N9" s="56">
        <f t="shared" si="10"/>
        <v>2.2408392917507256</v>
      </c>
      <c r="O9" s="56">
        <v>55.75</v>
      </c>
      <c r="P9" s="46">
        <f t="shared" si="11"/>
        <v>0.95707496129230762</v>
      </c>
      <c r="Q9" s="45">
        <f t="shared" si="12"/>
        <v>2.3930709079538475</v>
      </c>
      <c r="R9" s="45">
        <f t="shared" si="13"/>
        <v>2.615626502393555</v>
      </c>
      <c r="S9" s="46">
        <f t="shared" si="14"/>
        <v>6.3613499999999906E-2</v>
      </c>
      <c r="T9" s="46">
        <v>0.22</v>
      </c>
      <c r="U9" s="46">
        <f t="shared" si="15"/>
        <v>0.30974358974358962</v>
      </c>
      <c r="V9" s="51">
        <f t="shared" si="0"/>
        <v>55.75</v>
      </c>
      <c r="W9" s="52">
        <f t="shared" si="1"/>
        <v>0.13980000000000001</v>
      </c>
      <c r="X9" s="52">
        <f t="shared" si="2"/>
        <v>0.96189999999999998</v>
      </c>
      <c r="Y9" s="51">
        <f t="shared" si="3"/>
        <v>1.8271293150000012</v>
      </c>
      <c r="Z9" s="53">
        <v>0</v>
      </c>
      <c r="AA9" s="54" t="s">
        <v>403</v>
      </c>
    </row>
    <row r="10" spans="1:27" x14ac:dyDescent="0.25">
      <c r="A10" s="49">
        <v>7895296280082</v>
      </c>
      <c r="B10" s="49">
        <v>10772</v>
      </c>
      <c r="C10" s="50" t="s">
        <v>17</v>
      </c>
      <c r="D10" s="50" t="s">
        <v>7</v>
      </c>
      <c r="E10" s="50" t="s">
        <v>8</v>
      </c>
      <c r="F10" s="44" t="s">
        <v>405</v>
      </c>
      <c r="G10" s="56">
        <v>2.7067328463999996</v>
      </c>
      <c r="H10" s="56">
        <f t="shared" si="4"/>
        <v>5.8465429482239997E-2</v>
      </c>
      <c r="I10" s="56">
        <f t="shared" si="5"/>
        <v>2.7651982758822395</v>
      </c>
      <c r="J10" s="58">
        <f t="shared" si="6"/>
        <v>0.25122180848989617</v>
      </c>
      <c r="K10" s="58">
        <f t="shared" si="7"/>
        <v>0.1418050397888328</v>
      </c>
      <c r="L10" s="58">
        <f t="shared" si="8"/>
        <v>0.1259317381474703</v>
      </c>
      <c r="M10" s="58">
        <f t="shared" si="9"/>
        <v>3.54512599472082E-2</v>
      </c>
      <c r="N10" s="56">
        <f t="shared" si="10"/>
        <v>3.3196081222556471</v>
      </c>
      <c r="O10" s="56">
        <v>13.61</v>
      </c>
      <c r="P10" s="46">
        <f t="shared" si="11"/>
        <v>0.73952050002051284</v>
      </c>
      <c r="Q10" s="45">
        <f t="shared" si="12"/>
        <v>3.54512599472082</v>
      </c>
      <c r="R10" s="45">
        <f t="shared" si="13"/>
        <v>3.874822712229856</v>
      </c>
      <c r="S10" s="46">
        <f t="shared" si="14"/>
        <v>6.3613500000000017E-2</v>
      </c>
      <c r="T10" s="46">
        <v>0.22</v>
      </c>
      <c r="U10" s="46">
        <f t="shared" si="15"/>
        <v>0.30974358974358984</v>
      </c>
      <c r="V10" s="51">
        <f t="shared" si="0"/>
        <v>13.61</v>
      </c>
      <c r="W10" s="52">
        <f t="shared" si="1"/>
        <v>0.13980000000000001</v>
      </c>
      <c r="X10" s="52">
        <f t="shared" si="2"/>
        <v>0.76880000000000004</v>
      </c>
      <c r="Y10" s="51">
        <f t="shared" si="3"/>
        <v>2.7067328463999996</v>
      </c>
      <c r="Z10" s="53">
        <v>0</v>
      </c>
      <c r="AA10" s="54" t="s">
        <v>403</v>
      </c>
    </row>
    <row r="11" spans="1:27" x14ac:dyDescent="0.25">
      <c r="A11" s="67">
        <v>7895296280143</v>
      </c>
      <c r="B11" s="67">
        <v>10773</v>
      </c>
      <c r="C11" s="68" t="s">
        <v>18</v>
      </c>
      <c r="D11" s="68" t="s">
        <v>7</v>
      </c>
      <c r="E11" s="68" t="s">
        <v>8</v>
      </c>
      <c r="F11" s="68" t="s">
        <v>405</v>
      </c>
      <c r="G11" s="69">
        <v>3.5140030200000005</v>
      </c>
      <c r="H11" s="69">
        <f t="shared" si="4"/>
        <v>7.5902465232000019E-2</v>
      </c>
      <c r="I11" s="69">
        <f t="shared" si="5"/>
        <v>3.5899054852320007</v>
      </c>
      <c r="J11" s="70">
        <f t="shared" si="6"/>
        <v>0.28266118033942278</v>
      </c>
      <c r="K11" s="70">
        <f t="shared" si="7"/>
        <v>0.15955135489920003</v>
      </c>
      <c r="L11" s="70">
        <f t="shared" si="8"/>
        <v>0.14169157511017083</v>
      </c>
      <c r="M11" s="70">
        <f t="shared" si="9"/>
        <v>3.9887838724800007E-2</v>
      </c>
      <c r="N11" s="69">
        <f t="shared" si="10"/>
        <v>4.2136974343055948</v>
      </c>
      <c r="O11" s="69">
        <v>26.7</v>
      </c>
      <c r="P11" s="71">
        <f t="shared" si="11"/>
        <v>0.85060734559999984</v>
      </c>
      <c r="Q11" s="72">
        <f t="shared" si="12"/>
        <v>3.9887838724800009</v>
      </c>
      <c r="R11" s="72">
        <f t="shared" si="13"/>
        <v>4.3597407726206407</v>
      </c>
      <c r="S11" s="71">
        <f t="shared" si="14"/>
        <v>-5.6386500000000096E-2</v>
      </c>
      <c r="T11" s="71">
        <v>0.1</v>
      </c>
      <c r="U11" s="71">
        <f t="shared" si="15"/>
        <v>0.13511111111111118</v>
      </c>
      <c r="V11" s="72">
        <f t="shared" si="0"/>
        <v>26.7</v>
      </c>
      <c r="W11" s="71">
        <f t="shared" si="1"/>
        <v>0.13980000000000001</v>
      </c>
      <c r="X11" s="71">
        <f t="shared" si="2"/>
        <v>0.84699999999999998</v>
      </c>
      <c r="Y11" s="72">
        <f t="shared" si="3"/>
        <v>3.5140030200000005</v>
      </c>
      <c r="Z11" s="73">
        <v>1172</v>
      </c>
      <c r="AA11" s="74">
        <v>46720</v>
      </c>
    </row>
    <row r="12" spans="1:27" x14ac:dyDescent="0.25">
      <c r="A12" s="43">
        <v>7895296280204</v>
      </c>
      <c r="B12" s="43">
        <v>10774</v>
      </c>
      <c r="C12" s="44" t="s">
        <v>19</v>
      </c>
      <c r="D12" s="44" t="s">
        <v>7</v>
      </c>
      <c r="E12" s="44" t="s">
        <v>8</v>
      </c>
      <c r="F12" s="44" t="s">
        <v>405</v>
      </c>
      <c r="G12" s="56">
        <v>5.7524782545999971</v>
      </c>
      <c r="H12" s="56">
        <f t="shared" si="4"/>
        <v>0.12425353029935994</v>
      </c>
      <c r="I12" s="56">
        <f t="shared" si="5"/>
        <v>5.8767317848993574</v>
      </c>
      <c r="J12" s="58">
        <f t="shared" si="6"/>
        <v>0.53390861692962577</v>
      </c>
      <c r="K12" s="58">
        <f t="shared" si="7"/>
        <v>0.3013708607640696</v>
      </c>
      <c r="L12" s="58">
        <f t="shared" si="8"/>
        <v>0.26763616003729152</v>
      </c>
      <c r="M12" s="58">
        <f t="shared" si="9"/>
        <v>7.5342715191017401E-2</v>
      </c>
      <c r="N12" s="56">
        <f t="shared" si="10"/>
        <v>7.0549901378213615</v>
      </c>
      <c r="O12" s="56">
        <v>71.83</v>
      </c>
      <c r="P12" s="46">
        <f t="shared" si="11"/>
        <v>0.89510968231794885</v>
      </c>
      <c r="Q12" s="45">
        <f t="shared" si="12"/>
        <v>7.5342715191017398</v>
      </c>
      <c r="R12" s="45">
        <f t="shared" si="13"/>
        <v>8.234958770378201</v>
      </c>
      <c r="S12" s="46">
        <f t="shared" si="14"/>
        <v>6.3613499999999962E-2</v>
      </c>
      <c r="T12" s="46">
        <v>0.22</v>
      </c>
      <c r="U12" s="46">
        <f t="shared" si="15"/>
        <v>0.30974358974358984</v>
      </c>
      <c r="V12" s="45">
        <f t="shared" si="0"/>
        <v>71.83</v>
      </c>
      <c r="W12" s="46">
        <f t="shared" si="1"/>
        <v>0.13980000000000001</v>
      </c>
      <c r="X12" s="46">
        <f t="shared" si="2"/>
        <v>0.90690000000000004</v>
      </c>
      <c r="Y12" s="45">
        <f t="shared" si="3"/>
        <v>5.7524782545999971</v>
      </c>
      <c r="Z12" s="47">
        <v>1</v>
      </c>
      <c r="AA12" s="48">
        <v>46741</v>
      </c>
    </row>
    <row r="13" spans="1:27" x14ac:dyDescent="0.25">
      <c r="A13" s="49">
        <v>7895296449670</v>
      </c>
      <c r="B13" s="49">
        <v>22150</v>
      </c>
      <c r="C13" s="50" t="s">
        <v>20</v>
      </c>
      <c r="D13" s="50" t="s">
        <v>7</v>
      </c>
      <c r="E13" s="50" t="s">
        <v>8</v>
      </c>
      <c r="F13" s="44" t="s">
        <v>405</v>
      </c>
      <c r="G13" s="56">
        <v>6.0645029016000001</v>
      </c>
      <c r="H13" s="56">
        <f t="shared" si="4"/>
        <v>0.13099326267456002</v>
      </c>
      <c r="I13" s="56">
        <f t="shared" si="5"/>
        <v>6.1954961642745605</v>
      </c>
      <c r="J13" s="58">
        <f t="shared" si="6"/>
        <v>0.56286876946814424</v>
      </c>
      <c r="K13" s="58">
        <f t="shared" si="7"/>
        <v>0.31771775201408003</v>
      </c>
      <c r="L13" s="58">
        <f t="shared" si="8"/>
        <v>0.28215322114800395</v>
      </c>
      <c r="M13" s="58">
        <f t="shared" si="9"/>
        <v>7.9429438003520009E-2</v>
      </c>
      <c r="N13" s="56">
        <f t="shared" si="10"/>
        <v>7.437665344908309</v>
      </c>
      <c r="O13" s="56">
        <v>22.36</v>
      </c>
      <c r="P13" s="46">
        <f t="shared" si="11"/>
        <v>0.64476995526153835</v>
      </c>
      <c r="Q13" s="45">
        <f t="shared" si="12"/>
        <v>7.9429438003520003</v>
      </c>
      <c r="R13" s="45">
        <f t="shared" si="13"/>
        <v>8.6816375737847373</v>
      </c>
      <c r="S13" s="46">
        <f t="shared" si="14"/>
        <v>6.361349999999992E-2</v>
      </c>
      <c r="T13" s="46">
        <v>0.22</v>
      </c>
      <c r="U13" s="46">
        <f t="shared" si="15"/>
        <v>0.30974358974358984</v>
      </c>
      <c r="V13" s="51">
        <f t="shared" si="0"/>
        <v>22.36</v>
      </c>
      <c r="W13" s="52">
        <f t="shared" si="1"/>
        <v>0.13980000000000001</v>
      </c>
      <c r="X13" s="52">
        <f t="shared" si="2"/>
        <v>0.68469999999999998</v>
      </c>
      <c r="Y13" s="51">
        <f t="shared" si="3"/>
        <v>6.0645029016000001</v>
      </c>
      <c r="Z13" s="53">
        <v>0</v>
      </c>
      <c r="AA13" s="54" t="s">
        <v>403</v>
      </c>
    </row>
    <row r="14" spans="1:27" x14ac:dyDescent="0.25">
      <c r="A14" s="67">
        <v>7895296449687</v>
      </c>
      <c r="B14" s="67">
        <v>18948</v>
      </c>
      <c r="C14" s="68" t="s">
        <v>21</v>
      </c>
      <c r="D14" s="68" t="s">
        <v>12</v>
      </c>
      <c r="E14" s="68" t="s">
        <v>8</v>
      </c>
      <c r="F14" s="68" t="s">
        <v>405</v>
      </c>
      <c r="G14" s="69">
        <v>6.0749336868000006</v>
      </c>
      <c r="H14" s="69">
        <f t="shared" si="4"/>
        <v>0.13121856763488002</v>
      </c>
      <c r="I14" s="69">
        <f t="shared" si="5"/>
        <v>6.2061522544348806</v>
      </c>
      <c r="J14" s="70">
        <f t="shared" si="6"/>
        <v>0.55181025515467175</v>
      </c>
      <c r="K14" s="70">
        <f t="shared" si="7"/>
        <v>0.311475646395728</v>
      </c>
      <c r="L14" s="70">
        <f t="shared" si="8"/>
        <v>0.27660984122730614</v>
      </c>
      <c r="M14" s="70">
        <f t="shared" si="9"/>
        <v>7.7868911598932E-2</v>
      </c>
      <c r="N14" s="69">
        <f t="shared" si="10"/>
        <v>7.4239169088115178</v>
      </c>
      <c r="O14" s="69">
        <v>26.66</v>
      </c>
      <c r="P14" s="71">
        <f t="shared" si="11"/>
        <v>0.70791856114429097</v>
      </c>
      <c r="Q14" s="72">
        <f t="shared" si="12"/>
        <v>7.7868911598932007</v>
      </c>
      <c r="R14" s="72">
        <f t="shared" si="13"/>
        <v>8.5110720377632667</v>
      </c>
      <c r="S14" s="71">
        <f t="shared" si="14"/>
        <v>4.6613500000000155E-2</v>
      </c>
      <c r="T14" s="71">
        <v>0.20300000000000001</v>
      </c>
      <c r="U14" s="71">
        <f t="shared" si="15"/>
        <v>0.28180677540777932</v>
      </c>
      <c r="V14" s="72">
        <f t="shared" si="0"/>
        <v>26.66</v>
      </c>
      <c r="W14" s="71">
        <f t="shared" si="1"/>
        <v>0.13980000000000001</v>
      </c>
      <c r="X14" s="71">
        <f t="shared" si="2"/>
        <v>0.73509999999999998</v>
      </c>
      <c r="Y14" s="72">
        <f t="shared" si="3"/>
        <v>6.0749336868000006</v>
      </c>
      <c r="Z14" s="73">
        <v>623</v>
      </c>
      <c r="AA14" s="74">
        <v>46571</v>
      </c>
    </row>
    <row r="15" spans="1:27" x14ac:dyDescent="0.25">
      <c r="A15" s="43">
        <v>7895296193016</v>
      </c>
      <c r="B15" s="43">
        <v>10381</v>
      </c>
      <c r="C15" s="44" t="s">
        <v>22</v>
      </c>
      <c r="D15" s="44" t="s">
        <v>7</v>
      </c>
      <c r="E15" s="44" t="s">
        <v>8</v>
      </c>
      <c r="F15" s="44" t="s">
        <v>405</v>
      </c>
      <c r="G15" s="56">
        <v>17.596028408199999</v>
      </c>
      <c r="H15" s="56">
        <f t="shared" si="4"/>
        <v>0.38007421361712002</v>
      </c>
      <c r="I15" s="56">
        <f t="shared" si="5"/>
        <v>17.97610262181712</v>
      </c>
      <c r="J15" s="58">
        <f t="shared" si="6"/>
        <v>1.6331519694774981</v>
      </c>
      <c r="K15" s="58">
        <f t="shared" si="7"/>
        <v>0.92185141650344204</v>
      </c>
      <c r="L15" s="58">
        <f t="shared" si="8"/>
        <v>0.81866167356858799</v>
      </c>
      <c r="M15" s="58">
        <f t="shared" si="9"/>
        <v>0.23046285412586051</v>
      </c>
      <c r="N15" s="56">
        <f t="shared" si="10"/>
        <v>21.580230535492511</v>
      </c>
      <c r="O15" s="56">
        <v>67.09</v>
      </c>
      <c r="P15" s="46">
        <f t="shared" si="11"/>
        <v>0.65648702619487176</v>
      </c>
      <c r="Q15" s="45">
        <f t="shared" si="12"/>
        <v>23.046285412586052</v>
      </c>
      <c r="R15" s="45">
        <f t="shared" si="13"/>
        <v>25.189589955956553</v>
      </c>
      <c r="S15" s="46">
        <f t="shared" si="14"/>
        <v>6.3613499999999906E-2</v>
      </c>
      <c r="T15" s="46">
        <v>0.22</v>
      </c>
      <c r="U15" s="46">
        <f t="shared" si="15"/>
        <v>0.30974358974358984</v>
      </c>
      <c r="V15" s="45">
        <f t="shared" si="0"/>
        <v>67.09</v>
      </c>
      <c r="W15" s="46">
        <f t="shared" si="1"/>
        <v>0.13980000000000001</v>
      </c>
      <c r="X15" s="46">
        <f t="shared" si="2"/>
        <v>0.69510000000000005</v>
      </c>
      <c r="Y15" s="45">
        <f t="shared" si="3"/>
        <v>17.596028408199999</v>
      </c>
      <c r="Z15" s="47">
        <v>67</v>
      </c>
      <c r="AA15" s="48">
        <v>46681</v>
      </c>
    </row>
    <row r="16" spans="1:27" x14ac:dyDescent="0.25">
      <c r="A16" s="49">
        <v>7895296449069</v>
      </c>
      <c r="B16" s="49">
        <v>21181</v>
      </c>
      <c r="C16" s="50" t="s">
        <v>23</v>
      </c>
      <c r="D16" s="50" t="s">
        <v>12</v>
      </c>
      <c r="E16" s="50" t="s">
        <v>8</v>
      </c>
      <c r="F16" s="44" t="s">
        <v>405</v>
      </c>
      <c r="G16" s="56">
        <v>5.7416629600000002</v>
      </c>
      <c r="H16" s="56">
        <f t="shared" si="4"/>
        <v>0.12401991993600002</v>
      </c>
      <c r="I16" s="56">
        <f t="shared" si="5"/>
        <v>5.8656828799360001</v>
      </c>
      <c r="J16" s="58">
        <f t="shared" si="6"/>
        <v>0.5329048097484419</v>
      </c>
      <c r="K16" s="58">
        <f t="shared" si="7"/>
        <v>0.30080425025312818</v>
      </c>
      <c r="L16" s="58">
        <f t="shared" si="8"/>
        <v>0.26713297449041867</v>
      </c>
      <c r="M16" s="58">
        <f t="shared" si="9"/>
        <v>7.5201062563282045E-2</v>
      </c>
      <c r="N16" s="56">
        <f t="shared" si="10"/>
        <v>7.0417259769912706</v>
      </c>
      <c r="O16" s="56">
        <v>16.399999999999999</v>
      </c>
      <c r="P16" s="46">
        <f t="shared" si="11"/>
        <v>0.5414569355897435</v>
      </c>
      <c r="Q16" s="45">
        <f t="shared" si="12"/>
        <v>7.5201062563282051</v>
      </c>
      <c r="R16" s="45">
        <f t="shared" si="13"/>
        <v>8.2194761381667281</v>
      </c>
      <c r="S16" s="46">
        <f t="shared" si="14"/>
        <v>6.3613500000000031E-2</v>
      </c>
      <c r="T16" s="46">
        <v>0.22</v>
      </c>
      <c r="U16" s="46">
        <f t="shared" si="15"/>
        <v>0.30974358974358962</v>
      </c>
      <c r="V16" s="51">
        <f t="shared" si="0"/>
        <v>16.399999999999999</v>
      </c>
      <c r="W16" s="52">
        <f t="shared" si="1"/>
        <v>0.13980000000000001</v>
      </c>
      <c r="X16" s="52">
        <f t="shared" si="2"/>
        <v>0.59299999999999997</v>
      </c>
      <c r="Y16" s="51">
        <f t="shared" si="3"/>
        <v>5.7416629600000002</v>
      </c>
      <c r="Z16" s="53">
        <v>0</v>
      </c>
      <c r="AA16" s="54">
        <v>46646</v>
      </c>
    </row>
    <row r="17" spans="1:27" x14ac:dyDescent="0.25">
      <c r="A17" s="49">
        <v>7895296415026</v>
      </c>
      <c r="B17" s="49">
        <v>11700</v>
      </c>
      <c r="C17" s="50" t="s">
        <v>24</v>
      </c>
      <c r="D17" s="50" t="s">
        <v>7</v>
      </c>
      <c r="E17" s="50" t="s">
        <v>8</v>
      </c>
      <c r="F17" s="44" t="s">
        <v>405</v>
      </c>
      <c r="G17" s="56">
        <v>2.1649651231999982</v>
      </c>
      <c r="H17" s="56">
        <f t="shared" si="4"/>
        <v>4.6763246661119959E-2</v>
      </c>
      <c r="I17" s="56">
        <f t="shared" si="5"/>
        <v>2.2117283698611181</v>
      </c>
      <c r="J17" s="58">
        <f t="shared" si="6"/>
        <v>0.2009383579510747</v>
      </c>
      <c r="K17" s="58">
        <f t="shared" si="7"/>
        <v>0.11342196768518553</v>
      </c>
      <c r="L17" s="58">
        <f t="shared" si="8"/>
        <v>0.10072579617742507</v>
      </c>
      <c r="M17" s="58">
        <f t="shared" si="9"/>
        <v>2.8355491921296383E-2</v>
      </c>
      <c r="N17" s="56">
        <f t="shared" si="10"/>
        <v>2.6551699835961</v>
      </c>
      <c r="O17" s="56">
        <v>51.68</v>
      </c>
      <c r="P17" s="46">
        <f t="shared" si="11"/>
        <v>0.94513256207179486</v>
      </c>
      <c r="Q17" s="45">
        <f t="shared" si="12"/>
        <v>2.8355491921296383</v>
      </c>
      <c r="R17" s="45">
        <f t="shared" si="13"/>
        <v>3.0992552669976945</v>
      </c>
      <c r="S17" s="46">
        <f t="shared" si="14"/>
        <v>6.3613499999999837E-2</v>
      </c>
      <c r="T17" s="46">
        <v>0.22</v>
      </c>
      <c r="U17" s="46">
        <f t="shared" si="15"/>
        <v>0.30974358974358962</v>
      </c>
      <c r="V17" s="51">
        <f t="shared" si="0"/>
        <v>51.68</v>
      </c>
      <c r="W17" s="52">
        <f t="shared" si="1"/>
        <v>0.13980000000000001</v>
      </c>
      <c r="X17" s="52">
        <f t="shared" si="2"/>
        <v>0.95130000000000003</v>
      </c>
      <c r="Y17" s="51">
        <f t="shared" si="3"/>
        <v>2.1649651231999982</v>
      </c>
      <c r="Z17" s="53">
        <v>0</v>
      </c>
      <c r="AA17" s="54" t="s">
        <v>403</v>
      </c>
    </row>
    <row r="18" spans="1:27" x14ac:dyDescent="0.25">
      <c r="A18" s="49">
        <v>7895296415019</v>
      </c>
      <c r="B18" s="49">
        <v>11440</v>
      </c>
      <c r="C18" s="50" t="s">
        <v>25</v>
      </c>
      <c r="D18" s="50" t="s">
        <v>7</v>
      </c>
      <c r="E18" s="50" t="s">
        <v>8</v>
      </c>
      <c r="F18" s="44" t="s">
        <v>405</v>
      </c>
      <c r="G18" s="56">
        <v>1.0821488040000005</v>
      </c>
      <c r="H18" s="56">
        <f t="shared" si="4"/>
        <v>2.3374414166400011E-2</v>
      </c>
      <c r="I18" s="56">
        <f t="shared" si="5"/>
        <v>1.1055232181664005</v>
      </c>
      <c r="J18" s="58">
        <f t="shared" si="6"/>
        <v>0.10043820170787668</v>
      </c>
      <c r="K18" s="58">
        <f t="shared" si="7"/>
        <v>5.6693498367507721E-2</v>
      </c>
      <c r="L18" s="58">
        <f t="shared" si="8"/>
        <v>5.0347369893994826E-2</v>
      </c>
      <c r="M18" s="58">
        <f t="shared" si="9"/>
        <v>1.417337459187693E-2</v>
      </c>
      <c r="N18" s="56">
        <f t="shared" si="10"/>
        <v>1.3271756627276567</v>
      </c>
      <c r="O18" s="56">
        <v>26.1</v>
      </c>
      <c r="P18" s="46">
        <f t="shared" si="11"/>
        <v>0.94569588278974359</v>
      </c>
      <c r="Q18" s="45">
        <f t="shared" si="12"/>
        <v>1.417337459187693</v>
      </c>
      <c r="R18" s="45">
        <f t="shared" si="13"/>
        <v>1.5491498428921484</v>
      </c>
      <c r="S18" s="46">
        <f t="shared" si="14"/>
        <v>6.3613499999999989E-2</v>
      </c>
      <c r="T18" s="46">
        <v>0.22</v>
      </c>
      <c r="U18" s="46">
        <f t="shared" si="15"/>
        <v>0.30974358974358984</v>
      </c>
      <c r="V18" s="51">
        <f t="shared" si="0"/>
        <v>26.1</v>
      </c>
      <c r="W18" s="52">
        <f t="shared" si="1"/>
        <v>0.13980000000000001</v>
      </c>
      <c r="X18" s="52">
        <f t="shared" si="2"/>
        <v>0.95179999999999998</v>
      </c>
      <c r="Y18" s="51">
        <f t="shared" si="3"/>
        <v>1.0821488040000005</v>
      </c>
      <c r="Z18" s="53">
        <v>0</v>
      </c>
      <c r="AA18" s="54" t="s">
        <v>403</v>
      </c>
    </row>
    <row r="19" spans="1:27" x14ac:dyDescent="0.25">
      <c r="A19" s="43">
        <v>7895296219020</v>
      </c>
      <c r="B19" s="43">
        <v>22257</v>
      </c>
      <c r="C19" s="44" t="s">
        <v>26</v>
      </c>
      <c r="D19" s="44" t="s">
        <v>12</v>
      </c>
      <c r="E19" s="44" t="s">
        <v>8</v>
      </c>
      <c r="F19" s="44" t="s">
        <v>405</v>
      </c>
      <c r="G19" s="56">
        <v>26.270840037199999</v>
      </c>
      <c r="H19" s="56">
        <f t="shared" si="4"/>
        <v>0.56745014480352007</v>
      </c>
      <c r="I19" s="56">
        <f t="shared" si="5"/>
        <v>26.838290182003519</v>
      </c>
      <c r="J19" s="58">
        <f t="shared" si="6"/>
        <v>2.438293071099356</v>
      </c>
      <c r="K19" s="58">
        <f t="shared" si="7"/>
        <v>1.376322573436078</v>
      </c>
      <c r="L19" s="58">
        <f t="shared" si="8"/>
        <v>1.2222604653720768</v>
      </c>
      <c r="M19" s="58">
        <f t="shared" si="9"/>
        <v>0.3440806433590195</v>
      </c>
      <c r="N19" s="56">
        <f t="shared" si="10"/>
        <v>32.21924693527005</v>
      </c>
      <c r="O19" s="56">
        <v>163.58000000000001</v>
      </c>
      <c r="P19" s="46">
        <f t="shared" si="11"/>
        <v>0.78965604391794875</v>
      </c>
      <c r="Q19" s="45">
        <f t="shared" si="12"/>
        <v>34.408064335901948</v>
      </c>
      <c r="R19" s="45">
        <f t="shared" si="13"/>
        <v>37.608014319140828</v>
      </c>
      <c r="S19" s="46">
        <f t="shared" si="14"/>
        <v>6.3613499999999976E-2</v>
      </c>
      <c r="T19" s="46">
        <v>0.22</v>
      </c>
      <c r="U19" s="46">
        <f t="shared" si="15"/>
        <v>0.30974358974358984</v>
      </c>
      <c r="V19" s="45">
        <f t="shared" si="0"/>
        <v>163.58000000000001</v>
      </c>
      <c r="W19" s="46">
        <f t="shared" si="1"/>
        <v>0.13980000000000001</v>
      </c>
      <c r="X19" s="46">
        <f t="shared" si="2"/>
        <v>0.81330000000000002</v>
      </c>
      <c r="Y19" s="45">
        <f t="shared" si="3"/>
        <v>26.270840037199999</v>
      </c>
      <c r="Z19" s="47">
        <v>3</v>
      </c>
      <c r="AA19" s="48">
        <v>46811</v>
      </c>
    </row>
    <row r="20" spans="1:27" x14ac:dyDescent="0.25">
      <c r="A20" s="43">
        <v>7895296219037</v>
      </c>
      <c r="B20" s="43">
        <v>22258</v>
      </c>
      <c r="C20" s="44" t="s">
        <v>27</v>
      </c>
      <c r="D20" s="44" t="s">
        <v>12</v>
      </c>
      <c r="E20" s="44" t="s">
        <v>8</v>
      </c>
      <c r="F20" s="44" t="s">
        <v>405</v>
      </c>
      <c r="G20" s="56">
        <v>55.130467458000012</v>
      </c>
      <c r="H20" s="56">
        <f t="shared" si="4"/>
        <v>1.1908180970928004</v>
      </c>
      <c r="I20" s="56">
        <f t="shared" si="5"/>
        <v>56.321285555092814</v>
      </c>
      <c r="J20" s="58">
        <f t="shared" si="6"/>
        <v>5.1168609994565344</v>
      </c>
      <c r="K20" s="58">
        <f t="shared" si="7"/>
        <v>2.8882710541073235</v>
      </c>
      <c r="L20" s="58">
        <f t="shared" si="8"/>
        <v>2.5649652129881848</v>
      </c>
      <c r="M20" s="58">
        <f t="shared" si="9"/>
        <v>0.72206776352683089</v>
      </c>
      <c r="N20" s="56">
        <f t="shared" si="10"/>
        <v>67.613450585171691</v>
      </c>
      <c r="O20" s="56">
        <v>354.09</v>
      </c>
      <c r="P20" s="46">
        <f t="shared" si="11"/>
        <v>0.79607790010256396</v>
      </c>
      <c r="Q20" s="45">
        <f t="shared" si="12"/>
        <v>72.206776352683093</v>
      </c>
      <c r="R20" s="45">
        <f t="shared" si="13"/>
        <v>78.922006553482618</v>
      </c>
      <c r="S20" s="46">
        <f t="shared" si="14"/>
        <v>6.3613499999999948E-2</v>
      </c>
      <c r="T20" s="46">
        <v>0.22</v>
      </c>
      <c r="U20" s="46">
        <f t="shared" si="15"/>
        <v>0.30974358974358984</v>
      </c>
      <c r="V20" s="45">
        <f t="shared" si="0"/>
        <v>354.09</v>
      </c>
      <c r="W20" s="46">
        <f t="shared" si="1"/>
        <v>0.13980000000000001</v>
      </c>
      <c r="X20" s="46">
        <f t="shared" si="2"/>
        <v>0.81899999999999995</v>
      </c>
      <c r="Y20" s="45">
        <f t="shared" si="3"/>
        <v>55.130467458000012</v>
      </c>
      <c r="Z20" s="47">
        <v>41</v>
      </c>
      <c r="AA20" s="48">
        <v>46713</v>
      </c>
    </row>
    <row r="21" spans="1:27" x14ac:dyDescent="0.25">
      <c r="A21" s="43">
        <v>7895296087032</v>
      </c>
      <c r="B21" s="43">
        <v>10389</v>
      </c>
      <c r="C21" s="44" t="s">
        <v>28</v>
      </c>
      <c r="D21" s="44" t="s">
        <v>7</v>
      </c>
      <c r="E21" s="44" t="s">
        <v>8</v>
      </c>
      <c r="F21" s="44" t="s">
        <v>405</v>
      </c>
      <c r="G21" s="56">
        <v>6.2569571679999996</v>
      </c>
      <c r="H21" s="56">
        <f t="shared" si="4"/>
        <v>0.13515027482879999</v>
      </c>
      <c r="I21" s="56">
        <f t="shared" si="5"/>
        <v>6.3921074428287996</v>
      </c>
      <c r="J21" s="58">
        <f t="shared" si="6"/>
        <v>0.5807311561905385</v>
      </c>
      <c r="K21" s="58">
        <f t="shared" si="7"/>
        <v>0.32780038168352815</v>
      </c>
      <c r="L21" s="58">
        <f t="shared" si="8"/>
        <v>0.29110722645882819</v>
      </c>
      <c r="M21" s="58">
        <f t="shared" si="9"/>
        <v>8.1950095420882038E-2</v>
      </c>
      <c r="N21" s="56">
        <f t="shared" si="10"/>
        <v>7.6736963025825764</v>
      </c>
      <c r="O21" s="56">
        <v>58.66</v>
      </c>
      <c r="P21" s="46">
        <f t="shared" si="11"/>
        <v>0.86029646194871801</v>
      </c>
      <c r="Q21" s="45">
        <f t="shared" si="12"/>
        <v>8.1950095420882043</v>
      </c>
      <c r="R21" s="45">
        <f t="shared" si="13"/>
        <v>8.9571454295024058</v>
      </c>
      <c r="S21" s="46">
        <f t="shared" si="14"/>
        <v>6.3613499999999989E-2</v>
      </c>
      <c r="T21" s="46">
        <v>0.22</v>
      </c>
      <c r="U21" s="46">
        <f t="shared" si="15"/>
        <v>0.30974358974358962</v>
      </c>
      <c r="V21" s="45">
        <f t="shared" si="0"/>
        <v>58.66</v>
      </c>
      <c r="W21" s="46">
        <f t="shared" si="1"/>
        <v>0.13980000000000001</v>
      </c>
      <c r="X21" s="46">
        <f t="shared" si="2"/>
        <v>0.876</v>
      </c>
      <c r="Y21" s="45">
        <f t="shared" si="3"/>
        <v>6.2569571679999996</v>
      </c>
      <c r="Z21" s="47">
        <v>39</v>
      </c>
      <c r="AA21" s="48">
        <v>46659</v>
      </c>
    </row>
    <row r="22" spans="1:27" x14ac:dyDescent="0.25">
      <c r="A22" s="43">
        <v>7895296087087</v>
      </c>
      <c r="B22" s="43">
        <v>10506</v>
      </c>
      <c r="C22" s="44" t="s">
        <v>29</v>
      </c>
      <c r="D22" s="44" t="s">
        <v>7</v>
      </c>
      <c r="E22" s="44" t="s">
        <v>8</v>
      </c>
      <c r="F22" s="44" t="s">
        <v>405</v>
      </c>
      <c r="G22" s="56">
        <v>6.2074492172000033</v>
      </c>
      <c r="H22" s="56">
        <f t="shared" si="4"/>
        <v>0.13408090309152007</v>
      </c>
      <c r="I22" s="56">
        <f t="shared" si="5"/>
        <v>6.3415301202915231</v>
      </c>
      <c r="J22" s="58">
        <f t="shared" si="6"/>
        <v>0.5761361415953058</v>
      </c>
      <c r="K22" s="58">
        <f t="shared" si="7"/>
        <v>0.32520667283546273</v>
      </c>
      <c r="L22" s="58">
        <f t="shared" si="8"/>
        <v>0.28880385089494315</v>
      </c>
      <c r="M22" s="58">
        <f t="shared" si="9"/>
        <v>8.1301668208865682E-2</v>
      </c>
      <c r="N22" s="56">
        <f t="shared" si="10"/>
        <v>7.6129784538261012</v>
      </c>
      <c r="O22" s="56">
        <v>69.790000000000006</v>
      </c>
      <c r="P22" s="46">
        <f t="shared" si="11"/>
        <v>0.88350527552820501</v>
      </c>
      <c r="Q22" s="45">
        <f t="shared" si="12"/>
        <v>8.1301668208865685</v>
      </c>
      <c r="R22" s="45">
        <f t="shared" si="13"/>
        <v>8.8862723352290196</v>
      </c>
      <c r="S22" s="46">
        <f t="shared" si="14"/>
        <v>6.3613499999999948E-2</v>
      </c>
      <c r="T22" s="46">
        <v>0.22</v>
      </c>
      <c r="U22" s="46">
        <f t="shared" si="15"/>
        <v>0.30974358974358984</v>
      </c>
      <c r="V22" s="45">
        <f t="shared" si="0"/>
        <v>69.790000000000006</v>
      </c>
      <c r="W22" s="46">
        <f t="shared" si="1"/>
        <v>0.13980000000000001</v>
      </c>
      <c r="X22" s="46">
        <f t="shared" si="2"/>
        <v>0.89659999999999995</v>
      </c>
      <c r="Y22" s="45">
        <f t="shared" si="3"/>
        <v>6.2074492172000033</v>
      </c>
      <c r="Z22" s="47">
        <v>238</v>
      </c>
      <c r="AA22" s="48">
        <v>46715</v>
      </c>
    </row>
    <row r="23" spans="1:27" x14ac:dyDescent="0.25">
      <c r="A23" s="49">
        <v>7895296087131</v>
      </c>
      <c r="B23" s="49">
        <v>10379</v>
      </c>
      <c r="C23" s="50" t="s">
        <v>30</v>
      </c>
      <c r="D23" s="50" t="s">
        <v>7</v>
      </c>
      <c r="E23" s="50" t="s">
        <v>8</v>
      </c>
      <c r="F23" s="44" t="s">
        <v>405</v>
      </c>
      <c r="G23" s="56">
        <v>12.693044964600002</v>
      </c>
      <c r="H23" s="56">
        <f t="shared" si="4"/>
        <v>0.27416977123536007</v>
      </c>
      <c r="I23" s="56">
        <f t="shared" si="5"/>
        <v>12.967214735835363</v>
      </c>
      <c r="J23" s="58">
        <f t="shared" si="6"/>
        <v>1.1780880833849194</v>
      </c>
      <c r="K23" s="58">
        <f t="shared" si="7"/>
        <v>0.6649853710684801</v>
      </c>
      <c r="L23" s="58">
        <f t="shared" si="8"/>
        <v>0.59054857109450209</v>
      </c>
      <c r="M23" s="58">
        <f t="shared" si="9"/>
        <v>0.16624634276712003</v>
      </c>
      <c r="N23" s="56">
        <f t="shared" si="10"/>
        <v>15.567083104150385</v>
      </c>
      <c r="O23" s="56">
        <v>117.39</v>
      </c>
      <c r="P23" s="46">
        <f t="shared" si="11"/>
        <v>0.85838117150769233</v>
      </c>
      <c r="Q23" s="45">
        <f t="shared" si="12"/>
        <v>16.624634276712001</v>
      </c>
      <c r="R23" s="45">
        <f t="shared" si="13"/>
        <v>18.170725264446219</v>
      </c>
      <c r="S23" s="46">
        <f t="shared" si="14"/>
        <v>6.3613499999999865E-2</v>
      </c>
      <c r="T23" s="46">
        <v>0.22</v>
      </c>
      <c r="U23" s="46">
        <f t="shared" si="15"/>
        <v>0.30974358974358962</v>
      </c>
      <c r="V23" s="51">
        <f t="shared" si="0"/>
        <v>117.39</v>
      </c>
      <c r="W23" s="52">
        <f t="shared" si="1"/>
        <v>0.13980000000000001</v>
      </c>
      <c r="X23" s="52">
        <f t="shared" si="2"/>
        <v>0.87429999999999997</v>
      </c>
      <c r="Y23" s="51">
        <f t="shared" si="3"/>
        <v>12.693044964600002</v>
      </c>
      <c r="Z23" s="53">
        <v>0</v>
      </c>
      <c r="AA23" s="54">
        <v>46764</v>
      </c>
    </row>
    <row r="24" spans="1:27" x14ac:dyDescent="0.25">
      <c r="A24" s="49">
        <v>7895296220033</v>
      </c>
      <c r="B24" s="49">
        <v>10380</v>
      </c>
      <c r="C24" s="50" t="s">
        <v>31</v>
      </c>
      <c r="D24" s="50" t="s">
        <v>7</v>
      </c>
      <c r="E24" s="50" t="s">
        <v>8</v>
      </c>
      <c r="F24" s="44" t="s">
        <v>405</v>
      </c>
      <c r="G24" s="56">
        <v>2.6452251056000007</v>
      </c>
      <c r="H24" s="56">
        <f t="shared" si="4"/>
        <v>5.7136862280960016E-2</v>
      </c>
      <c r="I24" s="56">
        <f t="shared" si="5"/>
        <v>2.7023619678809605</v>
      </c>
      <c r="J24" s="58">
        <f t="shared" si="6"/>
        <v>0.24551304934861073</v>
      </c>
      <c r="K24" s="58">
        <f t="shared" si="7"/>
        <v>0.13858266501953642</v>
      </c>
      <c r="L24" s="58">
        <f t="shared" si="8"/>
        <v>0.12307006795391207</v>
      </c>
      <c r="M24" s="58">
        <f t="shared" si="9"/>
        <v>3.4645666254884105E-2</v>
      </c>
      <c r="N24" s="56">
        <f t="shared" si="10"/>
        <v>3.2441734164579037</v>
      </c>
      <c r="O24" s="56">
        <v>24.68</v>
      </c>
      <c r="P24" s="46">
        <f t="shared" si="11"/>
        <v>0.85962047708717948</v>
      </c>
      <c r="Q24" s="45">
        <f t="shared" si="12"/>
        <v>3.4645666254884109</v>
      </c>
      <c r="R24" s="45">
        <f t="shared" si="13"/>
        <v>3.7867713216588328</v>
      </c>
      <c r="S24" s="46">
        <f t="shared" si="14"/>
        <v>6.3613500000000045E-2</v>
      </c>
      <c r="T24" s="46">
        <v>0.22</v>
      </c>
      <c r="U24" s="46">
        <f t="shared" si="15"/>
        <v>0.30974358974358962</v>
      </c>
      <c r="V24" s="51">
        <f t="shared" si="0"/>
        <v>24.68</v>
      </c>
      <c r="W24" s="52">
        <f t="shared" si="1"/>
        <v>0.13980000000000001</v>
      </c>
      <c r="X24" s="52">
        <f t="shared" si="2"/>
        <v>0.87539999999999996</v>
      </c>
      <c r="Y24" s="51">
        <f t="shared" si="3"/>
        <v>2.6452251056000007</v>
      </c>
      <c r="Z24" s="53">
        <v>0</v>
      </c>
      <c r="AA24" s="54" t="s">
        <v>403</v>
      </c>
    </row>
    <row r="25" spans="1:27" x14ac:dyDescent="0.25">
      <c r="A25" s="43">
        <v>7896472521937</v>
      </c>
      <c r="B25" s="43">
        <v>23999</v>
      </c>
      <c r="C25" s="44" t="s">
        <v>32</v>
      </c>
      <c r="D25" s="44" t="s">
        <v>12</v>
      </c>
      <c r="E25" s="44" t="s">
        <v>8</v>
      </c>
      <c r="F25" s="44" t="s">
        <v>405</v>
      </c>
      <c r="G25" s="56">
        <v>15.695938649599997</v>
      </c>
      <c r="H25" s="56">
        <f t="shared" si="4"/>
        <v>0.33903227483135995</v>
      </c>
      <c r="I25" s="56">
        <f t="shared" si="5"/>
        <v>16.034970924431356</v>
      </c>
      <c r="J25" s="58">
        <f t="shared" si="6"/>
        <v>1.4567976661396203</v>
      </c>
      <c r="K25" s="58">
        <f t="shared" si="7"/>
        <v>0.82230620125289011</v>
      </c>
      <c r="L25" s="58">
        <f t="shared" si="8"/>
        <v>0.73025930085014468</v>
      </c>
      <c r="M25" s="58">
        <f t="shared" si="9"/>
        <v>0.20557655031322253</v>
      </c>
      <c r="N25" s="56">
        <f t="shared" si="10"/>
        <v>19.249910642987231</v>
      </c>
      <c r="O25" s="56">
        <v>42.16</v>
      </c>
      <c r="P25" s="46">
        <f t="shared" si="11"/>
        <v>0.51238958654358979</v>
      </c>
      <c r="Q25" s="45">
        <f t="shared" si="12"/>
        <v>20.557655031322252</v>
      </c>
      <c r="R25" s="45">
        <f t="shared" si="13"/>
        <v>22.469516949235221</v>
      </c>
      <c r="S25" s="46">
        <f t="shared" si="14"/>
        <v>6.3613500000000128E-2</v>
      </c>
      <c r="T25" s="46">
        <v>0.22</v>
      </c>
      <c r="U25" s="46">
        <f t="shared" si="15"/>
        <v>0.30974358974358962</v>
      </c>
      <c r="V25" s="45">
        <f t="shared" si="0"/>
        <v>42.16</v>
      </c>
      <c r="W25" s="46">
        <f t="shared" si="1"/>
        <v>0.13980000000000001</v>
      </c>
      <c r="X25" s="46">
        <f t="shared" si="2"/>
        <v>0.56720000000000004</v>
      </c>
      <c r="Y25" s="45">
        <f t="shared" si="3"/>
        <v>15.695938649599997</v>
      </c>
      <c r="Z25" s="47">
        <v>81</v>
      </c>
      <c r="AA25" s="48">
        <v>46740</v>
      </c>
    </row>
    <row r="26" spans="1:27" x14ac:dyDescent="0.25">
      <c r="A26" s="49">
        <v>7896472521944</v>
      </c>
      <c r="B26" s="49">
        <v>24003</v>
      </c>
      <c r="C26" s="50" t="s">
        <v>33</v>
      </c>
      <c r="D26" s="50" t="s">
        <v>12</v>
      </c>
      <c r="E26" s="50" t="s">
        <v>8</v>
      </c>
      <c r="F26" s="44" t="s">
        <v>405</v>
      </c>
      <c r="G26" s="56">
        <v>17.760673268799998</v>
      </c>
      <c r="H26" s="56">
        <f t="shared" si="4"/>
        <v>0.38363054260607998</v>
      </c>
      <c r="I26" s="56">
        <f t="shared" si="5"/>
        <v>18.144303811406079</v>
      </c>
      <c r="J26" s="58">
        <f t="shared" si="6"/>
        <v>1.6484332631942056</v>
      </c>
      <c r="K26" s="58">
        <f t="shared" si="7"/>
        <v>0.93047711853364501</v>
      </c>
      <c r="L26" s="58">
        <f t="shared" si="8"/>
        <v>0.82632183607778509</v>
      </c>
      <c r="M26" s="58">
        <f t="shared" si="9"/>
        <v>0.23261927963341125</v>
      </c>
      <c r="N26" s="56">
        <f t="shared" si="10"/>
        <v>21.782155308845127</v>
      </c>
      <c r="O26" s="56">
        <v>51.31</v>
      </c>
      <c r="P26" s="46">
        <f t="shared" si="11"/>
        <v>0.5466394861948719</v>
      </c>
      <c r="Q26" s="45">
        <f t="shared" si="12"/>
        <v>23.261927963341126</v>
      </c>
      <c r="R26" s="45">
        <f t="shared" si="13"/>
        <v>25.42528726393185</v>
      </c>
      <c r="S26" s="46">
        <f t="shared" si="14"/>
        <v>6.3613499999999934E-2</v>
      </c>
      <c r="T26" s="46">
        <v>0.22</v>
      </c>
      <c r="U26" s="46">
        <f t="shared" si="15"/>
        <v>0.30974358974358984</v>
      </c>
      <c r="V26" s="51">
        <f t="shared" si="0"/>
        <v>51.31</v>
      </c>
      <c r="W26" s="52">
        <f t="shared" si="1"/>
        <v>0.13980000000000001</v>
      </c>
      <c r="X26" s="52">
        <f t="shared" si="2"/>
        <v>0.59760000000000002</v>
      </c>
      <c r="Y26" s="51">
        <f t="shared" si="3"/>
        <v>17.760673268799998</v>
      </c>
      <c r="Z26" s="53">
        <v>0</v>
      </c>
      <c r="AA26" s="54">
        <v>46775</v>
      </c>
    </row>
    <row r="27" spans="1:27" x14ac:dyDescent="0.25">
      <c r="A27" s="49">
        <v>7895296210744</v>
      </c>
      <c r="B27" s="49">
        <v>10388</v>
      </c>
      <c r="C27" s="50" t="s">
        <v>34</v>
      </c>
      <c r="D27" s="50" t="s">
        <v>7</v>
      </c>
      <c r="E27" s="50" t="s">
        <v>8</v>
      </c>
      <c r="F27" s="44" t="s">
        <v>405</v>
      </c>
      <c r="G27" s="56">
        <v>3.6720733720000007</v>
      </c>
      <c r="H27" s="56">
        <f t="shared" si="4"/>
        <v>7.9316784835200022E-2</v>
      </c>
      <c r="I27" s="56">
        <f t="shared" si="5"/>
        <v>3.7513901568352006</v>
      </c>
      <c r="J27" s="58">
        <f t="shared" si="6"/>
        <v>0.34081860522303808</v>
      </c>
      <c r="K27" s="58">
        <f t="shared" si="7"/>
        <v>0.19237898240180518</v>
      </c>
      <c r="L27" s="58">
        <f t="shared" si="8"/>
        <v>0.17084456005920312</v>
      </c>
      <c r="M27" s="58">
        <f t="shared" si="9"/>
        <v>4.8094745600451294E-2</v>
      </c>
      <c r="N27" s="56">
        <f t="shared" si="10"/>
        <v>4.5035270501196987</v>
      </c>
      <c r="O27" s="56">
        <v>18.52</v>
      </c>
      <c r="P27" s="46">
        <f t="shared" si="11"/>
        <v>0.74030914902564104</v>
      </c>
      <c r="Q27" s="45">
        <f t="shared" si="12"/>
        <v>4.8094745600451292</v>
      </c>
      <c r="R27" s="45">
        <f t="shared" si="13"/>
        <v>5.2567556941293265</v>
      </c>
      <c r="S27" s="46">
        <f t="shared" si="14"/>
        <v>6.3613499999999934E-2</v>
      </c>
      <c r="T27" s="46">
        <v>0.22</v>
      </c>
      <c r="U27" s="46">
        <f t="shared" si="15"/>
        <v>0.30974358974358984</v>
      </c>
      <c r="V27" s="51">
        <f t="shared" si="0"/>
        <v>18.52</v>
      </c>
      <c r="W27" s="52">
        <f t="shared" si="1"/>
        <v>0.13980000000000001</v>
      </c>
      <c r="X27" s="52">
        <f t="shared" si="2"/>
        <v>0.76949999999999996</v>
      </c>
      <c r="Y27" s="51">
        <f t="shared" si="3"/>
        <v>3.6720733720000007</v>
      </c>
      <c r="Z27" s="53">
        <v>0</v>
      </c>
      <c r="AA27" s="54" t="s">
        <v>403</v>
      </c>
    </row>
    <row r="28" spans="1:27" x14ac:dyDescent="0.25">
      <c r="A28" s="49">
        <v>7895296213042</v>
      </c>
      <c r="B28" s="49">
        <v>10777</v>
      </c>
      <c r="C28" s="50" t="s">
        <v>35</v>
      </c>
      <c r="D28" s="50" t="s">
        <v>7</v>
      </c>
      <c r="E28" s="50" t="s">
        <v>8</v>
      </c>
      <c r="F28" s="44" t="s">
        <v>405</v>
      </c>
      <c r="G28" s="56">
        <v>15.233549322199995</v>
      </c>
      <c r="H28" s="56">
        <f t="shared" si="4"/>
        <v>0.32904466535951987</v>
      </c>
      <c r="I28" s="56">
        <f t="shared" si="5"/>
        <v>15.562593987559515</v>
      </c>
      <c r="J28" s="58">
        <f t="shared" si="6"/>
        <v>1.4138816158133556</v>
      </c>
      <c r="K28" s="58">
        <f t="shared" si="7"/>
        <v>0.79808174295176992</v>
      </c>
      <c r="L28" s="58">
        <f t="shared" si="8"/>
        <v>0.70874646785010609</v>
      </c>
      <c r="M28" s="58">
        <f t="shared" si="9"/>
        <v>0.19952043573794248</v>
      </c>
      <c r="N28" s="56">
        <f t="shared" si="10"/>
        <v>18.682824249912684</v>
      </c>
      <c r="O28" s="56">
        <v>98.99</v>
      </c>
      <c r="P28" s="46">
        <f t="shared" si="11"/>
        <v>0.79844384711794869</v>
      </c>
      <c r="Q28" s="45">
        <f t="shared" si="12"/>
        <v>19.952043573794249</v>
      </c>
      <c r="R28" s="45">
        <f t="shared" si="13"/>
        <v>21.807583626157111</v>
      </c>
      <c r="S28" s="46">
        <f t="shared" si="14"/>
        <v>6.3613500000000212E-2</v>
      </c>
      <c r="T28" s="46">
        <v>0.22</v>
      </c>
      <c r="U28" s="46">
        <f t="shared" si="15"/>
        <v>0.30974358974358962</v>
      </c>
      <c r="V28" s="51">
        <f t="shared" si="0"/>
        <v>98.99</v>
      </c>
      <c r="W28" s="52">
        <f t="shared" si="1"/>
        <v>0.13980000000000001</v>
      </c>
      <c r="X28" s="52">
        <f t="shared" si="2"/>
        <v>0.82110000000000005</v>
      </c>
      <c r="Y28" s="51">
        <f t="shared" si="3"/>
        <v>15.233549322199995</v>
      </c>
      <c r="Z28" s="53">
        <v>0</v>
      </c>
      <c r="AA28" s="54" t="s">
        <v>403</v>
      </c>
    </row>
    <row r="29" spans="1:27" x14ac:dyDescent="0.25">
      <c r="A29" s="49">
        <v>7895296213059</v>
      </c>
      <c r="B29" s="49">
        <v>10778</v>
      </c>
      <c r="C29" s="50" t="s">
        <v>36</v>
      </c>
      <c r="D29" s="50" t="s">
        <v>7</v>
      </c>
      <c r="E29" s="50" t="s">
        <v>8</v>
      </c>
      <c r="F29" s="44" t="s">
        <v>405</v>
      </c>
      <c r="G29" s="56">
        <v>26.143611296000003</v>
      </c>
      <c r="H29" s="56">
        <f t="shared" si="4"/>
        <v>0.56470200399360004</v>
      </c>
      <c r="I29" s="56">
        <f t="shared" si="5"/>
        <v>26.708313299993602</v>
      </c>
      <c r="J29" s="58">
        <f t="shared" si="6"/>
        <v>2.4264845047317265</v>
      </c>
      <c r="K29" s="58">
        <f t="shared" si="7"/>
        <v>1.3696570923073643</v>
      </c>
      <c r="L29" s="58">
        <f t="shared" si="8"/>
        <v>1.2163411015372085</v>
      </c>
      <c r="M29" s="58">
        <f t="shared" si="9"/>
        <v>0.34241427307684108</v>
      </c>
      <c r="N29" s="56">
        <f t="shared" si="10"/>
        <v>32.063210271646739</v>
      </c>
      <c r="O29" s="56">
        <v>180.8</v>
      </c>
      <c r="P29" s="46">
        <f t="shared" si="11"/>
        <v>0.81061157462564115</v>
      </c>
      <c r="Q29" s="45">
        <f t="shared" si="12"/>
        <v>34.241427307684106</v>
      </c>
      <c r="R29" s="45">
        <f t="shared" si="13"/>
        <v>37.425880047298726</v>
      </c>
      <c r="S29" s="46">
        <f t="shared" si="14"/>
        <v>6.3613500000000114E-2</v>
      </c>
      <c r="T29" s="46">
        <v>0.22</v>
      </c>
      <c r="U29" s="46">
        <f t="shared" si="15"/>
        <v>0.30974358974358962</v>
      </c>
      <c r="V29" s="51">
        <f t="shared" si="0"/>
        <v>180.8</v>
      </c>
      <c r="W29" s="52">
        <f t="shared" si="1"/>
        <v>0.13980000000000001</v>
      </c>
      <c r="X29" s="52">
        <f t="shared" si="2"/>
        <v>0.83189999999999997</v>
      </c>
      <c r="Y29" s="51">
        <f t="shared" si="3"/>
        <v>26.143611296000003</v>
      </c>
      <c r="Z29" s="53">
        <v>0</v>
      </c>
      <c r="AA29" s="54" t="s">
        <v>403</v>
      </c>
    </row>
    <row r="30" spans="1:27" x14ac:dyDescent="0.25">
      <c r="A30" s="67">
        <v>7895296450065</v>
      </c>
      <c r="B30" s="67">
        <v>23357</v>
      </c>
      <c r="C30" s="68" t="s">
        <v>37</v>
      </c>
      <c r="D30" s="68" t="s">
        <v>12</v>
      </c>
      <c r="E30" s="68" t="s">
        <v>8</v>
      </c>
      <c r="F30" s="68" t="s">
        <v>405</v>
      </c>
      <c r="G30" s="69">
        <v>64.918863899999991</v>
      </c>
      <c r="H30" s="69">
        <f t="shared" si="4"/>
        <v>1.4022474602399999</v>
      </c>
      <c r="I30" s="69">
        <f t="shared" si="5"/>
        <v>66.321111360239996</v>
      </c>
      <c r="J30" s="70">
        <f t="shared" si="6"/>
        <v>5.6623846210024666</v>
      </c>
      <c r="K30" s="70">
        <f t="shared" si="7"/>
        <v>3.1961981378428912</v>
      </c>
      <c r="L30" s="70">
        <f t="shared" si="8"/>
        <v>2.8384237087881026</v>
      </c>
      <c r="M30" s="70">
        <f t="shared" si="9"/>
        <v>0.7990495344607228</v>
      </c>
      <c r="N30" s="69">
        <f t="shared" si="10"/>
        <v>78.817167362334175</v>
      </c>
      <c r="O30" s="69">
        <v>155</v>
      </c>
      <c r="P30" s="71">
        <f t="shared" si="11"/>
        <v>0.48448417131566268</v>
      </c>
      <c r="Q30" s="72">
        <f t="shared" si="12"/>
        <v>79.904953446072284</v>
      </c>
      <c r="R30" s="72">
        <f t="shared" si="13"/>
        <v>87.336114116556999</v>
      </c>
      <c r="S30" s="71">
        <f t="shared" si="14"/>
        <v>1.3613500000000053E-2</v>
      </c>
      <c r="T30" s="71">
        <v>0.17</v>
      </c>
      <c r="U30" s="71">
        <f t="shared" si="15"/>
        <v>0.2308433734939761</v>
      </c>
      <c r="V30" s="72">
        <f t="shared" si="0"/>
        <v>155</v>
      </c>
      <c r="W30" s="71">
        <f t="shared" si="1"/>
        <v>0.13980000000000001</v>
      </c>
      <c r="X30" s="71">
        <f t="shared" si="2"/>
        <v>0.5131</v>
      </c>
      <c r="Y30" s="72">
        <f t="shared" si="3"/>
        <v>64.918863899999991</v>
      </c>
      <c r="Z30" s="73">
        <v>19</v>
      </c>
      <c r="AA30" s="74">
        <v>46540</v>
      </c>
    </row>
    <row r="31" spans="1:27" x14ac:dyDescent="0.25">
      <c r="A31" s="43">
        <v>7895296211017</v>
      </c>
      <c r="B31" s="43">
        <v>16624</v>
      </c>
      <c r="C31" s="44" t="s">
        <v>38</v>
      </c>
      <c r="D31" s="44" t="s">
        <v>7</v>
      </c>
      <c r="E31" s="44" t="s">
        <v>8</v>
      </c>
      <c r="F31" s="44" t="s">
        <v>405</v>
      </c>
      <c r="G31" s="56">
        <v>9.2824009960000016</v>
      </c>
      <c r="H31" s="56">
        <f t="shared" si="4"/>
        <v>0.20049986151360003</v>
      </c>
      <c r="I31" s="56">
        <f t="shared" si="5"/>
        <v>9.4829008575136022</v>
      </c>
      <c r="J31" s="58">
        <f t="shared" si="6"/>
        <v>0.86153370047031275</v>
      </c>
      <c r="K31" s="58">
        <f t="shared" si="7"/>
        <v>0.48630260807762066</v>
      </c>
      <c r="L31" s="58">
        <f t="shared" si="8"/>
        <v>0.43186710988593191</v>
      </c>
      <c r="M31" s="58">
        <f t="shared" si="9"/>
        <v>0.12157565201940516</v>
      </c>
      <c r="N31" s="56">
        <f t="shared" si="10"/>
        <v>11.384179927966873</v>
      </c>
      <c r="O31" s="56">
        <v>76.099999999999994</v>
      </c>
      <c r="P31" s="46">
        <f t="shared" si="11"/>
        <v>0.8402422443897436</v>
      </c>
      <c r="Q31" s="45">
        <f t="shared" si="12"/>
        <v>12.157565201940516</v>
      </c>
      <c r="R31" s="45">
        <f t="shared" si="13"/>
        <v>13.288218765720984</v>
      </c>
      <c r="S31" s="46">
        <f t="shared" si="14"/>
        <v>6.3613500000000003E-2</v>
      </c>
      <c r="T31" s="46">
        <v>0.22</v>
      </c>
      <c r="U31" s="46">
        <f t="shared" si="15"/>
        <v>0.30974358974358984</v>
      </c>
      <c r="V31" s="45">
        <f t="shared" si="0"/>
        <v>76.099999999999994</v>
      </c>
      <c r="W31" s="46">
        <f t="shared" si="1"/>
        <v>0.13980000000000001</v>
      </c>
      <c r="X31" s="46">
        <f t="shared" si="2"/>
        <v>0.85819999999999996</v>
      </c>
      <c r="Y31" s="45">
        <f t="shared" si="3"/>
        <v>9.2824009960000016</v>
      </c>
      <c r="Z31" s="47">
        <v>1</v>
      </c>
      <c r="AA31" s="48">
        <v>46778</v>
      </c>
    </row>
    <row r="32" spans="1:27" x14ac:dyDescent="0.25">
      <c r="A32" s="43">
        <v>7895296211024</v>
      </c>
      <c r="B32" s="43">
        <v>16625</v>
      </c>
      <c r="C32" s="44" t="s">
        <v>39</v>
      </c>
      <c r="D32" s="44" t="s">
        <v>7</v>
      </c>
      <c r="E32" s="44" t="s">
        <v>8</v>
      </c>
      <c r="F32" s="44" t="s">
        <v>405</v>
      </c>
      <c r="G32" s="56">
        <v>44.043788359999986</v>
      </c>
      <c r="H32" s="56">
        <f t="shared" si="4"/>
        <v>0.95134582857599981</v>
      </c>
      <c r="I32" s="56">
        <f t="shared" si="5"/>
        <v>44.995134188575989</v>
      </c>
      <c r="J32" s="58">
        <f t="shared" si="6"/>
        <v>4.0878656271016016</v>
      </c>
      <c r="K32" s="58">
        <f t="shared" si="7"/>
        <v>2.3074427789013328</v>
      </c>
      <c r="L32" s="58">
        <f t="shared" si="8"/>
        <v>2.0491534028380651</v>
      </c>
      <c r="M32" s="58">
        <f t="shared" si="9"/>
        <v>0.57686069472533319</v>
      </c>
      <c r="N32" s="56">
        <f t="shared" si="10"/>
        <v>54.01645669214232</v>
      </c>
      <c r="O32" s="56">
        <v>272.35000000000002</v>
      </c>
      <c r="P32" s="46">
        <f t="shared" si="11"/>
        <v>0.78819141005128213</v>
      </c>
      <c r="Q32" s="45">
        <f t="shared" si="12"/>
        <v>57.686069472533319</v>
      </c>
      <c r="R32" s="45">
        <f t="shared" si="13"/>
        <v>63.050873933478918</v>
      </c>
      <c r="S32" s="46">
        <f t="shared" si="14"/>
        <v>6.3613500000000003E-2</v>
      </c>
      <c r="T32" s="46">
        <v>0.22</v>
      </c>
      <c r="U32" s="46">
        <f t="shared" si="15"/>
        <v>0.30974358974358984</v>
      </c>
      <c r="V32" s="45">
        <f t="shared" si="0"/>
        <v>272.35000000000002</v>
      </c>
      <c r="W32" s="46">
        <f t="shared" si="1"/>
        <v>0.13980000000000001</v>
      </c>
      <c r="X32" s="46">
        <f t="shared" si="2"/>
        <v>0.81200000000000006</v>
      </c>
      <c r="Y32" s="45">
        <f t="shared" si="3"/>
        <v>44.043788359999986</v>
      </c>
      <c r="Z32" s="47">
        <v>47</v>
      </c>
      <c r="AA32" s="48">
        <v>46696</v>
      </c>
    </row>
    <row r="33" spans="1:27" x14ac:dyDescent="0.25">
      <c r="A33" s="49">
        <v>7896004777740</v>
      </c>
      <c r="B33" s="49">
        <v>15306</v>
      </c>
      <c r="C33" s="50" t="s">
        <v>40</v>
      </c>
      <c r="D33" s="50" t="s">
        <v>7</v>
      </c>
      <c r="E33" s="50" t="s">
        <v>8</v>
      </c>
      <c r="F33" s="44" t="s">
        <v>405</v>
      </c>
      <c r="G33" s="56">
        <v>1.3211226864000001</v>
      </c>
      <c r="H33" s="56">
        <f t="shared" si="4"/>
        <v>2.8536250026240006E-2</v>
      </c>
      <c r="I33" s="56">
        <f t="shared" si="5"/>
        <v>1.3496589364262401</v>
      </c>
      <c r="J33" s="58">
        <f t="shared" si="6"/>
        <v>0.12261824470629371</v>
      </c>
      <c r="K33" s="58">
        <f t="shared" si="7"/>
        <v>6.9213278791089239E-2</v>
      </c>
      <c r="L33" s="58">
        <f t="shared" si="8"/>
        <v>6.1465717396411684E-2</v>
      </c>
      <c r="M33" s="58">
        <f t="shared" si="9"/>
        <v>1.730331969777231E-2</v>
      </c>
      <c r="N33" s="56">
        <f t="shared" si="10"/>
        <v>1.6202594970178072</v>
      </c>
      <c r="O33" s="56">
        <v>14.94</v>
      </c>
      <c r="P33" s="46">
        <f t="shared" si="11"/>
        <v>0.88418126038974365</v>
      </c>
      <c r="Q33" s="45">
        <f t="shared" si="12"/>
        <v>1.7303319697772308</v>
      </c>
      <c r="R33" s="45">
        <f t="shared" si="13"/>
        <v>1.8912528429665134</v>
      </c>
      <c r="S33" s="46">
        <f t="shared" si="14"/>
        <v>6.3613499999999823E-2</v>
      </c>
      <c r="T33" s="46">
        <v>0.22</v>
      </c>
      <c r="U33" s="46">
        <f t="shared" si="15"/>
        <v>0.30974358974358962</v>
      </c>
      <c r="V33" s="51">
        <f t="shared" si="0"/>
        <v>14.94</v>
      </c>
      <c r="W33" s="52">
        <f t="shared" si="1"/>
        <v>0.13980000000000001</v>
      </c>
      <c r="X33" s="52">
        <f t="shared" si="2"/>
        <v>0.8972</v>
      </c>
      <c r="Y33" s="51">
        <f t="shared" si="3"/>
        <v>1.3211226864000001</v>
      </c>
      <c r="Z33" s="53">
        <v>0</v>
      </c>
      <c r="AA33" s="54" t="s">
        <v>403</v>
      </c>
    </row>
    <row r="34" spans="1:27" x14ac:dyDescent="0.25">
      <c r="A34" s="49">
        <v>7895296092180</v>
      </c>
      <c r="B34" s="49">
        <v>10397</v>
      </c>
      <c r="C34" s="50" t="s">
        <v>41</v>
      </c>
      <c r="D34" s="50" t="s">
        <v>7</v>
      </c>
      <c r="E34" s="50" t="s">
        <v>8</v>
      </c>
      <c r="F34" s="44" t="s">
        <v>405</v>
      </c>
      <c r="G34" s="56">
        <v>3.2969771405999997</v>
      </c>
      <c r="H34" s="56">
        <f t="shared" si="4"/>
        <v>7.121470623696001E-2</v>
      </c>
      <c r="I34" s="56">
        <f t="shared" si="5"/>
        <v>3.3681918468369596</v>
      </c>
      <c r="J34" s="58">
        <f t="shared" si="6"/>
        <v>0.3060045474798132</v>
      </c>
      <c r="K34" s="58">
        <f t="shared" si="7"/>
        <v>0.17272778701727998</v>
      </c>
      <c r="L34" s="58">
        <f t="shared" si="8"/>
        <v>0.15339307035803321</v>
      </c>
      <c r="M34" s="58">
        <f t="shared" si="9"/>
        <v>4.3181946754319994E-2</v>
      </c>
      <c r="N34" s="56">
        <f t="shared" si="10"/>
        <v>4.0434991984464057</v>
      </c>
      <c r="O34" s="56">
        <v>54.99</v>
      </c>
      <c r="P34" s="46">
        <f t="shared" si="11"/>
        <v>0.92147309191794879</v>
      </c>
      <c r="Q34" s="45">
        <f t="shared" si="12"/>
        <v>4.3181946754319993</v>
      </c>
      <c r="R34" s="45">
        <f t="shared" si="13"/>
        <v>4.7197867802471754</v>
      </c>
      <c r="S34" s="46">
        <f t="shared" si="14"/>
        <v>6.3613500000000031E-2</v>
      </c>
      <c r="T34" s="46">
        <v>0.22</v>
      </c>
      <c r="U34" s="46">
        <f t="shared" si="15"/>
        <v>0.30974358974358962</v>
      </c>
      <c r="V34" s="51">
        <f t="shared" ref="V34:V52" si="16">IFERROR(VLOOKUP(A34,MATRIZ1,5,0),"")</f>
        <v>54.99</v>
      </c>
      <c r="W34" s="52">
        <f t="shared" ref="W34:W52" si="17">IFERROR(VLOOKUP(A34,MATRIZ1,6,0),"")</f>
        <v>0.13980000000000001</v>
      </c>
      <c r="X34" s="52">
        <f t="shared" ref="X34:X52" si="18">IFERROR(VLOOKUP(A34,MATRIZ1,7,0),"")</f>
        <v>0.93030000000000002</v>
      </c>
      <c r="Y34" s="51">
        <f t="shared" ref="Y34:Y52" si="19">IFERROR(VLOOKUP(A34,MATRIZ1,8,0),"")</f>
        <v>3.2969771405999997</v>
      </c>
      <c r="Z34" s="53">
        <v>0</v>
      </c>
      <c r="AA34" s="54" t="s">
        <v>403</v>
      </c>
    </row>
    <row r="35" spans="1:27" x14ac:dyDescent="0.25">
      <c r="A35" s="49">
        <v>7895296092302</v>
      </c>
      <c r="B35" s="49">
        <v>10400</v>
      </c>
      <c r="C35" s="50" t="s">
        <v>42</v>
      </c>
      <c r="D35" s="50" t="s">
        <v>7</v>
      </c>
      <c r="E35" s="50" t="s">
        <v>8</v>
      </c>
      <c r="F35" s="44" t="s">
        <v>405</v>
      </c>
      <c r="G35" s="56">
        <v>4.9045997593999973</v>
      </c>
      <c r="H35" s="56">
        <f t="shared" si="4"/>
        <v>0.10593935480303995</v>
      </c>
      <c r="I35" s="56">
        <f t="shared" si="5"/>
        <v>5.0105391142030369</v>
      </c>
      <c r="J35" s="58">
        <f t="shared" si="6"/>
        <v>0.45521390229344105</v>
      </c>
      <c r="K35" s="58">
        <f t="shared" si="7"/>
        <v>0.25695072380528394</v>
      </c>
      <c r="L35" s="58">
        <f t="shared" si="8"/>
        <v>0.22818830215932998</v>
      </c>
      <c r="M35" s="58">
        <f t="shared" si="9"/>
        <v>6.4237680951320986E-2</v>
      </c>
      <c r="N35" s="56">
        <f t="shared" si="10"/>
        <v>6.0151297234124126</v>
      </c>
      <c r="O35" s="56">
        <v>92.41</v>
      </c>
      <c r="P35" s="46">
        <f t="shared" si="11"/>
        <v>0.93048622340512821</v>
      </c>
      <c r="Q35" s="45">
        <f t="shared" si="12"/>
        <v>6.4237680951320986</v>
      </c>
      <c r="R35" s="45">
        <f t="shared" si="13"/>
        <v>7.0211785279793837</v>
      </c>
      <c r="S35" s="46">
        <f t="shared" si="14"/>
        <v>6.3613500000000031E-2</v>
      </c>
      <c r="T35" s="46">
        <v>0.22</v>
      </c>
      <c r="U35" s="46">
        <f t="shared" si="15"/>
        <v>0.30974358974358962</v>
      </c>
      <c r="V35" s="51">
        <f t="shared" si="16"/>
        <v>92.41</v>
      </c>
      <c r="W35" s="52">
        <f t="shared" si="17"/>
        <v>0.13980000000000001</v>
      </c>
      <c r="X35" s="52">
        <f t="shared" si="18"/>
        <v>0.93830000000000002</v>
      </c>
      <c r="Y35" s="51">
        <f t="shared" si="19"/>
        <v>4.9045997593999973</v>
      </c>
      <c r="Z35" s="53">
        <v>0</v>
      </c>
      <c r="AA35" s="54" t="s">
        <v>403</v>
      </c>
    </row>
    <row r="36" spans="1:27" x14ac:dyDescent="0.25">
      <c r="A36" s="49">
        <v>7895296092326</v>
      </c>
      <c r="B36" s="49">
        <v>10418</v>
      </c>
      <c r="C36" s="50" t="s">
        <v>43</v>
      </c>
      <c r="D36" s="50" t="s">
        <v>7</v>
      </c>
      <c r="E36" s="50" t="s">
        <v>8</v>
      </c>
      <c r="F36" s="44" t="s">
        <v>405</v>
      </c>
      <c r="G36" s="56">
        <v>3.0599903202000003</v>
      </c>
      <c r="H36" s="56">
        <f t="shared" si="4"/>
        <v>6.6095790916320007E-2</v>
      </c>
      <c r="I36" s="56">
        <f t="shared" si="5"/>
        <v>3.1260861111163205</v>
      </c>
      <c r="J36" s="58">
        <f t="shared" si="6"/>
        <v>0.28400893099762431</v>
      </c>
      <c r="K36" s="58">
        <f t="shared" si="7"/>
        <v>0.16031210826237541</v>
      </c>
      <c r="L36" s="58">
        <f t="shared" si="8"/>
        <v>0.14236717164375576</v>
      </c>
      <c r="M36" s="58">
        <f t="shared" si="9"/>
        <v>4.0078027065593852E-2</v>
      </c>
      <c r="N36" s="56">
        <f t="shared" si="10"/>
        <v>3.75285234908567</v>
      </c>
      <c r="O36" s="56">
        <v>41.03</v>
      </c>
      <c r="P36" s="46">
        <f t="shared" si="11"/>
        <v>0.90232018750769216</v>
      </c>
      <c r="Q36" s="45">
        <f t="shared" si="12"/>
        <v>4.0078027065593851</v>
      </c>
      <c r="R36" s="45">
        <f t="shared" si="13"/>
        <v>4.3805283582694079</v>
      </c>
      <c r="S36" s="46">
        <f t="shared" si="14"/>
        <v>6.3613499999999906E-2</v>
      </c>
      <c r="T36" s="46">
        <v>0.22</v>
      </c>
      <c r="U36" s="46">
        <f t="shared" si="15"/>
        <v>0.30974358974358984</v>
      </c>
      <c r="V36" s="51">
        <f t="shared" si="16"/>
        <v>41.03</v>
      </c>
      <c r="W36" s="52">
        <f t="shared" si="17"/>
        <v>0.13980000000000001</v>
      </c>
      <c r="X36" s="52">
        <f t="shared" si="18"/>
        <v>0.9133</v>
      </c>
      <c r="Y36" s="51">
        <f t="shared" si="19"/>
        <v>3.0599903202000003</v>
      </c>
      <c r="Z36" s="53">
        <v>0</v>
      </c>
      <c r="AA36" s="54" t="s">
        <v>403</v>
      </c>
    </row>
    <row r="37" spans="1:27" x14ac:dyDescent="0.25">
      <c r="A37" s="49">
        <v>7895296092111</v>
      </c>
      <c r="B37" s="49">
        <v>10419</v>
      </c>
      <c r="C37" s="50" t="s">
        <v>44</v>
      </c>
      <c r="D37" s="50" t="s">
        <v>7</v>
      </c>
      <c r="E37" s="50" t="s">
        <v>8</v>
      </c>
      <c r="F37" s="44" t="s">
        <v>405</v>
      </c>
      <c r="G37" s="56">
        <v>3.0110836492000006</v>
      </c>
      <c r="H37" s="56">
        <f t="shared" si="4"/>
        <v>6.5039406822720011E-2</v>
      </c>
      <c r="I37" s="56">
        <f t="shared" si="5"/>
        <v>3.0761230560227206</v>
      </c>
      <c r="J37" s="58">
        <f t="shared" si="6"/>
        <v>0.27946972338717191</v>
      </c>
      <c r="K37" s="58">
        <f t="shared" si="7"/>
        <v>0.15774990030885747</v>
      </c>
      <c r="L37" s="58">
        <f t="shared" si="8"/>
        <v>0.14009177084303473</v>
      </c>
      <c r="M37" s="58">
        <f t="shared" si="9"/>
        <v>3.9437475077214366E-2</v>
      </c>
      <c r="N37" s="56">
        <f t="shared" si="10"/>
        <v>3.6928719256389995</v>
      </c>
      <c r="O37" s="56">
        <v>47.69</v>
      </c>
      <c r="P37" s="46">
        <f t="shared" si="11"/>
        <v>0.91730451860512807</v>
      </c>
      <c r="Q37" s="45">
        <f t="shared" si="12"/>
        <v>3.9437475077214366</v>
      </c>
      <c r="R37" s="45">
        <f t="shared" si="13"/>
        <v>4.3105160259395303</v>
      </c>
      <c r="S37" s="46">
        <f t="shared" si="14"/>
        <v>6.3613499999999878E-2</v>
      </c>
      <c r="T37" s="46">
        <v>0.22</v>
      </c>
      <c r="U37" s="46">
        <f t="shared" si="15"/>
        <v>0.30974358974358962</v>
      </c>
      <c r="V37" s="51">
        <f t="shared" si="16"/>
        <v>47.69</v>
      </c>
      <c r="W37" s="52">
        <f t="shared" si="17"/>
        <v>0.13980000000000001</v>
      </c>
      <c r="X37" s="52">
        <f t="shared" si="18"/>
        <v>0.92659999999999998</v>
      </c>
      <c r="Y37" s="51">
        <f t="shared" si="19"/>
        <v>3.0110836492000006</v>
      </c>
      <c r="Z37" s="53">
        <v>0</v>
      </c>
      <c r="AA37" s="54" t="s">
        <v>403</v>
      </c>
    </row>
    <row r="38" spans="1:27" x14ac:dyDescent="0.25">
      <c r="A38" s="67">
        <v>7896472519033</v>
      </c>
      <c r="B38" s="67">
        <v>1439</v>
      </c>
      <c r="C38" s="68" t="s">
        <v>45</v>
      </c>
      <c r="D38" s="68" t="s">
        <v>7</v>
      </c>
      <c r="E38" s="68" t="s">
        <v>8</v>
      </c>
      <c r="F38" s="68" t="s">
        <v>405</v>
      </c>
      <c r="G38" s="69">
        <v>5.2900003266000004</v>
      </c>
      <c r="H38" s="69">
        <f t="shared" si="4"/>
        <v>0.11426400705456001</v>
      </c>
      <c r="I38" s="69">
        <f t="shared" si="5"/>
        <v>5.4042643336545604</v>
      </c>
      <c r="J38" s="70">
        <f t="shared" si="6"/>
        <v>0.46703388748792285</v>
      </c>
      <c r="K38" s="70">
        <f t="shared" si="7"/>
        <v>0.26362265042217364</v>
      </c>
      <c r="L38" s="70">
        <f t="shared" si="8"/>
        <v>0.23411338999054157</v>
      </c>
      <c r="M38" s="70">
        <f t="shared" si="9"/>
        <v>6.5905662605543411E-2</v>
      </c>
      <c r="N38" s="69">
        <f t="shared" si="10"/>
        <v>6.4349399241607426</v>
      </c>
      <c r="O38" s="69">
        <v>32.590000000000003</v>
      </c>
      <c r="P38" s="71">
        <f t="shared" si="11"/>
        <v>0.79777335806829275</v>
      </c>
      <c r="Q38" s="72">
        <f t="shared" si="12"/>
        <v>6.5905662605543416</v>
      </c>
      <c r="R38" s="72">
        <f t="shared" si="13"/>
        <v>7.2034889227858949</v>
      </c>
      <c r="S38" s="71">
        <f t="shared" si="14"/>
        <v>2.361349999999986E-2</v>
      </c>
      <c r="T38" s="71">
        <v>0.18</v>
      </c>
      <c r="U38" s="71">
        <f t="shared" si="15"/>
        <v>0.24585365853658536</v>
      </c>
      <c r="V38" s="72">
        <f t="shared" si="16"/>
        <v>32.590000000000003</v>
      </c>
      <c r="W38" s="71">
        <f t="shared" si="17"/>
        <v>0.13980000000000001</v>
      </c>
      <c r="X38" s="71">
        <f t="shared" si="18"/>
        <v>0.81130000000000002</v>
      </c>
      <c r="Y38" s="72">
        <f t="shared" si="19"/>
        <v>5.2900003266000004</v>
      </c>
      <c r="Z38" s="73">
        <v>3212</v>
      </c>
      <c r="AA38" s="74">
        <v>46681</v>
      </c>
    </row>
    <row r="39" spans="1:27" x14ac:dyDescent="0.25">
      <c r="A39" s="49">
        <v>7895296297042</v>
      </c>
      <c r="B39" s="49">
        <v>10422</v>
      </c>
      <c r="C39" s="50" t="s">
        <v>46</v>
      </c>
      <c r="D39" s="50" t="s">
        <v>7</v>
      </c>
      <c r="E39" s="50" t="s">
        <v>8</v>
      </c>
      <c r="F39" s="44" t="s">
        <v>405</v>
      </c>
      <c r="G39" s="56">
        <v>4.7133170854000008</v>
      </c>
      <c r="H39" s="56">
        <f t="shared" si="4"/>
        <v>0.10180764904464003</v>
      </c>
      <c r="I39" s="56">
        <f t="shared" si="5"/>
        <v>4.8151247344446411</v>
      </c>
      <c r="J39" s="58">
        <f t="shared" si="6"/>
        <v>0.43746025536113464</v>
      </c>
      <c r="K39" s="58">
        <f t="shared" si="7"/>
        <v>0.24692947356126363</v>
      </c>
      <c r="L39" s="58">
        <f t="shared" si="8"/>
        <v>0.21928880561449968</v>
      </c>
      <c r="M39" s="58">
        <f t="shared" si="9"/>
        <v>6.1732368390315907E-2</v>
      </c>
      <c r="N39" s="56">
        <f t="shared" si="10"/>
        <v>5.7805356373718544</v>
      </c>
      <c r="O39" s="56">
        <v>32.83</v>
      </c>
      <c r="P39" s="46">
        <f t="shared" si="11"/>
        <v>0.81196354434871787</v>
      </c>
      <c r="Q39" s="45">
        <f t="shared" si="12"/>
        <v>6.173236839031591</v>
      </c>
      <c r="R39" s="45">
        <f t="shared" si="13"/>
        <v>6.7473478650615286</v>
      </c>
      <c r="S39" s="46">
        <f t="shared" si="14"/>
        <v>6.3613500000000087E-2</v>
      </c>
      <c r="T39" s="46">
        <v>0.22</v>
      </c>
      <c r="U39" s="46">
        <f t="shared" si="15"/>
        <v>0.30974358974358984</v>
      </c>
      <c r="V39" s="51">
        <f t="shared" si="16"/>
        <v>32.83</v>
      </c>
      <c r="W39" s="52">
        <f t="shared" si="17"/>
        <v>0.13980000000000001</v>
      </c>
      <c r="X39" s="52">
        <f t="shared" si="18"/>
        <v>0.83309999999999995</v>
      </c>
      <c r="Y39" s="51">
        <f t="shared" si="19"/>
        <v>4.7133170854000008</v>
      </c>
      <c r="Z39" s="53">
        <v>0</v>
      </c>
      <c r="AA39" s="54" t="s">
        <v>403</v>
      </c>
    </row>
    <row r="40" spans="1:27" x14ac:dyDescent="0.25">
      <c r="A40" s="43">
        <v>7895296270014</v>
      </c>
      <c r="B40" s="43">
        <v>10430</v>
      </c>
      <c r="C40" s="44" t="s">
        <v>47</v>
      </c>
      <c r="D40" s="44" t="s">
        <v>7</v>
      </c>
      <c r="E40" s="44" t="s">
        <v>8</v>
      </c>
      <c r="F40" s="44" t="s">
        <v>405</v>
      </c>
      <c r="G40" s="56">
        <v>5.1707447791999996</v>
      </c>
      <c r="H40" s="56">
        <f t="shared" si="4"/>
        <v>0.11168808723072</v>
      </c>
      <c r="I40" s="56">
        <f t="shared" si="5"/>
        <v>5.2824328664307201</v>
      </c>
      <c r="J40" s="58">
        <f t="shared" si="6"/>
        <v>0.4799157982650597</v>
      </c>
      <c r="K40" s="58">
        <f t="shared" si="7"/>
        <v>0.27089399315029333</v>
      </c>
      <c r="L40" s="58">
        <f t="shared" si="8"/>
        <v>0.24057079679203233</v>
      </c>
      <c r="M40" s="58">
        <f t="shared" si="9"/>
        <v>6.7723498287573333E-2</v>
      </c>
      <c r="N40" s="56">
        <f t="shared" si="10"/>
        <v>6.3415369529256784</v>
      </c>
      <c r="O40" s="56">
        <v>25.13</v>
      </c>
      <c r="P40" s="46">
        <f t="shared" si="11"/>
        <v>0.73050736853333342</v>
      </c>
      <c r="Q40" s="45">
        <f t="shared" si="12"/>
        <v>6.7723498287573332</v>
      </c>
      <c r="R40" s="45">
        <f t="shared" si="13"/>
        <v>7.4021783628317648</v>
      </c>
      <c r="S40" s="46">
        <f t="shared" si="14"/>
        <v>6.3613500000000017E-2</v>
      </c>
      <c r="T40" s="46">
        <v>0.22</v>
      </c>
      <c r="U40" s="46">
        <f t="shared" si="15"/>
        <v>0.30974358974358984</v>
      </c>
      <c r="V40" s="45">
        <f t="shared" si="16"/>
        <v>25.13</v>
      </c>
      <c r="W40" s="46">
        <f t="shared" si="17"/>
        <v>0.13980000000000001</v>
      </c>
      <c r="X40" s="46">
        <f t="shared" si="18"/>
        <v>0.76080000000000003</v>
      </c>
      <c r="Y40" s="45">
        <f t="shared" si="19"/>
        <v>5.1707447791999996</v>
      </c>
      <c r="Z40" s="47">
        <v>193</v>
      </c>
      <c r="AA40" s="48">
        <v>46645</v>
      </c>
    </row>
    <row r="41" spans="1:27" x14ac:dyDescent="0.25">
      <c r="A41" s="43">
        <v>7895296033053</v>
      </c>
      <c r="B41" s="43">
        <v>10406</v>
      </c>
      <c r="C41" s="44" t="s">
        <v>49</v>
      </c>
      <c r="D41" s="44" t="s">
        <v>7</v>
      </c>
      <c r="E41" s="44" t="s">
        <v>8</v>
      </c>
      <c r="F41" s="44" t="s">
        <v>405</v>
      </c>
      <c r="G41" s="56">
        <v>3.9238693955999997</v>
      </c>
      <c r="H41" s="56">
        <f t="shared" si="4"/>
        <v>8.4755578944960011E-2</v>
      </c>
      <c r="I41" s="56">
        <f t="shared" si="5"/>
        <v>4.0086249745449596</v>
      </c>
      <c r="J41" s="58">
        <f t="shared" si="6"/>
        <v>0.36418871820019749</v>
      </c>
      <c r="K41" s="58">
        <f t="shared" si="7"/>
        <v>0.20557051151512615</v>
      </c>
      <c r="L41" s="58">
        <f t="shared" si="8"/>
        <v>0.1825594623824017</v>
      </c>
      <c r="M41" s="58">
        <f t="shared" si="9"/>
        <v>5.1392627878781537E-2</v>
      </c>
      <c r="N41" s="56">
        <f t="shared" si="10"/>
        <v>4.8123362945214669</v>
      </c>
      <c r="O41" s="56">
        <v>17.66</v>
      </c>
      <c r="P41" s="46">
        <f t="shared" si="11"/>
        <v>0.7089885171076924</v>
      </c>
      <c r="Q41" s="45">
        <f t="shared" si="12"/>
        <v>5.1392627878781534</v>
      </c>
      <c r="R41" s="45">
        <f t="shared" si="13"/>
        <v>5.6172142271508214</v>
      </c>
      <c r="S41" s="46">
        <f t="shared" si="14"/>
        <v>6.3613499999999906E-2</v>
      </c>
      <c r="T41" s="46">
        <v>0.22</v>
      </c>
      <c r="U41" s="46">
        <f t="shared" si="15"/>
        <v>0.30974358974358962</v>
      </c>
      <c r="V41" s="45">
        <f t="shared" si="16"/>
        <v>17.66</v>
      </c>
      <c r="W41" s="46">
        <f t="shared" si="17"/>
        <v>0.13980000000000001</v>
      </c>
      <c r="X41" s="46">
        <f t="shared" si="18"/>
        <v>0.74170000000000003</v>
      </c>
      <c r="Y41" s="45">
        <f t="shared" si="19"/>
        <v>3.9238693955999997</v>
      </c>
      <c r="Z41" s="47">
        <v>450</v>
      </c>
      <c r="AA41" s="48">
        <v>46775</v>
      </c>
    </row>
    <row r="42" spans="1:27" x14ac:dyDescent="0.25">
      <c r="A42" s="49">
        <v>7895296033077</v>
      </c>
      <c r="B42" s="49">
        <v>10409</v>
      </c>
      <c r="C42" s="50" t="s">
        <v>50</v>
      </c>
      <c r="D42" s="50" t="s">
        <v>7</v>
      </c>
      <c r="E42" s="50" t="s">
        <v>8</v>
      </c>
      <c r="F42" s="44" t="s">
        <v>405</v>
      </c>
      <c r="G42" s="56">
        <v>7.4232163280000005</v>
      </c>
      <c r="H42" s="56">
        <f t="shared" si="4"/>
        <v>0.16034147268480001</v>
      </c>
      <c r="I42" s="56">
        <f t="shared" si="5"/>
        <v>7.5835578006848001</v>
      </c>
      <c r="J42" s="58">
        <f t="shared" si="6"/>
        <v>0.68897594870221501</v>
      </c>
      <c r="K42" s="58">
        <f t="shared" si="7"/>
        <v>0.38890040003511794</v>
      </c>
      <c r="L42" s="58">
        <f t="shared" si="8"/>
        <v>0.34536786150618692</v>
      </c>
      <c r="M42" s="58">
        <f t="shared" si="9"/>
        <v>9.7225100008779486E-2</v>
      </c>
      <c r="N42" s="56">
        <f t="shared" si="10"/>
        <v>9.1040271109370998</v>
      </c>
      <c r="O42" s="56">
        <v>35.44</v>
      </c>
      <c r="P42" s="46">
        <f t="shared" si="11"/>
        <v>0.7256628103589744</v>
      </c>
      <c r="Q42" s="45">
        <f t="shared" si="12"/>
        <v>9.7225100008779481</v>
      </c>
      <c r="R42" s="45">
        <f t="shared" si="13"/>
        <v>10.626703430959598</v>
      </c>
      <c r="S42" s="46">
        <f t="shared" si="14"/>
        <v>6.3613499999999892E-2</v>
      </c>
      <c r="T42" s="46">
        <v>0.22</v>
      </c>
      <c r="U42" s="46">
        <f t="shared" si="15"/>
        <v>0.30974358974358962</v>
      </c>
      <c r="V42" s="51">
        <f t="shared" si="16"/>
        <v>35.44</v>
      </c>
      <c r="W42" s="52">
        <f t="shared" si="17"/>
        <v>0.13980000000000001</v>
      </c>
      <c r="X42" s="52">
        <f t="shared" si="18"/>
        <v>0.75649999999999995</v>
      </c>
      <c r="Y42" s="51">
        <f t="shared" si="19"/>
        <v>7.4232163280000005</v>
      </c>
      <c r="Z42" s="53">
        <v>0</v>
      </c>
      <c r="AA42" s="54" t="s">
        <v>403</v>
      </c>
    </row>
    <row r="43" spans="1:27" x14ac:dyDescent="0.25">
      <c r="A43" s="49">
        <v>7895296033121</v>
      </c>
      <c r="B43" s="49">
        <v>10407</v>
      </c>
      <c r="C43" s="50" t="s">
        <v>51</v>
      </c>
      <c r="D43" s="50" t="s">
        <v>7</v>
      </c>
      <c r="E43" s="50" t="s">
        <v>8</v>
      </c>
      <c r="F43" s="44" t="s">
        <v>405</v>
      </c>
      <c r="G43" s="56">
        <v>2.9555560187999994</v>
      </c>
      <c r="H43" s="56">
        <f t="shared" si="4"/>
        <v>6.384001000608E-2</v>
      </c>
      <c r="I43" s="56">
        <f t="shared" si="5"/>
        <v>3.0193960288060793</v>
      </c>
      <c r="J43" s="58">
        <f t="shared" si="6"/>
        <v>0.27431600023758201</v>
      </c>
      <c r="K43" s="58">
        <f t="shared" si="7"/>
        <v>0.15484082199005533</v>
      </c>
      <c r="L43" s="58">
        <f t="shared" si="8"/>
        <v>0.1375083274785435</v>
      </c>
      <c r="M43" s="58">
        <f t="shared" si="9"/>
        <v>3.8710205497513833E-2</v>
      </c>
      <c r="N43" s="56">
        <f t="shared" si="10"/>
        <v>3.6247713840097737</v>
      </c>
      <c r="O43" s="56">
        <v>15.54</v>
      </c>
      <c r="P43" s="46">
        <f t="shared" si="11"/>
        <v>0.75089957852307698</v>
      </c>
      <c r="Q43" s="45">
        <f t="shared" si="12"/>
        <v>3.8710205497513837</v>
      </c>
      <c r="R43" s="45">
        <f t="shared" si="13"/>
        <v>4.2310254608782616</v>
      </c>
      <c r="S43" s="46">
        <f t="shared" si="14"/>
        <v>6.3613500000000073E-2</v>
      </c>
      <c r="T43" s="46">
        <v>0.22</v>
      </c>
      <c r="U43" s="46">
        <f t="shared" si="15"/>
        <v>0.30974358974358962</v>
      </c>
      <c r="V43" s="51">
        <f t="shared" si="16"/>
        <v>15.54</v>
      </c>
      <c r="W43" s="52">
        <f t="shared" si="17"/>
        <v>0.13980000000000001</v>
      </c>
      <c r="X43" s="52">
        <f t="shared" si="18"/>
        <v>0.77890000000000004</v>
      </c>
      <c r="Y43" s="51">
        <f t="shared" si="19"/>
        <v>2.9555560187999994</v>
      </c>
      <c r="Z43" s="53">
        <v>0</v>
      </c>
      <c r="AA43" s="54" t="s">
        <v>403</v>
      </c>
    </row>
    <row r="44" spans="1:27" x14ac:dyDescent="0.25">
      <c r="A44" s="49">
        <v>7895296033138</v>
      </c>
      <c r="B44" s="49">
        <v>10408</v>
      </c>
      <c r="C44" s="50" t="s">
        <v>52</v>
      </c>
      <c r="D44" s="50" t="s">
        <v>7</v>
      </c>
      <c r="E44" s="50" t="s">
        <v>8</v>
      </c>
      <c r="F44" s="44" t="s">
        <v>405</v>
      </c>
      <c r="G44" s="56">
        <v>6.2706859600000007</v>
      </c>
      <c r="H44" s="56">
        <f t="shared" si="4"/>
        <v>0.13544681673600004</v>
      </c>
      <c r="I44" s="56">
        <f t="shared" si="5"/>
        <v>6.4061327767360003</v>
      </c>
      <c r="J44" s="58">
        <f t="shared" si="6"/>
        <v>0.58200537575720512</v>
      </c>
      <c r="K44" s="58">
        <f t="shared" si="7"/>
        <v>0.32851962957620517</v>
      </c>
      <c r="L44" s="58">
        <f t="shared" si="8"/>
        <v>0.29174596354051868</v>
      </c>
      <c r="M44" s="58">
        <f t="shared" si="9"/>
        <v>8.2129907394051294E-2</v>
      </c>
      <c r="N44" s="56">
        <f t="shared" si="10"/>
        <v>7.6905336530039818</v>
      </c>
      <c r="O44" s="56">
        <v>31.75</v>
      </c>
      <c r="P44" s="46">
        <f t="shared" si="11"/>
        <v>0.74132312631794872</v>
      </c>
      <c r="Q44" s="45">
        <f t="shared" si="12"/>
        <v>8.2129907394051287</v>
      </c>
      <c r="R44" s="45">
        <f t="shared" si="13"/>
        <v>8.9767988781698058</v>
      </c>
      <c r="S44" s="46">
        <f t="shared" si="14"/>
        <v>6.3613499999999837E-2</v>
      </c>
      <c r="T44" s="46">
        <v>0.22</v>
      </c>
      <c r="U44" s="46">
        <f t="shared" si="15"/>
        <v>0.30974358974358962</v>
      </c>
      <c r="V44" s="51">
        <f t="shared" si="16"/>
        <v>31.75</v>
      </c>
      <c r="W44" s="52">
        <f t="shared" si="17"/>
        <v>0.13980000000000001</v>
      </c>
      <c r="X44" s="52">
        <f t="shared" si="18"/>
        <v>0.77039999999999997</v>
      </c>
      <c r="Y44" s="51">
        <f t="shared" si="19"/>
        <v>6.2706859600000007</v>
      </c>
      <c r="Z44" s="53">
        <v>0</v>
      </c>
      <c r="AA44" s="54" t="s">
        <v>403</v>
      </c>
    </row>
    <row r="45" spans="1:27" x14ac:dyDescent="0.25">
      <c r="A45" s="49">
        <v>7896004778198</v>
      </c>
      <c r="B45" s="49">
        <v>15305</v>
      </c>
      <c r="C45" s="50" t="s">
        <v>53</v>
      </c>
      <c r="D45" s="50" t="s">
        <v>7</v>
      </c>
      <c r="E45" s="50" t="s">
        <v>8</v>
      </c>
      <c r="F45" s="44" t="s">
        <v>405</v>
      </c>
      <c r="G45" s="56">
        <v>5.9286463543999997</v>
      </c>
      <c r="H45" s="56">
        <f t="shared" si="4"/>
        <v>0.12805876125504001</v>
      </c>
      <c r="I45" s="56">
        <f t="shared" si="5"/>
        <v>6.0567051156550393</v>
      </c>
      <c r="J45" s="58">
        <f t="shared" si="6"/>
        <v>0.55025942476381884</v>
      </c>
      <c r="K45" s="58">
        <f t="shared" si="7"/>
        <v>0.31060026234128402</v>
      </c>
      <c r="L45" s="58">
        <f t="shared" si="8"/>
        <v>0.27583244547545654</v>
      </c>
      <c r="M45" s="58">
        <f t="shared" si="9"/>
        <v>7.7650065585321004E-2</v>
      </c>
      <c r="N45" s="56">
        <f t="shared" si="10"/>
        <v>7.2710473138209197</v>
      </c>
      <c r="O45" s="56">
        <v>37.58</v>
      </c>
      <c r="P45" s="46">
        <f t="shared" si="11"/>
        <v>0.7933739606564103</v>
      </c>
      <c r="Q45" s="45">
        <f t="shared" si="12"/>
        <v>7.7650065585321011</v>
      </c>
      <c r="R45" s="45">
        <f t="shared" si="13"/>
        <v>8.4871521684755855</v>
      </c>
      <c r="S45" s="46">
        <f t="shared" si="14"/>
        <v>6.3613499999999948E-2</v>
      </c>
      <c r="T45" s="46">
        <v>0.22</v>
      </c>
      <c r="U45" s="46">
        <f t="shared" si="15"/>
        <v>0.30974358974358962</v>
      </c>
      <c r="V45" s="51">
        <f t="shared" si="16"/>
        <v>37.58</v>
      </c>
      <c r="W45" s="52">
        <f t="shared" si="17"/>
        <v>0.13980000000000001</v>
      </c>
      <c r="X45" s="52">
        <f t="shared" si="18"/>
        <v>0.81659999999999999</v>
      </c>
      <c r="Y45" s="51">
        <f t="shared" si="19"/>
        <v>5.9286463543999997</v>
      </c>
      <c r="Z45" s="53">
        <v>0</v>
      </c>
      <c r="AA45" s="54" t="s">
        <v>403</v>
      </c>
    </row>
    <row r="46" spans="1:27" x14ac:dyDescent="0.25">
      <c r="A46" s="49">
        <v>7895296408011</v>
      </c>
      <c r="B46" s="49">
        <v>10840</v>
      </c>
      <c r="C46" s="50" t="s">
        <v>54</v>
      </c>
      <c r="D46" s="50" t="s">
        <v>7</v>
      </c>
      <c r="E46" s="50" t="s">
        <v>8</v>
      </c>
      <c r="F46" s="44" t="s">
        <v>405</v>
      </c>
      <c r="G46" s="56">
        <v>6.0131833695999974</v>
      </c>
      <c r="H46" s="56">
        <f t="shared" si="4"/>
        <v>0.12988476078335995</v>
      </c>
      <c r="I46" s="56">
        <f t="shared" si="5"/>
        <v>6.143068130383357</v>
      </c>
      <c r="J46" s="58">
        <f t="shared" si="6"/>
        <v>0.55810561537370029</v>
      </c>
      <c r="K46" s="58">
        <f t="shared" si="7"/>
        <v>0.31502913489145423</v>
      </c>
      <c r="L46" s="58">
        <f t="shared" si="8"/>
        <v>0.27976556110454209</v>
      </c>
      <c r="M46" s="58">
        <f t="shared" si="9"/>
        <v>7.8757283722863558E-2</v>
      </c>
      <c r="N46" s="56">
        <f t="shared" si="10"/>
        <v>7.3747257254759164</v>
      </c>
      <c r="O46" s="56">
        <v>48.68</v>
      </c>
      <c r="P46" s="46">
        <f t="shared" si="11"/>
        <v>0.83821428980512835</v>
      </c>
      <c r="Q46" s="45">
        <f t="shared" si="12"/>
        <v>7.8757283722863551</v>
      </c>
      <c r="R46" s="45">
        <f t="shared" si="13"/>
        <v>8.6081711109089873</v>
      </c>
      <c r="S46" s="46">
        <f t="shared" si="14"/>
        <v>6.3613500000000087E-2</v>
      </c>
      <c r="T46" s="46">
        <v>0.22</v>
      </c>
      <c r="U46" s="46">
        <f t="shared" si="15"/>
        <v>0.30974358974358962</v>
      </c>
      <c r="V46" s="51">
        <f t="shared" si="16"/>
        <v>48.68</v>
      </c>
      <c r="W46" s="52">
        <f t="shared" si="17"/>
        <v>0.13980000000000001</v>
      </c>
      <c r="X46" s="52">
        <f t="shared" si="18"/>
        <v>0.85640000000000005</v>
      </c>
      <c r="Y46" s="51">
        <f t="shared" si="19"/>
        <v>6.0131833695999974</v>
      </c>
      <c r="Z46" s="53">
        <v>0</v>
      </c>
      <c r="AA46" s="54" t="s">
        <v>403</v>
      </c>
    </row>
    <row r="47" spans="1:27" x14ac:dyDescent="0.25">
      <c r="A47" s="43">
        <v>7895296210324</v>
      </c>
      <c r="B47" s="43">
        <v>10470</v>
      </c>
      <c r="C47" s="44" t="s">
        <v>55</v>
      </c>
      <c r="D47" s="44" t="s">
        <v>7</v>
      </c>
      <c r="E47" s="44" t="s">
        <v>8</v>
      </c>
      <c r="F47" s="44" t="s">
        <v>405</v>
      </c>
      <c r="G47" s="56">
        <v>4.9953534400000006</v>
      </c>
      <c r="H47" s="56">
        <f t="shared" si="4"/>
        <v>0.10789963430400001</v>
      </c>
      <c r="I47" s="56">
        <f t="shared" si="5"/>
        <v>5.1032530743040008</v>
      </c>
      <c r="J47" s="58">
        <f t="shared" si="6"/>
        <v>0.46363708443266505</v>
      </c>
      <c r="K47" s="58">
        <f t="shared" si="7"/>
        <v>0.26170528586174363</v>
      </c>
      <c r="L47" s="58">
        <f t="shared" si="8"/>
        <v>0.23241065042559467</v>
      </c>
      <c r="M47" s="58">
        <f t="shared" si="9"/>
        <v>6.5426321465435908E-2</v>
      </c>
      <c r="N47" s="56">
        <f t="shared" si="10"/>
        <v>6.1264324164894397</v>
      </c>
      <c r="O47" s="56">
        <v>21.35</v>
      </c>
      <c r="P47" s="46">
        <f t="shared" si="11"/>
        <v>0.69355352943589743</v>
      </c>
      <c r="Q47" s="45">
        <f t="shared" si="12"/>
        <v>6.5426321465435908</v>
      </c>
      <c r="R47" s="45">
        <f t="shared" si="13"/>
        <v>7.1510969361721441</v>
      </c>
      <c r="S47" s="46">
        <f t="shared" si="14"/>
        <v>6.3613500000000059E-2</v>
      </c>
      <c r="T47" s="46">
        <v>0.22</v>
      </c>
      <c r="U47" s="46">
        <f t="shared" si="15"/>
        <v>0.30974358974358984</v>
      </c>
      <c r="V47" s="45">
        <f t="shared" si="16"/>
        <v>21.35</v>
      </c>
      <c r="W47" s="46">
        <f t="shared" si="17"/>
        <v>0.13980000000000001</v>
      </c>
      <c r="X47" s="46">
        <f t="shared" si="18"/>
        <v>0.72799999999999998</v>
      </c>
      <c r="Y47" s="45">
        <f t="shared" si="19"/>
        <v>4.9953534400000006</v>
      </c>
      <c r="Z47" s="47">
        <v>395</v>
      </c>
      <c r="AA47" s="48">
        <v>46802</v>
      </c>
    </row>
    <row r="48" spans="1:27" x14ac:dyDescent="0.25">
      <c r="A48" s="43">
        <v>7895296210423</v>
      </c>
      <c r="B48" s="43">
        <v>10471</v>
      </c>
      <c r="C48" s="44" t="s">
        <v>56</v>
      </c>
      <c r="D48" s="44" t="s">
        <v>7</v>
      </c>
      <c r="E48" s="44" t="s">
        <v>8</v>
      </c>
      <c r="F48" s="44" t="s">
        <v>405</v>
      </c>
      <c r="G48" s="56">
        <v>4.9987013384000001</v>
      </c>
      <c r="H48" s="56">
        <f t="shared" si="4"/>
        <v>0.10797194890944001</v>
      </c>
      <c r="I48" s="56">
        <f t="shared" si="5"/>
        <v>5.10667328730944</v>
      </c>
      <c r="J48" s="58">
        <f t="shared" si="6"/>
        <v>0.46394781516909767</v>
      </c>
      <c r="K48" s="58">
        <f t="shared" si="7"/>
        <v>0.26188068140048409</v>
      </c>
      <c r="L48" s="58">
        <f t="shared" si="8"/>
        <v>0.23256641262621741</v>
      </c>
      <c r="M48" s="58">
        <f t="shared" si="9"/>
        <v>6.5470170350121024E-2</v>
      </c>
      <c r="N48" s="56">
        <f t="shared" si="10"/>
        <v>6.1305383668553599</v>
      </c>
      <c r="O48" s="56">
        <v>20.440000000000001</v>
      </c>
      <c r="P48" s="46">
        <f t="shared" si="11"/>
        <v>0.67969583977435899</v>
      </c>
      <c r="Q48" s="45">
        <f t="shared" si="12"/>
        <v>6.547017035012102</v>
      </c>
      <c r="R48" s="45">
        <f t="shared" si="13"/>
        <v>7.155889619268228</v>
      </c>
      <c r="S48" s="46">
        <f t="shared" si="14"/>
        <v>6.3613499999999962E-2</v>
      </c>
      <c r="T48" s="46">
        <v>0.22</v>
      </c>
      <c r="U48" s="46">
        <f t="shared" si="15"/>
        <v>0.30974358974358962</v>
      </c>
      <c r="V48" s="45">
        <f t="shared" si="16"/>
        <v>20.440000000000001</v>
      </c>
      <c r="W48" s="46">
        <f t="shared" si="17"/>
        <v>0.13980000000000001</v>
      </c>
      <c r="X48" s="46">
        <f t="shared" si="18"/>
        <v>0.7157</v>
      </c>
      <c r="Y48" s="45">
        <f t="shared" si="19"/>
        <v>4.9987013384000001</v>
      </c>
      <c r="Z48" s="47">
        <v>503</v>
      </c>
      <c r="AA48" s="48">
        <v>46728</v>
      </c>
    </row>
    <row r="49" spans="1:27" x14ac:dyDescent="0.25">
      <c r="A49" s="67">
        <v>7895296055024</v>
      </c>
      <c r="B49" s="67">
        <v>10776</v>
      </c>
      <c r="C49" s="68" t="s">
        <v>57</v>
      </c>
      <c r="D49" s="68" t="s">
        <v>7</v>
      </c>
      <c r="E49" s="68" t="s">
        <v>8</v>
      </c>
      <c r="F49" s="68" t="s">
        <v>405</v>
      </c>
      <c r="G49" s="69">
        <v>2.4116532792000003</v>
      </c>
      <c r="H49" s="69">
        <f t="shared" si="4"/>
        <v>5.2091710830720013E-2</v>
      </c>
      <c r="I49" s="69">
        <f t="shared" si="5"/>
        <v>2.4637449900307202</v>
      </c>
      <c r="J49" s="70">
        <f t="shared" si="6"/>
        <v>0.20491880865438611</v>
      </c>
      <c r="K49" s="70">
        <f t="shared" si="7"/>
        <v>0.1156687788746817</v>
      </c>
      <c r="L49" s="70">
        <f t="shared" si="8"/>
        <v>0.10272110493939703</v>
      </c>
      <c r="M49" s="70">
        <f t="shared" si="9"/>
        <v>2.8917194718670425E-2</v>
      </c>
      <c r="N49" s="69">
        <f t="shared" si="10"/>
        <v>2.9159708772178554</v>
      </c>
      <c r="O49" s="69">
        <v>13.99</v>
      </c>
      <c r="P49" s="71">
        <f t="shared" si="11"/>
        <v>0.79330096698591546</v>
      </c>
      <c r="Q49" s="72">
        <f t="shared" si="12"/>
        <v>2.8917194718670425</v>
      </c>
      <c r="R49" s="72">
        <f t="shared" si="13"/>
        <v>3.1606493827506776</v>
      </c>
      <c r="S49" s="71">
        <f t="shared" si="14"/>
        <v>-8.3864999999999947E-3</v>
      </c>
      <c r="T49" s="71">
        <v>0.14799999999999999</v>
      </c>
      <c r="U49" s="71">
        <f t="shared" si="15"/>
        <v>0.1990610328638498</v>
      </c>
      <c r="V49" s="72">
        <f t="shared" si="16"/>
        <v>13.99</v>
      </c>
      <c r="W49" s="71">
        <f t="shared" si="17"/>
        <v>0.13980000000000001</v>
      </c>
      <c r="X49" s="71">
        <f t="shared" si="18"/>
        <v>0.79959999999999998</v>
      </c>
      <c r="Y49" s="72">
        <f t="shared" si="19"/>
        <v>2.4116532792000003</v>
      </c>
      <c r="Z49" s="73">
        <v>82</v>
      </c>
      <c r="AA49" s="74">
        <v>46563</v>
      </c>
    </row>
    <row r="50" spans="1:27" x14ac:dyDescent="0.25">
      <c r="A50" s="49">
        <v>7895296365017</v>
      </c>
      <c r="B50" s="49">
        <v>10502</v>
      </c>
      <c r="C50" s="50" t="s">
        <v>58</v>
      </c>
      <c r="D50" s="50" t="s">
        <v>7</v>
      </c>
      <c r="E50" s="50" t="s">
        <v>8</v>
      </c>
      <c r="F50" s="44" t="s">
        <v>405</v>
      </c>
      <c r="G50" s="56">
        <v>11.900400771599999</v>
      </c>
      <c r="H50" s="56">
        <f t="shared" si="4"/>
        <v>0.25704865666656002</v>
      </c>
      <c r="I50" s="56">
        <f t="shared" si="5"/>
        <v>12.15744942826656</v>
      </c>
      <c r="J50" s="58">
        <f t="shared" si="6"/>
        <v>1.1045198670316427</v>
      </c>
      <c r="K50" s="58">
        <f t="shared" si="7"/>
        <v>0.62345894503931065</v>
      </c>
      <c r="L50" s="58">
        <f t="shared" si="8"/>
        <v>0.55367050937897277</v>
      </c>
      <c r="M50" s="58">
        <f t="shared" si="9"/>
        <v>0.15586473625982766</v>
      </c>
      <c r="N50" s="56">
        <f t="shared" si="10"/>
        <v>14.594963485976313</v>
      </c>
      <c r="O50" s="56">
        <v>71.83</v>
      </c>
      <c r="P50" s="46">
        <f t="shared" si="11"/>
        <v>0.78300885944615384</v>
      </c>
      <c r="Q50" s="45">
        <f t="shared" si="12"/>
        <v>15.586473625982768</v>
      </c>
      <c r="R50" s="45">
        <f t="shared" si="13"/>
        <v>17.036015673199163</v>
      </c>
      <c r="S50" s="46">
        <f t="shared" si="14"/>
        <v>6.3613499999999976E-2</v>
      </c>
      <c r="T50" s="46">
        <v>0.22</v>
      </c>
      <c r="U50" s="46">
        <f t="shared" si="15"/>
        <v>0.30974358974358962</v>
      </c>
      <c r="V50" s="51">
        <f t="shared" si="16"/>
        <v>71.83</v>
      </c>
      <c r="W50" s="52">
        <f t="shared" si="17"/>
        <v>0.13980000000000001</v>
      </c>
      <c r="X50" s="52">
        <f t="shared" si="18"/>
        <v>0.80740000000000001</v>
      </c>
      <c r="Y50" s="51">
        <f t="shared" si="19"/>
        <v>11.900400771599999</v>
      </c>
      <c r="Z50" s="53">
        <v>0</v>
      </c>
      <c r="AA50" s="54" t="s">
        <v>403</v>
      </c>
    </row>
    <row r="51" spans="1:27" x14ac:dyDescent="0.25">
      <c r="A51" s="67">
        <v>7896472521715</v>
      </c>
      <c r="B51" s="67">
        <v>23897</v>
      </c>
      <c r="C51" s="68" t="s">
        <v>59</v>
      </c>
      <c r="D51" s="68" t="s">
        <v>12</v>
      </c>
      <c r="E51" s="68" t="s">
        <v>8</v>
      </c>
      <c r="F51" s="68" t="s">
        <v>405</v>
      </c>
      <c r="G51" s="69">
        <v>20.100957474400001</v>
      </c>
      <c r="H51" s="69">
        <f t="shared" si="4"/>
        <v>0.43418068144704008</v>
      </c>
      <c r="I51" s="69">
        <f t="shared" si="5"/>
        <v>20.53513815584704</v>
      </c>
      <c r="J51" s="70">
        <f t="shared" si="6"/>
        <v>1.770749610946635</v>
      </c>
      <c r="K51" s="70">
        <f t="shared" si="7"/>
        <v>0.99951998811618592</v>
      </c>
      <c r="L51" s="70">
        <f t="shared" si="8"/>
        <v>0.88763621944643034</v>
      </c>
      <c r="M51" s="70">
        <f t="shared" si="9"/>
        <v>0.24987999702904648</v>
      </c>
      <c r="N51" s="69">
        <f t="shared" si="10"/>
        <v>24.442923971385341</v>
      </c>
      <c r="O51" s="69">
        <v>33.71</v>
      </c>
      <c r="P51" s="71">
        <f t="shared" si="11"/>
        <v>0.25873628884886835</v>
      </c>
      <c r="Q51" s="72">
        <f t="shared" si="12"/>
        <v>24.987999702904649</v>
      </c>
      <c r="R51" s="72">
        <f t="shared" si="13"/>
        <v>27.311883675274778</v>
      </c>
      <c r="S51" s="71">
        <f t="shared" si="14"/>
        <v>2.1813499999999899E-2</v>
      </c>
      <c r="T51" s="71">
        <v>0.1782</v>
      </c>
      <c r="U51" s="71">
        <f t="shared" si="15"/>
        <v>0.24312484789486488</v>
      </c>
      <c r="V51" s="72">
        <f t="shared" si="16"/>
        <v>33.71</v>
      </c>
      <c r="W51" s="71">
        <f t="shared" si="17"/>
        <v>0.13980000000000001</v>
      </c>
      <c r="X51" s="71">
        <f t="shared" si="18"/>
        <v>0.30680000000000002</v>
      </c>
      <c r="Y51" s="72">
        <f t="shared" si="19"/>
        <v>20.100957474400001</v>
      </c>
      <c r="Z51" s="73">
        <v>175</v>
      </c>
      <c r="AA51" s="74">
        <v>46489</v>
      </c>
    </row>
    <row r="52" spans="1:27" x14ac:dyDescent="0.25">
      <c r="A52" s="43">
        <v>7895296449076</v>
      </c>
      <c r="B52" s="43">
        <v>21745</v>
      </c>
      <c r="C52" s="44" t="s">
        <v>60</v>
      </c>
      <c r="D52" s="44" t="s">
        <v>12</v>
      </c>
      <c r="E52" s="44" t="s">
        <v>8</v>
      </c>
      <c r="F52" s="44" t="s">
        <v>405</v>
      </c>
      <c r="G52" s="56">
        <v>6.7223339699999993</v>
      </c>
      <c r="H52" s="56">
        <f t="shared" si="4"/>
        <v>0.14520241375199999</v>
      </c>
      <c r="I52" s="56">
        <f t="shared" si="5"/>
        <v>6.8675363837519994</v>
      </c>
      <c r="J52" s="58">
        <f t="shared" si="6"/>
        <v>0.62392448499769437</v>
      </c>
      <c r="K52" s="58">
        <f t="shared" si="7"/>
        <v>0.35218135301292297</v>
      </c>
      <c r="L52" s="58">
        <f t="shared" si="8"/>
        <v>0.31275905281003891</v>
      </c>
      <c r="M52" s="58">
        <f t="shared" si="9"/>
        <v>8.8045338253230743E-2</v>
      </c>
      <c r="N52" s="56">
        <f t="shared" si="10"/>
        <v>8.244446612825886</v>
      </c>
      <c r="O52" s="56">
        <v>39.75</v>
      </c>
      <c r="P52" s="46">
        <f t="shared" si="11"/>
        <v>0.77850229370256407</v>
      </c>
      <c r="Q52" s="45">
        <f t="shared" si="12"/>
        <v>8.8045338253230749</v>
      </c>
      <c r="R52" s="45">
        <f t="shared" si="13"/>
        <v>9.6233554710781206</v>
      </c>
      <c r="S52" s="46">
        <f t="shared" si="14"/>
        <v>6.3613499999999948E-2</v>
      </c>
      <c r="T52" s="46">
        <v>0.22</v>
      </c>
      <c r="U52" s="46">
        <f t="shared" si="15"/>
        <v>0.30974358974358962</v>
      </c>
      <c r="V52" s="45">
        <f t="shared" si="16"/>
        <v>39.75</v>
      </c>
      <c r="W52" s="46">
        <f t="shared" si="17"/>
        <v>0.13980000000000001</v>
      </c>
      <c r="X52" s="46">
        <f t="shared" si="18"/>
        <v>0.8034</v>
      </c>
      <c r="Y52" s="45">
        <f t="shared" si="19"/>
        <v>6.7223339699999993</v>
      </c>
      <c r="Z52" s="47">
        <v>38</v>
      </c>
      <c r="AA52" s="48">
        <v>46831</v>
      </c>
    </row>
    <row r="53" spans="1:27" x14ac:dyDescent="0.25">
      <c r="A53" s="49">
        <v>7895296450089</v>
      </c>
      <c r="B53" s="49">
        <v>25633</v>
      </c>
      <c r="C53" s="50" t="s">
        <v>61</v>
      </c>
      <c r="D53" s="50" t="s">
        <v>12</v>
      </c>
      <c r="E53" s="44" t="s">
        <v>8</v>
      </c>
      <c r="F53" s="44" t="s">
        <v>405</v>
      </c>
      <c r="G53" s="56">
        <v>42.11</v>
      </c>
      <c r="H53" s="56">
        <f t="shared" si="4"/>
        <v>0.90957600000000005</v>
      </c>
      <c r="I53" s="56">
        <f t="shared" si="5"/>
        <v>43.019576000000001</v>
      </c>
      <c r="J53" s="58">
        <f t="shared" si="6"/>
        <v>3.9083836329025639</v>
      </c>
      <c r="K53" s="58">
        <f t="shared" si="7"/>
        <v>2.2061321025641023</v>
      </c>
      <c r="L53" s="58">
        <f t="shared" si="8"/>
        <v>1.9591831903333332</v>
      </c>
      <c r="M53" s="58">
        <f t="shared" si="9"/>
        <v>0.55153302564102558</v>
      </c>
      <c r="N53" s="56">
        <f t="shared" si="10"/>
        <v>51.644807951441031</v>
      </c>
      <c r="O53" s="56">
        <v>101.34</v>
      </c>
      <c r="P53" s="46">
        <f t="shared" si="11"/>
        <v>0.45575979313101878</v>
      </c>
      <c r="Q53" s="45">
        <f t="shared" si="12"/>
        <v>55.15330256410256</v>
      </c>
      <c r="R53" s="45">
        <f t="shared" si="13"/>
        <v>60.282559702564093</v>
      </c>
      <c r="S53" s="46">
        <f t="shared" si="14"/>
        <v>6.3613499999999837E-2</v>
      </c>
      <c r="T53" s="46">
        <v>0.22</v>
      </c>
      <c r="U53" s="46">
        <f t="shared" si="15"/>
        <v>0.30974358974358962</v>
      </c>
      <c r="V53" s="51">
        <v>101.34</v>
      </c>
      <c r="W53" s="46">
        <v>0.13980000000000001</v>
      </c>
      <c r="X53" s="52">
        <v>0.55000000000000004</v>
      </c>
      <c r="Y53" s="45">
        <v>39.229999999999997</v>
      </c>
      <c r="Z53" s="53">
        <v>0</v>
      </c>
      <c r="AA53" s="54" t="s">
        <v>403</v>
      </c>
    </row>
    <row r="54" spans="1:27" x14ac:dyDescent="0.25">
      <c r="A54" s="43">
        <v>7895296277174</v>
      </c>
      <c r="B54" s="43">
        <v>10497</v>
      </c>
      <c r="C54" s="44" t="s">
        <v>62</v>
      </c>
      <c r="D54" s="44" t="s">
        <v>7</v>
      </c>
      <c r="E54" s="44" t="s">
        <v>8</v>
      </c>
      <c r="F54" s="44" t="s">
        <v>405</v>
      </c>
      <c r="G54" s="56">
        <v>77.372132415599992</v>
      </c>
      <c r="H54" s="56">
        <f t="shared" si="4"/>
        <v>1.6712380601769599</v>
      </c>
      <c r="I54" s="56">
        <f t="shared" si="5"/>
        <v>79.043370475776953</v>
      </c>
      <c r="J54" s="58">
        <f t="shared" si="6"/>
        <v>7.1811915453787929</v>
      </c>
      <c r="K54" s="58">
        <f t="shared" si="7"/>
        <v>4.0535061782449722</v>
      </c>
      <c r="L54" s="58">
        <f t="shared" si="8"/>
        <v>3.5997668304176753</v>
      </c>
      <c r="M54" s="58">
        <f t="shared" si="9"/>
        <v>1.013376544561243</v>
      </c>
      <c r="N54" s="56">
        <f t="shared" si="10"/>
        <v>94.891211574379639</v>
      </c>
      <c r="O54" s="56">
        <v>118.46</v>
      </c>
      <c r="P54" s="46">
        <f t="shared" si="11"/>
        <v>0.14454115772307696</v>
      </c>
      <c r="Q54" s="45">
        <f t="shared" si="12"/>
        <v>101.3376544561243</v>
      </c>
      <c r="R54" s="45">
        <f t="shared" si="13"/>
        <v>110.76205632054386</v>
      </c>
      <c r="S54" s="46">
        <f t="shared" si="14"/>
        <v>6.3613499999999962E-2</v>
      </c>
      <c r="T54" s="46">
        <v>0.22</v>
      </c>
      <c r="U54" s="46">
        <f t="shared" si="15"/>
        <v>0.30974358974358984</v>
      </c>
      <c r="V54" s="45">
        <f t="shared" ref="V54:V85" si="20">IFERROR(VLOOKUP(A54,MATRIZ1,5,0),"")</f>
        <v>118.46</v>
      </c>
      <c r="W54" s="46">
        <f t="shared" ref="W54:W65" si="21">IFERROR(VLOOKUP(A54,MATRIZ1,6,0),"")</f>
        <v>0.13980000000000001</v>
      </c>
      <c r="X54" s="46">
        <f t="shared" ref="X54:X85" si="22">IFERROR(VLOOKUP(A54,MATRIZ1,7,0),"")</f>
        <v>0.2407</v>
      </c>
      <c r="Y54" s="45">
        <f t="shared" ref="Y54:Y85" si="23">IFERROR(VLOOKUP(A54,MATRIZ1,8,0),"")</f>
        <v>77.372132415599992</v>
      </c>
      <c r="Z54" s="47">
        <v>24</v>
      </c>
      <c r="AA54" s="48">
        <v>46679</v>
      </c>
    </row>
    <row r="55" spans="1:27" x14ac:dyDescent="0.25">
      <c r="A55" s="43">
        <v>7895296277051</v>
      </c>
      <c r="B55" s="43">
        <v>10498</v>
      </c>
      <c r="C55" s="44" t="s">
        <v>63</v>
      </c>
      <c r="D55" s="44" t="s">
        <v>7</v>
      </c>
      <c r="E55" s="44" t="s">
        <v>8</v>
      </c>
      <c r="F55" s="44" t="s">
        <v>405</v>
      </c>
      <c r="G55" s="56">
        <v>30.464279768999997</v>
      </c>
      <c r="H55" s="56">
        <f t="shared" si="4"/>
        <v>0.65802844301039998</v>
      </c>
      <c r="I55" s="56">
        <f t="shared" si="5"/>
        <v>31.122308212010399</v>
      </c>
      <c r="J55" s="58">
        <f t="shared" si="6"/>
        <v>2.8275016014562886</v>
      </c>
      <c r="K55" s="58">
        <f t="shared" si="7"/>
        <v>1.5960158057441232</v>
      </c>
      <c r="L55" s="58">
        <f t="shared" si="8"/>
        <v>1.4173617864886403</v>
      </c>
      <c r="M55" s="58">
        <f t="shared" si="9"/>
        <v>0.39900395143603079</v>
      </c>
      <c r="N55" s="56">
        <f t="shared" si="10"/>
        <v>37.36219135713548</v>
      </c>
      <c r="O55" s="56">
        <v>49.65</v>
      </c>
      <c r="P55" s="46">
        <f t="shared" si="11"/>
        <v>0.19636666377435893</v>
      </c>
      <c r="Q55" s="45">
        <f t="shared" si="12"/>
        <v>39.900395143603077</v>
      </c>
      <c r="R55" s="45">
        <f t="shared" si="13"/>
        <v>43.611131891958166</v>
      </c>
      <c r="S55" s="46">
        <f t="shared" si="14"/>
        <v>6.3613500000000087E-2</v>
      </c>
      <c r="T55" s="46">
        <v>0.22</v>
      </c>
      <c r="U55" s="46">
        <f t="shared" si="15"/>
        <v>0.30974358974358984</v>
      </c>
      <c r="V55" s="45">
        <f t="shared" si="20"/>
        <v>49.65</v>
      </c>
      <c r="W55" s="46">
        <f t="shared" si="21"/>
        <v>0.13980000000000001</v>
      </c>
      <c r="X55" s="46">
        <f t="shared" si="22"/>
        <v>0.28670000000000001</v>
      </c>
      <c r="Y55" s="45">
        <f t="shared" si="23"/>
        <v>30.464279768999997</v>
      </c>
      <c r="Z55" s="47">
        <v>51</v>
      </c>
      <c r="AA55" s="48">
        <v>46674</v>
      </c>
    </row>
    <row r="56" spans="1:27" x14ac:dyDescent="0.25">
      <c r="A56" s="43">
        <v>7895296446228</v>
      </c>
      <c r="B56" s="43">
        <v>14091</v>
      </c>
      <c r="C56" s="44" t="s">
        <v>64</v>
      </c>
      <c r="D56" s="44" t="s">
        <v>7</v>
      </c>
      <c r="E56" s="44" t="s">
        <v>8</v>
      </c>
      <c r="F56" s="44" t="s">
        <v>405</v>
      </c>
      <c r="G56" s="56">
        <v>7.1120974715999976</v>
      </c>
      <c r="H56" s="56">
        <f t="shared" si="4"/>
        <v>0.15362130538655994</v>
      </c>
      <c r="I56" s="56">
        <f t="shared" si="5"/>
        <v>7.2657187769865574</v>
      </c>
      <c r="J56" s="58">
        <f t="shared" si="6"/>
        <v>0.66009986591330183</v>
      </c>
      <c r="K56" s="58">
        <f t="shared" si="7"/>
        <v>0.37260096292238759</v>
      </c>
      <c r="L56" s="58">
        <f t="shared" si="8"/>
        <v>0.33089294263526281</v>
      </c>
      <c r="M56" s="58">
        <f t="shared" si="9"/>
        <v>9.3150240730596898E-2</v>
      </c>
      <c r="N56" s="56">
        <f t="shared" si="10"/>
        <v>8.722462789188107</v>
      </c>
      <c r="O56" s="56">
        <v>60.66</v>
      </c>
      <c r="P56" s="46">
        <f t="shared" si="11"/>
        <v>0.84643877228717956</v>
      </c>
      <c r="Q56" s="45">
        <f t="shared" si="12"/>
        <v>9.3150240730596892</v>
      </c>
      <c r="R56" s="45">
        <f t="shared" si="13"/>
        <v>10.181321311854241</v>
      </c>
      <c r="S56" s="46">
        <f t="shared" si="14"/>
        <v>6.3613499999999962E-2</v>
      </c>
      <c r="T56" s="46">
        <v>0.22</v>
      </c>
      <c r="U56" s="46">
        <f t="shared" si="15"/>
        <v>0.30974358974358984</v>
      </c>
      <c r="V56" s="45">
        <f t="shared" si="20"/>
        <v>60.66</v>
      </c>
      <c r="W56" s="46">
        <f t="shared" si="21"/>
        <v>0.13980000000000001</v>
      </c>
      <c r="X56" s="46">
        <f t="shared" si="22"/>
        <v>0.86370000000000002</v>
      </c>
      <c r="Y56" s="45">
        <f t="shared" si="23"/>
        <v>7.1120974715999976</v>
      </c>
      <c r="Z56" s="47">
        <v>40</v>
      </c>
      <c r="AA56" s="48">
        <v>46627</v>
      </c>
    </row>
    <row r="57" spans="1:27" x14ac:dyDescent="0.25">
      <c r="A57" s="43">
        <v>7895296446211</v>
      </c>
      <c r="B57" s="43">
        <v>1759</v>
      </c>
      <c r="C57" s="44" t="s">
        <v>65</v>
      </c>
      <c r="D57" s="44" t="s">
        <v>7</v>
      </c>
      <c r="E57" s="44" t="s">
        <v>8</v>
      </c>
      <c r="F57" s="44" t="s">
        <v>405</v>
      </c>
      <c r="G57" s="56">
        <v>6.3148408862000007</v>
      </c>
      <c r="H57" s="56">
        <f t="shared" si="4"/>
        <v>0.13640056314192001</v>
      </c>
      <c r="I57" s="56">
        <f t="shared" si="5"/>
        <v>6.4512414493419206</v>
      </c>
      <c r="J57" s="58">
        <f t="shared" si="6"/>
        <v>0.58610355649508439</v>
      </c>
      <c r="K57" s="58">
        <f t="shared" si="7"/>
        <v>0.33083289483804718</v>
      </c>
      <c r="L57" s="58">
        <f t="shared" si="8"/>
        <v>0.29380028767211325</v>
      </c>
      <c r="M57" s="58">
        <f t="shared" si="9"/>
        <v>8.2708223709511794E-2</v>
      </c>
      <c r="N57" s="56">
        <f t="shared" si="10"/>
        <v>7.7446864120566765</v>
      </c>
      <c r="O57" s="56">
        <v>45.01</v>
      </c>
      <c r="P57" s="46">
        <f t="shared" si="11"/>
        <v>0.81624478180512816</v>
      </c>
      <c r="Q57" s="45">
        <f t="shared" si="12"/>
        <v>8.2708223709511799</v>
      </c>
      <c r="R57" s="45">
        <f t="shared" si="13"/>
        <v>9.0400088514496382</v>
      </c>
      <c r="S57" s="46">
        <f t="shared" si="14"/>
        <v>6.3613500000000059E-2</v>
      </c>
      <c r="T57" s="46">
        <v>0.22</v>
      </c>
      <c r="U57" s="46">
        <f t="shared" si="15"/>
        <v>0.30974358974358962</v>
      </c>
      <c r="V57" s="45">
        <f t="shared" si="20"/>
        <v>45.01</v>
      </c>
      <c r="W57" s="46">
        <f t="shared" si="21"/>
        <v>0.13980000000000001</v>
      </c>
      <c r="X57" s="46">
        <f t="shared" si="22"/>
        <v>0.83689999999999998</v>
      </c>
      <c r="Y57" s="45">
        <f t="shared" si="23"/>
        <v>6.3148408862000007</v>
      </c>
      <c r="Z57" s="47">
        <v>88</v>
      </c>
      <c r="AA57" s="48">
        <v>46629</v>
      </c>
    </row>
    <row r="58" spans="1:27" x14ac:dyDescent="0.25">
      <c r="A58" s="43">
        <v>7896472520299</v>
      </c>
      <c r="B58" s="43">
        <v>24155</v>
      </c>
      <c r="C58" s="44" t="s">
        <v>66</v>
      </c>
      <c r="D58" s="44" t="s">
        <v>12</v>
      </c>
      <c r="E58" s="44" t="s">
        <v>8</v>
      </c>
      <c r="F58" s="44" t="s">
        <v>405</v>
      </c>
      <c r="G58" s="56">
        <v>4.0284017597999968</v>
      </c>
      <c r="H58" s="56">
        <f t="shared" si="4"/>
        <v>8.701347801167994E-2</v>
      </c>
      <c r="I58" s="56">
        <f t="shared" si="5"/>
        <v>4.1154152378116766</v>
      </c>
      <c r="J58" s="58">
        <f t="shared" si="6"/>
        <v>0.37389075052857262</v>
      </c>
      <c r="K58" s="58">
        <f t="shared" si="7"/>
        <v>0.21104693527239365</v>
      </c>
      <c r="L58" s="58">
        <f t="shared" si="8"/>
        <v>0.18742286895534008</v>
      </c>
      <c r="M58" s="58">
        <f t="shared" si="9"/>
        <v>5.2761733818098414E-2</v>
      </c>
      <c r="N58" s="56">
        <f t="shared" si="10"/>
        <v>4.9405375263860813</v>
      </c>
      <c r="O58" s="56">
        <v>46.23</v>
      </c>
      <c r="P58" s="46">
        <f t="shared" si="11"/>
        <v>0.88587122254358985</v>
      </c>
      <c r="Q58" s="45">
        <f t="shared" si="12"/>
        <v>5.2761733818098415</v>
      </c>
      <c r="R58" s="45">
        <f t="shared" si="13"/>
        <v>5.7668575063181562</v>
      </c>
      <c r="S58" s="46">
        <f t="shared" si="14"/>
        <v>6.3613499999999962E-2</v>
      </c>
      <c r="T58" s="46">
        <v>0.22</v>
      </c>
      <c r="U58" s="46">
        <f t="shared" si="15"/>
        <v>0.30974358974358962</v>
      </c>
      <c r="V58" s="45">
        <f t="shared" si="20"/>
        <v>46.23</v>
      </c>
      <c r="W58" s="46">
        <f t="shared" si="21"/>
        <v>0.13980000000000001</v>
      </c>
      <c r="X58" s="46">
        <f t="shared" si="22"/>
        <v>0.89870000000000005</v>
      </c>
      <c r="Y58" s="45">
        <f t="shared" si="23"/>
        <v>4.0284017597999968</v>
      </c>
      <c r="Z58" s="47">
        <v>272</v>
      </c>
      <c r="AA58" s="48">
        <v>46685</v>
      </c>
    </row>
    <row r="59" spans="1:27" x14ac:dyDescent="0.25">
      <c r="A59" s="49">
        <v>7896472520305</v>
      </c>
      <c r="B59" s="49">
        <v>24239</v>
      </c>
      <c r="C59" s="50" t="s">
        <v>67</v>
      </c>
      <c r="D59" s="50" t="s">
        <v>12</v>
      </c>
      <c r="E59" s="50" t="s">
        <v>8</v>
      </c>
      <c r="F59" s="44" t="s">
        <v>405</v>
      </c>
      <c r="G59" s="56">
        <v>7.6959737051999992</v>
      </c>
      <c r="H59" s="56">
        <f t="shared" si="4"/>
        <v>0.16623303203231998</v>
      </c>
      <c r="I59" s="56">
        <f t="shared" si="5"/>
        <v>7.8622067372323192</v>
      </c>
      <c r="J59" s="58">
        <f t="shared" si="6"/>
        <v>0.71429156182978348</v>
      </c>
      <c r="K59" s="58">
        <f t="shared" si="7"/>
        <v>0.40319008908883691</v>
      </c>
      <c r="L59" s="58">
        <f t="shared" si="8"/>
        <v>0.3580579984914552</v>
      </c>
      <c r="M59" s="58">
        <f t="shared" si="9"/>
        <v>0.10079752227220923</v>
      </c>
      <c r="N59" s="56">
        <f t="shared" si="10"/>
        <v>9.4385439089146033</v>
      </c>
      <c r="O59" s="56">
        <v>81.260000000000005</v>
      </c>
      <c r="P59" s="46">
        <f t="shared" si="11"/>
        <v>0.87595677790769233</v>
      </c>
      <c r="Q59" s="45">
        <f t="shared" si="12"/>
        <v>10.079752227220922</v>
      </c>
      <c r="R59" s="45">
        <f t="shared" si="13"/>
        <v>11.017169184352468</v>
      </c>
      <c r="S59" s="46">
        <f t="shared" si="14"/>
        <v>6.3613500000000073E-2</v>
      </c>
      <c r="T59" s="46">
        <v>0.22</v>
      </c>
      <c r="U59" s="46">
        <f t="shared" si="15"/>
        <v>0.30974358974358984</v>
      </c>
      <c r="V59" s="51">
        <f t="shared" si="20"/>
        <v>81.260000000000005</v>
      </c>
      <c r="W59" s="46">
        <f t="shared" si="21"/>
        <v>0.13980000000000001</v>
      </c>
      <c r="X59" s="52">
        <f t="shared" si="22"/>
        <v>0.88990000000000002</v>
      </c>
      <c r="Y59" s="45">
        <f t="shared" si="23"/>
        <v>7.6959737051999992</v>
      </c>
      <c r="Z59" s="53">
        <v>0</v>
      </c>
      <c r="AA59" s="54" t="s">
        <v>403</v>
      </c>
    </row>
    <row r="60" spans="1:27" x14ac:dyDescent="0.25">
      <c r="A60" s="43">
        <v>7895296449267</v>
      </c>
      <c r="B60" s="43">
        <v>16365</v>
      </c>
      <c r="C60" s="44" t="s">
        <v>68</v>
      </c>
      <c r="D60" s="44" t="s">
        <v>7</v>
      </c>
      <c r="E60" s="44" t="s">
        <v>8</v>
      </c>
      <c r="F60" s="44" t="s">
        <v>405</v>
      </c>
      <c r="G60" s="56">
        <v>1.9736170740000001</v>
      </c>
      <c r="H60" s="56">
        <f t="shared" si="4"/>
        <v>4.2630128798400002E-2</v>
      </c>
      <c r="I60" s="56">
        <f t="shared" si="5"/>
        <v>2.0162472027984002</v>
      </c>
      <c r="J60" s="58">
        <f t="shared" si="6"/>
        <v>0.18317864330654596</v>
      </c>
      <c r="K60" s="58">
        <f t="shared" si="7"/>
        <v>0.10339729245120001</v>
      </c>
      <c r="L60" s="58">
        <f t="shared" si="8"/>
        <v>9.1823258027443802E-2</v>
      </c>
      <c r="M60" s="58">
        <f t="shared" si="9"/>
        <v>2.5849323112800002E-2</v>
      </c>
      <c r="N60" s="56">
        <f t="shared" si="10"/>
        <v>2.4204957196963899</v>
      </c>
      <c r="O60" s="56">
        <v>11.1</v>
      </c>
      <c r="P60" s="46">
        <f t="shared" si="11"/>
        <v>0.76712321519999993</v>
      </c>
      <c r="Q60" s="45">
        <f t="shared" si="12"/>
        <v>2.5849323112800002</v>
      </c>
      <c r="R60" s="45">
        <f t="shared" si="13"/>
        <v>2.8253310162290401</v>
      </c>
      <c r="S60" s="46">
        <f t="shared" si="14"/>
        <v>6.3613500000000017E-2</v>
      </c>
      <c r="T60" s="46">
        <v>0.22</v>
      </c>
      <c r="U60" s="46">
        <f t="shared" si="15"/>
        <v>0.30974358974358984</v>
      </c>
      <c r="V60" s="45">
        <f t="shared" si="20"/>
        <v>11.1</v>
      </c>
      <c r="W60" s="46">
        <f t="shared" si="21"/>
        <v>0.13980000000000001</v>
      </c>
      <c r="X60" s="46">
        <f t="shared" si="22"/>
        <v>0.79330000000000001</v>
      </c>
      <c r="Y60" s="45">
        <f t="shared" si="23"/>
        <v>1.9736170740000001</v>
      </c>
      <c r="Z60" s="47">
        <v>1</v>
      </c>
      <c r="AA60" s="48">
        <v>46531</v>
      </c>
    </row>
    <row r="61" spans="1:27" x14ac:dyDescent="0.25">
      <c r="A61" s="49">
        <v>7895296291071</v>
      </c>
      <c r="B61" s="49">
        <v>10459</v>
      </c>
      <c r="C61" s="50" t="s">
        <v>69</v>
      </c>
      <c r="D61" s="50" t="s">
        <v>7</v>
      </c>
      <c r="E61" s="50" t="s">
        <v>8</v>
      </c>
      <c r="F61" s="44" t="s">
        <v>405</v>
      </c>
      <c r="G61" s="56">
        <v>9.5109871031999997</v>
      </c>
      <c r="H61" s="56">
        <f t="shared" si="4"/>
        <v>0.20543732142912002</v>
      </c>
      <c r="I61" s="56">
        <f t="shared" si="5"/>
        <v>9.7164244246291194</v>
      </c>
      <c r="J61" s="58">
        <f t="shared" si="6"/>
        <v>0.8827496159319459</v>
      </c>
      <c r="K61" s="58">
        <f t="shared" si="7"/>
        <v>0.49827817562200605</v>
      </c>
      <c r="L61" s="58">
        <f t="shared" si="8"/>
        <v>0.44250216233831774</v>
      </c>
      <c r="M61" s="58">
        <f t="shared" si="9"/>
        <v>0.12456954390550151</v>
      </c>
      <c r="N61" s="56">
        <f t="shared" si="10"/>
        <v>11.664523922426891</v>
      </c>
      <c r="O61" s="56">
        <v>20.43</v>
      </c>
      <c r="P61" s="46">
        <f t="shared" si="11"/>
        <v>0.3902616548923078</v>
      </c>
      <c r="Q61" s="45">
        <f t="shared" si="12"/>
        <v>12.456954390550152</v>
      </c>
      <c r="R61" s="45">
        <f t="shared" si="13"/>
        <v>13.615451148871315</v>
      </c>
      <c r="S61" s="46">
        <f t="shared" si="14"/>
        <v>6.3613499999999878E-2</v>
      </c>
      <c r="T61" s="46">
        <v>0.22</v>
      </c>
      <c r="U61" s="46">
        <f t="shared" si="15"/>
        <v>0.30974358974358962</v>
      </c>
      <c r="V61" s="51">
        <f t="shared" si="20"/>
        <v>20.43</v>
      </c>
      <c r="W61" s="46">
        <f t="shared" si="21"/>
        <v>0.13980000000000001</v>
      </c>
      <c r="X61" s="52">
        <f t="shared" si="22"/>
        <v>0.45879999999999999</v>
      </c>
      <c r="Y61" s="45">
        <f t="shared" si="23"/>
        <v>9.5109871031999997</v>
      </c>
      <c r="Z61" s="53">
        <v>0</v>
      </c>
      <c r="AA61" s="54" t="s">
        <v>403</v>
      </c>
    </row>
    <row r="62" spans="1:27" x14ac:dyDescent="0.25">
      <c r="A62" s="67">
        <v>7895296414012</v>
      </c>
      <c r="B62" s="67">
        <v>11711</v>
      </c>
      <c r="C62" s="68" t="s">
        <v>70</v>
      </c>
      <c r="D62" s="68" t="s">
        <v>7</v>
      </c>
      <c r="E62" s="68" t="s">
        <v>8</v>
      </c>
      <c r="F62" s="68" t="s">
        <v>405</v>
      </c>
      <c r="G62" s="69">
        <v>4.1651348508000003</v>
      </c>
      <c r="H62" s="69">
        <f t="shared" si="4"/>
        <v>8.9966912777280014E-2</v>
      </c>
      <c r="I62" s="69">
        <f t="shared" si="5"/>
        <v>4.2551017635772803</v>
      </c>
      <c r="J62" s="70">
        <f t="shared" si="6"/>
        <v>0.35391259550955451</v>
      </c>
      <c r="K62" s="70">
        <f t="shared" si="7"/>
        <v>0.19977003584869862</v>
      </c>
      <c r="L62" s="70">
        <f t="shared" si="8"/>
        <v>0.17740827746088492</v>
      </c>
      <c r="M62" s="70">
        <f t="shared" si="9"/>
        <v>4.9942508962174656E-2</v>
      </c>
      <c r="N62" s="69">
        <f t="shared" si="10"/>
        <v>5.0361351813585928</v>
      </c>
      <c r="O62" s="69">
        <v>27.78</v>
      </c>
      <c r="P62" s="71">
        <f t="shared" si="11"/>
        <v>0.82022135002816898</v>
      </c>
      <c r="Q62" s="72">
        <f t="shared" si="12"/>
        <v>4.9942508962174657</v>
      </c>
      <c r="R62" s="72">
        <f t="shared" si="13"/>
        <v>5.4587162295656899</v>
      </c>
      <c r="S62" s="71">
        <f t="shared" si="14"/>
        <v>-8.3864999999998819E-3</v>
      </c>
      <c r="T62" s="71">
        <v>0.14799999999999999</v>
      </c>
      <c r="U62" s="71">
        <f t="shared" si="15"/>
        <v>0.1990610328638498</v>
      </c>
      <c r="V62" s="72">
        <f t="shared" si="20"/>
        <v>27.78</v>
      </c>
      <c r="W62" s="71">
        <f t="shared" si="21"/>
        <v>0.13980000000000001</v>
      </c>
      <c r="X62" s="71">
        <f t="shared" si="22"/>
        <v>0.82569999999999999</v>
      </c>
      <c r="Y62" s="72">
        <f t="shared" si="23"/>
        <v>4.1651348508000003</v>
      </c>
      <c r="Z62" s="73">
        <v>108</v>
      </c>
      <c r="AA62" s="74">
        <v>46544</v>
      </c>
    </row>
    <row r="63" spans="1:27" x14ac:dyDescent="0.25">
      <c r="A63" s="43">
        <v>7895296211062</v>
      </c>
      <c r="B63" s="43">
        <v>10411</v>
      </c>
      <c r="C63" s="44" t="s">
        <v>71</v>
      </c>
      <c r="D63" s="44" t="s">
        <v>7</v>
      </c>
      <c r="E63" s="44" t="s">
        <v>8</v>
      </c>
      <c r="F63" s="44" t="s">
        <v>405</v>
      </c>
      <c r="G63" s="56">
        <v>12.261411228</v>
      </c>
      <c r="H63" s="56">
        <f t="shared" si="4"/>
        <v>0.26484648252480003</v>
      </c>
      <c r="I63" s="56">
        <f t="shared" si="5"/>
        <v>12.526257710524799</v>
      </c>
      <c r="J63" s="58">
        <f t="shared" si="6"/>
        <v>1.1380265723059351</v>
      </c>
      <c r="K63" s="58">
        <f t="shared" si="7"/>
        <v>0.64237219028332304</v>
      </c>
      <c r="L63" s="58">
        <f t="shared" si="8"/>
        <v>0.57046665323348356</v>
      </c>
      <c r="M63" s="58">
        <f t="shared" si="9"/>
        <v>0.16059304757083076</v>
      </c>
      <c r="N63" s="56">
        <f t="shared" si="10"/>
        <v>15.037716173918373</v>
      </c>
      <c r="O63" s="56">
        <v>21.18</v>
      </c>
      <c r="P63" s="46">
        <f t="shared" si="11"/>
        <v>0.24177031364102566</v>
      </c>
      <c r="Q63" s="45">
        <f t="shared" si="12"/>
        <v>16.059304757083076</v>
      </c>
      <c r="R63" s="45">
        <f t="shared" si="13"/>
        <v>17.5528200994918</v>
      </c>
      <c r="S63" s="46">
        <f t="shared" si="14"/>
        <v>6.3613499999999962E-2</v>
      </c>
      <c r="T63" s="46">
        <v>0.22</v>
      </c>
      <c r="U63" s="46">
        <f t="shared" si="15"/>
        <v>0.30974358974358962</v>
      </c>
      <c r="V63" s="45">
        <f t="shared" si="20"/>
        <v>21.18</v>
      </c>
      <c r="W63" s="46">
        <f t="shared" si="21"/>
        <v>0.13980000000000001</v>
      </c>
      <c r="X63" s="46">
        <f t="shared" si="22"/>
        <v>0.32700000000000001</v>
      </c>
      <c r="Y63" s="45">
        <f t="shared" si="23"/>
        <v>12.261411228</v>
      </c>
      <c r="Z63" s="47">
        <v>29</v>
      </c>
      <c r="AA63" s="48">
        <v>46700</v>
      </c>
    </row>
    <row r="64" spans="1:27" x14ac:dyDescent="0.25">
      <c r="A64" s="43">
        <v>7895296211086</v>
      </c>
      <c r="B64" s="43">
        <v>10487</v>
      </c>
      <c r="C64" s="44" t="s">
        <v>72</v>
      </c>
      <c r="D64" s="44" t="s">
        <v>7</v>
      </c>
      <c r="E64" s="44" t="s">
        <v>8</v>
      </c>
      <c r="F64" s="44" t="s">
        <v>405</v>
      </c>
      <c r="G64" s="56">
        <v>20.886330396800002</v>
      </c>
      <c r="H64" s="56">
        <f t="shared" si="4"/>
        <v>0.45114473657088006</v>
      </c>
      <c r="I64" s="56">
        <f t="shared" si="5"/>
        <v>21.33747513337088</v>
      </c>
      <c r="J64" s="58">
        <f t="shared" si="6"/>
        <v>1.9385369716040948</v>
      </c>
      <c r="K64" s="58">
        <f t="shared" si="7"/>
        <v>1.0942294940190194</v>
      </c>
      <c r="L64" s="58">
        <f t="shared" si="8"/>
        <v>0.97174418003226537</v>
      </c>
      <c r="M64" s="58">
        <f t="shared" si="9"/>
        <v>0.27355737350475484</v>
      </c>
      <c r="N64" s="56">
        <f t="shared" si="10"/>
        <v>25.615543152531011</v>
      </c>
      <c r="O64" s="56">
        <v>40.28</v>
      </c>
      <c r="P64" s="46">
        <f t="shared" si="11"/>
        <v>0.32086054244102569</v>
      </c>
      <c r="Q64" s="45">
        <f t="shared" si="12"/>
        <v>27.355737350475486</v>
      </c>
      <c r="R64" s="45">
        <f t="shared" si="13"/>
        <v>29.899820924069704</v>
      </c>
      <c r="S64" s="46">
        <f t="shared" si="14"/>
        <v>6.3613500000000128E-2</v>
      </c>
      <c r="T64" s="46">
        <v>0.22</v>
      </c>
      <c r="U64" s="46">
        <f t="shared" si="15"/>
        <v>0.30974358974358962</v>
      </c>
      <c r="V64" s="45">
        <f t="shared" si="20"/>
        <v>40.28</v>
      </c>
      <c r="W64" s="46">
        <f t="shared" si="21"/>
        <v>0.13980000000000001</v>
      </c>
      <c r="X64" s="46">
        <f t="shared" si="22"/>
        <v>0.3972</v>
      </c>
      <c r="Y64" s="45">
        <f t="shared" si="23"/>
        <v>20.886330396800002</v>
      </c>
      <c r="Z64" s="47">
        <v>38</v>
      </c>
      <c r="AA64" s="48">
        <v>46233</v>
      </c>
    </row>
    <row r="65" spans="1:27" x14ac:dyDescent="0.25">
      <c r="A65" s="67">
        <v>7895296210959</v>
      </c>
      <c r="B65" s="67">
        <v>10428</v>
      </c>
      <c r="C65" s="68" t="s">
        <v>73</v>
      </c>
      <c r="D65" s="68" t="s">
        <v>7</v>
      </c>
      <c r="E65" s="68" t="s">
        <v>8</v>
      </c>
      <c r="F65" s="68" t="s">
        <v>405</v>
      </c>
      <c r="G65" s="69">
        <v>34.911223881600009</v>
      </c>
      <c r="H65" s="69">
        <f t="shared" si="4"/>
        <v>0.75408243584256018</v>
      </c>
      <c r="I65" s="69">
        <f t="shared" si="5"/>
        <v>35.665306317442571</v>
      </c>
      <c r="J65" s="70">
        <f t="shared" si="6"/>
        <v>3.0461447111959146</v>
      </c>
      <c r="K65" s="70">
        <f t="shared" si="7"/>
        <v>1.7194314242469602</v>
      </c>
      <c r="L65" s="70">
        <f t="shared" si="8"/>
        <v>1.5269625691953161</v>
      </c>
      <c r="M65" s="70">
        <f t="shared" si="9"/>
        <v>0.42985785606174004</v>
      </c>
      <c r="N65" s="69">
        <f t="shared" si="10"/>
        <v>42.387702878142505</v>
      </c>
      <c r="O65" s="69">
        <v>202.52</v>
      </c>
      <c r="P65" s="71">
        <f t="shared" si="11"/>
        <v>0.7877454789345546</v>
      </c>
      <c r="Q65" s="72">
        <f t="shared" si="12"/>
        <v>42.985785606174005</v>
      </c>
      <c r="R65" s="72">
        <f t="shared" si="13"/>
        <v>46.983463667548186</v>
      </c>
      <c r="S65" s="71">
        <f t="shared" si="14"/>
        <v>1.3913499999999947E-2</v>
      </c>
      <c r="T65" s="71">
        <v>0.17030000000000001</v>
      </c>
      <c r="U65" s="71">
        <f t="shared" si="15"/>
        <v>0.23128841750030138</v>
      </c>
      <c r="V65" s="72">
        <f t="shared" si="20"/>
        <v>202.52</v>
      </c>
      <c r="W65" s="71">
        <f t="shared" si="21"/>
        <v>0.13980000000000001</v>
      </c>
      <c r="X65" s="71">
        <f t="shared" si="22"/>
        <v>0.79959999999999998</v>
      </c>
      <c r="Y65" s="72">
        <f t="shared" si="23"/>
        <v>34.911223881600009</v>
      </c>
      <c r="Z65" s="73">
        <v>631</v>
      </c>
      <c r="AA65" s="74">
        <v>46631</v>
      </c>
    </row>
    <row r="66" spans="1:27" x14ac:dyDescent="0.25">
      <c r="A66" s="49">
        <v>7895296210034</v>
      </c>
      <c r="B66" s="49">
        <v>10427</v>
      </c>
      <c r="C66" s="50" t="s">
        <v>74</v>
      </c>
      <c r="D66" s="50" t="s">
        <v>7</v>
      </c>
      <c r="E66" s="50" t="s">
        <v>8</v>
      </c>
      <c r="F66" s="44" t="s">
        <v>405</v>
      </c>
      <c r="G66" s="56">
        <v>2.2832185376000003</v>
      </c>
      <c r="H66" s="56">
        <f t="shared" si="4"/>
        <v>4.9317520412160011E-2</v>
      </c>
      <c r="I66" s="56">
        <f t="shared" si="5"/>
        <v>2.3325360580121601</v>
      </c>
      <c r="J66" s="58">
        <f t="shared" si="6"/>
        <v>0.21191389130124838</v>
      </c>
      <c r="K66" s="58">
        <f t="shared" si="7"/>
        <v>0.11961723374421335</v>
      </c>
      <c r="L66" s="58">
        <f t="shared" si="8"/>
        <v>0.10622757964197045</v>
      </c>
      <c r="M66" s="58">
        <f t="shared" si="9"/>
        <v>2.9904308436053337E-2</v>
      </c>
      <c r="N66" s="56">
        <f t="shared" si="10"/>
        <v>2.8001990711356455</v>
      </c>
      <c r="O66" s="56">
        <v>14.56</v>
      </c>
      <c r="P66" s="46">
        <f t="shared" si="11"/>
        <v>0.79461326623589745</v>
      </c>
      <c r="Q66" s="45">
        <f t="shared" si="12"/>
        <v>2.9904308436053335</v>
      </c>
      <c r="R66" s="45">
        <f t="shared" si="13"/>
        <v>3.2685409120606295</v>
      </c>
      <c r="S66" s="46">
        <f t="shared" si="14"/>
        <v>6.3613500000000045E-2</v>
      </c>
      <c r="T66" s="46">
        <v>0.22</v>
      </c>
      <c r="U66" s="46">
        <f t="shared" si="15"/>
        <v>0.30974358974358962</v>
      </c>
      <c r="V66" s="51">
        <f t="shared" si="20"/>
        <v>14.56</v>
      </c>
      <c r="W66" s="46">
        <f t="shared" ref="W66:W129" si="24">IFERROR(VLOOKUP(A66,MATRIZ1,6,0),"")</f>
        <v>0.13980000000000001</v>
      </c>
      <c r="X66" s="52">
        <f t="shared" si="22"/>
        <v>0.81769999999999998</v>
      </c>
      <c r="Y66" s="45">
        <f t="shared" si="23"/>
        <v>2.2832185376000003</v>
      </c>
      <c r="Z66" s="53">
        <v>0</v>
      </c>
      <c r="AA66" s="54">
        <v>46342</v>
      </c>
    </row>
    <row r="67" spans="1:27" x14ac:dyDescent="0.25">
      <c r="A67" s="67">
        <v>7896472522422</v>
      </c>
      <c r="B67" s="67">
        <v>24736</v>
      </c>
      <c r="C67" s="68" t="s">
        <v>75</v>
      </c>
      <c r="D67" s="68" t="s">
        <v>12</v>
      </c>
      <c r="E67" s="68" t="s">
        <v>8</v>
      </c>
      <c r="F67" s="68" t="s">
        <v>405</v>
      </c>
      <c r="G67" s="69">
        <v>4.6577765520000005</v>
      </c>
      <c r="H67" s="69">
        <f t="shared" ref="H67:H130" si="25">G67/100*2.16</f>
        <v>0.10060797352320003</v>
      </c>
      <c r="I67" s="69">
        <f t="shared" ref="I67:I130" si="26">G67+H67</f>
        <v>4.7583845255232005</v>
      </c>
      <c r="J67" s="70">
        <f t="shared" ref="J67:J130" si="27">Q67/100*7.0864</f>
        <v>0.40142638216270965</v>
      </c>
      <c r="K67" s="70">
        <f t="shared" ref="K67:K130" si="28">Q67/100*4</f>
        <v>0.22658973931062859</v>
      </c>
      <c r="L67" s="70">
        <f t="shared" ref="L67:L130" si="29">R67/100*3.25</f>
        <v>0.20122585036654511</v>
      </c>
      <c r="M67" s="70">
        <f t="shared" ref="M67:M130" si="30">Q67/100*1</f>
        <v>5.6647434827657148E-2</v>
      </c>
      <c r="N67" s="69">
        <f t="shared" ref="N67:N130" si="31">I67+J67+K67+L67+M67</f>
        <v>5.6442739321907407</v>
      </c>
      <c r="O67" s="69">
        <v>20.28</v>
      </c>
      <c r="P67" s="71">
        <f t="shared" ref="P67:P130" si="32">(O67-Q67)/O67</f>
        <v>0.72067339828571431</v>
      </c>
      <c r="Q67" s="72">
        <f t="shared" ref="Q67:Q130" si="33">I67/(1-T67)</f>
        <v>5.664743482765715</v>
      </c>
      <c r="R67" s="72">
        <f t="shared" ref="R67:R130" si="34">Q67/100*109.3</f>
        <v>6.1915646266629265</v>
      </c>
      <c r="S67" s="71">
        <f t="shared" ref="S67:S130" si="35">(Q67-N67)/Q67</f>
        <v>3.6135000000000772E-3</v>
      </c>
      <c r="T67" s="71">
        <v>0.16</v>
      </c>
      <c r="U67" s="71">
        <f t="shared" ref="U67:U130" si="36">((Q67/G67)-1*100%)</f>
        <v>0.21619047619047627</v>
      </c>
      <c r="V67" s="72">
        <f t="shared" si="20"/>
        <v>20.28</v>
      </c>
      <c r="W67" s="71">
        <f t="shared" si="24"/>
        <v>0.13980000000000001</v>
      </c>
      <c r="X67" s="71">
        <f t="shared" si="22"/>
        <v>0.73299999999999998</v>
      </c>
      <c r="Y67" s="72">
        <f t="shared" si="23"/>
        <v>4.6577765520000005</v>
      </c>
      <c r="Z67" s="73">
        <v>89</v>
      </c>
      <c r="AA67" s="74">
        <v>46443</v>
      </c>
    </row>
    <row r="68" spans="1:27" x14ac:dyDescent="0.25">
      <c r="A68" s="43">
        <v>7895296048033</v>
      </c>
      <c r="B68" s="43">
        <v>10443</v>
      </c>
      <c r="C68" s="44" t="s">
        <v>76</v>
      </c>
      <c r="D68" s="44" t="s">
        <v>7</v>
      </c>
      <c r="E68" s="44" t="s">
        <v>8</v>
      </c>
      <c r="F68" s="44" t="s">
        <v>405</v>
      </c>
      <c r="G68" s="56">
        <v>2.8133486150000007</v>
      </c>
      <c r="H68" s="56">
        <f t="shared" si="25"/>
        <v>6.0768330084000025E-2</v>
      </c>
      <c r="I68" s="56">
        <f t="shared" si="26"/>
        <v>2.8741169450840007</v>
      </c>
      <c r="J68" s="58">
        <f t="shared" si="27"/>
        <v>0.26111720922619569</v>
      </c>
      <c r="K68" s="58">
        <f t="shared" si="28"/>
        <v>0.1473906125684103</v>
      </c>
      <c r="L68" s="58">
        <f t="shared" si="29"/>
        <v>0.13089207587403387</v>
      </c>
      <c r="M68" s="58">
        <f t="shared" si="30"/>
        <v>3.6847653142102574E-2</v>
      </c>
      <c r="N68" s="56">
        <f t="shared" si="31"/>
        <v>3.450364495894743</v>
      </c>
      <c r="O68" s="56">
        <v>19.25</v>
      </c>
      <c r="P68" s="46">
        <f t="shared" si="32"/>
        <v>0.80858362004102569</v>
      </c>
      <c r="Q68" s="45">
        <f t="shared" si="33"/>
        <v>3.6847653142102574</v>
      </c>
      <c r="R68" s="45">
        <f t="shared" si="34"/>
        <v>4.0274484884318111</v>
      </c>
      <c r="S68" s="46">
        <f t="shared" si="35"/>
        <v>6.3613500000000059E-2</v>
      </c>
      <c r="T68" s="46">
        <v>0.22</v>
      </c>
      <c r="U68" s="46">
        <f t="shared" si="36"/>
        <v>0.30974358974358984</v>
      </c>
      <c r="V68" s="45">
        <f t="shared" si="20"/>
        <v>19.25</v>
      </c>
      <c r="W68" s="46">
        <f t="shared" si="24"/>
        <v>0.13980000000000001</v>
      </c>
      <c r="X68" s="46">
        <f t="shared" si="22"/>
        <v>0.83009999999999995</v>
      </c>
      <c r="Y68" s="45">
        <f t="shared" si="23"/>
        <v>2.8133486150000007</v>
      </c>
      <c r="Z68" s="47">
        <v>1413</v>
      </c>
      <c r="AA68" s="48">
        <v>46704</v>
      </c>
    </row>
    <row r="69" spans="1:27" x14ac:dyDescent="0.25">
      <c r="A69" s="67">
        <v>7895296048057</v>
      </c>
      <c r="B69" s="67">
        <v>10444</v>
      </c>
      <c r="C69" s="68" t="s">
        <v>77</v>
      </c>
      <c r="D69" s="68" t="s">
        <v>7</v>
      </c>
      <c r="E69" s="68" t="s">
        <v>8</v>
      </c>
      <c r="F69" s="68" t="s">
        <v>405</v>
      </c>
      <c r="G69" s="69">
        <v>5.2974453576</v>
      </c>
      <c r="H69" s="69">
        <f t="shared" si="25"/>
        <v>0.11442481972416001</v>
      </c>
      <c r="I69" s="69">
        <f t="shared" si="26"/>
        <v>5.4118701773241602</v>
      </c>
      <c r="J69" s="70">
        <f t="shared" si="27"/>
        <v>0.45655567648321349</v>
      </c>
      <c r="K69" s="70">
        <f t="shared" si="28"/>
        <v>0.2577081036821029</v>
      </c>
      <c r="L69" s="70">
        <f t="shared" si="29"/>
        <v>0.22886090282618748</v>
      </c>
      <c r="M69" s="70">
        <f t="shared" si="30"/>
        <v>6.4427025920525724E-2</v>
      </c>
      <c r="N69" s="69">
        <f t="shared" si="31"/>
        <v>6.4194218862361891</v>
      </c>
      <c r="O69" s="69">
        <v>36.57</v>
      </c>
      <c r="P69" s="71">
        <f t="shared" si="32"/>
        <v>0.82382546918095234</v>
      </c>
      <c r="Q69" s="72">
        <f t="shared" si="33"/>
        <v>6.442702592052572</v>
      </c>
      <c r="R69" s="72">
        <f t="shared" si="34"/>
        <v>7.0418739331134619</v>
      </c>
      <c r="S69" s="71">
        <f t="shared" si="35"/>
        <v>3.6135000000001387E-3</v>
      </c>
      <c r="T69" s="71">
        <v>0.16</v>
      </c>
      <c r="U69" s="71">
        <f t="shared" si="36"/>
        <v>0.21619047619047627</v>
      </c>
      <c r="V69" s="72">
        <f t="shared" si="20"/>
        <v>36.57</v>
      </c>
      <c r="W69" s="71">
        <f t="shared" si="24"/>
        <v>0.13980000000000001</v>
      </c>
      <c r="X69" s="71">
        <f t="shared" si="22"/>
        <v>0.83160000000000001</v>
      </c>
      <c r="Y69" s="72">
        <f t="shared" si="23"/>
        <v>5.2974453576</v>
      </c>
      <c r="Z69" s="73">
        <v>50</v>
      </c>
      <c r="AA69" s="74">
        <v>46575</v>
      </c>
    </row>
    <row r="70" spans="1:27" x14ac:dyDescent="0.25">
      <c r="A70" s="43">
        <v>7895296447256</v>
      </c>
      <c r="B70" s="43">
        <v>14325</v>
      </c>
      <c r="C70" s="44" t="s">
        <v>78</v>
      </c>
      <c r="D70" s="44" t="s">
        <v>7</v>
      </c>
      <c r="E70" s="44" t="s">
        <v>8</v>
      </c>
      <c r="F70" s="44" t="s">
        <v>405</v>
      </c>
      <c r="G70" s="56">
        <v>14.582624799600001</v>
      </c>
      <c r="H70" s="56">
        <f t="shared" si="25"/>
        <v>0.31498469567136006</v>
      </c>
      <c r="I70" s="56">
        <f t="shared" si="26"/>
        <v>14.897609495271361</v>
      </c>
      <c r="J70" s="58">
        <f t="shared" si="27"/>
        <v>1.3534669221447562</v>
      </c>
      <c r="K70" s="58">
        <f t="shared" si="28"/>
        <v>0.76397997411648011</v>
      </c>
      <c r="L70" s="58">
        <f t="shared" si="29"/>
        <v>0.67846196576381657</v>
      </c>
      <c r="M70" s="58">
        <f t="shared" si="30"/>
        <v>0.19099499352912003</v>
      </c>
      <c r="N70" s="56">
        <f t="shared" si="31"/>
        <v>17.884513350825532</v>
      </c>
      <c r="O70" s="56">
        <v>114.39</v>
      </c>
      <c r="P70" s="46">
        <f t="shared" si="32"/>
        <v>0.83303173919999995</v>
      </c>
      <c r="Q70" s="45">
        <f t="shared" si="33"/>
        <v>19.099499352912002</v>
      </c>
      <c r="R70" s="45">
        <f t="shared" si="34"/>
        <v>20.875752792732818</v>
      </c>
      <c r="S70" s="46">
        <f t="shared" si="35"/>
        <v>6.3613500000000087E-2</v>
      </c>
      <c r="T70" s="46">
        <v>0.22</v>
      </c>
      <c r="U70" s="46">
        <f t="shared" si="36"/>
        <v>0.30974358974358984</v>
      </c>
      <c r="V70" s="45">
        <f t="shared" si="20"/>
        <v>114.39</v>
      </c>
      <c r="W70" s="46">
        <f t="shared" si="24"/>
        <v>0.13980000000000001</v>
      </c>
      <c r="X70" s="46">
        <f t="shared" si="22"/>
        <v>0.8518</v>
      </c>
      <c r="Y70" s="45">
        <f t="shared" si="23"/>
        <v>14.582624799600001</v>
      </c>
      <c r="Z70" s="47">
        <v>89</v>
      </c>
      <c r="AA70" s="48">
        <v>46774</v>
      </c>
    </row>
    <row r="71" spans="1:27" x14ac:dyDescent="0.25">
      <c r="A71" s="49">
        <v>7895296447249</v>
      </c>
      <c r="B71" s="49">
        <v>14026</v>
      </c>
      <c r="C71" s="50" t="s">
        <v>79</v>
      </c>
      <c r="D71" s="50" t="s">
        <v>7</v>
      </c>
      <c r="E71" s="50" t="s">
        <v>8</v>
      </c>
      <c r="F71" s="44" t="s">
        <v>405</v>
      </c>
      <c r="G71" s="56">
        <v>15.943664206800003</v>
      </c>
      <c r="H71" s="56">
        <f t="shared" si="25"/>
        <v>0.3443831468668801</v>
      </c>
      <c r="I71" s="56">
        <f t="shared" si="26"/>
        <v>16.288047353666883</v>
      </c>
      <c r="J71" s="58">
        <f t="shared" si="27"/>
        <v>1.4797899841926281</v>
      </c>
      <c r="K71" s="58">
        <f t="shared" si="28"/>
        <v>0.83528447967522468</v>
      </c>
      <c r="L71" s="58">
        <f t="shared" si="29"/>
        <v>0.74178482323157924</v>
      </c>
      <c r="M71" s="58">
        <f t="shared" si="30"/>
        <v>0.20882111991880617</v>
      </c>
      <c r="N71" s="56">
        <f t="shared" si="31"/>
        <v>19.553727760685121</v>
      </c>
      <c r="O71" s="56">
        <v>145.03</v>
      </c>
      <c r="P71" s="46">
        <f t="shared" si="32"/>
        <v>0.85601522449230771</v>
      </c>
      <c r="Q71" s="45">
        <f t="shared" si="33"/>
        <v>20.882111991880617</v>
      </c>
      <c r="R71" s="45">
        <f t="shared" si="34"/>
        <v>22.824148407125513</v>
      </c>
      <c r="S71" s="46">
        <f t="shared" si="35"/>
        <v>6.3613499999999934E-2</v>
      </c>
      <c r="T71" s="46">
        <v>0.22</v>
      </c>
      <c r="U71" s="46">
        <f t="shared" si="36"/>
        <v>0.30974358974358962</v>
      </c>
      <c r="V71" s="51">
        <f t="shared" si="20"/>
        <v>145.03</v>
      </c>
      <c r="W71" s="46">
        <f t="shared" si="24"/>
        <v>0.13980000000000001</v>
      </c>
      <c r="X71" s="52">
        <f t="shared" si="22"/>
        <v>0.87219999999999998</v>
      </c>
      <c r="Y71" s="45">
        <f t="shared" si="23"/>
        <v>15.943664206800003</v>
      </c>
      <c r="Z71" s="53">
        <v>0</v>
      </c>
      <c r="AA71" s="54" t="s">
        <v>403</v>
      </c>
    </row>
    <row r="72" spans="1:27" x14ac:dyDescent="0.25">
      <c r="A72" s="49">
        <v>7895296186018</v>
      </c>
      <c r="B72" s="49">
        <v>10488</v>
      </c>
      <c r="C72" s="50" t="s">
        <v>80</v>
      </c>
      <c r="D72" s="50" t="s">
        <v>7</v>
      </c>
      <c r="E72" s="50" t="s">
        <v>8</v>
      </c>
      <c r="F72" s="44" t="s">
        <v>405</v>
      </c>
      <c r="G72" s="56">
        <v>34.137222803200004</v>
      </c>
      <c r="H72" s="56">
        <f t="shared" si="25"/>
        <v>0.7373640125491201</v>
      </c>
      <c r="I72" s="56">
        <f t="shared" si="26"/>
        <v>34.874586815749126</v>
      </c>
      <c r="J72" s="58">
        <f t="shared" si="27"/>
        <v>3.1684009232195463</v>
      </c>
      <c r="K72" s="58">
        <f t="shared" si="28"/>
        <v>1.7884403495255961</v>
      </c>
      <c r="L72" s="58">
        <f t="shared" si="29"/>
        <v>1.5882468079005745</v>
      </c>
      <c r="M72" s="58">
        <f t="shared" si="30"/>
        <v>0.44711008738139901</v>
      </c>
      <c r="N72" s="56">
        <f t="shared" si="31"/>
        <v>41.866784983776235</v>
      </c>
      <c r="O72" s="56">
        <v>64.930000000000007</v>
      </c>
      <c r="P72" s="46">
        <f t="shared" si="32"/>
        <v>0.31139675437948716</v>
      </c>
      <c r="Q72" s="45">
        <f t="shared" si="33"/>
        <v>44.711008738139903</v>
      </c>
      <c r="R72" s="45">
        <f t="shared" si="34"/>
        <v>48.869132550786908</v>
      </c>
      <c r="S72" s="46">
        <f t="shared" si="35"/>
        <v>6.3613500000000114E-2</v>
      </c>
      <c r="T72" s="46">
        <v>0.22</v>
      </c>
      <c r="U72" s="46">
        <f t="shared" si="36"/>
        <v>0.30974358974358984</v>
      </c>
      <c r="V72" s="51">
        <f t="shared" si="20"/>
        <v>64.930000000000007</v>
      </c>
      <c r="W72" s="46">
        <f t="shared" si="24"/>
        <v>0.13980000000000001</v>
      </c>
      <c r="X72" s="52">
        <f t="shared" si="22"/>
        <v>0.38879999999999998</v>
      </c>
      <c r="Y72" s="45">
        <f t="shared" si="23"/>
        <v>34.137222803200004</v>
      </c>
      <c r="Z72" s="53">
        <v>0</v>
      </c>
      <c r="AA72" s="54" t="s">
        <v>403</v>
      </c>
    </row>
    <row r="73" spans="1:27" x14ac:dyDescent="0.25">
      <c r="A73" s="43">
        <v>7895296195010</v>
      </c>
      <c r="B73" s="43">
        <v>10489</v>
      </c>
      <c r="C73" s="44" t="s">
        <v>81</v>
      </c>
      <c r="D73" s="44" t="s">
        <v>7</v>
      </c>
      <c r="E73" s="44" t="s">
        <v>8</v>
      </c>
      <c r="F73" s="44" t="s">
        <v>405</v>
      </c>
      <c r="G73" s="56">
        <v>26.340297746400005</v>
      </c>
      <c r="H73" s="56">
        <f t="shared" si="25"/>
        <v>0.5689504313222401</v>
      </c>
      <c r="I73" s="56">
        <f t="shared" si="26"/>
        <v>26.909248177722244</v>
      </c>
      <c r="J73" s="58">
        <f t="shared" si="27"/>
        <v>2.4447396959821912</v>
      </c>
      <c r="K73" s="58">
        <f t="shared" si="28"/>
        <v>1.3799614450113971</v>
      </c>
      <c r="L73" s="58">
        <f t="shared" si="29"/>
        <v>1.2254920107604339</v>
      </c>
      <c r="M73" s="58">
        <f t="shared" si="30"/>
        <v>0.34499036125284926</v>
      </c>
      <c r="N73" s="56">
        <f t="shared" si="31"/>
        <v>32.30443169072911</v>
      </c>
      <c r="O73" s="56">
        <v>90.81</v>
      </c>
      <c r="P73" s="46">
        <f t="shared" si="32"/>
        <v>0.62009650781538461</v>
      </c>
      <c r="Q73" s="45">
        <f t="shared" si="33"/>
        <v>34.499036125284924</v>
      </c>
      <c r="R73" s="45">
        <f t="shared" si="34"/>
        <v>37.707446484936426</v>
      </c>
      <c r="S73" s="46">
        <f t="shared" si="35"/>
        <v>6.3613500000000031E-2</v>
      </c>
      <c r="T73" s="46">
        <v>0.22</v>
      </c>
      <c r="U73" s="46">
        <f t="shared" si="36"/>
        <v>0.30974358974358962</v>
      </c>
      <c r="V73" s="45">
        <f t="shared" si="20"/>
        <v>90.81</v>
      </c>
      <c r="W73" s="46">
        <f t="shared" si="24"/>
        <v>0.13980000000000001</v>
      </c>
      <c r="X73" s="46">
        <f t="shared" si="22"/>
        <v>0.66279999999999994</v>
      </c>
      <c r="Y73" s="45">
        <f t="shared" si="23"/>
        <v>26.340297746400005</v>
      </c>
      <c r="Z73" s="47">
        <v>90</v>
      </c>
      <c r="AA73" s="48">
        <v>46758</v>
      </c>
    </row>
    <row r="74" spans="1:27" x14ac:dyDescent="0.25">
      <c r="A74" s="43">
        <v>7895296352017</v>
      </c>
      <c r="B74" s="43">
        <v>10445</v>
      </c>
      <c r="C74" s="44" t="s">
        <v>82</v>
      </c>
      <c r="D74" s="44" t="s">
        <v>7</v>
      </c>
      <c r="E74" s="44" t="s">
        <v>8</v>
      </c>
      <c r="F74" s="44" t="s">
        <v>405</v>
      </c>
      <c r="G74" s="56">
        <v>10.129066609200001</v>
      </c>
      <c r="H74" s="56">
        <f t="shared" si="25"/>
        <v>0.21878783875872002</v>
      </c>
      <c r="I74" s="56">
        <f t="shared" si="26"/>
        <v>10.347854447958721</v>
      </c>
      <c r="J74" s="58">
        <f t="shared" si="27"/>
        <v>0.94011584307711127</v>
      </c>
      <c r="K74" s="58">
        <f t="shared" si="28"/>
        <v>0.53065920245942155</v>
      </c>
      <c r="L74" s="58">
        <f t="shared" si="29"/>
        <v>0.47125853798411999</v>
      </c>
      <c r="M74" s="58">
        <f t="shared" si="30"/>
        <v>0.13266480061485539</v>
      </c>
      <c r="N74" s="56">
        <f t="shared" si="31"/>
        <v>12.422552832094228</v>
      </c>
      <c r="O74" s="56">
        <v>58.38</v>
      </c>
      <c r="P74" s="46">
        <f t="shared" si="32"/>
        <v>0.77275642237948716</v>
      </c>
      <c r="Q74" s="45">
        <f t="shared" si="33"/>
        <v>13.266480061485538</v>
      </c>
      <c r="R74" s="45">
        <f t="shared" si="34"/>
        <v>14.500262707203694</v>
      </c>
      <c r="S74" s="46">
        <f t="shared" si="35"/>
        <v>6.3613500000000003E-2</v>
      </c>
      <c r="T74" s="46">
        <v>0.22</v>
      </c>
      <c r="U74" s="46">
        <f t="shared" si="36"/>
        <v>0.30974358974358962</v>
      </c>
      <c r="V74" s="45">
        <f t="shared" si="20"/>
        <v>58.38</v>
      </c>
      <c r="W74" s="46">
        <f t="shared" si="24"/>
        <v>0.13980000000000001</v>
      </c>
      <c r="X74" s="46">
        <f t="shared" si="22"/>
        <v>0.79830000000000001</v>
      </c>
      <c r="Y74" s="45">
        <f t="shared" si="23"/>
        <v>10.129066609200001</v>
      </c>
      <c r="Z74" s="47">
        <v>47</v>
      </c>
      <c r="AA74" s="48">
        <v>46823</v>
      </c>
    </row>
    <row r="75" spans="1:27" x14ac:dyDescent="0.25">
      <c r="A75" s="49">
        <v>7895296351041</v>
      </c>
      <c r="B75" s="49">
        <v>10447</v>
      </c>
      <c r="C75" s="50" t="s">
        <v>83</v>
      </c>
      <c r="D75" s="50" t="s">
        <v>7</v>
      </c>
      <c r="E75" s="50" t="s">
        <v>8</v>
      </c>
      <c r="F75" s="44" t="s">
        <v>405</v>
      </c>
      <c r="G75" s="56">
        <v>20.469068881800002</v>
      </c>
      <c r="H75" s="56">
        <f t="shared" si="25"/>
        <v>0.44213188784688007</v>
      </c>
      <c r="I75" s="56">
        <f t="shared" si="26"/>
        <v>20.911200769646882</v>
      </c>
      <c r="J75" s="58">
        <f t="shared" si="27"/>
        <v>1.8998093991541753</v>
      </c>
      <c r="K75" s="58">
        <f t="shared" si="28"/>
        <v>1.0723692702383016</v>
      </c>
      <c r="L75" s="58">
        <f t="shared" si="29"/>
        <v>0.95233093505100175</v>
      </c>
      <c r="M75" s="58">
        <f t="shared" si="30"/>
        <v>0.26809231755957541</v>
      </c>
      <c r="N75" s="56">
        <f t="shared" si="31"/>
        <v>25.103802691649935</v>
      </c>
      <c r="O75" s="56">
        <v>159.81</v>
      </c>
      <c r="P75" s="46">
        <f t="shared" si="32"/>
        <v>0.83224309019487175</v>
      </c>
      <c r="Q75" s="45">
        <f t="shared" si="33"/>
        <v>26.809231755957541</v>
      </c>
      <c r="R75" s="45">
        <f t="shared" si="34"/>
        <v>29.302490309261593</v>
      </c>
      <c r="S75" s="46">
        <f t="shared" si="35"/>
        <v>6.3613500000000003E-2</v>
      </c>
      <c r="T75" s="46">
        <v>0.22</v>
      </c>
      <c r="U75" s="46">
        <f t="shared" si="36"/>
        <v>0.30974358974358962</v>
      </c>
      <c r="V75" s="51">
        <f t="shared" si="20"/>
        <v>159.81</v>
      </c>
      <c r="W75" s="46">
        <f t="shared" si="24"/>
        <v>0.13980000000000001</v>
      </c>
      <c r="X75" s="52">
        <f t="shared" si="22"/>
        <v>0.85109999999999997</v>
      </c>
      <c r="Y75" s="45">
        <f t="shared" si="23"/>
        <v>20.469068881800002</v>
      </c>
      <c r="Z75" s="53">
        <v>0</v>
      </c>
      <c r="AA75" s="54" t="s">
        <v>403</v>
      </c>
    </row>
    <row r="76" spans="1:27" x14ac:dyDescent="0.25">
      <c r="A76" s="43">
        <v>7895296100038</v>
      </c>
      <c r="B76" s="43">
        <v>10446</v>
      </c>
      <c r="C76" s="44" t="s">
        <v>84</v>
      </c>
      <c r="D76" s="44" t="s">
        <v>7</v>
      </c>
      <c r="E76" s="44" t="s">
        <v>8</v>
      </c>
      <c r="F76" s="44" t="s">
        <v>405</v>
      </c>
      <c r="G76" s="56">
        <v>8.0412218567999982</v>
      </c>
      <c r="H76" s="56">
        <f t="shared" si="25"/>
        <v>0.17369039210687998</v>
      </c>
      <c r="I76" s="56">
        <f t="shared" si="26"/>
        <v>8.2149122489068773</v>
      </c>
      <c r="J76" s="58">
        <f t="shared" si="27"/>
        <v>0.74633530975197049</v>
      </c>
      <c r="K76" s="58">
        <f t="shared" si="28"/>
        <v>0.4212775512259937</v>
      </c>
      <c r="L76" s="58">
        <f t="shared" si="29"/>
        <v>0.37412079533563397</v>
      </c>
      <c r="M76" s="58">
        <f t="shared" si="30"/>
        <v>0.10531938780649842</v>
      </c>
      <c r="N76" s="56">
        <f t="shared" si="31"/>
        <v>9.861965293026973</v>
      </c>
      <c r="O76" s="56">
        <v>53.54</v>
      </c>
      <c r="P76" s="46">
        <f t="shared" si="32"/>
        <v>0.80328840529230772</v>
      </c>
      <c r="Q76" s="45">
        <f t="shared" si="33"/>
        <v>10.531938780649842</v>
      </c>
      <c r="R76" s="45">
        <f t="shared" si="34"/>
        <v>11.511409087250277</v>
      </c>
      <c r="S76" s="46">
        <f t="shared" si="35"/>
        <v>6.3613500000000017E-2</v>
      </c>
      <c r="T76" s="46">
        <v>0.22</v>
      </c>
      <c r="U76" s="46">
        <f t="shared" si="36"/>
        <v>0.3097435897435894</v>
      </c>
      <c r="V76" s="45">
        <f t="shared" si="20"/>
        <v>53.54</v>
      </c>
      <c r="W76" s="46">
        <f t="shared" si="24"/>
        <v>0.13980000000000001</v>
      </c>
      <c r="X76" s="46">
        <f t="shared" si="22"/>
        <v>0.82540000000000002</v>
      </c>
      <c r="Y76" s="45">
        <f t="shared" si="23"/>
        <v>8.0412218567999982</v>
      </c>
      <c r="Z76" s="47">
        <v>174</v>
      </c>
      <c r="AA76" s="48">
        <v>46794</v>
      </c>
    </row>
    <row r="77" spans="1:27" x14ac:dyDescent="0.25">
      <c r="A77" s="43">
        <v>7895296378017</v>
      </c>
      <c r="B77" s="43">
        <v>10510</v>
      </c>
      <c r="C77" s="44" t="s">
        <v>85</v>
      </c>
      <c r="D77" s="44" t="s">
        <v>7</v>
      </c>
      <c r="E77" s="44" t="s">
        <v>8</v>
      </c>
      <c r="F77" s="44" t="s">
        <v>405</v>
      </c>
      <c r="G77" s="56">
        <v>21.476544583999996</v>
      </c>
      <c r="H77" s="56">
        <f t="shared" si="25"/>
        <v>0.46389336301439993</v>
      </c>
      <c r="I77" s="56">
        <f t="shared" si="26"/>
        <v>21.940437947014395</v>
      </c>
      <c r="J77" s="58">
        <f t="shared" si="27"/>
        <v>1.9933169162528563</v>
      </c>
      <c r="K77" s="58">
        <f t="shared" si="28"/>
        <v>1.125150663949456</v>
      </c>
      <c r="L77" s="58">
        <f t="shared" si="29"/>
        <v>0.99920411150361366</v>
      </c>
      <c r="M77" s="58">
        <f t="shared" si="30"/>
        <v>0.28128766598736399</v>
      </c>
      <c r="N77" s="56">
        <f t="shared" si="31"/>
        <v>26.339397304707681</v>
      </c>
      <c r="O77" s="56">
        <v>126.8</v>
      </c>
      <c r="P77" s="46">
        <f t="shared" si="32"/>
        <v>0.77816430127179492</v>
      </c>
      <c r="Q77" s="45">
        <f t="shared" si="33"/>
        <v>28.128766598736402</v>
      </c>
      <c r="R77" s="45">
        <f t="shared" si="34"/>
        <v>30.744741892418883</v>
      </c>
      <c r="S77" s="46">
        <f t="shared" si="35"/>
        <v>6.3613500000000073E-2</v>
      </c>
      <c r="T77" s="46">
        <v>0.22</v>
      </c>
      <c r="U77" s="46">
        <f t="shared" si="36"/>
        <v>0.30974358974358962</v>
      </c>
      <c r="V77" s="45">
        <f t="shared" si="20"/>
        <v>126.8</v>
      </c>
      <c r="W77" s="46">
        <f t="shared" si="24"/>
        <v>0.13980000000000001</v>
      </c>
      <c r="X77" s="46">
        <f t="shared" si="22"/>
        <v>0.80310000000000004</v>
      </c>
      <c r="Y77" s="45">
        <f t="shared" si="23"/>
        <v>21.476544583999996</v>
      </c>
      <c r="Z77" s="47">
        <v>58</v>
      </c>
      <c r="AA77" s="48">
        <v>46787</v>
      </c>
    </row>
    <row r="78" spans="1:27" x14ac:dyDescent="0.25">
      <c r="A78" s="43">
        <v>7895296354028</v>
      </c>
      <c r="B78" s="43">
        <v>10779</v>
      </c>
      <c r="C78" s="44" t="s">
        <v>86</v>
      </c>
      <c r="D78" s="44" t="s">
        <v>7</v>
      </c>
      <c r="E78" s="44" t="s">
        <v>8</v>
      </c>
      <c r="F78" s="44" t="s">
        <v>405</v>
      </c>
      <c r="G78" s="56">
        <v>25.830735911199998</v>
      </c>
      <c r="H78" s="56">
        <f t="shared" si="25"/>
        <v>0.55794389568192004</v>
      </c>
      <c r="I78" s="56">
        <f t="shared" si="26"/>
        <v>26.388679806881918</v>
      </c>
      <c r="J78" s="58">
        <f t="shared" si="27"/>
        <v>2.3974453920960004</v>
      </c>
      <c r="K78" s="58">
        <f t="shared" si="28"/>
        <v>1.3532656311221496</v>
      </c>
      <c r="L78" s="58">
        <f t="shared" si="29"/>
        <v>1.201784459538414</v>
      </c>
      <c r="M78" s="58">
        <f t="shared" si="30"/>
        <v>0.3383164077805374</v>
      </c>
      <c r="N78" s="56">
        <f t="shared" si="31"/>
        <v>31.679491697419017</v>
      </c>
      <c r="O78" s="56">
        <v>59.24</v>
      </c>
      <c r="P78" s="46">
        <f t="shared" si="32"/>
        <v>0.42890545614358982</v>
      </c>
      <c r="Q78" s="45">
        <f t="shared" si="33"/>
        <v>33.831640778053739</v>
      </c>
      <c r="R78" s="45">
        <f t="shared" si="34"/>
        <v>36.977983370412737</v>
      </c>
      <c r="S78" s="46">
        <f t="shared" si="35"/>
        <v>6.3613500000000003E-2</v>
      </c>
      <c r="T78" s="46">
        <v>0.22</v>
      </c>
      <c r="U78" s="46">
        <f t="shared" si="36"/>
        <v>0.30974358974358962</v>
      </c>
      <c r="V78" s="45">
        <f t="shared" si="20"/>
        <v>59.24</v>
      </c>
      <c r="W78" s="46">
        <f t="shared" si="24"/>
        <v>0.13980000000000001</v>
      </c>
      <c r="X78" s="46">
        <f t="shared" si="22"/>
        <v>0.49309999999999998</v>
      </c>
      <c r="Y78" s="45">
        <f t="shared" si="23"/>
        <v>25.830735911199998</v>
      </c>
      <c r="Z78" s="47">
        <v>165</v>
      </c>
      <c r="AA78" s="48">
        <v>46672</v>
      </c>
    </row>
    <row r="79" spans="1:27" x14ac:dyDescent="0.25">
      <c r="A79" s="43">
        <v>7895296354035</v>
      </c>
      <c r="B79" s="43">
        <v>10781</v>
      </c>
      <c r="C79" s="44" t="s">
        <v>87</v>
      </c>
      <c r="D79" s="44" t="s">
        <v>7</v>
      </c>
      <c r="E79" s="44" t="s">
        <v>8</v>
      </c>
      <c r="F79" s="44" t="s">
        <v>405</v>
      </c>
      <c r="G79" s="56">
        <v>49.846768956600009</v>
      </c>
      <c r="H79" s="56">
        <f t="shared" si="25"/>
        <v>1.0766902094625603</v>
      </c>
      <c r="I79" s="56">
        <f t="shared" si="26"/>
        <v>50.923459166062571</v>
      </c>
      <c r="J79" s="58">
        <f t="shared" si="27"/>
        <v>4.6264615517228949</v>
      </c>
      <c r="K79" s="58">
        <f t="shared" si="28"/>
        <v>2.6114594444134651</v>
      </c>
      <c r="L79" s="58">
        <f t="shared" si="29"/>
        <v>2.3191392028544326</v>
      </c>
      <c r="M79" s="58">
        <f t="shared" si="30"/>
        <v>0.65286486110336628</v>
      </c>
      <c r="N79" s="56">
        <f t="shared" si="31"/>
        <v>61.133384226156728</v>
      </c>
      <c r="O79" s="56">
        <v>106.19</v>
      </c>
      <c r="P79" s="46">
        <f t="shared" si="32"/>
        <v>0.38519176843076913</v>
      </c>
      <c r="Q79" s="45">
        <f t="shared" si="33"/>
        <v>65.286486110336625</v>
      </c>
      <c r="R79" s="45">
        <f t="shared" si="34"/>
        <v>71.358129318597932</v>
      </c>
      <c r="S79" s="46">
        <f t="shared" si="35"/>
        <v>6.3613499999999962E-2</v>
      </c>
      <c r="T79" s="46">
        <v>0.22</v>
      </c>
      <c r="U79" s="46">
        <f t="shared" si="36"/>
        <v>0.30974358974358962</v>
      </c>
      <c r="V79" s="45">
        <f t="shared" si="20"/>
        <v>106.19</v>
      </c>
      <c r="W79" s="46">
        <f t="shared" si="24"/>
        <v>0.13980000000000001</v>
      </c>
      <c r="X79" s="46">
        <f t="shared" si="22"/>
        <v>0.45429999999999998</v>
      </c>
      <c r="Y79" s="45">
        <f t="shared" si="23"/>
        <v>49.846768956600009</v>
      </c>
      <c r="Z79" s="47">
        <v>381</v>
      </c>
      <c r="AA79" s="48">
        <v>46792</v>
      </c>
    </row>
    <row r="80" spans="1:27" x14ac:dyDescent="0.25">
      <c r="A80" s="49">
        <v>7895296216036</v>
      </c>
      <c r="B80" s="49">
        <v>11698</v>
      </c>
      <c r="C80" s="50" t="s">
        <v>88</v>
      </c>
      <c r="D80" s="50" t="s">
        <v>7</v>
      </c>
      <c r="E80" s="50" t="s">
        <v>8</v>
      </c>
      <c r="F80" s="44" t="s">
        <v>405</v>
      </c>
      <c r="G80" s="56">
        <v>0.78220050479999959</v>
      </c>
      <c r="H80" s="56">
        <f t="shared" si="25"/>
        <v>1.6895530903679994E-2</v>
      </c>
      <c r="I80" s="56">
        <f t="shared" si="26"/>
        <v>0.7990960357036796</v>
      </c>
      <c r="J80" s="58">
        <f t="shared" si="27"/>
        <v>7.2598899325776345E-2</v>
      </c>
      <c r="K80" s="58">
        <f t="shared" si="28"/>
        <v>4.0979283882239974E-2</v>
      </c>
      <c r="L80" s="58">
        <f t="shared" si="29"/>
        <v>3.6392165292671738E-2</v>
      </c>
      <c r="M80" s="58">
        <f t="shared" si="30"/>
        <v>1.0244820970559993E-2</v>
      </c>
      <c r="N80" s="56">
        <f t="shared" si="31"/>
        <v>0.95931120517492763</v>
      </c>
      <c r="O80" s="56">
        <v>10.44</v>
      </c>
      <c r="P80" s="46">
        <f t="shared" si="32"/>
        <v>0.90186953093333333</v>
      </c>
      <c r="Q80" s="45">
        <f t="shared" si="33"/>
        <v>1.0244820970559994</v>
      </c>
      <c r="R80" s="45">
        <f t="shared" si="34"/>
        <v>1.1197589320822072</v>
      </c>
      <c r="S80" s="46">
        <f t="shared" si="35"/>
        <v>6.3613499999999906E-2</v>
      </c>
      <c r="T80" s="46">
        <v>0.22</v>
      </c>
      <c r="U80" s="46">
        <f t="shared" si="36"/>
        <v>0.30974358974358962</v>
      </c>
      <c r="V80" s="51">
        <f t="shared" si="20"/>
        <v>10.44</v>
      </c>
      <c r="W80" s="46">
        <f t="shared" si="24"/>
        <v>0.13980000000000001</v>
      </c>
      <c r="X80" s="52">
        <f t="shared" si="22"/>
        <v>0.91290000000000004</v>
      </c>
      <c r="Y80" s="45">
        <f t="shared" si="23"/>
        <v>0.78220050479999959</v>
      </c>
      <c r="Z80" s="53">
        <v>0</v>
      </c>
      <c r="AA80" s="54">
        <v>46770</v>
      </c>
    </row>
    <row r="81" spans="1:27" x14ac:dyDescent="0.25">
      <c r="A81" s="43">
        <v>7895296216050</v>
      </c>
      <c r="B81" s="43">
        <v>11699</v>
      </c>
      <c r="C81" s="44" t="s">
        <v>89</v>
      </c>
      <c r="D81" s="44" t="s">
        <v>7</v>
      </c>
      <c r="E81" s="44" t="s">
        <v>8</v>
      </c>
      <c r="F81" s="44" t="s">
        <v>405</v>
      </c>
      <c r="G81" s="56">
        <v>2.8268004226000003</v>
      </c>
      <c r="H81" s="56">
        <f t="shared" si="25"/>
        <v>6.1058889128160009E-2</v>
      </c>
      <c r="I81" s="56">
        <f t="shared" si="26"/>
        <v>2.8878593117281603</v>
      </c>
      <c r="J81" s="58">
        <f t="shared" si="27"/>
        <v>0.26236572085423637</v>
      </c>
      <c r="K81" s="58">
        <f t="shared" si="28"/>
        <v>0.14809534931939283</v>
      </c>
      <c r="L81" s="58">
        <f t="shared" si="29"/>
        <v>0.13151792615495331</v>
      </c>
      <c r="M81" s="58">
        <f t="shared" si="30"/>
        <v>3.7023837329848208E-2</v>
      </c>
      <c r="N81" s="56">
        <f t="shared" si="31"/>
        <v>3.4668621453865911</v>
      </c>
      <c r="O81" s="56">
        <v>31.09</v>
      </c>
      <c r="P81" s="46">
        <f t="shared" si="32"/>
        <v>0.88091400022564104</v>
      </c>
      <c r="Q81" s="45">
        <f t="shared" si="33"/>
        <v>3.702383732984821</v>
      </c>
      <c r="R81" s="45">
        <f t="shared" si="34"/>
        <v>4.0467054201524091</v>
      </c>
      <c r="S81" s="46">
        <f t="shared" si="35"/>
        <v>6.3613500000000003E-2</v>
      </c>
      <c r="T81" s="46">
        <v>0.22</v>
      </c>
      <c r="U81" s="46">
        <f t="shared" si="36"/>
        <v>0.30974358974358984</v>
      </c>
      <c r="V81" s="45">
        <f t="shared" si="20"/>
        <v>31.09</v>
      </c>
      <c r="W81" s="46">
        <f t="shared" si="24"/>
        <v>0.13980000000000001</v>
      </c>
      <c r="X81" s="46">
        <f t="shared" si="22"/>
        <v>0.89429999999999998</v>
      </c>
      <c r="Y81" s="45">
        <f t="shared" si="23"/>
        <v>2.8268004226000003</v>
      </c>
      <c r="Z81" s="47">
        <v>1361</v>
      </c>
      <c r="AA81" s="48">
        <v>46706</v>
      </c>
    </row>
    <row r="82" spans="1:27" x14ac:dyDescent="0.25">
      <c r="A82" s="43">
        <v>7895296204019</v>
      </c>
      <c r="B82" s="43">
        <v>10841</v>
      </c>
      <c r="C82" s="44" t="s">
        <v>90</v>
      </c>
      <c r="D82" s="44" t="s">
        <v>7</v>
      </c>
      <c r="E82" s="44" t="s">
        <v>8</v>
      </c>
      <c r="F82" s="44" t="s">
        <v>405</v>
      </c>
      <c r="G82" s="56">
        <v>7.1826872040000014</v>
      </c>
      <c r="H82" s="56">
        <f t="shared" si="25"/>
        <v>0.15514604360640005</v>
      </c>
      <c r="I82" s="56">
        <f t="shared" si="26"/>
        <v>7.337833247606401</v>
      </c>
      <c r="J82" s="58">
        <f t="shared" si="27"/>
        <v>0.66665155802356413</v>
      </c>
      <c r="K82" s="58">
        <f t="shared" si="28"/>
        <v>0.37629914090289235</v>
      </c>
      <c r="L82" s="58">
        <f t="shared" si="29"/>
        <v>0.33417715581807483</v>
      </c>
      <c r="M82" s="58">
        <f t="shared" si="30"/>
        <v>9.4074785225723087E-2</v>
      </c>
      <c r="N82" s="56">
        <f t="shared" si="31"/>
        <v>8.8090358875766555</v>
      </c>
      <c r="O82" s="56">
        <v>98.7</v>
      </c>
      <c r="P82" s="46">
        <f t="shared" si="32"/>
        <v>0.904686134523077</v>
      </c>
      <c r="Q82" s="45">
        <f t="shared" si="33"/>
        <v>9.4074785225723083</v>
      </c>
      <c r="R82" s="45">
        <f t="shared" si="34"/>
        <v>10.282374025171533</v>
      </c>
      <c r="S82" s="46">
        <f t="shared" si="35"/>
        <v>6.3613499999999934E-2</v>
      </c>
      <c r="T82" s="46">
        <v>0.22</v>
      </c>
      <c r="U82" s="46">
        <f t="shared" si="36"/>
        <v>0.30974358974358962</v>
      </c>
      <c r="V82" s="45">
        <f t="shared" si="20"/>
        <v>98.7</v>
      </c>
      <c r="W82" s="46">
        <f t="shared" si="24"/>
        <v>0.13980000000000001</v>
      </c>
      <c r="X82" s="46">
        <f t="shared" si="22"/>
        <v>0.91539999999999999</v>
      </c>
      <c r="Y82" s="45">
        <f t="shared" si="23"/>
        <v>7.1826872040000014</v>
      </c>
      <c r="Z82" s="47">
        <v>39</v>
      </c>
      <c r="AA82" s="48">
        <v>46544</v>
      </c>
    </row>
    <row r="83" spans="1:27" x14ac:dyDescent="0.25">
      <c r="A83" s="49">
        <v>7895296113182</v>
      </c>
      <c r="B83" s="49">
        <v>10842</v>
      </c>
      <c r="C83" s="50" t="s">
        <v>91</v>
      </c>
      <c r="D83" s="50" t="s">
        <v>7</v>
      </c>
      <c r="E83" s="50" t="s">
        <v>8</v>
      </c>
      <c r="F83" s="44" t="s">
        <v>405</v>
      </c>
      <c r="G83" s="56">
        <v>3.7610877281999975</v>
      </c>
      <c r="H83" s="56">
        <f t="shared" si="25"/>
        <v>8.1239494929119943E-2</v>
      </c>
      <c r="I83" s="56">
        <f t="shared" si="26"/>
        <v>3.8423272231291175</v>
      </c>
      <c r="J83" s="58">
        <f t="shared" si="27"/>
        <v>0.34908035428182282</v>
      </c>
      <c r="K83" s="58">
        <f t="shared" si="28"/>
        <v>0.1970424216989291</v>
      </c>
      <c r="L83" s="58">
        <f t="shared" si="29"/>
        <v>0.17498598562000522</v>
      </c>
      <c r="M83" s="58">
        <f t="shared" si="30"/>
        <v>4.9260605424732276E-2</v>
      </c>
      <c r="N83" s="56">
        <f t="shared" si="31"/>
        <v>4.6126965901546066</v>
      </c>
      <c r="O83" s="56">
        <v>56.71</v>
      </c>
      <c r="P83" s="46">
        <f t="shared" si="32"/>
        <v>0.91313594529230768</v>
      </c>
      <c r="Q83" s="45">
        <f t="shared" si="33"/>
        <v>4.9260605424732278</v>
      </c>
      <c r="R83" s="45">
        <f t="shared" si="34"/>
        <v>5.3841841729232378</v>
      </c>
      <c r="S83" s="46">
        <f t="shared" si="35"/>
        <v>6.3613500000000087E-2</v>
      </c>
      <c r="T83" s="46">
        <v>0.22</v>
      </c>
      <c r="U83" s="46">
        <f t="shared" si="36"/>
        <v>0.30974358974358984</v>
      </c>
      <c r="V83" s="51">
        <f t="shared" si="20"/>
        <v>56.71</v>
      </c>
      <c r="W83" s="46">
        <f t="shared" si="24"/>
        <v>0.13980000000000001</v>
      </c>
      <c r="X83" s="52">
        <f t="shared" si="22"/>
        <v>0.92290000000000005</v>
      </c>
      <c r="Y83" s="45">
        <f t="shared" si="23"/>
        <v>3.7610877281999975</v>
      </c>
      <c r="Z83" s="53">
        <v>0</v>
      </c>
      <c r="AA83" s="54" t="s">
        <v>403</v>
      </c>
    </row>
    <row r="84" spans="1:27" x14ac:dyDescent="0.25">
      <c r="A84" s="43">
        <v>7895296113137</v>
      </c>
      <c r="B84" s="43">
        <v>11710</v>
      </c>
      <c r="C84" s="44" t="s">
        <v>92</v>
      </c>
      <c r="D84" s="44" t="s">
        <v>7</v>
      </c>
      <c r="E84" s="44" t="s">
        <v>8</v>
      </c>
      <c r="F84" s="44" t="s">
        <v>405</v>
      </c>
      <c r="G84" s="56">
        <v>2.6520877812000005</v>
      </c>
      <c r="H84" s="56">
        <f t="shared" si="25"/>
        <v>5.7285096073920017E-2</v>
      </c>
      <c r="I84" s="56">
        <f t="shared" si="26"/>
        <v>2.7093728772739207</v>
      </c>
      <c r="J84" s="58">
        <f t="shared" si="27"/>
        <v>0.24614999945530655</v>
      </c>
      <c r="K84" s="58">
        <f t="shared" si="28"/>
        <v>0.13894219883456002</v>
      </c>
      <c r="L84" s="58">
        <f t="shared" si="29"/>
        <v>0.12338935645251645</v>
      </c>
      <c r="M84" s="58">
        <f t="shared" si="30"/>
        <v>3.4735549708640005E-2</v>
      </c>
      <c r="N84" s="56">
        <f t="shared" si="31"/>
        <v>3.2525899817249435</v>
      </c>
      <c r="O84" s="56">
        <v>40.89</v>
      </c>
      <c r="P84" s="46">
        <f t="shared" si="32"/>
        <v>0.91505123573333336</v>
      </c>
      <c r="Q84" s="45">
        <f t="shared" si="33"/>
        <v>3.4735549708640008</v>
      </c>
      <c r="R84" s="45">
        <f t="shared" si="34"/>
        <v>3.7965955831543523</v>
      </c>
      <c r="S84" s="46">
        <f t="shared" si="35"/>
        <v>6.3613500000000045E-2</v>
      </c>
      <c r="T84" s="46">
        <v>0.22</v>
      </c>
      <c r="U84" s="46">
        <f t="shared" si="36"/>
        <v>0.30974358974358984</v>
      </c>
      <c r="V84" s="45">
        <f t="shared" si="20"/>
        <v>40.89</v>
      </c>
      <c r="W84" s="46">
        <f t="shared" si="24"/>
        <v>0.13980000000000001</v>
      </c>
      <c r="X84" s="46">
        <f t="shared" si="22"/>
        <v>0.92459999999999998</v>
      </c>
      <c r="Y84" s="45">
        <f t="shared" si="23"/>
        <v>2.6520877812000005</v>
      </c>
      <c r="Z84" s="47">
        <v>331</v>
      </c>
      <c r="AA84" s="48">
        <v>46707</v>
      </c>
    </row>
    <row r="85" spans="1:27" x14ac:dyDescent="0.25">
      <c r="A85" s="43">
        <v>7895296128087</v>
      </c>
      <c r="B85" s="43">
        <v>10539</v>
      </c>
      <c r="C85" s="44" t="s">
        <v>93</v>
      </c>
      <c r="D85" s="44" t="s">
        <v>7</v>
      </c>
      <c r="E85" s="44" t="s">
        <v>8</v>
      </c>
      <c r="F85" s="44" t="s">
        <v>405</v>
      </c>
      <c r="G85" s="56">
        <v>38.03029445819999</v>
      </c>
      <c r="H85" s="56">
        <f t="shared" si="25"/>
        <v>0.82145436029711982</v>
      </c>
      <c r="I85" s="56">
        <f t="shared" si="26"/>
        <v>38.851748818497107</v>
      </c>
      <c r="J85" s="58">
        <f t="shared" si="27"/>
        <v>3.5297311900948447</v>
      </c>
      <c r="K85" s="58">
        <f t="shared" si="28"/>
        <v>1.9923973753075439</v>
      </c>
      <c r="L85" s="58">
        <f t="shared" si="29"/>
        <v>1.7693733941090555</v>
      </c>
      <c r="M85" s="58">
        <f t="shared" si="30"/>
        <v>0.49809934382688598</v>
      </c>
      <c r="N85" s="56">
        <f t="shared" si="31"/>
        <v>46.641350121835437</v>
      </c>
      <c r="O85" s="56">
        <v>235.29</v>
      </c>
      <c r="P85" s="46">
        <f t="shared" si="32"/>
        <v>0.78830407419487192</v>
      </c>
      <c r="Q85" s="45">
        <f t="shared" si="33"/>
        <v>49.809934382688596</v>
      </c>
      <c r="R85" s="45">
        <f t="shared" si="34"/>
        <v>54.442258280278637</v>
      </c>
      <c r="S85" s="46">
        <f t="shared" si="35"/>
        <v>6.3613499999999948E-2</v>
      </c>
      <c r="T85" s="46">
        <v>0.22</v>
      </c>
      <c r="U85" s="46">
        <f t="shared" si="36"/>
        <v>0.30974358974358962</v>
      </c>
      <c r="V85" s="45">
        <f t="shared" si="20"/>
        <v>235.29</v>
      </c>
      <c r="W85" s="46">
        <f t="shared" si="24"/>
        <v>0.13980000000000001</v>
      </c>
      <c r="X85" s="46">
        <f t="shared" si="22"/>
        <v>0.81210000000000004</v>
      </c>
      <c r="Y85" s="45">
        <f t="shared" si="23"/>
        <v>38.03029445819999</v>
      </c>
      <c r="Z85" s="47">
        <v>1</v>
      </c>
      <c r="AA85" s="48">
        <v>46661</v>
      </c>
    </row>
    <row r="86" spans="1:27" x14ac:dyDescent="0.25">
      <c r="A86" s="49">
        <v>7896472521845</v>
      </c>
      <c r="B86" s="49">
        <v>24209</v>
      </c>
      <c r="C86" s="50" t="s">
        <v>94</v>
      </c>
      <c r="D86" s="50" t="s">
        <v>12</v>
      </c>
      <c r="E86" s="50" t="s">
        <v>8</v>
      </c>
      <c r="F86" s="44" t="s">
        <v>405</v>
      </c>
      <c r="G86" s="56">
        <v>12.792405806399998</v>
      </c>
      <c r="H86" s="56">
        <f t="shared" si="25"/>
        <v>0.27631596541823999</v>
      </c>
      <c r="I86" s="56">
        <f t="shared" si="26"/>
        <v>13.068721771818238</v>
      </c>
      <c r="J86" s="58">
        <f t="shared" si="27"/>
        <v>1.1873101277411895</v>
      </c>
      <c r="K86" s="58">
        <f t="shared" si="28"/>
        <v>0.67019086009324302</v>
      </c>
      <c r="L86" s="58">
        <f t="shared" si="29"/>
        <v>0.59517137069155557</v>
      </c>
      <c r="M86" s="58">
        <f t="shared" si="30"/>
        <v>0.16754771502331076</v>
      </c>
      <c r="N86" s="56">
        <f t="shared" si="31"/>
        <v>15.688941845367538</v>
      </c>
      <c r="O86" s="56">
        <v>80.040000000000006</v>
      </c>
      <c r="P86" s="46">
        <f t="shared" si="32"/>
        <v>0.79067002121025642</v>
      </c>
      <c r="Q86" s="45">
        <f t="shared" si="33"/>
        <v>16.754771502331074</v>
      </c>
      <c r="R86" s="45">
        <f t="shared" si="34"/>
        <v>18.312965252047864</v>
      </c>
      <c r="S86" s="46">
        <f t="shared" si="35"/>
        <v>6.3613499999999948E-2</v>
      </c>
      <c r="T86" s="46">
        <v>0.22</v>
      </c>
      <c r="U86" s="46">
        <f t="shared" si="36"/>
        <v>0.30974358974358984</v>
      </c>
      <c r="V86" s="51">
        <f t="shared" ref="V86:V117" si="37">IFERROR(VLOOKUP(A86,MATRIZ1,5,0),"")</f>
        <v>80.040000000000006</v>
      </c>
      <c r="W86" s="46">
        <f t="shared" si="24"/>
        <v>0.13980000000000001</v>
      </c>
      <c r="X86" s="52">
        <f t="shared" ref="X86:X117" si="38">IFERROR(VLOOKUP(A86,MATRIZ1,7,0),"")</f>
        <v>0.81420000000000003</v>
      </c>
      <c r="Y86" s="45">
        <f t="shared" ref="Y86:Y117" si="39">IFERROR(VLOOKUP(A86,MATRIZ1,8,0),"")</f>
        <v>12.792405806399998</v>
      </c>
      <c r="Z86" s="53">
        <v>0</v>
      </c>
      <c r="AA86" s="54" t="s">
        <v>403</v>
      </c>
    </row>
    <row r="87" spans="1:27" x14ac:dyDescent="0.25">
      <c r="A87" s="49">
        <v>7896472521838</v>
      </c>
      <c r="B87" s="49">
        <v>24210</v>
      </c>
      <c r="C87" s="50" t="s">
        <v>95</v>
      </c>
      <c r="D87" s="50" t="s">
        <v>12</v>
      </c>
      <c r="E87" s="50" t="s">
        <v>8</v>
      </c>
      <c r="F87" s="44" t="s">
        <v>405</v>
      </c>
      <c r="G87" s="56">
        <v>23.020290471199999</v>
      </c>
      <c r="H87" s="56">
        <f t="shared" si="25"/>
        <v>0.49723827417792005</v>
      </c>
      <c r="I87" s="56">
        <f t="shared" si="26"/>
        <v>23.51752874537792</v>
      </c>
      <c r="J87" s="58">
        <f t="shared" si="27"/>
        <v>2.1365976371954623</v>
      </c>
      <c r="K87" s="58">
        <f t="shared" si="28"/>
        <v>1.2060271151475854</v>
      </c>
      <c r="L87" s="58">
        <f t="shared" si="29"/>
        <v>1.0710274549457528</v>
      </c>
      <c r="M87" s="58">
        <f t="shared" si="30"/>
        <v>0.30150677878689636</v>
      </c>
      <c r="N87" s="56">
        <f t="shared" si="31"/>
        <v>28.232687731453616</v>
      </c>
      <c r="O87" s="56">
        <v>132.68</v>
      </c>
      <c r="P87" s="46">
        <f t="shared" si="32"/>
        <v>0.77275642237948727</v>
      </c>
      <c r="Q87" s="45">
        <f t="shared" si="33"/>
        <v>30.150677878689638</v>
      </c>
      <c r="R87" s="45">
        <f t="shared" si="34"/>
        <v>32.954690921407774</v>
      </c>
      <c r="S87" s="46">
        <f t="shared" si="35"/>
        <v>6.3613499999999962E-2</v>
      </c>
      <c r="T87" s="46">
        <v>0.22</v>
      </c>
      <c r="U87" s="46">
        <f t="shared" si="36"/>
        <v>0.30974358974358962</v>
      </c>
      <c r="V87" s="51">
        <f t="shared" si="37"/>
        <v>132.68</v>
      </c>
      <c r="W87" s="46">
        <f t="shared" si="24"/>
        <v>0.13980000000000001</v>
      </c>
      <c r="X87" s="52">
        <f t="shared" si="38"/>
        <v>0.79830000000000001</v>
      </c>
      <c r="Y87" s="45">
        <f t="shared" si="39"/>
        <v>23.020290471199999</v>
      </c>
      <c r="Z87" s="53">
        <v>0</v>
      </c>
      <c r="AA87" s="54" t="s">
        <v>403</v>
      </c>
    </row>
    <row r="88" spans="1:27" x14ac:dyDescent="0.25">
      <c r="A88" s="43">
        <v>7895296194013</v>
      </c>
      <c r="B88" s="43">
        <v>10448</v>
      </c>
      <c r="C88" s="44" t="s">
        <v>96</v>
      </c>
      <c r="D88" s="44" t="s">
        <v>7</v>
      </c>
      <c r="E88" s="44" t="s">
        <v>8</v>
      </c>
      <c r="F88" s="44" t="s">
        <v>405</v>
      </c>
      <c r="G88" s="56">
        <v>48.331489667999996</v>
      </c>
      <c r="H88" s="56">
        <f t="shared" si="25"/>
        <v>1.0439601768288</v>
      </c>
      <c r="I88" s="56">
        <f t="shared" si="26"/>
        <v>49.375449844828793</v>
      </c>
      <c r="J88" s="58">
        <f t="shared" si="27"/>
        <v>4.4858229202614712</v>
      </c>
      <c r="K88" s="58">
        <f t="shared" si="28"/>
        <v>2.5320743510168611</v>
      </c>
      <c r="L88" s="58">
        <f t="shared" si="29"/>
        <v>2.2486402783499115</v>
      </c>
      <c r="M88" s="58">
        <f t="shared" si="30"/>
        <v>0.63301858775421527</v>
      </c>
      <c r="N88" s="56">
        <f t="shared" si="31"/>
        <v>59.275005982211248</v>
      </c>
      <c r="O88" s="56">
        <v>98.85</v>
      </c>
      <c r="P88" s="46">
        <f t="shared" si="32"/>
        <v>0.35961700783589751</v>
      </c>
      <c r="Q88" s="45">
        <f t="shared" si="33"/>
        <v>63.301858775421529</v>
      </c>
      <c r="R88" s="45">
        <f t="shared" si="34"/>
        <v>69.188931641535731</v>
      </c>
      <c r="S88" s="46">
        <f t="shared" si="35"/>
        <v>6.3613500000000059E-2</v>
      </c>
      <c r="T88" s="46">
        <v>0.22</v>
      </c>
      <c r="U88" s="46">
        <f t="shared" si="36"/>
        <v>0.30974358974358962</v>
      </c>
      <c r="V88" s="45">
        <f t="shared" si="37"/>
        <v>98.85</v>
      </c>
      <c r="W88" s="46">
        <f t="shared" si="24"/>
        <v>0.13980000000000001</v>
      </c>
      <c r="X88" s="46">
        <f t="shared" si="38"/>
        <v>0.43159999999999998</v>
      </c>
      <c r="Y88" s="45">
        <f t="shared" si="39"/>
        <v>48.331489667999996</v>
      </c>
      <c r="Z88" s="47">
        <v>27</v>
      </c>
      <c r="AA88" s="48">
        <v>46799</v>
      </c>
    </row>
    <row r="89" spans="1:27" x14ac:dyDescent="0.25">
      <c r="A89" s="67">
        <v>7895296447317</v>
      </c>
      <c r="B89" s="67">
        <v>13843</v>
      </c>
      <c r="C89" s="68" t="s">
        <v>97</v>
      </c>
      <c r="D89" s="68" t="s">
        <v>12</v>
      </c>
      <c r="E89" s="68" t="s">
        <v>8</v>
      </c>
      <c r="F89" s="68" t="s">
        <v>405</v>
      </c>
      <c r="G89" s="69">
        <v>4.6537465149999981</v>
      </c>
      <c r="H89" s="69">
        <f t="shared" si="25"/>
        <v>0.10052092472399997</v>
      </c>
      <c r="I89" s="69">
        <f t="shared" si="26"/>
        <v>4.7542674397239981</v>
      </c>
      <c r="J89" s="70">
        <f t="shared" si="27"/>
        <v>0.4243153751241831</v>
      </c>
      <c r="K89" s="70">
        <f t="shared" si="28"/>
        <v>0.23950969469642305</v>
      </c>
      <c r="L89" s="70">
        <f t="shared" si="29"/>
        <v>0.2126995782463422</v>
      </c>
      <c r="M89" s="70">
        <f t="shared" si="30"/>
        <v>5.9877423674105763E-2</v>
      </c>
      <c r="N89" s="69">
        <f t="shared" si="31"/>
        <v>5.6906695114650523</v>
      </c>
      <c r="O89" s="69">
        <v>47.75</v>
      </c>
      <c r="P89" s="71">
        <f t="shared" si="32"/>
        <v>0.87460225408564241</v>
      </c>
      <c r="Q89" s="72">
        <f t="shared" si="33"/>
        <v>5.9877423674105765</v>
      </c>
      <c r="R89" s="72">
        <f t="shared" si="34"/>
        <v>6.5446024075797595</v>
      </c>
      <c r="S89" s="71">
        <f t="shared" si="35"/>
        <v>4.9613499999999935E-2</v>
      </c>
      <c r="T89" s="71">
        <v>0.20599999999999999</v>
      </c>
      <c r="U89" s="71">
        <f t="shared" si="36"/>
        <v>0.28664987405541553</v>
      </c>
      <c r="V89" s="72">
        <f t="shared" si="37"/>
        <v>47.75</v>
      </c>
      <c r="W89" s="71">
        <f t="shared" si="24"/>
        <v>0.13980000000000001</v>
      </c>
      <c r="X89" s="71">
        <f t="shared" si="38"/>
        <v>0.88670000000000004</v>
      </c>
      <c r="Y89" s="72">
        <f t="shared" si="39"/>
        <v>4.6537465149999981</v>
      </c>
      <c r="Z89" s="73">
        <v>4065</v>
      </c>
      <c r="AA89" s="74">
        <v>46841</v>
      </c>
    </row>
    <row r="90" spans="1:27" x14ac:dyDescent="0.25">
      <c r="A90" s="67">
        <v>7895296447324</v>
      </c>
      <c r="B90" s="67">
        <v>13844</v>
      </c>
      <c r="C90" s="68" t="s">
        <v>98</v>
      </c>
      <c r="D90" s="68" t="s">
        <v>12</v>
      </c>
      <c r="E90" s="68" t="s">
        <v>8</v>
      </c>
      <c r="F90" s="68" t="s">
        <v>405</v>
      </c>
      <c r="G90" s="69">
        <v>7.5457845055999959</v>
      </c>
      <c r="H90" s="69">
        <f t="shared" si="25"/>
        <v>0.16298894532095992</v>
      </c>
      <c r="I90" s="69">
        <f t="shared" si="26"/>
        <v>7.7087734509209556</v>
      </c>
      <c r="J90" s="70">
        <f t="shared" si="27"/>
        <v>0.67944592266923209</v>
      </c>
      <c r="K90" s="70">
        <f t="shared" si="28"/>
        <v>0.38352106720999779</v>
      </c>
      <c r="L90" s="70">
        <f t="shared" si="29"/>
        <v>0.34059067774917867</v>
      </c>
      <c r="M90" s="70">
        <f t="shared" si="30"/>
        <v>9.5880266802499448E-2</v>
      </c>
      <c r="N90" s="69">
        <f t="shared" si="31"/>
        <v>9.2082113853518628</v>
      </c>
      <c r="O90" s="69">
        <v>74.72</v>
      </c>
      <c r="P90" s="71">
        <f t="shared" si="32"/>
        <v>0.87168058511442803</v>
      </c>
      <c r="Q90" s="72">
        <f t="shared" si="33"/>
        <v>9.5880266802499445</v>
      </c>
      <c r="R90" s="72">
        <f t="shared" si="34"/>
        <v>10.479713161513189</v>
      </c>
      <c r="S90" s="71">
        <f t="shared" si="35"/>
        <v>3.9613500000000058E-2</v>
      </c>
      <c r="T90" s="71">
        <v>0.19600000000000001</v>
      </c>
      <c r="U90" s="71">
        <f t="shared" si="36"/>
        <v>0.27064676616915406</v>
      </c>
      <c r="V90" s="72">
        <f t="shared" si="37"/>
        <v>74.72</v>
      </c>
      <c r="W90" s="71">
        <f t="shared" si="24"/>
        <v>0.13980000000000001</v>
      </c>
      <c r="X90" s="71">
        <f t="shared" si="38"/>
        <v>0.88260000000000005</v>
      </c>
      <c r="Y90" s="72">
        <f t="shared" si="39"/>
        <v>7.5457845055999959</v>
      </c>
      <c r="Z90" s="73">
        <v>1828</v>
      </c>
      <c r="AA90" s="74">
        <v>46847</v>
      </c>
    </row>
    <row r="91" spans="1:27" x14ac:dyDescent="0.25">
      <c r="A91" s="67">
        <v>7896472521814</v>
      </c>
      <c r="B91" s="67">
        <v>23898</v>
      </c>
      <c r="C91" s="68" t="s">
        <v>99</v>
      </c>
      <c r="D91" s="68" t="s">
        <v>12</v>
      </c>
      <c r="E91" s="68" t="s">
        <v>8</v>
      </c>
      <c r="F91" s="68" t="s">
        <v>405</v>
      </c>
      <c r="G91" s="69">
        <v>24.9</v>
      </c>
      <c r="H91" s="69">
        <f t="shared" si="25"/>
        <v>0.53783999999999998</v>
      </c>
      <c r="I91" s="69">
        <f t="shared" si="26"/>
        <v>25.437839999999998</v>
      </c>
      <c r="J91" s="70">
        <f t="shared" si="27"/>
        <v>2.1252382619193582</v>
      </c>
      <c r="K91" s="70">
        <f t="shared" si="28"/>
        <v>1.199615185097854</v>
      </c>
      <c r="L91" s="70">
        <f t="shared" si="29"/>
        <v>1.0653332603159629</v>
      </c>
      <c r="M91" s="70">
        <f t="shared" si="30"/>
        <v>0.29990379627446351</v>
      </c>
      <c r="N91" s="69">
        <f t="shared" si="31"/>
        <v>30.127930503607637</v>
      </c>
      <c r="O91" s="69">
        <v>84.53</v>
      </c>
      <c r="P91" s="71">
        <f t="shared" si="32"/>
        <v>0.6452102256305885</v>
      </c>
      <c r="Q91" s="72">
        <f t="shared" si="33"/>
        <v>29.990379627446352</v>
      </c>
      <c r="R91" s="72">
        <f t="shared" si="34"/>
        <v>32.779484932798859</v>
      </c>
      <c r="S91" s="71">
        <f t="shared" si="35"/>
        <v>-4.586500000000074E-3</v>
      </c>
      <c r="T91" s="71">
        <v>0.15179999999999999</v>
      </c>
      <c r="U91" s="71">
        <f t="shared" si="36"/>
        <v>0.20443291676491371</v>
      </c>
      <c r="V91" s="72">
        <v>84.53</v>
      </c>
      <c r="W91" s="71">
        <f t="shared" si="24"/>
        <v>0.13980000000000001</v>
      </c>
      <c r="X91" s="71">
        <f t="shared" si="38"/>
        <v>0.63619999999999999</v>
      </c>
      <c r="Y91" s="72" t="str">
        <f t="shared" si="39"/>
        <v/>
      </c>
      <c r="Z91" s="73">
        <v>126</v>
      </c>
      <c r="AA91" s="74">
        <v>46471</v>
      </c>
    </row>
    <row r="92" spans="1:27" x14ac:dyDescent="0.25">
      <c r="A92" s="49">
        <v>7896472521821</v>
      </c>
      <c r="B92" s="49">
        <v>23899</v>
      </c>
      <c r="C92" s="50" t="s">
        <v>100</v>
      </c>
      <c r="D92" s="50" t="s">
        <v>12</v>
      </c>
      <c r="E92" s="50" t="s">
        <v>8</v>
      </c>
      <c r="F92" s="44" t="s">
        <v>405</v>
      </c>
      <c r="G92" s="56">
        <v>11.4738430752</v>
      </c>
      <c r="H92" s="56">
        <f t="shared" si="25"/>
        <v>0.24783501042431999</v>
      </c>
      <c r="I92" s="56">
        <f t="shared" si="26"/>
        <v>11.721678085624319</v>
      </c>
      <c r="J92" s="58">
        <f t="shared" si="27"/>
        <v>1.0649294818713868</v>
      </c>
      <c r="K92" s="58">
        <f t="shared" si="28"/>
        <v>0.60111169669868303</v>
      </c>
      <c r="L92" s="58">
        <f t="shared" si="29"/>
        <v>0.53382475614947422</v>
      </c>
      <c r="M92" s="58">
        <f t="shared" si="30"/>
        <v>0.15027792417467076</v>
      </c>
      <c r="N92" s="56">
        <f t="shared" si="31"/>
        <v>14.071821944518533</v>
      </c>
      <c r="O92" s="56">
        <v>33.76</v>
      </c>
      <c r="P92" s="46">
        <f t="shared" si="32"/>
        <v>0.55486396867692311</v>
      </c>
      <c r="Q92" s="45">
        <f t="shared" si="33"/>
        <v>15.027792417467076</v>
      </c>
      <c r="R92" s="45">
        <f t="shared" si="34"/>
        <v>16.425377112291514</v>
      </c>
      <c r="S92" s="46">
        <f t="shared" si="35"/>
        <v>6.3613500000000087E-2</v>
      </c>
      <c r="T92" s="46">
        <v>0.22</v>
      </c>
      <c r="U92" s="46">
        <f t="shared" si="36"/>
        <v>0.30974358974358962</v>
      </c>
      <c r="V92" s="51">
        <f t="shared" si="37"/>
        <v>33.76</v>
      </c>
      <c r="W92" s="46">
        <f t="shared" si="24"/>
        <v>0.13980000000000001</v>
      </c>
      <c r="X92" s="52">
        <f t="shared" si="38"/>
        <v>0.60489999999999999</v>
      </c>
      <c r="Y92" s="45">
        <f t="shared" si="39"/>
        <v>11.4738430752</v>
      </c>
      <c r="Z92" s="53">
        <v>0</v>
      </c>
      <c r="AA92" s="54">
        <v>46796</v>
      </c>
    </row>
    <row r="93" spans="1:27" x14ac:dyDescent="0.25">
      <c r="A93" s="43">
        <v>7895296275040</v>
      </c>
      <c r="B93" s="43">
        <v>10732</v>
      </c>
      <c r="C93" s="44" t="s">
        <v>101</v>
      </c>
      <c r="D93" s="44" t="s">
        <v>7</v>
      </c>
      <c r="E93" s="44" t="s">
        <v>48</v>
      </c>
      <c r="F93" s="44" t="s">
        <v>405</v>
      </c>
      <c r="G93" s="56">
        <v>9.8456083439999986</v>
      </c>
      <c r="H93" s="56">
        <f t="shared" si="25"/>
        <v>0.21266514023039998</v>
      </c>
      <c r="I93" s="56">
        <f t="shared" si="26"/>
        <v>10.058273484230398</v>
      </c>
      <c r="J93" s="58">
        <f t="shared" si="27"/>
        <v>0.91380704126474732</v>
      </c>
      <c r="K93" s="58">
        <f t="shared" si="28"/>
        <v>0.51580889662719986</v>
      </c>
      <c r="L93" s="58">
        <f t="shared" si="29"/>
        <v>0.4580705382609927</v>
      </c>
      <c r="M93" s="58">
        <f t="shared" si="30"/>
        <v>0.12895222415679997</v>
      </c>
      <c r="N93" s="56">
        <f t="shared" si="31"/>
        <v>12.074912184540135</v>
      </c>
      <c r="O93" s="56">
        <v>63.8</v>
      </c>
      <c r="P93" s="46">
        <f t="shared" si="32"/>
        <v>0.79788052640000007</v>
      </c>
      <c r="Q93" s="45">
        <f t="shared" si="33"/>
        <v>12.895222415679997</v>
      </c>
      <c r="R93" s="45">
        <f t="shared" si="34"/>
        <v>14.094478100338236</v>
      </c>
      <c r="S93" s="46">
        <f t="shared" si="35"/>
        <v>6.3613500000000198E-2</v>
      </c>
      <c r="T93" s="46">
        <v>0.22</v>
      </c>
      <c r="U93" s="46">
        <f t="shared" si="36"/>
        <v>0.30974358974358962</v>
      </c>
      <c r="V93" s="45">
        <f t="shared" si="37"/>
        <v>63.8</v>
      </c>
      <c r="W93" s="46">
        <f t="shared" si="24"/>
        <v>0.13980000000000001</v>
      </c>
      <c r="X93" s="46">
        <f t="shared" si="38"/>
        <v>0.8206</v>
      </c>
      <c r="Y93" s="45">
        <f t="shared" si="39"/>
        <v>9.8456083439999986</v>
      </c>
      <c r="Z93" s="47">
        <v>1</v>
      </c>
      <c r="AA93" s="48">
        <v>46472</v>
      </c>
    </row>
    <row r="94" spans="1:27" x14ac:dyDescent="0.25">
      <c r="A94" s="49">
        <v>7895296276047</v>
      </c>
      <c r="B94" s="49">
        <v>10770</v>
      </c>
      <c r="C94" s="50" t="s">
        <v>102</v>
      </c>
      <c r="D94" s="50" t="s">
        <v>7</v>
      </c>
      <c r="E94" s="50" t="s">
        <v>8</v>
      </c>
      <c r="F94" s="44" t="s">
        <v>405</v>
      </c>
      <c r="G94" s="56">
        <v>15.516017497200002</v>
      </c>
      <c r="H94" s="56">
        <f t="shared" si="25"/>
        <v>0.33514597793952006</v>
      </c>
      <c r="I94" s="56">
        <f t="shared" si="26"/>
        <v>15.851163475139522</v>
      </c>
      <c r="J94" s="58">
        <f t="shared" si="27"/>
        <v>1.4400985237208808</v>
      </c>
      <c r="K94" s="58">
        <f t="shared" si="28"/>
        <v>0.81288017821228309</v>
      </c>
      <c r="L94" s="58">
        <f t="shared" si="29"/>
        <v>0.72188840326364567</v>
      </c>
      <c r="M94" s="58">
        <f t="shared" si="30"/>
        <v>0.20322004455307077</v>
      </c>
      <c r="N94" s="56">
        <f t="shared" si="31"/>
        <v>19.0292506248894</v>
      </c>
      <c r="O94" s="56">
        <v>108.53</v>
      </c>
      <c r="P94" s="46">
        <f t="shared" si="32"/>
        <v>0.81275219335384608</v>
      </c>
      <c r="Q94" s="45">
        <f t="shared" si="33"/>
        <v>20.322004455307077</v>
      </c>
      <c r="R94" s="45">
        <f t="shared" si="34"/>
        <v>22.211950869650636</v>
      </c>
      <c r="S94" s="46">
        <f t="shared" si="35"/>
        <v>6.3613500000000017E-2</v>
      </c>
      <c r="T94" s="46">
        <v>0.22</v>
      </c>
      <c r="U94" s="46">
        <f t="shared" si="36"/>
        <v>0.30974358974358962</v>
      </c>
      <c r="V94" s="51">
        <f t="shared" si="37"/>
        <v>108.53</v>
      </c>
      <c r="W94" s="46">
        <f t="shared" si="24"/>
        <v>0.13980000000000001</v>
      </c>
      <c r="X94" s="52">
        <f t="shared" si="38"/>
        <v>0.83379999999999999</v>
      </c>
      <c r="Y94" s="45">
        <f t="shared" si="39"/>
        <v>15.516017497200002</v>
      </c>
      <c r="Z94" s="53">
        <v>0</v>
      </c>
      <c r="AA94" s="54" t="s">
        <v>403</v>
      </c>
    </row>
    <row r="95" spans="1:27" x14ac:dyDescent="0.25">
      <c r="A95" s="67">
        <v>7895296063050</v>
      </c>
      <c r="B95" s="67">
        <v>10449</v>
      </c>
      <c r="C95" s="68" t="s">
        <v>103</v>
      </c>
      <c r="D95" s="68" t="s">
        <v>7</v>
      </c>
      <c r="E95" s="68" t="s">
        <v>8</v>
      </c>
      <c r="F95" s="68" t="s">
        <v>405</v>
      </c>
      <c r="G95" s="69">
        <v>26.8387354752</v>
      </c>
      <c r="H95" s="69">
        <f t="shared" si="25"/>
        <v>0.57971668626432005</v>
      </c>
      <c r="I95" s="69">
        <f t="shared" si="26"/>
        <v>27.41845216146432</v>
      </c>
      <c r="J95" s="70">
        <f t="shared" si="27"/>
        <v>2.125334931054482</v>
      </c>
      <c r="K95" s="70">
        <f t="shared" si="28"/>
        <v>1.1996697511032299</v>
      </c>
      <c r="L95" s="70">
        <f t="shared" si="29"/>
        <v>1.0653817183391121</v>
      </c>
      <c r="M95" s="70">
        <f t="shared" si="30"/>
        <v>0.29991743777580748</v>
      </c>
      <c r="N95" s="69">
        <f t="shared" si="31"/>
        <v>32.10875599973695</v>
      </c>
      <c r="O95" s="69">
        <v>191.18</v>
      </c>
      <c r="P95" s="71">
        <f t="shared" si="32"/>
        <v>0.84312300566178078</v>
      </c>
      <c r="Q95" s="72">
        <f t="shared" si="33"/>
        <v>29.991743777580748</v>
      </c>
      <c r="R95" s="72">
        <f t="shared" si="34"/>
        <v>32.780975948895758</v>
      </c>
      <c r="S95" s="71">
        <f t="shared" si="35"/>
        <v>-7.0586499999999941E-2</v>
      </c>
      <c r="T95" s="71">
        <v>8.5800000000000001E-2</v>
      </c>
      <c r="U95" s="71">
        <f t="shared" si="36"/>
        <v>0.11747976372784952</v>
      </c>
      <c r="V95" s="72">
        <f t="shared" si="37"/>
        <v>191.18</v>
      </c>
      <c r="W95" s="71">
        <f t="shared" si="24"/>
        <v>0.13980000000000001</v>
      </c>
      <c r="X95" s="71">
        <f t="shared" si="38"/>
        <v>0.83679999999999999</v>
      </c>
      <c r="Y95" s="72">
        <f t="shared" si="39"/>
        <v>26.8387354752</v>
      </c>
      <c r="Z95" s="73">
        <v>73</v>
      </c>
      <c r="AA95" s="74">
        <v>46499</v>
      </c>
    </row>
    <row r="96" spans="1:27" x14ac:dyDescent="0.25">
      <c r="A96" s="49">
        <v>7895296231022</v>
      </c>
      <c r="B96" s="49">
        <v>11703</v>
      </c>
      <c r="C96" s="50" t="s">
        <v>104</v>
      </c>
      <c r="D96" s="50" t="s">
        <v>7</v>
      </c>
      <c r="E96" s="50" t="s">
        <v>105</v>
      </c>
      <c r="F96" s="44" t="s">
        <v>405</v>
      </c>
      <c r="G96" s="56">
        <v>135.75132495540001</v>
      </c>
      <c r="H96" s="56">
        <f t="shared" si="25"/>
        <v>2.9322286190366404</v>
      </c>
      <c r="I96" s="56">
        <f t="shared" si="26"/>
        <v>138.68355357443664</v>
      </c>
      <c r="J96" s="58">
        <f t="shared" si="27"/>
        <v>12.599578641665229</v>
      </c>
      <c r="K96" s="58">
        <f t="shared" si="28"/>
        <v>7.1119771063813664</v>
      </c>
      <c r="L96" s="58">
        <f t="shared" si="29"/>
        <v>6.3158801690358022</v>
      </c>
      <c r="M96" s="58">
        <f t="shared" si="30"/>
        <v>1.7779942765953416</v>
      </c>
      <c r="N96" s="56">
        <f t="shared" si="31"/>
        <v>166.48898376811439</v>
      </c>
      <c r="O96" s="56">
        <v>227.43</v>
      </c>
      <c r="P96" s="46">
        <f t="shared" si="32"/>
        <v>0.21822350763076923</v>
      </c>
      <c r="Q96" s="45">
        <f t="shared" si="33"/>
        <v>177.79942765953416</v>
      </c>
      <c r="R96" s="45">
        <f t="shared" si="34"/>
        <v>194.33477443187084</v>
      </c>
      <c r="S96" s="46">
        <f t="shared" si="35"/>
        <v>6.3613499999999948E-2</v>
      </c>
      <c r="T96" s="46">
        <v>0.22</v>
      </c>
      <c r="U96" s="46">
        <f t="shared" si="36"/>
        <v>0.30974358974358962</v>
      </c>
      <c r="V96" s="51">
        <f t="shared" si="37"/>
        <v>227.43</v>
      </c>
      <c r="W96" s="46">
        <f t="shared" si="24"/>
        <v>0.13980000000000001</v>
      </c>
      <c r="X96" s="52">
        <f t="shared" si="38"/>
        <v>0.30609999999999998</v>
      </c>
      <c r="Y96" s="45">
        <f t="shared" si="39"/>
        <v>135.75132495540001</v>
      </c>
      <c r="Z96" s="53">
        <v>0</v>
      </c>
      <c r="AA96" s="54" t="s">
        <v>403</v>
      </c>
    </row>
    <row r="97" spans="1:27" x14ac:dyDescent="0.25">
      <c r="A97" s="49">
        <v>7895296231015</v>
      </c>
      <c r="B97" s="49">
        <v>11701</v>
      </c>
      <c r="C97" s="50" t="s">
        <v>106</v>
      </c>
      <c r="D97" s="50" t="s">
        <v>7</v>
      </c>
      <c r="E97" s="50" t="s">
        <v>105</v>
      </c>
      <c r="F97" s="44" t="s">
        <v>405</v>
      </c>
      <c r="G97" s="56">
        <v>75.248107651200002</v>
      </c>
      <c r="H97" s="56">
        <f t="shared" si="25"/>
        <v>1.6253591252659201</v>
      </c>
      <c r="I97" s="56">
        <f t="shared" si="26"/>
        <v>76.873466776465918</v>
      </c>
      <c r="J97" s="58">
        <f t="shared" si="27"/>
        <v>6.9840530123685651</v>
      </c>
      <c r="K97" s="58">
        <f t="shared" si="28"/>
        <v>3.9422290654597907</v>
      </c>
      <c r="L97" s="58">
        <f t="shared" si="29"/>
        <v>3.5009457994448852</v>
      </c>
      <c r="M97" s="58">
        <f t="shared" si="30"/>
        <v>0.98555726636494767</v>
      </c>
      <c r="N97" s="56">
        <f t="shared" si="31"/>
        <v>92.286251920104107</v>
      </c>
      <c r="O97" s="56">
        <v>201.84</v>
      </c>
      <c r="P97" s="46">
        <f t="shared" si="32"/>
        <v>0.51171360168205127</v>
      </c>
      <c r="Q97" s="45">
        <f t="shared" si="33"/>
        <v>98.555726636494768</v>
      </c>
      <c r="R97" s="45">
        <f t="shared" si="34"/>
        <v>107.72140921368877</v>
      </c>
      <c r="S97" s="46">
        <f t="shared" si="35"/>
        <v>6.3613500000000017E-2</v>
      </c>
      <c r="T97" s="46">
        <v>0.22</v>
      </c>
      <c r="U97" s="46">
        <f t="shared" si="36"/>
        <v>0.30974358974358962</v>
      </c>
      <c r="V97" s="51">
        <f t="shared" si="37"/>
        <v>201.84</v>
      </c>
      <c r="W97" s="46">
        <f t="shared" si="24"/>
        <v>0.13980000000000001</v>
      </c>
      <c r="X97" s="52">
        <f t="shared" si="38"/>
        <v>0.56659999999999999</v>
      </c>
      <c r="Y97" s="45">
        <f t="shared" si="39"/>
        <v>75.248107651200002</v>
      </c>
      <c r="Z97" s="53">
        <v>0</v>
      </c>
      <c r="AA97" s="54" t="s">
        <v>403</v>
      </c>
    </row>
    <row r="98" spans="1:27" x14ac:dyDescent="0.25">
      <c r="A98" s="67">
        <v>7895296272018</v>
      </c>
      <c r="B98" s="67">
        <v>10450</v>
      </c>
      <c r="C98" s="68" t="s">
        <v>107</v>
      </c>
      <c r="D98" s="68" t="s">
        <v>7</v>
      </c>
      <c r="E98" s="68" t="s">
        <v>8</v>
      </c>
      <c r="F98" s="68" t="s">
        <v>405</v>
      </c>
      <c r="G98" s="69">
        <v>1.5228120599999995</v>
      </c>
      <c r="H98" s="69">
        <f t="shared" si="25"/>
        <v>3.2892740495999995E-2</v>
      </c>
      <c r="I98" s="69">
        <f t="shared" si="26"/>
        <v>1.5557048004959995</v>
      </c>
      <c r="J98" s="70">
        <f t="shared" si="27"/>
        <v>0.14133777561839553</v>
      </c>
      <c r="K98" s="70">
        <f t="shared" si="28"/>
        <v>7.97797333587692E-2</v>
      </c>
      <c r="L98" s="70">
        <f t="shared" si="29"/>
        <v>7.0849389455921979E-2</v>
      </c>
      <c r="M98" s="70">
        <f t="shared" si="30"/>
        <v>1.99449333396923E-2</v>
      </c>
      <c r="N98" s="69">
        <f t="shared" si="31"/>
        <v>1.8676166322687784</v>
      </c>
      <c r="O98" s="69">
        <v>12.6</v>
      </c>
      <c r="P98" s="71">
        <f t="shared" si="32"/>
        <v>0.84170687825641033</v>
      </c>
      <c r="Q98" s="72">
        <f t="shared" si="33"/>
        <v>1.9944933339692301</v>
      </c>
      <c r="R98" s="72">
        <f t="shared" si="34"/>
        <v>2.1799812140283685</v>
      </c>
      <c r="S98" s="71">
        <f t="shared" si="35"/>
        <v>6.3613500000000059E-2</v>
      </c>
      <c r="T98" s="71">
        <v>0.22</v>
      </c>
      <c r="U98" s="71">
        <f t="shared" si="36"/>
        <v>0.30974358974358984</v>
      </c>
      <c r="V98" s="72">
        <f t="shared" si="37"/>
        <v>12.6</v>
      </c>
      <c r="W98" s="71">
        <f t="shared" si="24"/>
        <v>0.13980000000000001</v>
      </c>
      <c r="X98" s="71">
        <f t="shared" si="38"/>
        <v>0.85950000000000004</v>
      </c>
      <c r="Y98" s="72">
        <f t="shared" si="39"/>
        <v>1.5228120599999995</v>
      </c>
      <c r="Z98" s="73">
        <v>30</v>
      </c>
      <c r="AA98" s="74">
        <v>46507</v>
      </c>
    </row>
    <row r="99" spans="1:27" x14ac:dyDescent="0.25">
      <c r="A99" s="43">
        <v>7895296250016</v>
      </c>
      <c r="B99" s="43">
        <v>10511</v>
      </c>
      <c r="C99" s="44" t="s">
        <v>108</v>
      </c>
      <c r="D99" s="44" t="s">
        <v>7</v>
      </c>
      <c r="E99" s="44" t="s">
        <v>8</v>
      </c>
      <c r="F99" s="44" t="s">
        <v>405</v>
      </c>
      <c r="G99" s="56">
        <v>78.398036182399991</v>
      </c>
      <c r="H99" s="56">
        <f t="shared" si="25"/>
        <v>1.6933975815398399</v>
      </c>
      <c r="I99" s="56">
        <f t="shared" si="26"/>
        <v>80.091433763939833</v>
      </c>
      <c r="J99" s="58">
        <f t="shared" si="27"/>
        <v>7.2764094387792717</v>
      </c>
      <c r="K99" s="58">
        <f t="shared" si="28"/>
        <v>4.1072530135353755</v>
      </c>
      <c r="L99" s="58">
        <f t="shared" si="29"/>
        <v>3.647497379332759</v>
      </c>
      <c r="M99" s="58">
        <f t="shared" si="30"/>
        <v>1.0268132533838439</v>
      </c>
      <c r="N99" s="56">
        <f t="shared" si="31"/>
        <v>96.149406848971083</v>
      </c>
      <c r="O99" s="56">
        <v>155.21</v>
      </c>
      <c r="P99" s="46">
        <f t="shared" si="32"/>
        <v>0.33843614884102574</v>
      </c>
      <c r="Q99" s="45">
        <f t="shared" si="33"/>
        <v>102.6813253383844</v>
      </c>
      <c r="R99" s="45">
        <f t="shared" si="34"/>
        <v>112.23068859485413</v>
      </c>
      <c r="S99" s="46">
        <f t="shared" si="35"/>
        <v>6.3613499999999989E-2</v>
      </c>
      <c r="T99" s="46">
        <v>0.22</v>
      </c>
      <c r="U99" s="46">
        <f t="shared" si="36"/>
        <v>0.30974358974358962</v>
      </c>
      <c r="V99" s="45">
        <f t="shared" si="37"/>
        <v>155.21</v>
      </c>
      <c r="W99" s="46">
        <f t="shared" si="24"/>
        <v>0.13980000000000001</v>
      </c>
      <c r="X99" s="46">
        <f t="shared" si="38"/>
        <v>0.4128</v>
      </c>
      <c r="Y99" s="45">
        <f t="shared" si="39"/>
        <v>78.398036182399991</v>
      </c>
      <c r="Z99" s="47">
        <v>2</v>
      </c>
      <c r="AA99" s="48">
        <v>46581</v>
      </c>
    </row>
    <row r="100" spans="1:27" x14ac:dyDescent="0.25">
      <c r="A100" s="43">
        <v>7895296053044</v>
      </c>
      <c r="B100" s="43">
        <v>10426</v>
      </c>
      <c r="C100" s="44" t="s">
        <v>109</v>
      </c>
      <c r="D100" s="44" t="s">
        <v>7</v>
      </c>
      <c r="E100" s="44" t="s">
        <v>8</v>
      </c>
      <c r="F100" s="44" t="s">
        <v>405</v>
      </c>
      <c r="G100" s="56">
        <v>21.1438596534</v>
      </c>
      <c r="H100" s="56">
        <f t="shared" si="25"/>
        <v>0.45670736851344002</v>
      </c>
      <c r="I100" s="56">
        <f t="shared" si="26"/>
        <v>21.600567021913442</v>
      </c>
      <c r="J100" s="58">
        <f t="shared" si="27"/>
        <v>1.9624392069754797</v>
      </c>
      <c r="K100" s="58">
        <f t="shared" si="28"/>
        <v>1.1077213857391508</v>
      </c>
      <c r="L100" s="58">
        <f t="shared" si="29"/>
        <v>0.98372582312297463</v>
      </c>
      <c r="M100" s="58">
        <f t="shared" si="30"/>
        <v>0.2769303464347877</v>
      </c>
      <c r="N100" s="56">
        <f t="shared" si="31"/>
        <v>25.931383784185833</v>
      </c>
      <c r="O100" s="56">
        <v>33.630000000000003</v>
      </c>
      <c r="P100" s="46">
        <f t="shared" si="32"/>
        <v>0.17653777450256411</v>
      </c>
      <c r="Q100" s="45">
        <f t="shared" si="33"/>
        <v>27.693034643478772</v>
      </c>
      <c r="R100" s="45">
        <f t="shared" si="34"/>
        <v>30.268486865322295</v>
      </c>
      <c r="S100" s="46">
        <f t="shared" si="35"/>
        <v>6.3613500000000059E-2</v>
      </c>
      <c r="T100" s="46">
        <v>0.22</v>
      </c>
      <c r="U100" s="46">
        <f t="shared" si="36"/>
        <v>0.30974358974358984</v>
      </c>
      <c r="V100" s="45">
        <f t="shared" si="37"/>
        <v>33.630000000000003</v>
      </c>
      <c r="W100" s="46">
        <f t="shared" si="24"/>
        <v>0.13980000000000001</v>
      </c>
      <c r="X100" s="46">
        <f t="shared" si="38"/>
        <v>0.26910000000000001</v>
      </c>
      <c r="Y100" s="45">
        <f t="shared" si="39"/>
        <v>21.1438596534</v>
      </c>
      <c r="Z100" s="47">
        <v>109</v>
      </c>
      <c r="AA100" s="48">
        <v>46749</v>
      </c>
    </row>
    <row r="101" spans="1:27" x14ac:dyDescent="0.25">
      <c r="A101" s="43">
        <v>7895296038010</v>
      </c>
      <c r="B101" s="43">
        <v>10456</v>
      </c>
      <c r="C101" s="44" t="s">
        <v>110</v>
      </c>
      <c r="D101" s="44" t="s">
        <v>7</v>
      </c>
      <c r="E101" s="44" t="s">
        <v>8</v>
      </c>
      <c r="F101" s="44" t="s">
        <v>405</v>
      </c>
      <c r="G101" s="56">
        <v>3.8730754457999992</v>
      </c>
      <c r="H101" s="56">
        <f t="shared" si="25"/>
        <v>8.3658429629279982E-2</v>
      </c>
      <c r="I101" s="56">
        <f t="shared" si="26"/>
        <v>3.9567338754292791</v>
      </c>
      <c r="J101" s="58">
        <f t="shared" si="27"/>
        <v>0.35947434531848776</v>
      </c>
      <c r="K101" s="58">
        <f t="shared" si="28"/>
        <v>0.2029094295091938</v>
      </c>
      <c r="L101" s="58">
        <f t="shared" si="29"/>
        <v>0.18019625524350841</v>
      </c>
      <c r="M101" s="58">
        <f t="shared" si="30"/>
        <v>5.072735737729845E-2</v>
      </c>
      <c r="N101" s="56">
        <f t="shared" si="31"/>
        <v>4.750041262877768</v>
      </c>
      <c r="O101" s="56">
        <v>23.71</v>
      </c>
      <c r="P101" s="46">
        <f t="shared" si="32"/>
        <v>0.78605079132307709</v>
      </c>
      <c r="Q101" s="45">
        <f t="shared" si="33"/>
        <v>5.072735737729845</v>
      </c>
      <c r="R101" s="45">
        <f t="shared" si="34"/>
        <v>5.5445001613387204</v>
      </c>
      <c r="S101" s="46">
        <f t="shared" si="35"/>
        <v>6.3613499999999906E-2</v>
      </c>
      <c r="T101" s="46">
        <v>0.22</v>
      </c>
      <c r="U101" s="46">
        <f t="shared" si="36"/>
        <v>0.30974358974358962</v>
      </c>
      <c r="V101" s="45">
        <f t="shared" si="37"/>
        <v>23.71</v>
      </c>
      <c r="W101" s="46">
        <f t="shared" si="24"/>
        <v>0.13980000000000001</v>
      </c>
      <c r="X101" s="46">
        <f t="shared" si="38"/>
        <v>0.81010000000000004</v>
      </c>
      <c r="Y101" s="45">
        <f t="shared" si="39"/>
        <v>3.8730754457999992</v>
      </c>
      <c r="Z101" s="47">
        <v>40</v>
      </c>
      <c r="AA101" s="48">
        <v>46639</v>
      </c>
    </row>
    <row r="102" spans="1:27" x14ac:dyDescent="0.25">
      <c r="A102" s="67">
        <v>7895296044011</v>
      </c>
      <c r="B102" s="67">
        <v>10386</v>
      </c>
      <c r="C102" s="68" t="s">
        <v>111</v>
      </c>
      <c r="D102" s="68" t="s">
        <v>7</v>
      </c>
      <c r="E102" s="68" t="s">
        <v>8</v>
      </c>
      <c r="F102" s="68" t="s">
        <v>405</v>
      </c>
      <c r="G102" s="69">
        <v>1.9404150743999993</v>
      </c>
      <c r="H102" s="69">
        <f t="shared" si="25"/>
        <v>4.1912965607039984E-2</v>
      </c>
      <c r="I102" s="69">
        <f t="shared" si="26"/>
        <v>1.9823280400070393</v>
      </c>
      <c r="J102" s="70">
        <f t="shared" si="27"/>
        <v>0.16239964650527033</v>
      </c>
      <c r="K102" s="70">
        <f t="shared" si="28"/>
        <v>9.1668348670845751E-2</v>
      </c>
      <c r="L102" s="70">
        <f t="shared" si="29"/>
        <v>8.1407222891502956E-2</v>
      </c>
      <c r="M102" s="70">
        <f t="shared" si="30"/>
        <v>2.2917087167711438E-2</v>
      </c>
      <c r="N102" s="69">
        <f t="shared" si="31"/>
        <v>2.3407203452423699</v>
      </c>
      <c r="O102" s="69">
        <v>12.68</v>
      </c>
      <c r="P102" s="71">
        <f t="shared" si="32"/>
        <v>0.81926587407167639</v>
      </c>
      <c r="Q102" s="72">
        <f t="shared" si="33"/>
        <v>2.2917087167711436</v>
      </c>
      <c r="R102" s="72">
        <f t="shared" si="34"/>
        <v>2.5048376274308599</v>
      </c>
      <c r="S102" s="71">
        <f t="shared" si="35"/>
        <v>-2.1386500000000107E-2</v>
      </c>
      <c r="T102" s="71">
        <v>0.13500000000000001</v>
      </c>
      <c r="U102" s="71">
        <f t="shared" si="36"/>
        <v>0.18104046242774574</v>
      </c>
      <c r="V102" s="72">
        <f t="shared" si="37"/>
        <v>12.68</v>
      </c>
      <c r="W102" s="71">
        <f t="shared" si="24"/>
        <v>0.13980000000000001</v>
      </c>
      <c r="X102" s="71">
        <f t="shared" si="38"/>
        <v>0.82210000000000005</v>
      </c>
      <c r="Y102" s="72">
        <f t="shared" si="39"/>
        <v>1.9404150743999993</v>
      </c>
      <c r="Z102" s="73">
        <v>79</v>
      </c>
      <c r="AA102" s="74">
        <v>46433</v>
      </c>
    </row>
    <row r="103" spans="1:27" x14ac:dyDescent="0.25">
      <c r="A103" s="49">
        <v>7895296043021</v>
      </c>
      <c r="B103" s="49">
        <v>11714</v>
      </c>
      <c r="C103" s="50" t="s">
        <v>112</v>
      </c>
      <c r="D103" s="50" t="s">
        <v>7</v>
      </c>
      <c r="E103" s="50" t="s">
        <v>8</v>
      </c>
      <c r="F103" s="44" t="s">
        <v>405</v>
      </c>
      <c r="G103" s="56">
        <v>27.563164948000001</v>
      </c>
      <c r="H103" s="56">
        <f t="shared" si="25"/>
        <v>0.59536436287680006</v>
      </c>
      <c r="I103" s="56">
        <f t="shared" si="26"/>
        <v>28.158529310876801</v>
      </c>
      <c r="J103" s="58">
        <f t="shared" si="27"/>
        <v>2.5582384885717611</v>
      </c>
      <c r="K103" s="58">
        <f t="shared" si="28"/>
        <v>1.4440271441475283</v>
      </c>
      <c r="L103" s="58">
        <f t="shared" si="29"/>
        <v>1.2823863556995141</v>
      </c>
      <c r="M103" s="58">
        <f t="shared" si="30"/>
        <v>0.36100678603688208</v>
      </c>
      <c r="N103" s="56">
        <f t="shared" si="31"/>
        <v>33.804188085332484</v>
      </c>
      <c r="O103" s="56">
        <v>91.16</v>
      </c>
      <c r="P103" s="46">
        <f t="shared" si="32"/>
        <v>0.60398553528205123</v>
      </c>
      <c r="Q103" s="45">
        <f t="shared" si="33"/>
        <v>36.100678603688209</v>
      </c>
      <c r="R103" s="45">
        <f t="shared" si="34"/>
        <v>39.458041713831207</v>
      </c>
      <c r="S103" s="46">
        <f t="shared" si="35"/>
        <v>6.3613500000000142E-2</v>
      </c>
      <c r="T103" s="46">
        <v>0.22</v>
      </c>
      <c r="U103" s="46">
        <f t="shared" si="36"/>
        <v>0.30974358974358984</v>
      </c>
      <c r="V103" s="51">
        <f t="shared" si="37"/>
        <v>91.16</v>
      </c>
      <c r="W103" s="46">
        <f t="shared" si="24"/>
        <v>0.13980000000000001</v>
      </c>
      <c r="X103" s="52">
        <f t="shared" si="38"/>
        <v>0.64849999999999997</v>
      </c>
      <c r="Y103" s="45">
        <f t="shared" si="39"/>
        <v>27.563164948000001</v>
      </c>
      <c r="Z103" s="53">
        <v>0</v>
      </c>
      <c r="AA103" s="54" t="s">
        <v>403</v>
      </c>
    </row>
    <row r="104" spans="1:27" x14ac:dyDescent="0.25">
      <c r="A104" s="43">
        <v>7895296043069</v>
      </c>
      <c r="B104" s="43">
        <v>10839</v>
      </c>
      <c r="C104" s="44" t="s">
        <v>113</v>
      </c>
      <c r="D104" s="44" t="s">
        <v>7</v>
      </c>
      <c r="E104" s="44" t="s">
        <v>8</v>
      </c>
      <c r="F104" s="44" t="s">
        <v>405</v>
      </c>
      <c r="G104" s="56">
        <v>28.339249430799999</v>
      </c>
      <c r="H104" s="56">
        <f t="shared" si="25"/>
        <v>0.61212778770528009</v>
      </c>
      <c r="I104" s="56">
        <f t="shared" si="26"/>
        <v>28.951377218505279</v>
      </c>
      <c r="J104" s="58">
        <f t="shared" si="27"/>
        <v>2.6302697374514845</v>
      </c>
      <c r="K104" s="58">
        <f t="shared" si="28"/>
        <v>1.4846860112053988</v>
      </c>
      <c r="L104" s="58">
        <f t="shared" si="29"/>
        <v>1.3184939708260943</v>
      </c>
      <c r="M104" s="58">
        <f t="shared" si="30"/>
        <v>0.3711715028013497</v>
      </c>
      <c r="N104" s="56">
        <f t="shared" si="31"/>
        <v>34.755998440789611</v>
      </c>
      <c r="O104" s="56">
        <v>124.18</v>
      </c>
      <c r="P104" s="46">
        <f t="shared" si="32"/>
        <v>0.70110202705641023</v>
      </c>
      <c r="Q104" s="45">
        <f t="shared" si="33"/>
        <v>37.117150280134972</v>
      </c>
      <c r="R104" s="45">
        <f t="shared" si="34"/>
        <v>40.569045256187522</v>
      </c>
      <c r="S104" s="46">
        <f t="shared" si="35"/>
        <v>6.3613499999999865E-2</v>
      </c>
      <c r="T104" s="46">
        <v>0.22</v>
      </c>
      <c r="U104" s="46">
        <f t="shared" si="36"/>
        <v>0.30974358974358962</v>
      </c>
      <c r="V104" s="45">
        <f t="shared" si="37"/>
        <v>124.18</v>
      </c>
      <c r="W104" s="46">
        <f t="shared" si="24"/>
        <v>0.13980000000000001</v>
      </c>
      <c r="X104" s="46">
        <f t="shared" si="38"/>
        <v>0.73470000000000002</v>
      </c>
      <c r="Y104" s="45">
        <f t="shared" si="39"/>
        <v>28.339249430799999</v>
      </c>
      <c r="Z104" s="47">
        <v>414</v>
      </c>
      <c r="AA104" s="48">
        <v>46853</v>
      </c>
    </row>
    <row r="105" spans="1:27" x14ac:dyDescent="0.25">
      <c r="A105" s="67">
        <v>7895296422024</v>
      </c>
      <c r="B105" s="67">
        <v>11696</v>
      </c>
      <c r="C105" s="68" t="s">
        <v>114</v>
      </c>
      <c r="D105" s="68" t="s">
        <v>7</v>
      </c>
      <c r="E105" s="68" t="s">
        <v>8</v>
      </c>
      <c r="F105" s="68" t="s">
        <v>405</v>
      </c>
      <c r="G105" s="69">
        <v>27.237188717200002</v>
      </c>
      <c r="H105" s="69">
        <f t="shared" si="25"/>
        <v>0.58832327629152004</v>
      </c>
      <c r="I105" s="69">
        <f t="shared" si="26"/>
        <v>27.825511993491521</v>
      </c>
      <c r="J105" s="70">
        <f t="shared" si="27"/>
        <v>2.4796618233234193</v>
      </c>
      <c r="K105" s="70">
        <f t="shared" si="28"/>
        <v>1.3996736415237183</v>
      </c>
      <c r="L105" s="70">
        <f t="shared" si="29"/>
        <v>1.2429976732756571</v>
      </c>
      <c r="M105" s="70">
        <f t="shared" si="30"/>
        <v>0.34991841038092958</v>
      </c>
      <c r="N105" s="69">
        <f t="shared" si="31"/>
        <v>33.297763541995245</v>
      </c>
      <c r="O105" s="69">
        <v>111.14</v>
      </c>
      <c r="P105" s="71">
        <f t="shared" si="32"/>
        <v>0.6851552902816902</v>
      </c>
      <c r="Q105" s="72">
        <f t="shared" si="33"/>
        <v>34.991841038092957</v>
      </c>
      <c r="R105" s="72">
        <f t="shared" si="34"/>
        <v>38.246082254635603</v>
      </c>
      <c r="S105" s="71">
        <f t="shared" si="35"/>
        <v>4.841349999999997E-2</v>
      </c>
      <c r="T105" s="71">
        <v>0.20480000000000001</v>
      </c>
      <c r="U105" s="71">
        <f t="shared" si="36"/>
        <v>0.2847082494969817</v>
      </c>
      <c r="V105" s="72">
        <f t="shared" si="37"/>
        <v>111.14</v>
      </c>
      <c r="W105" s="71">
        <f t="shared" si="24"/>
        <v>0.13980000000000001</v>
      </c>
      <c r="X105" s="71">
        <f t="shared" si="38"/>
        <v>0.71509999999999996</v>
      </c>
      <c r="Y105" s="72">
        <f t="shared" si="39"/>
        <v>27.237188717200002</v>
      </c>
      <c r="Z105" s="73">
        <v>4</v>
      </c>
      <c r="AA105" s="74">
        <v>46578</v>
      </c>
    </row>
    <row r="106" spans="1:27" x14ac:dyDescent="0.25">
      <c r="A106" s="49">
        <v>7895296344029</v>
      </c>
      <c r="B106" s="49">
        <v>10433</v>
      </c>
      <c r="C106" s="50" t="s">
        <v>115</v>
      </c>
      <c r="D106" s="50" t="s">
        <v>7</v>
      </c>
      <c r="E106" s="50" t="s">
        <v>8</v>
      </c>
      <c r="F106" s="44" t="s">
        <v>405</v>
      </c>
      <c r="G106" s="56">
        <v>55.812380685599997</v>
      </c>
      <c r="H106" s="56">
        <f t="shared" si="25"/>
        <v>1.20554742280896</v>
      </c>
      <c r="I106" s="56">
        <f t="shared" si="26"/>
        <v>57.01792810840896</v>
      </c>
      <c r="J106" s="58">
        <f t="shared" si="27"/>
        <v>5.1801518685567851</v>
      </c>
      <c r="K106" s="58">
        <f t="shared" si="28"/>
        <v>2.9239963132517413</v>
      </c>
      <c r="L106" s="58">
        <f t="shared" si="29"/>
        <v>2.5966914759371247</v>
      </c>
      <c r="M106" s="58">
        <f t="shared" si="30"/>
        <v>0.73099907831293531</v>
      </c>
      <c r="N106" s="56">
        <f t="shared" si="31"/>
        <v>68.449766844467533</v>
      </c>
      <c r="O106" s="56">
        <v>96.18</v>
      </c>
      <c r="P106" s="46">
        <f t="shared" si="32"/>
        <v>0.23996768734358984</v>
      </c>
      <c r="Q106" s="45">
        <f t="shared" si="33"/>
        <v>73.099907831293535</v>
      </c>
      <c r="R106" s="45">
        <f t="shared" si="34"/>
        <v>79.898199259603828</v>
      </c>
      <c r="S106" s="46">
        <f t="shared" si="35"/>
        <v>6.3613500000000156E-2</v>
      </c>
      <c r="T106" s="46">
        <v>0.22</v>
      </c>
      <c r="U106" s="46">
        <f t="shared" si="36"/>
        <v>0.30974358974358984</v>
      </c>
      <c r="V106" s="51">
        <f t="shared" si="37"/>
        <v>96.18</v>
      </c>
      <c r="W106" s="46">
        <f t="shared" si="24"/>
        <v>0.13980000000000001</v>
      </c>
      <c r="X106" s="52">
        <f t="shared" si="38"/>
        <v>0.32540000000000002</v>
      </c>
      <c r="Y106" s="45">
        <f t="shared" si="39"/>
        <v>55.812380685599997</v>
      </c>
      <c r="Z106" s="53">
        <v>0</v>
      </c>
      <c r="AA106" s="54" t="s">
        <v>403</v>
      </c>
    </row>
    <row r="107" spans="1:27" x14ac:dyDescent="0.25">
      <c r="A107" s="43">
        <v>7896472521722</v>
      </c>
      <c r="B107" s="43">
        <v>23673</v>
      </c>
      <c r="C107" s="44" t="s">
        <v>116</v>
      </c>
      <c r="D107" s="44" t="s">
        <v>12</v>
      </c>
      <c r="E107" s="44" t="s">
        <v>48</v>
      </c>
      <c r="F107" s="44" t="s">
        <v>405</v>
      </c>
      <c r="G107" s="56">
        <v>112.23084452799999</v>
      </c>
      <c r="H107" s="56">
        <f t="shared" si="25"/>
        <v>2.4241862418047999</v>
      </c>
      <c r="I107" s="56">
        <f t="shared" si="26"/>
        <v>114.6550307698048</v>
      </c>
      <c r="J107" s="58">
        <f t="shared" si="27"/>
        <v>10.416556539065958</v>
      </c>
      <c r="K107" s="58">
        <f t="shared" si="28"/>
        <v>5.8797451676822972</v>
      </c>
      <c r="L107" s="58">
        <f t="shared" si="29"/>
        <v>5.2215811929748606</v>
      </c>
      <c r="M107" s="58">
        <f t="shared" si="30"/>
        <v>1.4699362919205743</v>
      </c>
      <c r="N107" s="56">
        <f t="shared" si="31"/>
        <v>137.64284996144849</v>
      </c>
      <c r="O107" s="56">
        <v>245.8</v>
      </c>
      <c r="P107" s="46">
        <f t="shared" si="32"/>
        <v>0.40197872582564109</v>
      </c>
      <c r="Q107" s="45">
        <f t="shared" si="33"/>
        <v>146.99362919205743</v>
      </c>
      <c r="R107" s="45">
        <f t="shared" si="34"/>
        <v>160.66403670691878</v>
      </c>
      <c r="S107" s="46">
        <f t="shared" si="35"/>
        <v>6.3613499999999934E-2</v>
      </c>
      <c r="T107" s="46">
        <v>0.22</v>
      </c>
      <c r="U107" s="46">
        <f t="shared" si="36"/>
        <v>0.30974358974358984</v>
      </c>
      <c r="V107" s="45">
        <f t="shared" si="37"/>
        <v>245.8</v>
      </c>
      <c r="W107" s="46">
        <f t="shared" si="24"/>
        <v>0.13980000000000001</v>
      </c>
      <c r="X107" s="46">
        <f t="shared" si="38"/>
        <v>0.46920000000000001</v>
      </c>
      <c r="Y107" s="45">
        <f t="shared" si="39"/>
        <v>112.23084452799999</v>
      </c>
      <c r="Z107" s="47">
        <v>70</v>
      </c>
      <c r="AA107" s="48">
        <v>46642</v>
      </c>
    </row>
    <row r="108" spans="1:27" x14ac:dyDescent="0.25">
      <c r="A108" s="43">
        <v>7896472521746</v>
      </c>
      <c r="B108" s="43">
        <v>24103</v>
      </c>
      <c r="C108" s="44" t="s">
        <v>117</v>
      </c>
      <c r="D108" s="44" t="s">
        <v>12</v>
      </c>
      <c r="E108" s="44" t="s">
        <v>8</v>
      </c>
      <c r="F108" s="44" t="s">
        <v>405</v>
      </c>
      <c r="G108" s="56">
        <v>142.87076939519997</v>
      </c>
      <c r="H108" s="56">
        <f t="shared" si="25"/>
        <v>3.0860086189363196</v>
      </c>
      <c r="I108" s="56">
        <f t="shared" si="26"/>
        <v>145.95677801413629</v>
      </c>
      <c r="J108" s="58">
        <f t="shared" si="27"/>
        <v>13.260360406658659</v>
      </c>
      <c r="K108" s="58">
        <f t="shared" si="28"/>
        <v>7.4849629750839117</v>
      </c>
      <c r="L108" s="58">
        <f t="shared" si="29"/>
        <v>6.6471149320604557</v>
      </c>
      <c r="M108" s="58">
        <f t="shared" si="30"/>
        <v>1.8712407437709779</v>
      </c>
      <c r="N108" s="56">
        <f t="shared" si="31"/>
        <v>175.22045707171029</v>
      </c>
      <c r="O108" s="56">
        <v>298.08</v>
      </c>
      <c r="P108" s="46">
        <f t="shared" si="32"/>
        <v>0.37223539191794885</v>
      </c>
      <c r="Q108" s="45">
        <f t="shared" si="33"/>
        <v>187.1240743770978</v>
      </c>
      <c r="R108" s="45">
        <f t="shared" si="34"/>
        <v>204.52661329416787</v>
      </c>
      <c r="S108" s="46">
        <f t="shared" si="35"/>
        <v>6.3613500000000017E-2</v>
      </c>
      <c r="T108" s="46">
        <v>0.22</v>
      </c>
      <c r="U108" s="46">
        <f t="shared" si="36"/>
        <v>0.30974358974358962</v>
      </c>
      <c r="V108" s="45">
        <f t="shared" si="37"/>
        <v>298.08</v>
      </c>
      <c r="W108" s="46">
        <f t="shared" si="24"/>
        <v>0.13980000000000001</v>
      </c>
      <c r="X108" s="46">
        <f t="shared" si="38"/>
        <v>0.44280000000000003</v>
      </c>
      <c r="Y108" s="45">
        <f t="shared" si="39"/>
        <v>142.87076939519997</v>
      </c>
      <c r="Z108" s="47">
        <v>5</v>
      </c>
      <c r="AA108" s="48">
        <v>46362</v>
      </c>
    </row>
    <row r="109" spans="1:27" x14ac:dyDescent="0.25">
      <c r="A109" s="43">
        <v>7896472521753</v>
      </c>
      <c r="B109" s="43">
        <v>23690</v>
      </c>
      <c r="C109" s="44" t="s">
        <v>118</v>
      </c>
      <c r="D109" s="44" t="s">
        <v>12</v>
      </c>
      <c r="E109" s="44" t="s">
        <v>48</v>
      </c>
      <c r="F109" s="44" t="s">
        <v>405</v>
      </c>
      <c r="G109" s="56">
        <v>142.87076939519997</v>
      </c>
      <c r="H109" s="56">
        <f t="shared" si="25"/>
        <v>3.0860086189363196</v>
      </c>
      <c r="I109" s="56">
        <f t="shared" si="26"/>
        <v>145.95677801413629</v>
      </c>
      <c r="J109" s="58">
        <f t="shared" si="27"/>
        <v>13.260360406658659</v>
      </c>
      <c r="K109" s="58">
        <f t="shared" si="28"/>
        <v>7.4849629750839117</v>
      </c>
      <c r="L109" s="58">
        <f t="shared" si="29"/>
        <v>6.6471149320604557</v>
      </c>
      <c r="M109" s="58">
        <f t="shared" si="30"/>
        <v>1.8712407437709779</v>
      </c>
      <c r="N109" s="56">
        <f t="shared" si="31"/>
        <v>175.22045707171029</v>
      </c>
      <c r="O109" s="56">
        <v>298.08</v>
      </c>
      <c r="P109" s="46">
        <f t="shared" si="32"/>
        <v>0.37223539191794885</v>
      </c>
      <c r="Q109" s="45">
        <f t="shared" si="33"/>
        <v>187.1240743770978</v>
      </c>
      <c r="R109" s="45">
        <f t="shared" si="34"/>
        <v>204.52661329416787</v>
      </c>
      <c r="S109" s="46">
        <f t="shared" si="35"/>
        <v>6.3613500000000017E-2</v>
      </c>
      <c r="T109" s="46">
        <v>0.22</v>
      </c>
      <c r="U109" s="46">
        <f t="shared" si="36"/>
        <v>0.30974358974358962</v>
      </c>
      <c r="V109" s="45">
        <f t="shared" si="37"/>
        <v>298.08</v>
      </c>
      <c r="W109" s="46">
        <f t="shared" si="24"/>
        <v>0.13980000000000001</v>
      </c>
      <c r="X109" s="46">
        <f t="shared" si="38"/>
        <v>0.44280000000000003</v>
      </c>
      <c r="Y109" s="45">
        <f t="shared" si="39"/>
        <v>142.87076939519997</v>
      </c>
      <c r="Z109" s="47">
        <v>3</v>
      </c>
      <c r="AA109" s="48">
        <v>46609</v>
      </c>
    </row>
    <row r="110" spans="1:27" x14ac:dyDescent="0.25">
      <c r="A110" s="43">
        <v>7896004778204</v>
      </c>
      <c r="B110" s="43">
        <v>15743</v>
      </c>
      <c r="C110" s="44" t="s">
        <v>119</v>
      </c>
      <c r="D110" s="44" t="s">
        <v>7</v>
      </c>
      <c r="E110" s="44" t="s">
        <v>8</v>
      </c>
      <c r="F110" s="44" t="s">
        <v>405</v>
      </c>
      <c r="G110" s="56">
        <v>0.7911371225999998</v>
      </c>
      <c r="H110" s="56">
        <f t="shared" si="25"/>
        <v>1.7088561848159999E-2</v>
      </c>
      <c r="I110" s="56">
        <f t="shared" si="26"/>
        <v>0.80822568444815979</v>
      </c>
      <c r="J110" s="58">
        <f t="shared" si="27"/>
        <v>7.342833961889024E-2</v>
      </c>
      <c r="K110" s="58">
        <f t="shared" si="28"/>
        <v>4.1447470997341522E-2</v>
      </c>
      <c r="L110" s="58">
        <f t="shared" si="29"/>
        <v>3.6807944712576604E-2</v>
      </c>
      <c r="M110" s="58">
        <f t="shared" si="30"/>
        <v>1.0361867749335381E-2</v>
      </c>
      <c r="N110" s="56">
        <f t="shared" si="31"/>
        <v>0.97027130752630353</v>
      </c>
      <c r="O110" s="56">
        <v>8.43</v>
      </c>
      <c r="P110" s="46">
        <f t="shared" si="32"/>
        <v>0.87708341934358969</v>
      </c>
      <c r="Q110" s="45">
        <f t="shared" si="33"/>
        <v>1.0361867749335381</v>
      </c>
      <c r="R110" s="45">
        <f t="shared" si="34"/>
        <v>1.132552145002357</v>
      </c>
      <c r="S110" s="46">
        <f t="shared" si="35"/>
        <v>6.3613499999999906E-2</v>
      </c>
      <c r="T110" s="46">
        <v>0.22</v>
      </c>
      <c r="U110" s="46">
        <f t="shared" si="36"/>
        <v>0.30974358974358962</v>
      </c>
      <c r="V110" s="45">
        <f t="shared" si="37"/>
        <v>8.43</v>
      </c>
      <c r="W110" s="46">
        <f t="shared" si="24"/>
        <v>0.13980000000000001</v>
      </c>
      <c r="X110" s="46">
        <f t="shared" si="38"/>
        <v>0.89090000000000003</v>
      </c>
      <c r="Y110" s="45">
        <f t="shared" si="39"/>
        <v>0.7911371225999998</v>
      </c>
      <c r="Z110" s="47">
        <v>5134</v>
      </c>
      <c r="AA110" s="48">
        <v>46835</v>
      </c>
    </row>
    <row r="111" spans="1:27" x14ac:dyDescent="0.25">
      <c r="A111" s="43">
        <v>7895296282109</v>
      </c>
      <c r="B111" s="43">
        <v>10460</v>
      </c>
      <c r="C111" s="44" t="s">
        <v>120</v>
      </c>
      <c r="D111" s="44" t="s">
        <v>7</v>
      </c>
      <c r="E111" s="44" t="s">
        <v>8</v>
      </c>
      <c r="F111" s="44" t="s">
        <v>405</v>
      </c>
      <c r="G111" s="56">
        <v>1.8205272800000016</v>
      </c>
      <c r="H111" s="56">
        <f t="shared" si="25"/>
        <v>3.9323389248000037E-2</v>
      </c>
      <c r="I111" s="56">
        <f t="shared" si="26"/>
        <v>1.8598506692480017</v>
      </c>
      <c r="J111" s="58">
        <f t="shared" si="27"/>
        <v>0.16896981772511591</v>
      </c>
      <c r="K111" s="58">
        <f t="shared" si="28"/>
        <v>9.5376957397333428E-2</v>
      </c>
      <c r="L111" s="58">
        <f t="shared" si="29"/>
        <v>8.4700699228669421E-2</v>
      </c>
      <c r="M111" s="58">
        <f t="shared" si="30"/>
        <v>2.3844239349333357E-2</v>
      </c>
      <c r="N111" s="56">
        <f t="shared" si="31"/>
        <v>2.2327423829484534</v>
      </c>
      <c r="O111" s="56">
        <v>38.479999999999997</v>
      </c>
      <c r="P111" s="46">
        <f t="shared" si="32"/>
        <v>0.93803472102564089</v>
      </c>
      <c r="Q111" s="45">
        <f t="shared" si="33"/>
        <v>2.3844239349333356</v>
      </c>
      <c r="R111" s="45">
        <f t="shared" si="34"/>
        <v>2.6061753608821361</v>
      </c>
      <c r="S111" s="46">
        <f t="shared" si="35"/>
        <v>6.3613500000000198E-2</v>
      </c>
      <c r="T111" s="46">
        <v>0.22</v>
      </c>
      <c r="U111" s="46">
        <f t="shared" si="36"/>
        <v>0.30974358974358984</v>
      </c>
      <c r="V111" s="45">
        <f t="shared" si="37"/>
        <v>38.479999999999997</v>
      </c>
      <c r="W111" s="46">
        <f t="shared" si="24"/>
        <v>0.13980000000000001</v>
      </c>
      <c r="X111" s="46">
        <f t="shared" si="38"/>
        <v>0.94499999999999995</v>
      </c>
      <c r="Y111" s="45">
        <f t="shared" si="39"/>
        <v>1.8205272800000016</v>
      </c>
      <c r="Z111" s="47">
        <v>1</v>
      </c>
      <c r="AA111" s="48">
        <v>46507</v>
      </c>
    </row>
    <row r="112" spans="1:27" x14ac:dyDescent="0.25">
      <c r="A112" s="43">
        <v>7895296282239</v>
      </c>
      <c r="B112" s="43">
        <v>10461</v>
      </c>
      <c r="C112" s="44" t="s">
        <v>121</v>
      </c>
      <c r="D112" s="44" t="s">
        <v>7</v>
      </c>
      <c r="E112" s="44" t="s">
        <v>8</v>
      </c>
      <c r="F112" s="44" t="s">
        <v>405</v>
      </c>
      <c r="G112" s="56">
        <v>2.3498513500000011</v>
      </c>
      <c r="H112" s="56">
        <f t="shared" si="25"/>
        <v>5.0756789160000031E-2</v>
      </c>
      <c r="I112" s="56">
        <f t="shared" si="26"/>
        <v>2.4006081391600009</v>
      </c>
      <c r="J112" s="58">
        <f t="shared" si="27"/>
        <v>0.21809832714542857</v>
      </c>
      <c r="K112" s="58">
        <f t="shared" si="28"/>
        <v>0.12310810970051285</v>
      </c>
      <c r="L112" s="58">
        <f t="shared" si="29"/>
        <v>0.10932769567091169</v>
      </c>
      <c r="M112" s="58">
        <f t="shared" si="30"/>
        <v>3.0777027425128212E-2</v>
      </c>
      <c r="N112" s="56">
        <f t="shared" si="31"/>
        <v>2.8819192991019817</v>
      </c>
      <c r="O112" s="56">
        <v>22.3</v>
      </c>
      <c r="P112" s="46">
        <f t="shared" si="32"/>
        <v>0.86198642410256399</v>
      </c>
      <c r="Q112" s="45">
        <f t="shared" si="33"/>
        <v>3.0777027425128214</v>
      </c>
      <c r="R112" s="45">
        <f t="shared" si="34"/>
        <v>3.3639290975665137</v>
      </c>
      <c r="S112" s="46">
        <f t="shared" si="35"/>
        <v>6.3613500000000087E-2</v>
      </c>
      <c r="T112" s="46">
        <v>0.22</v>
      </c>
      <c r="U112" s="46">
        <f t="shared" si="36"/>
        <v>0.3097435897435894</v>
      </c>
      <c r="V112" s="45">
        <f t="shared" si="37"/>
        <v>22.3</v>
      </c>
      <c r="W112" s="46">
        <f t="shared" si="24"/>
        <v>0.13980000000000001</v>
      </c>
      <c r="X112" s="46">
        <f t="shared" si="38"/>
        <v>0.87749999999999995</v>
      </c>
      <c r="Y112" s="45">
        <f t="shared" si="39"/>
        <v>2.3498513500000011</v>
      </c>
      <c r="Z112" s="47">
        <v>1</v>
      </c>
      <c r="AA112" s="48">
        <v>46628</v>
      </c>
    </row>
    <row r="113" spans="1:27" x14ac:dyDescent="0.25">
      <c r="A113" s="43">
        <v>7895296097055</v>
      </c>
      <c r="B113" s="43">
        <v>22016</v>
      </c>
      <c r="C113" s="44" t="s">
        <v>122</v>
      </c>
      <c r="D113" s="44" t="s">
        <v>7</v>
      </c>
      <c r="E113" s="44" t="s">
        <v>8</v>
      </c>
      <c r="F113" s="44" t="s">
        <v>405</v>
      </c>
      <c r="G113" s="56">
        <v>3.7761825177999984</v>
      </c>
      <c r="H113" s="56">
        <f t="shared" si="25"/>
        <v>8.1565542384479967E-2</v>
      </c>
      <c r="I113" s="56">
        <f t="shared" si="26"/>
        <v>3.8577480601844782</v>
      </c>
      <c r="J113" s="58">
        <f t="shared" si="27"/>
        <v>0.35048135709860623</v>
      </c>
      <c r="K113" s="58">
        <f t="shared" si="28"/>
        <v>0.19783323385561427</v>
      </c>
      <c r="L113" s="58">
        <f t="shared" si="29"/>
        <v>0.17568827624090147</v>
      </c>
      <c r="M113" s="58">
        <f t="shared" si="30"/>
        <v>4.9458308463903568E-2</v>
      </c>
      <c r="N113" s="56">
        <f t="shared" si="31"/>
        <v>4.631209235843504</v>
      </c>
      <c r="O113" s="56">
        <v>58.61</v>
      </c>
      <c r="P113" s="46">
        <f t="shared" si="32"/>
        <v>0.91561455645128209</v>
      </c>
      <c r="Q113" s="45">
        <f t="shared" si="33"/>
        <v>4.9458308463903569</v>
      </c>
      <c r="R113" s="45">
        <f t="shared" si="34"/>
        <v>5.4057931151046601</v>
      </c>
      <c r="S113" s="46">
        <f t="shared" si="35"/>
        <v>6.3613499999999989E-2</v>
      </c>
      <c r="T113" s="46">
        <v>0.22</v>
      </c>
      <c r="U113" s="46">
        <f t="shared" si="36"/>
        <v>0.30974358974358984</v>
      </c>
      <c r="V113" s="45">
        <f t="shared" si="37"/>
        <v>58.61</v>
      </c>
      <c r="W113" s="46">
        <f t="shared" si="24"/>
        <v>0.13980000000000001</v>
      </c>
      <c r="X113" s="46">
        <f t="shared" si="38"/>
        <v>0.92510000000000003</v>
      </c>
      <c r="Y113" s="45">
        <f t="shared" si="39"/>
        <v>3.7761825177999984</v>
      </c>
      <c r="Z113" s="47">
        <v>81</v>
      </c>
      <c r="AA113" s="48">
        <v>46711</v>
      </c>
    </row>
    <row r="114" spans="1:27" x14ac:dyDescent="0.25">
      <c r="A114" s="43">
        <v>7895296449847</v>
      </c>
      <c r="B114" s="43">
        <v>22017</v>
      </c>
      <c r="C114" s="44" t="s">
        <v>123</v>
      </c>
      <c r="D114" s="44" t="s">
        <v>12</v>
      </c>
      <c r="E114" s="44" t="s">
        <v>8</v>
      </c>
      <c r="F114" s="44" t="s">
        <v>405</v>
      </c>
      <c r="G114" s="56">
        <v>3.8926157490000031</v>
      </c>
      <c r="H114" s="56">
        <f t="shared" si="25"/>
        <v>8.4080500178400075E-2</v>
      </c>
      <c r="I114" s="56">
        <f t="shared" si="26"/>
        <v>3.9766962491784033</v>
      </c>
      <c r="J114" s="58">
        <f t="shared" si="27"/>
        <v>0.36128795256638252</v>
      </c>
      <c r="K114" s="58">
        <f t="shared" si="28"/>
        <v>0.20393314098350784</v>
      </c>
      <c r="L114" s="58">
        <f t="shared" si="29"/>
        <v>0.18110537501466645</v>
      </c>
      <c r="M114" s="58">
        <f t="shared" si="30"/>
        <v>5.0983285245876961E-2</v>
      </c>
      <c r="N114" s="56">
        <f t="shared" si="31"/>
        <v>4.7740060029888367</v>
      </c>
      <c r="O114" s="56">
        <v>66.45</v>
      </c>
      <c r="P114" s="46">
        <f t="shared" si="32"/>
        <v>0.92327571821538446</v>
      </c>
      <c r="Q114" s="45">
        <f t="shared" si="33"/>
        <v>5.0983285245876964</v>
      </c>
      <c r="R114" s="45">
        <f t="shared" si="34"/>
        <v>5.5724730773743518</v>
      </c>
      <c r="S114" s="46">
        <f t="shared" si="35"/>
        <v>6.3613500000000045E-2</v>
      </c>
      <c r="T114" s="46">
        <v>0.22</v>
      </c>
      <c r="U114" s="46">
        <f t="shared" si="36"/>
        <v>0.30974358974358984</v>
      </c>
      <c r="V114" s="45">
        <f t="shared" si="37"/>
        <v>66.45</v>
      </c>
      <c r="W114" s="46">
        <f t="shared" si="24"/>
        <v>0.13980000000000001</v>
      </c>
      <c r="X114" s="46">
        <f t="shared" si="38"/>
        <v>0.93189999999999995</v>
      </c>
      <c r="Y114" s="45">
        <f t="shared" si="39"/>
        <v>3.8926157490000031</v>
      </c>
      <c r="Z114" s="47">
        <v>1</v>
      </c>
      <c r="AA114" s="48">
        <v>46447</v>
      </c>
    </row>
    <row r="115" spans="1:27" x14ac:dyDescent="0.25">
      <c r="A115" s="43">
        <v>7896472520374</v>
      </c>
      <c r="B115" s="43">
        <v>24449</v>
      </c>
      <c r="C115" s="44" t="s">
        <v>124</v>
      </c>
      <c r="D115" s="44" t="s">
        <v>12</v>
      </c>
      <c r="E115" s="44" t="s">
        <v>8</v>
      </c>
      <c r="F115" s="44" t="s">
        <v>405</v>
      </c>
      <c r="G115" s="56">
        <v>14.641902902000002</v>
      </c>
      <c r="H115" s="56">
        <f t="shared" si="25"/>
        <v>0.31626510268320002</v>
      </c>
      <c r="I115" s="56">
        <f t="shared" si="26"/>
        <v>14.958168004683202</v>
      </c>
      <c r="J115" s="58">
        <f t="shared" si="27"/>
        <v>1.3589687403639363</v>
      </c>
      <c r="K115" s="58">
        <f t="shared" si="28"/>
        <v>0.7670855387017026</v>
      </c>
      <c r="L115" s="58">
        <f t="shared" si="29"/>
        <v>0.68121990121328069</v>
      </c>
      <c r="M115" s="58">
        <f t="shared" si="30"/>
        <v>0.19177138467542565</v>
      </c>
      <c r="N115" s="56">
        <f t="shared" si="31"/>
        <v>17.957213569637549</v>
      </c>
      <c r="O115" s="56">
        <v>27.1</v>
      </c>
      <c r="P115" s="46">
        <f t="shared" si="32"/>
        <v>0.29235651411282049</v>
      </c>
      <c r="Q115" s="45">
        <f t="shared" si="33"/>
        <v>19.177138467542566</v>
      </c>
      <c r="R115" s="45">
        <f t="shared" si="34"/>
        <v>20.960612345024021</v>
      </c>
      <c r="S115" s="46">
        <f t="shared" si="35"/>
        <v>6.3613499999999878E-2</v>
      </c>
      <c r="T115" s="46">
        <v>0.22</v>
      </c>
      <c r="U115" s="46">
        <f t="shared" si="36"/>
        <v>0.30974358974358962</v>
      </c>
      <c r="V115" s="45">
        <f t="shared" si="37"/>
        <v>27.1</v>
      </c>
      <c r="W115" s="46">
        <f t="shared" si="24"/>
        <v>0.13980000000000001</v>
      </c>
      <c r="X115" s="46">
        <f t="shared" si="38"/>
        <v>0.37190000000000001</v>
      </c>
      <c r="Y115" s="45">
        <f t="shared" si="39"/>
        <v>14.641902902000002</v>
      </c>
      <c r="Z115" s="47">
        <v>734</v>
      </c>
      <c r="AA115" s="48">
        <v>46697</v>
      </c>
    </row>
    <row r="116" spans="1:27" x14ac:dyDescent="0.25">
      <c r="A116" s="49">
        <v>7896472520381</v>
      </c>
      <c r="B116" s="49">
        <v>24450</v>
      </c>
      <c r="C116" s="50" t="s">
        <v>125</v>
      </c>
      <c r="D116" s="50" t="s">
        <v>12</v>
      </c>
      <c r="E116" s="50" t="s">
        <v>8</v>
      </c>
      <c r="F116" s="44" t="s">
        <v>405</v>
      </c>
      <c r="G116" s="56">
        <v>26.591149270400003</v>
      </c>
      <c r="H116" s="56">
        <f t="shared" si="25"/>
        <v>0.57436882424064017</v>
      </c>
      <c r="I116" s="56">
        <f t="shared" si="26"/>
        <v>27.165518094640642</v>
      </c>
      <c r="J116" s="58">
        <f t="shared" si="27"/>
        <v>2.4680221464854029</v>
      </c>
      <c r="K116" s="58">
        <f t="shared" si="28"/>
        <v>1.3931034920328533</v>
      </c>
      <c r="L116" s="58">
        <f t="shared" si="29"/>
        <v>1.2371629698934257</v>
      </c>
      <c r="M116" s="58">
        <f t="shared" si="30"/>
        <v>0.34827587300821333</v>
      </c>
      <c r="N116" s="56">
        <f t="shared" si="31"/>
        <v>32.612082576060537</v>
      </c>
      <c r="O116" s="56">
        <v>52.96</v>
      </c>
      <c r="P116" s="46">
        <f t="shared" si="32"/>
        <v>0.34237939386666666</v>
      </c>
      <c r="Q116" s="45">
        <f t="shared" si="33"/>
        <v>34.827587300821335</v>
      </c>
      <c r="R116" s="45">
        <f t="shared" si="34"/>
        <v>38.066552919797715</v>
      </c>
      <c r="S116" s="46">
        <f t="shared" si="35"/>
        <v>6.3613500000000003E-2</v>
      </c>
      <c r="T116" s="46">
        <v>0.22</v>
      </c>
      <c r="U116" s="46">
        <f t="shared" si="36"/>
        <v>0.30974358974358962</v>
      </c>
      <c r="V116" s="51">
        <f t="shared" si="37"/>
        <v>52.96</v>
      </c>
      <c r="W116" s="46">
        <f t="shared" si="24"/>
        <v>0.13980000000000001</v>
      </c>
      <c r="X116" s="52">
        <f t="shared" si="38"/>
        <v>0.4163</v>
      </c>
      <c r="Y116" s="45">
        <f t="shared" si="39"/>
        <v>26.591149270400003</v>
      </c>
      <c r="Z116" s="53">
        <v>0</v>
      </c>
      <c r="AA116" s="54" t="s">
        <v>403</v>
      </c>
    </row>
    <row r="117" spans="1:27" x14ac:dyDescent="0.25">
      <c r="A117" s="49">
        <v>7895296279017</v>
      </c>
      <c r="B117" s="49">
        <v>10462</v>
      </c>
      <c r="C117" s="50" t="s">
        <v>126</v>
      </c>
      <c r="D117" s="50" t="s">
        <v>7</v>
      </c>
      <c r="E117" s="50" t="s">
        <v>8</v>
      </c>
      <c r="F117" s="44" t="s">
        <v>405</v>
      </c>
      <c r="G117" s="56">
        <v>11.195055696000001</v>
      </c>
      <c r="H117" s="56">
        <f t="shared" si="25"/>
        <v>0.24181320303360002</v>
      </c>
      <c r="I117" s="56">
        <f t="shared" si="26"/>
        <v>11.4368688990336</v>
      </c>
      <c r="J117" s="58">
        <f t="shared" si="27"/>
        <v>1.0390542021296374</v>
      </c>
      <c r="K117" s="58">
        <f t="shared" si="28"/>
        <v>0.58650609738633852</v>
      </c>
      <c r="L117" s="58">
        <f t="shared" si="29"/>
        <v>0.52085407111015525</v>
      </c>
      <c r="M117" s="58">
        <f t="shared" si="30"/>
        <v>0.14662652434658463</v>
      </c>
      <c r="N117" s="56">
        <f t="shared" si="31"/>
        <v>13.729909794006318</v>
      </c>
      <c r="O117" s="56">
        <v>30.84</v>
      </c>
      <c r="P117" s="46">
        <f t="shared" si="32"/>
        <v>0.52455731405128203</v>
      </c>
      <c r="Q117" s="45">
        <f t="shared" si="33"/>
        <v>14.662652434658462</v>
      </c>
      <c r="R117" s="45">
        <f t="shared" si="34"/>
        <v>16.026279111081699</v>
      </c>
      <c r="S117" s="46">
        <f t="shared" si="35"/>
        <v>6.3613499999999851E-2</v>
      </c>
      <c r="T117" s="46">
        <v>0.22</v>
      </c>
      <c r="U117" s="46">
        <f t="shared" si="36"/>
        <v>0.30974358974358962</v>
      </c>
      <c r="V117" s="51">
        <f t="shared" si="37"/>
        <v>30.84</v>
      </c>
      <c r="W117" s="46">
        <f t="shared" si="24"/>
        <v>0.13980000000000001</v>
      </c>
      <c r="X117" s="52">
        <f t="shared" si="38"/>
        <v>0.57799999999999996</v>
      </c>
      <c r="Y117" s="45">
        <f t="shared" si="39"/>
        <v>11.195055696000001</v>
      </c>
      <c r="Z117" s="53">
        <v>0</v>
      </c>
      <c r="AA117" s="54" t="s">
        <v>403</v>
      </c>
    </row>
    <row r="118" spans="1:27" x14ac:dyDescent="0.25">
      <c r="A118" s="43">
        <v>7895296405010</v>
      </c>
      <c r="B118" s="43">
        <v>15628</v>
      </c>
      <c r="C118" s="44" t="s">
        <v>127</v>
      </c>
      <c r="D118" s="44" t="s">
        <v>7</v>
      </c>
      <c r="E118" s="44" t="s">
        <v>8</v>
      </c>
      <c r="F118" s="44" t="s">
        <v>405</v>
      </c>
      <c r="G118" s="56">
        <v>23.951991155399998</v>
      </c>
      <c r="H118" s="56">
        <f t="shared" si="25"/>
        <v>0.51736300895664</v>
      </c>
      <c r="I118" s="56">
        <f t="shared" si="26"/>
        <v>24.469354164356638</v>
      </c>
      <c r="J118" s="58">
        <f t="shared" si="27"/>
        <v>2.223072196798678</v>
      </c>
      <c r="K118" s="58">
        <f t="shared" si="28"/>
        <v>1.2548386750952121</v>
      </c>
      <c r="L118" s="58">
        <f t="shared" si="29"/>
        <v>1.1143751709017418</v>
      </c>
      <c r="M118" s="58">
        <f t="shared" si="30"/>
        <v>0.31370966877380302</v>
      </c>
      <c r="N118" s="56">
        <f t="shared" si="31"/>
        <v>29.375349875926073</v>
      </c>
      <c r="O118" s="56">
        <v>66.63</v>
      </c>
      <c r="P118" s="46">
        <f t="shared" si="32"/>
        <v>0.52917654393846159</v>
      </c>
      <c r="Q118" s="45">
        <f t="shared" si="33"/>
        <v>31.370966877380305</v>
      </c>
      <c r="R118" s="45">
        <f t="shared" si="34"/>
        <v>34.288466796976671</v>
      </c>
      <c r="S118" s="46">
        <f t="shared" si="35"/>
        <v>6.3613499999999989E-2</v>
      </c>
      <c r="T118" s="46">
        <v>0.22</v>
      </c>
      <c r="U118" s="46">
        <f t="shared" si="36"/>
        <v>0.30974358974358962</v>
      </c>
      <c r="V118" s="45">
        <f t="shared" ref="V118:V149" si="40">IFERROR(VLOOKUP(A118,MATRIZ1,5,0),"")</f>
        <v>66.63</v>
      </c>
      <c r="W118" s="46">
        <f t="shared" si="24"/>
        <v>0.13980000000000001</v>
      </c>
      <c r="X118" s="46">
        <f t="shared" ref="X118:X149" si="41">IFERROR(VLOOKUP(A118,MATRIZ1,7,0),"")</f>
        <v>0.58209999999999995</v>
      </c>
      <c r="Y118" s="45">
        <f t="shared" ref="Y118:Y149" si="42">IFERROR(VLOOKUP(A118,MATRIZ1,8,0),"")</f>
        <v>23.951991155399998</v>
      </c>
      <c r="Z118" s="47">
        <v>84</v>
      </c>
      <c r="AA118" s="48">
        <v>46667</v>
      </c>
    </row>
    <row r="119" spans="1:27" x14ac:dyDescent="0.25">
      <c r="A119" s="49">
        <v>7895296405027</v>
      </c>
      <c r="B119" s="49">
        <v>16001</v>
      </c>
      <c r="C119" s="50" t="s">
        <v>128</v>
      </c>
      <c r="D119" s="50" t="s">
        <v>7</v>
      </c>
      <c r="E119" s="50" t="s">
        <v>8</v>
      </c>
      <c r="F119" s="44" t="s">
        <v>405</v>
      </c>
      <c r="G119" s="56">
        <v>43.288499212199994</v>
      </c>
      <c r="H119" s="56">
        <f t="shared" si="25"/>
        <v>0.93503158298351996</v>
      </c>
      <c r="I119" s="56">
        <f t="shared" si="26"/>
        <v>44.223530795183514</v>
      </c>
      <c r="J119" s="58">
        <f t="shared" si="27"/>
        <v>4.0177644695767754</v>
      </c>
      <c r="K119" s="58">
        <f t="shared" si="28"/>
        <v>2.267873374111975</v>
      </c>
      <c r="L119" s="58">
        <f t="shared" si="29"/>
        <v>2.0140132982973156</v>
      </c>
      <c r="M119" s="58">
        <f t="shared" si="30"/>
        <v>0.56696834352799375</v>
      </c>
      <c r="N119" s="56">
        <f t="shared" si="31"/>
        <v>53.090150280697578</v>
      </c>
      <c r="O119" s="56">
        <v>154.88999999999999</v>
      </c>
      <c r="P119" s="46">
        <f t="shared" si="32"/>
        <v>0.63395419747692305</v>
      </c>
      <c r="Q119" s="45">
        <f t="shared" si="33"/>
        <v>56.696834352799378</v>
      </c>
      <c r="R119" s="45">
        <f t="shared" si="34"/>
        <v>61.969639947609714</v>
      </c>
      <c r="S119" s="46">
        <f t="shared" si="35"/>
        <v>6.3613499999999934E-2</v>
      </c>
      <c r="T119" s="46">
        <v>0.22</v>
      </c>
      <c r="U119" s="46">
        <f t="shared" si="36"/>
        <v>0.30974358974358984</v>
      </c>
      <c r="V119" s="51">
        <f t="shared" si="40"/>
        <v>154.88999999999999</v>
      </c>
      <c r="W119" s="46">
        <f t="shared" si="24"/>
        <v>0.13980000000000001</v>
      </c>
      <c r="X119" s="52">
        <f t="shared" si="41"/>
        <v>0.67510000000000003</v>
      </c>
      <c r="Y119" s="45">
        <f t="shared" si="42"/>
        <v>43.288499212199994</v>
      </c>
      <c r="Z119" s="53">
        <v>0</v>
      </c>
      <c r="AA119" s="54" t="s">
        <v>403</v>
      </c>
    </row>
    <row r="120" spans="1:27" x14ac:dyDescent="0.25">
      <c r="A120" s="67">
        <v>7895296449816</v>
      </c>
      <c r="B120" s="67">
        <v>22710</v>
      </c>
      <c r="C120" s="68" t="s">
        <v>129</v>
      </c>
      <c r="D120" s="68" t="s">
        <v>12</v>
      </c>
      <c r="E120" s="68" t="s">
        <v>8</v>
      </c>
      <c r="F120" s="68" t="s">
        <v>405</v>
      </c>
      <c r="G120" s="69">
        <v>7.9108886538000007</v>
      </c>
      <c r="H120" s="69">
        <f t="shared" si="25"/>
        <v>0.17087519492208003</v>
      </c>
      <c r="I120" s="69">
        <f t="shared" si="26"/>
        <v>8.0817638487220815</v>
      </c>
      <c r="J120" s="70">
        <f t="shared" si="27"/>
        <v>0.70774359042985857</v>
      </c>
      <c r="K120" s="70">
        <f t="shared" si="28"/>
        <v>0.39949401130608408</v>
      </c>
      <c r="L120" s="70">
        <f t="shared" si="29"/>
        <v>0.35477565041550924</v>
      </c>
      <c r="M120" s="70">
        <f t="shared" si="30"/>
        <v>9.9873502826521021E-2</v>
      </c>
      <c r="N120" s="69">
        <f t="shared" si="31"/>
        <v>9.6436506037000544</v>
      </c>
      <c r="O120" s="69">
        <v>13.89</v>
      </c>
      <c r="P120" s="71">
        <f t="shared" si="32"/>
        <v>0.2809683021848739</v>
      </c>
      <c r="Q120" s="72">
        <f t="shared" si="33"/>
        <v>9.9873502826521019</v>
      </c>
      <c r="R120" s="72">
        <f t="shared" si="34"/>
        <v>10.916173858938746</v>
      </c>
      <c r="S120" s="71">
        <f t="shared" si="35"/>
        <v>3.4413499999999937E-2</v>
      </c>
      <c r="T120" s="71">
        <v>0.1908</v>
      </c>
      <c r="U120" s="71">
        <f t="shared" si="36"/>
        <v>0.26248146317350463</v>
      </c>
      <c r="V120" s="72">
        <f t="shared" si="40"/>
        <v>13.89</v>
      </c>
      <c r="W120" s="71">
        <f t="shared" si="24"/>
        <v>0.13980000000000001</v>
      </c>
      <c r="X120" s="71">
        <f t="shared" si="41"/>
        <v>0.33789999999999998</v>
      </c>
      <c r="Y120" s="72">
        <f t="shared" si="42"/>
        <v>7.9108886538000007</v>
      </c>
      <c r="Z120" s="73">
        <v>270</v>
      </c>
      <c r="AA120" s="74">
        <v>46407</v>
      </c>
    </row>
    <row r="121" spans="1:27" x14ac:dyDescent="0.25">
      <c r="A121" s="49">
        <v>7898103651068</v>
      </c>
      <c r="B121" s="49">
        <v>25322</v>
      </c>
      <c r="C121" s="50" t="s">
        <v>130</v>
      </c>
      <c r="D121" s="50" t="s">
        <v>12</v>
      </c>
      <c r="E121" s="50" t="s">
        <v>8</v>
      </c>
      <c r="F121" s="44" t="s">
        <v>405</v>
      </c>
      <c r="G121" s="56">
        <v>10.833277081</v>
      </c>
      <c r="H121" s="56">
        <f t="shared" si="25"/>
        <v>0.23399878494960002</v>
      </c>
      <c r="I121" s="56">
        <f t="shared" si="26"/>
        <v>11.0672758659496</v>
      </c>
      <c r="J121" s="58">
        <f t="shared" si="27"/>
        <v>1.005476201236734</v>
      </c>
      <c r="K121" s="58">
        <f t="shared" si="28"/>
        <v>0.56755260851023592</v>
      </c>
      <c r="L121" s="58">
        <f t="shared" si="29"/>
        <v>0.50402218839512147</v>
      </c>
      <c r="M121" s="58">
        <f t="shared" si="30"/>
        <v>0.14188815212755898</v>
      </c>
      <c r="N121" s="56">
        <f t="shared" si="31"/>
        <v>13.286215016219248</v>
      </c>
      <c r="O121" s="56">
        <v>26.21</v>
      </c>
      <c r="P121" s="46">
        <f t="shared" si="32"/>
        <v>0.45864879005128206</v>
      </c>
      <c r="Q121" s="45">
        <f t="shared" si="33"/>
        <v>14.188815212755898</v>
      </c>
      <c r="R121" s="45">
        <f t="shared" si="34"/>
        <v>15.508375027542197</v>
      </c>
      <c r="S121" s="46">
        <f t="shared" si="35"/>
        <v>6.361350000000017E-2</v>
      </c>
      <c r="T121" s="46">
        <v>0.22</v>
      </c>
      <c r="U121" s="46">
        <f t="shared" si="36"/>
        <v>0.30974358974358984</v>
      </c>
      <c r="V121" s="51">
        <f t="shared" si="40"/>
        <v>26.21</v>
      </c>
      <c r="W121" s="46">
        <f t="shared" si="24"/>
        <v>0.13980000000000001</v>
      </c>
      <c r="X121" s="52">
        <f t="shared" si="41"/>
        <v>0.51949999999999996</v>
      </c>
      <c r="Y121" s="45">
        <f t="shared" si="42"/>
        <v>10.833277081</v>
      </c>
      <c r="Z121" s="53">
        <v>0</v>
      </c>
      <c r="AA121" s="54" t="s">
        <v>403</v>
      </c>
    </row>
    <row r="122" spans="1:27" s="60" customFormat="1" x14ac:dyDescent="0.25">
      <c r="A122" s="59">
        <v>7895296449823</v>
      </c>
      <c r="B122" s="59">
        <v>22462</v>
      </c>
      <c r="C122" s="60" t="s">
        <v>131</v>
      </c>
      <c r="D122" s="60" t="s">
        <v>7</v>
      </c>
      <c r="E122" s="60" t="s">
        <v>8</v>
      </c>
      <c r="F122" s="60" t="s">
        <v>405</v>
      </c>
      <c r="G122" s="61">
        <v>12.08</v>
      </c>
      <c r="H122" s="61">
        <f t="shared" si="25"/>
        <v>0.26092800000000005</v>
      </c>
      <c r="I122" s="61">
        <f t="shared" si="26"/>
        <v>12.340928</v>
      </c>
      <c r="J122" s="62">
        <f t="shared" si="27"/>
        <v>1.1211891305025641</v>
      </c>
      <c r="K122" s="62">
        <f t="shared" si="28"/>
        <v>0.63286810256410253</v>
      </c>
      <c r="L122" s="62">
        <f t="shared" si="29"/>
        <v>0.56202642933333335</v>
      </c>
      <c r="M122" s="62">
        <f t="shared" si="30"/>
        <v>0.15821702564102563</v>
      </c>
      <c r="N122" s="61">
        <f t="shared" si="31"/>
        <v>14.815228688041026</v>
      </c>
      <c r="O122" s="61">
        <v>31.49</v>
      </c>
      <c r="P122" s="63">
        <f t="shared" si="32"/>
        <v>0.49756422470299888</v>
      </c>
      <c r="Q122" s="64">
        <f t="shared" si="33"/>
        <v>15.821702564102564</v>
      </c>
      <c r="R122" s="64">
        <f t="shared" si="34"/>
        <v>17.293120902564102</v>
      </c>
      <c r="S122" s="63">
        <f t="shared" si="35"/>
        <v>6.3613499999999948E-2</v>
      </c>
      <c r="T122" s="46">
        <v>0.22</v>
      </c>
      <c r="U122" s="63">
        <f t="shared" si="36"/>
        <v>0.30974358974358962</v>
      </c>
      <c r="V122" s="64">
        <v>31.49</v>
      </c>
      <c r="W122" s="63">
        <v>0.13980000000000001</v>
      </c>
      <c r="X122" s="63" t="str">
        <f t="shared" si="41"/>
        <v/>
      </c>
      <c r="Y122" s="64" t="str">
        <f t="shared" si="42"/>
        <v/>
      </c>
      <c r="Z122" s="65">
        <v>7</v>
      </c>
      <c r="AA122" s="66">
        <v>46624</v>
      </c>
    </row>
    <row r="123" spans="1:27" s="60" customFormat="1" x14ac:dyDescent="0.25">
      <c r="A123" s="67">
        <v>7895296449830</v>
      </c>
      <c r="B123" s="67">
        <v>22989</v>
      </c>
      <c r="C123" s="68" t="s">
        <v>132</v>
      </c>
      <c r="D123" s="68" t="s">
        <v>12</v>
      </c>
      <c r="E123" s="68" t="s">
        <v>8</v>
      </c>
      <c r="F123" s="68" t="s">
        <v>405</v>
      </c>
      <c r="G123" s="69">
        <v>24.38</v>
      </c>
      <c r="H123" s="69">
        <f t="shared" si="25"/>
        <v>0.52660799999999997</v>
      </c>
      <c r="I123" s="69">
        <f t="shared" si="26"/>
        <v>24.906607999999999</v>
      </c>
      <c r="J123" s="70">
        <f t="shared" si="27"/>
        <v>1.9837943905945825</v>
      </c>
      <c r="K123" s="70">
        <f t="shared" si="28"/>
        <v>1.1197755647971226</v>
      </c>
      <c r="L123" s="70">
        <f t="shared" si="29"/>
        <v>0.99443068751264463</v>
      </c>
      <c r="M123" s="70">
        <f t="shared" si="30"/>
        <v>0.27994389119928065</v>
      </c>
      <c r="N123" s="69">
        <f t="shared" si="31"/>
        <v>29.284552534103629</v>
      </c>
      <c r="O123" s="69">
        <v>64.83</v>
      </c>
      <c r="P123" s="71">
        <f t="shared" si="32"/>
        <v>0.56818773530883759</v>
      </c>
      <c r="Q123" s="72">
        <f t="shared" si="33"/>
        <v>27.994389119928062</v>
      </c>
      <c r="R123" s="72">
        <f t="shared" si="34"/>
        <v>30.597867308081373</v>
      </c>
      <c r="S123" s="71">
        <f t="shared" si="35"/>
        <v>-4.6086500000000065E-2</v>
      </c>
      <c r="T123" s="71">
        <v>0.1103</v>
      </c>
      <c r="U123" s="71">
        <f t="shared" si="36"/>
        <v>0.14825221984938741</v>
      </c>
      <c r="V123" s="72">
        <v>64.83</v>
      </c>
      <c r="W123" s="71">
        <v>0.13980000000000001</v>
      </c>
      <c r="X123" s="71" t="str">
        <f t="shared" si="41"/>
        <v/>
      </c>
      <c r="Y123" s="72" t="str">
        <f t="shared" si="42"/>
        <v/>
      </c>
      <c r="Z123" s="73">
        <v>65</v>
      </c>
      <c r="AA123" s="74">
        <v>46442</v>
      </c>
    </row>
    <row r="124" spans="1:27" x14ac:dyDescent="0.25">
      <c r="A124" s="67">
        <v>7895296211215</v>
      </c>
      <c r="B124" s="67">
        <v>10463</v>
      </c>
      <c r="C124" s="68" t="s">
        <v>133</v>
      </c>
      <c r="D124" s="68" t="s">
        <v>7</v>
      </c>
      <c r="E124" s="68" t="s">
        <v>8</v>
      </c>
      <c r="F124" s="68" t="s">
        <v>405</v>
      </c>
      <c r="G124" s="69">
        <v>1.2544640679999992</v>
      </c>
      <c r="H124" s="69">
        <f t="shared" si="25"/>
        <v>2.7096423868799985E-2</v>
      </c>
      <c r="I124" s="69">
        <f t="shared" si="26"/>
        <v>1.2815604918687993</v>
      </c>
      <c r="J124" s="70">
        <f t="shared" si="27"/>
        <v>0.10560058452998906</v>
      </c>
      <c r="K124" s="70">
        <f t="shared" si="28"/>
        <v>5.960746473808369E-2</v>
      </c>
      <c r="L124" s="70">
        <f t="shared" si="29"/>
        <v>5.2935154153964444E-2</v>
      </c>
      <c r="M124" s="70">
        <f t="shared" si="30"/>
        <v>1.4901866184520923E-2</v>
      </c>
      <c r="N124" s="69">
        <f t="shared" si="31"/>
        <v>1.5146055614753573</v>
      </c>
      <c r="O124" s="69">
        <v>18.46</v>
      </c>
      <c r="P124" s="71">
        <f t="shared" si="32"/>
        <v>0.91927483106976748</v>
      </c>
      <c r="Q124" s="72">
        <f t="shared" si="33"/>
        <v>1.4901866184520922</v>
      </c>
      <c r="R124" s="72">
        <f t="shared" si="34"/>
        <v>1.6287739739681368</v>
      </c>
      <c r="S124" s="71">
        <f t="shared" si="35"/>
        <v>-1.6386499999999915E-2</v>
      </c>
      <c r="T124" s="71">
        <v>0.14000000000000001</v>
      </c>
      <c r="U124" s="71">
        <f t="shared" si="36"/>
        <v>0.1879069767441861</v>
      </c>
      <c r="V124" s="72">
        <f t="shared" si="40"/>
        <v>18.46</v>
      </c>
      <c r="W124" s="71">
        <f t="shared" si="24"/>
        <v>0.13980000000000001</v>
      </c>
      <c r="X124" s="71">
        <f t="shared" si="41"/>
        <v>0.92100000000000004</v>
      </c>
      <c r="Y124" s="72">
        <f t="shared" si="42"/>
        <v>1.2544640679999992</v>
      </c>
      <c r="Z124" s="73">
        <v>3739</v>
      </c>
      <c r="AA124" s="74">
        <v>46763</v>
      </c>
    </row>
    <row r="125" spans="1:27" x14ac:dyDescent="0.25">
      <c r="A125" s="67">
        <v>7895296284042</v>
      </c>
      <c r="B125" s="67">
        <v>10465</v>
      </c>
      <c r="C125" s="68" t="s">
        <v>134</v>
      </c>
      <c r="D125" s="68" t="s">
        <v>7</v>
      </c>
      <c r="E125" s="68" t="s">
        <v>8</v>
      </c>
      <c r="F125" s="68" t="s">
        <v>405</v>
      </c>
      <c r="G125" s="69">
        <v>7.3993655626000008</v>
      </c>
      <c r="H125" s="69">
        <f t="shared" si="25"/>
        <v>0.15982629615216001</v>
      </c>
      <c r="I125" s="69">
        <f t="shared" si="26"/>
        <v>7.5591918587521612</v>
      </c>
      <c r="J125" s="70">
        <f t="shared" si="27"/>
        <v>0.63732846148555988</v>
      </c>
      <c r="K125" s="70">
        <f t="shared" si="28"/>
        <v>0.35974738173716408</v>
      </c>
      <c r="L125" s="70">
        <f t="shared" si="29"/>
        <v>0.31947815919396033</v>
      </c>
      <c r="M125" s="70">
        <f t="shared" si="30"/>
        <v>8.9936845434291021E-2</v>
      </c>
      <c r="N125" s="69">
        <f t="shared" si="31"/>
        <v>8.9656827066031344</v>
      </c>
      <c r="O125" s="69">
        <v>29.57</v>
      </c>
      <c r="P125" s="71">
        <f t="shared" si="32"/>
        <v>0.69585104689113619</v>
      </c>
      <c r="Q125" s="72">
        <f t="shared" si="33"/>
        <v>8.9936845434291026</v>
      </c>
      <c r="R125" s="72">
        <f t="shared" si="34"/>
        <v>9.8300972059680092</v>
      </c>
      <c r="S125" s="71">
        <f t="shared" si="35"/>
        <v>3.1135000000001925E-3</v>
      </c>
      <c r="T125" s="71">
        <v>0.1595</v>
      </c>
      <c r="U125" s="71">
        <f t="shared" si="36"/>
        <v>0.21546698393813202</v>
      </c>
      <c r="V125" s="72">
        <f t="shared" si="40"/>
        <v>29.57</v>
      </c>
      <c r="W125" s="71">
        <f t="shared" si="24"/>
        <v>0.13980000000000001</v>
      </c>
      <c r="X125" s="71">
        <f t="shared" si="41"/>
        <v>0.70909999999999995</v>
      </c>
      <c r="Y125" s="72">
        <f t="shared" si="42"/>
        <v>7.3993655626000008</v>
      </c>
      <c r="Z125" s="73">
        <v>5222</v>
      </c>
      <c r="AA125" s="74">
        <v>46593</v>
      </c>
    </row>
    <row r="126" spans="1:27" x14ac:dyDescent="0.25">
      <c r="A126" s="49">
        <v>7895296445597</v>
      </c>
      <c r="B126" s="49">
        <v>14722</v>
      </c>
      <c r="C126" s="50" t="s">
        <v>135</v>
      </c>
      <c r="D126" s="50" t="s">
        <v>7</v>
      </c>
      <c r="E126" s="50" t="s">
        <v>8</v>
      </c>
      <c r="F126" s="44" t="s">
        <v>405</v>
      </c>
      <c r="G126" s="56">
        <v>26.573167649599995</v>
      </c>
      <c r="H126" s="56">
        <f t="shared" si="25"/>
        <v>0.57398042123135995</v>
      </c>
      <c r="I126" s="56">
        <f t="shared" si="26"/>
        <v>27.147148070831356</v>
      </c>
      <c r="J126" s="58">
        <f t="shared" si="27"/>
        <v>2.466353206271017</v>
      </c>
      <c r="K126" s="58">
        <f t="shared" si="28"/>
        <v>1.392161439529813</v>
      </c>
      <c r="L126" s="58">
        <f t="shared" si="29"/>
        <v>1.2363263683924444</v>
      </c>
      <c r="M126" s="58">
        <f t="shared" si="30"/>
        <v>0.34804035988245324</v>
      </c>
      <c r="N126" s="56">
        <f t="shared" si="31"/>
        <v>32.590029444907081</v>
      </c>
      <c r="O126" s="56">
        <v>246.74</v>
      </c>
      <c r="P126" s="46">
        <f t="shared" si="32"/>
        <v>0.85894449222564107</v>
      </c>
      <c r="Q126" s="45">
        <f t="shared" si="33"/>
        <v>34.804035988245325</v>
      </c>
      <c r="R126" s="45">
        <f t="shared" si="34"/>
        <v>38.040811335152135</v>
      </c>
      <c r="S126" s="46">
        <f t="shared" si="35"/>
        <v>6.3613499999999976E-2</v>
      </c>
      <c r="T126" s="46">
        <v>0.22</v>
      </c>
      <c r="U126" s="46">
        <f t="shared" si="36"/>
        <v>0.30974358974358962</v>
      </c>
      <c r="V126" s="51">
        <f t="shared" si="40"/>
        <v>246.74</v>
      </c>
      <c r="W126" s="46">
        <f t="shared" si="24"/>
        <v>0.13980000000000001</v>
      </c>
      <c r="X126" s="52">
        <f t="shared" si="41"/>
        <v>0.87480000000000002</v>
      </c>
      <c r="Y126" s="45">
        <f t="shared" si="42"/>
        <v>26.573167649599995</v>
      </c>
      <c r="Z126" s="53">
        <v>0</v>
      </c>
      <c r="AA126" s="54" t="s">
        <v>403</v>
      </c>
    </row>
    <row r="127" spans="1:27" x14ac:dyDescent="0.25">
      <c r="A127" s="49">
        <v>7895296445474</v>
      </c>
      <c r="B127" s="49">
        <v>3805</v>
      </c>
      <c r="C127" s="50" t="s">
        <v>136</v>
      </c>
      <c r="D127" s="50" t="s">
        <v>7</v>
      </c>
      <c r="E127" s="50" t="s">
        <v>8</v>
      </c>
      <c r="F127" s="44" t="s">
        <v>405</v>
      </c>
      <c r="G127" s="56">
        <v>8.851359937199998</v>
      </c>
      <c r="H127" s="56">
        <f t="shared" si="25"/>
        <v>0.19118937464351998</v>
      </c>
      <c r="I127" s="56">
        <f t="shared" si="26"/>
        <v>9.0425493118435174</v>
      </c>
      <c r="J127" s="58">
        <f t="shared" si="27"/>
        <v>0.82152719799292173</v>
      </c>
      <c r="K127" s="58">
        <f t="shared" si="28"/>
        <v>0.46372047753043671</v>
      </c>
      <c r="L127" s="58">
        <f t="shared" si="29"/>
        <v>0.41181276657687343</v>
      </c>
      <c r="M127" s="58">
        <f t="shared" si="30"/>
        <v>0.11593011938260918</v>
      </c>
      <c r="N127" s="56">
        <f t="shared" si="31"/>
        <v>10.855539873326359</v>
      </c>
      <c r="O127" s="56">
        <v>74.89</v>
      </c>
      <c r="P127" s="46">
        <f t="shared" si="32"/>
        <v>0.84519946670769242</v>
      </c>
      <c r="Q127" s="45">
        <f t="shared" si="33"/>
        <v>11.593011938260918</v>
      </c>
      <c r="R127" s="45">
        <f t="shared" si="34"/>
        <v>12.671162048519182</v>
      </c>
      <c r="S127" s="46">
        <f t="shared" si="35"/>
        <v>6.3613499999999865E-2</v>
      </c>
      <c r="T127" s="46">
        <v>0.22</v>
      </c>
      <c r="U127" s="46">
        <f t="shared" si="36"/>
        <v>0.30974358974358962</v>
      </c>
      <c r="V127" s="51">
        <f t="shared" si="40"/>
        <v>74.89</v>
      </c>
      <c r="W127" s="46">
        <f t="shared" si="24"/>
        <v>0.13980000000000001</v>
      </c>
      <c r="X127" s="52">
        <f t="shared" si="41"/>
        <v>0.86260000000000003</v>
      </c>
      <c r="Y127" s="45">
        <f t="shared" si="42"/>
        <v>8.851359937199998</v>
      </c>
      <c r="Z127" s="53">
        <v>0</v>
      </c>
      <c r="AA127" s="54" t="s">
        <v>403</v>
      </c>
    </row>
    <row r="128" spans="1:27" x14ac:dyDescent="0.25">
      <c r="A128" s="49">
        <v>7895296445528</v>
      </c>
      <c r="B128" s="49">
        <v>16417</v>
      </c>
      <c r="C128" s="50" t="s">
        <v>137</v>
      </c>
      <c r="D128" s="50" t="s">
        <v>7</v>
      </c>
      <c r="E128" s="50" t="s">
        <v>8</v>
      </c>
      <c r="F128" s="44" t="s">
        <v>405</v>
      </c>
      <c r="G128" s="56">
        <v>16.519891541999996</v>
      </c>
      <c r="H128" s="56">
        <f t="shared" si="25"/>
        <v>0.3568296573071999</v>
      </c>
      <c r="I128" s="56">
        <f t="shared" si="26"/>
        <v>16.876721199307195</v>
      </c>
      <c r="J128" s="58">
        <f t="shared" si="27"/>
        <v>1.5332717577791091</v>
      </c>
      <c r="K128" s="58">
        <f t="shared" si="28"/>
        <v>0.86547288201575356</v>
      </c>
      <c r="L128" s="58">
        <f t="shared" si="29"/>
        <v>0.76859401128511518</v>
      </c>
      <c r="M128" s="58">
        <f t="shared" si="30"/>
        <v>0.21636822050393839</v>
      </c>
      <c r="N128" s="56">
        <f t="shared" si="31"/>
        <v>20.260428070891109</v>
      </c>
      <c r="O128" s="56">
        <v>125.85</v>
      </c>
      <c r="P128" s="46">
        <f t="shared" si="32"/>
        <v>0.82807451688205125</v>
      </c>
      <c r="Q128" s="45">
        <f t="shared" si="33"/>
        <v>21.636822050393839</v>
      </c>
      <c r="R128" s="45">
        <f t="shared" si="34"/>
        <v>23.649046501080466</v>
      </c>
      <c r="S128" s="46">
        <f t="shared" si="35"/>
        <v>6.3613500000000059E-2</v>
      </c>
      <c r="T128" s="46">
        <v>0.22</v>
      </c>
      <c r="U128" s="46">
        <f t="shared" si="36"/>
        <v>0.30974358974358962</v>
      </c>
      <c r="V128" s="51">
        <f t="shared" si="40"/>
        <v>125.85</v>
      </c>
      <c r="W128" s="46">
        <f t="shared" si="24"/>
        <v>0.13980000000000001</v>
      </c>
      <c r="X128" s="52">
        <f t="shared" si="41"/>
        <v>0.84740000000000004</v>
      </c>
      <c r="Y128" s="45">
        <f t="shared" si="42"/>
        <v>16.519891541999996</v>
      </c>
      <c r="Z128" s="53">
        <v>0</v>
      </c>
      <c r="AA128" s="54" t="s">
        <v>403</v>
      </c>
    </row>
    <row r="129" spans="1:27" x14ac:dyDescent="0.25">
      <c r="A129" s="49">
        <v>7895296449694</v>
      </c>
      <c r="B129" s="49">
        <v>22136</v>
      </c>
      <c r="C129" s="50" t="s">
        <v>138</v>
      </c>
      <c r="D129" s="50" t="s">
        <v>7</v>
      </c>
      <c r="E129" s="50" t="s">
        <v>8</v>
      </c>
      <c r="F129" s="44" t="s">
        <v>405</v>
      </c>
      <c r="G129" s="56">
        <v>3.6669052904000008</v>
      </c>
      <c r="H129" s="56">
        <f t="shared" si="25"/>
        <v>7.9205154272640022E-2</v>
      </c>
      <c r="I129" s="56">
        <f t="shared" si="26"/>
        <v>3.7461104446726408</v>
      </c>
      <c r="J129" s="58">
        <f t="shared" si="27"/>
        <v>0.34033893660420766</v>
      </c>
      <c r="K129" s="58">
        <f t="shared" si="28"/>
        <v>0.19210822793193028</v>
      </c>
      <c r="L129" s="58">
        <f t="shared" si="29"/>
        <v>0.17060411316779983</v>
      </c>
      <c r="M129" s="58">
        <f t="shared" si="30"/>
        <v>4.8027056982982569E-2</v>
      </c>
      <c r="N129" s="56">
        <f t="shared" si="31"/>
        <v>4.4971887793595604</v>
      </c>
      <c r="O129" s="56">
        <v>27.88</v>
      </c>
      <c r="P129" s="46">
        <f t="shared" si="32"/>
        <v>0.82773652445128199</v>
      </c>
      <c r="Q129" s="45">
        <f t="shared" si="33"/>
        <v>4.802705698298257</v>
      </c>
      <c r="R129" s="45">
        <f t="shared" si="34"/>
        <v>5.249357328239995</v>
      </c>
      <c r="S129" s="46">
        <f t="shared" si="35"/>
        <v>6.3613500000000087E-2</v>
      </c>
      <c r="T129" s="46">
        <v>0.22</v>
      </c>
      <c r="U129" s="46">
        <f t="shared" si="36"/>
        <v>0.30974358974358962</v>
      </c>
      <c r="V129" s="51">
        <f t="shared" si="40"/>
        <v>27.88</v>
      </c>
      <c r="W129" s="46">
        <f t="shared" si="24"/>
        <v>0.13980000000000001</v>
      </c>
      <c r="X129" s="52">
        <f t="shared" si="41"/>
        <v>0.84709999999999996</v>
      </c>
      <c r="Y129" s="45">
        <f t="shared" si="42"/>
        <v>3.6669052904000008</v>
      </c>
      <c r="Z129" s="53">
        <v>0</v>
      </c>
      <c r="AA129" s="54" t="s">
        <v>403</v>
      </c>
    </row>
    <row r="130" spans="1:27" x14ac:dyDescent="0.25">
      <c r="A130" s="43">
        <v>7895296448802</v>
      </c>
      <c r="B130" s="43">
        <v>14447</v>
      </c>
      <c r="C130" s="44" t="s">
        <v>139</v>
      </c>
      <c r="D130" s="44" t="s">
        <v>7</v>
      </c>
      <c r="E130" s="44" t="s">
        <v>8</v>
      </c>
      <c r="F130" s="44" t="s">
        <v>405</v>
      </c>
      <c r="G130" s="56">
        <v>16.8679895362</v>
      </c>
      <c r="H130" s="56">
        <f t="shared" si="25"/>
        <v>0.36434857398192005</v>
      </c>
      <c r="I130" s="56">
        <f t="shared" si="26"/>
        <v>17.232338110181921</v>
      </c>
      <c r="J130" s="58">
        <f t="shared" si="27"/>
        <v>1.5655800100511945</v>
      </c>
      <c r="K130" s="58">
        <f t="shared" si="28"/>
        <v>0.88370964667599594</v>
      </c>
      <c r="L130" s="58">
        <f t="shared" si="29"/>
        <v>0.78478939810120163</v>
      </c>
      <c r="M130" s="58">
        <f t="shared" si="30"/>
        <v>0.22092741166899899</v>
      </c>
      <c r="N130" s="56">
        <f t="shared" si="31"/>
        <v>20.687344576679312</v>
      </c>
      <c r="O130" s="56">
        <v>95.33</v>
      </c>
      <c r="P130" s="46">
        <f t="shared" si="32"/>
        <v>0.7682498566358974</v>
      </c>
      <c r="Q130" s="45">
        <f t="shared" si="33"/>
        <v>22.092741166899899</v>
      </c>
      <c r="R130" s="45">
        <f t="shared" si="34"/>
        <v>24.147366095421589</v>
      </c>
      <c r="S130" s="46">
        <f t="shared" si="35"/>
        <v>6.3613500000000003E-2</v>
      </c>
      <c r="T130" s="46">
        <v>0.22</v>
      </c>
      <c r="U130" s="46">
        <f t="shared" si="36"/>
        <v>0.30974358974358984</v>
      </c>
      <c r="V130" s="45">
        <f t="shared" si="40"/>
        <v>95.33</v>
      </c>
      <c r="W130" s="46">
        <f t="shared" ref="W130:W188" si="43">IFERROR(VLOOKUP(A130,MATRIZ1,6,0),"")</f>
        <v>0.13980000000000001</v>
      </c>
      <c r="X130" s="46">
        <f t="shared" si="41"/>
        <v>0.79430000000000001</v>
      </c>
      <c r="Y130" s="45">
        <f t="shared" si="42"/>
        <v>16.8679895362</v>
      </c>
      <c r="Z130" s="47">
        <v>19</v>
      </c>
      <c r="AA130" s="48">
        <v>46608</v>
      </c>
    </row>
    <row r="131" spans="1:27" x14ac:dyDescent="0.25">
      <c r="A131" s="49">
        <v>7895296449700</v>
      </c>
      <c r="B131" s="49">
        <v>21783</v>
      </c>
      <c r="C131" s="50" t="s">
        <v>140</v>
      </c>
      <c r="D131" s="50" t="s">
        <v>12</v>
      </c>
      <c r="E131" s="50" t="s">
        <v>8</v>
      </c>
      <c r="F131" s="44" t="s">
        <v>405</v>
      </c>
      <c r="G131" s="56">
        <v>4.1780326896000011</v>
      </c>
      <c r="H131" s="56">
        <f t="shared" ref="H131:H188" si="44">G131/100*2.16</f>
        <v>9.0245506095360029E-2</v>
      </c>
      <c r="I131" s="56">
        <f t="shared" ref="I131:I188" si="45">G131+H131</f>
        <v>4.2682781956953608</v>
      </c>
      <c r="J131" s="58">
        <f t="shared" ref="J131:J188" si="46">Q131/100*7.0864</f>
        <v>0.38777854623045643</v>
      </c>
      <c r="K131" s="58">
        <f t="shared" ref="K131:K188" si="47">Q131/100*4</f>
        <v>0.21888606131771079</v>
      </c>
      <c r="L131" s="58">
        <f t="shared" ref="L131:L188" si="48">R131/100*3.25</f>
        <v>0.19438450282895953</v>
      </c>
      <c r="M131" s="58">
        <f t="shared" ref="M131:M188" si="49">Q131/100*1</f>
        <v>5.4721515329427699E-2</v>
      </c>
      <c r="N131" s="56">
        <f t="shared" ref="N131:N188" si="50">I131+J131+K131+L131+M131</f>
        <v>5.1240488214019146</v>
      </c>
      <c r="O131" s="56">
        <v>50.28</v>
      </c>
      <c r="P131" s="46">
        <f t="shared" ref="P131:P188" si="51">(O131-Q131)/O131</f>
        <v>0.89116643729230771</v>
      </c>
      <c r="Q131" s="45">
        <f t="shared" ref="Q131:Q188" si="52">I131/(1-T131)</f>
        <v>5.4721515329427701</v>
      </c>
      <c r="R131" s="45">
        <f t="shared" ref="R131:R188" si="53">Q131/100*109.3</f>
        <v>5.981061625506447</v>
      </c>
      <c r="S131" s="46">
        <f t="shared" ref="S131:S188" si="54">(Q131-N131)/Q131</f>
        <v>6.3613500000000101E-2</v>
      </c>
      <c r="T131" s="46">
        <v>0.22</v>
      </c>
      <c r="U131" s="46">
        <f t="shared" ref="U131:U188" si="55">((Q131/G131)-1*100%)</f>
        <v>0.30974358974358962</v>
      </c>
      <c r="V131" s="51">
        <f t="shared" si="40"/>
        <v>50.28</v>
      </c>
      <c r="W131" s="46">
        <f t="shared" si="43"/>
        <v>0.13980000000000001</v>
      </c>
      <c r="X131" s="52">
        <f t="shared" si="41"/>
        <v>0.90339999999999998</v>
      </c>
      <c r="Y131" s="45">
        <f t="shared" si="42"/>
        <v>4.1780326896000011</v>
      </c>
      <c r="Z131" s="53">
        <v>0</v>
      </c>
      <c r="AA131" s="54" t="s">
        <v>403</v>
      </c>
    </row>
    <row r="132" spans="1:27" x14ac:dyDescent="0.25">
      <c r="A132" s="43">
        <v>7896472521791</v>
      </c>
      <c r="B132" s="43">
        <v>23894</v>
      </c>
      <c r="C132" s="44" t="s">
        <v>141</v>
      </c>
      <c r="D132" s="44" t="s">
        <v>12</v>
      </c>
      <c r="E132" s="44" t="s">
        <v>8</v>
      </c>
      <c r="F132" s="44" t="s">
        <v>405</v>
      </c>
      <c r="G132" s="56">
        <v>5.5685425488000009</v>
      </c>
      <c r="H132" s="56">
        <f t="shared" si="44"/>
        <v>0.12028051905408003</v>
      </c>
      <c r="I132" s="56">
        <f t="shared" si="45"/>
        <v>5.6888230678540808</v>
      </c>
      <c r="J132" s="58">
        <f t="shared" si="46"/>
        <v>0.51683686907745074</v>
      </c>
      <c r="K132" s="58">
        <f t="shared" si="47"/>
        <v>0.29173451630020925</v>
      </c>
      <c r="L132" s="58">
        <f t="shared" si="48"/>
        <v>0.25907848388185456</v>
      </c>
      <c r="M132" s="58">
        <f t="shared" si="49"/>
        <v>7.2933629075052311E-2</v>
      </c>
      <c r="N132" s="56">
        <f t="shared" si="50"/>
        <v>6.8294065661886476</v>
      </c>
      <c r="O132" s="56">
        <v>23.73</v>
      </c>
      <c r="P132" s="46">
        <f t="shared" si="51"/>
        <v>0.69265221628717955</v>
      </c>
      <c r="Q132" s="45">
        <f t="shared" si="52"/>
        <v>7.2933629075052311</v>
      </c>
      <c r="R132" s="45">
        <f t="shared" si="53"/>
        <v>7.9716456579032178</v>
      </c>
      <c r="S132" s="46">
        <f t="shared" si="54"/>
        <v>6.361349999999992E-2</v>
      </c>
      <c r="T132" s="46">
        <v>0.22</v>
      </c>
      <c r="U132" s="46">
        <f t="shared" si="55"/>
        <v>0.30974358974358962</v>
      </c>
      <c r="V132" s="45">
        <f t="shared" si="40"/>
        <v>23.73</v>
      </c>
      <c r="W132" s="46">
        <f t="shared" si="43"/>
        <v>0.13980000000000001</v>
      </c>
      <c r="X132" s="46">
        <f t="shared" si="41"/>
        <v>0.72719999999999996</v>
      </c>
      <c r="Y132" s="45">
        <f t="shared" si="42"/>
        <v>5.5685425488000009</v>
      </c>
      <c r="Z132" s="47">
        <v>73</v>
      </c>
      <c r="AA132" s="48">
        <v>46706</v>
      </c>
    </row>
    <row r="133" spans="1:27" x14ac:dyDescent="0.25">
      <c r="A133" s="43">
        <v>7896472521807</v>
      </c>
      <c r="B133" s="43">
        <v>23896</v>
      </c>
      <c r="C133" s="44" t="s">
        <v>142</v>
      </c>
      <c r="D133" s="44" t="s">
        <v>12</v>
      </c>
      <c r="E133" s="44" t="s">
        <v>8</v>
      </c>
      <c r="F133" s="44" t="s">
        <v>405</v>
      </c>
      <c r="G133" s="56">
        <v>8.9472498720000004</v>
      </c>
      <c r="H133" s="56">
        <f t="shared" si="44"/>
        <v>0.1932605972352</v>
      </c>
      <c r="I133" s="56">
        <f t="shared" si="45"/>
        <v>9.1405104692352008</v>
      </c>
      <c r="J133" s="58">
        <f t="shared" si="46"/>
        <v>0.83042709473318366</v>
      </c>
      <c r="K133" s="58">
        <f t="shared" si="47"/>
        <v>0.46874412662744619</v>
      </c>
      <c r="L133" s="58">
        <f t="shared" si="48"/>
        <v>0.41627408095308643</v>
      </c>
      <c r="M133" s="58">
        <f t="shared" si="49"/>
        <v>0.11718603165686155</v>
      </c>
      <c r="N133" s="56">
        <f t="shared" si="50"/>
        <v>10.973141803205777</v>
      </c>
      <c r="O133" s="56">
        <v>45.6</v>
      </c>
      <c r="P133" s="46">
        <f t="shared" si="51"/>
        <v>0.74301308847179481</v>
      </c>
      <c r="Q133" s="45">
        <f t="shared" si="52"/>
        <v>11.718603165686154</v>
      </c>
      <c r="R133" s="45">
        <f t="shared" si="53"/>
        <v>12.808433260094967</v>
      </c>
      <c r="S133" s="46">
        <f t="shared" si="54"/>
        <v>6.3613500000000073E-2</v>
      </c>
      <c r="T133" s="46">
        <v>0.22</v>
      </c>
      <c r="U133" s="46">
        <f t="shared" si="55"/>
        <v>0.30974358974358984</v>
      </c>
      <c r="V133" s="45">
        <f t="shared" si="40"/>
        <v>45.6</v>
      </c>
      <c r="W133" s="46">
        <f t="shared" si="43"/>
        <v>0.13980000000000001</v>
      </c>
      <c r="X133" s="46">
        <f t="shared" si="41"/>
        <v>0.77190000000000003</v>
      </c>
      <c r="Y133" s="45">
        <f t="shared" si="42"/>
        <v>8.9472498720000004</v>
      </c>
      <c r="Z133" s="47">
        <v>1</v>
      </c>
      <c r="AA133" s="48">
        <v>46741</v>
      </c>
    </row>
    <row r="134" spans="1:27" x14ac:dyDescent="0.25">
      <c r="A134" s="43">
        <v>7895296199025</v>
      </c>
      <c r="B134" s="43">
        <v>10436</v>
      </c>
      <c r="C134" s="44" t="s">
        <v>143</v>
      </c>
      <c r="D134" s="44" t="s">
        <v>7</v>
      </c>
      <c r="E134" s="44" t="s">
        <v>8</v>
      </c>
      <c r="F134" s="44" t="s">
        <v>405</v>
      </c>
      <c r="G134" s="56">
        <v>4.1095039964</v>
      </c>
      <c r="H134" s="56">
        <f t="shared" si="44"/>
        <v>8.8765286322239997E-2</v>
      </c>
      <c r="I134" s="56">
        <f t="shared" si="45"/>
        <v>4.1982692827222401</v>
      </c>
      <c r="J134" s="58">
        <f t="shared" si="46"/>
        <v>0.38141814673183183</v>
      </c>
      <c r="K134" s="58">
        <f t="shared" si="47"/>
        <v>0.21529586065242257</v>
      </c>
      <c r="L134" s="58">
        <f t="shared" si="48"/>
        <v>0.191196180250642</v>
      </c>
      <c r="M134" s="58">
        <f t="shared" si="49"/>
        <v>5.3823965163105641E-2</v>
      </c>
      <c r="N134" s="56">
        <f t="shared" si="50"/>
        <v>5.0400034355202417</v>
      </c>
      <c r="O134" s="56">
        <v>26.93</v>
      </c>
      <c r="P134" s="46">
        <f t="shared" si="51"/>
        <v>0.80013380927179489</v>
      </c>
      <c r="Q134" s="45">
        <f t="shared" si="52"/>
        <v>5.382396516310564</v>
      </c>
      <c r="R134" s="45">
        <f t="shared" si="53"/>
        <v>5.8829593923274466</v>
      </c>
      <c r="S134" s="46">
        <f t="shared" si="54"/>
        <v>6.3613500000000059E-2</v>
      </c>
      <c r="T134" s="46">
        <v>0.22</v>
      </c>
      <c r="U134" s="46">
        <f t="shared" si="55"/>
        <v>0.30974358974358984</v>
      </c>
      <c r="V134" s="45">
        <f t="shared" si="40"/>
        <v>26.93</v>
      </c>
      <c r="W134" s="46">
        <f t="shared" si="43"/>
        <v>0.13980000000000001</v>
      </c>
      <c r="X134" s="46">
        <f t="shared" si="41"/>
        <v>0.8226</v>
      </c>
      <c r="Y134" s="45">
        <f t="shared" si="42"/>
        <v>4.1095039964</v>
      </c>
      <c r="Z134" s="47">
        <v>317</v>
      </c>
      <c r="AA134" s="48">
        <v>46815</v>
      </c>
    </row>
    <row r="135" spans="1:27" x14ac:dyDescent="0.25">
      <c r="A135" s="43">
        <v>7895296199049</v>
      </c>
      <c r="B135" s="43">
        <v>10504</v>
      </c>
      <c r="C135" s="44" t="s">
        <v>144</v>
      </c>
      <c r="D135" s="44" t="s">
        <v>7</v>
      </c>
      <c r="E135" s="44" t="s">
        <v>8</v>
      </c>
      <c r="F135" s="44" t="s">
        <v>405</v>
      </c>
      <c r="G135" s="56">
        <v>5.4997351507999994</v>
      </c>
      <c r="H135" s="56">
        <f t="shared" si="44"/>
        <v>0.11879427925728001</v>
      </c>
      <c r="I135" s="56">
        <f t="shared" si="45"/>
        <v>5.6185294300572792</v>
      </c>
      <c r="J135" s="58">
        <f t="shared" si="46"/>
        <v>0.51045060196356284</v>
      </c>
      <c r="K135" s="58">
        <f t="shared" si="47"/>
        <v>0.2881297143619117</v>
      </c>
      <c r="L135" s="58">
        <f t="shared" si="48"/>
        <v>0.2558771944605252</v>
      </c>
      <c r="M135" s="58">
        <f t="shared" si="49"/>
        <v>7.2032428590477926E-2</v>
      </c>
      <c r="N135" s="56">
        <f t="shared" si="50"/>
        <v>6.7450193694337566</v>
      </c>
      <c r="O135" s="56">
        <v>41.98</v>
      </c>
      <c r="P135" s="46">
        <f t="shared" si="51"/>
        <v>0.82841250931282062</v>
      </c>
      <c r="Q135" s="45">
        <f t="shared" si="52"/>
        <v>7.2032428590477933</v>
      </c>
      <c r="R135" s="45">
        <f t="shared" si="53"/>
        <v>7.8731444449392374</v>
      </c>
      <c r="S135" s="46">
        <f t="shared" si="54"/>
        <v>6.3613499999999989E-2</v>
      </c>
      <c r="T135" s="46">
        <v>0.22</v>
      </c>
      <c r="U135" s="46">
        <f t="shared" si="55"/>
        <v>0.30974358974358962</v>
      </c>
      <c r="V135" s="45">
        <f t="shared" si="40"/>
        <v>41.98</v>
      </c>
      <c r="W135" s="46">
        <f t="shared" si="43"/>
        <v>0.13980000000000001</v>
      </c>
      <c r="X135" s="46">
        <f t="shared" si="41"/>
        <v>0.84770000000000001</v>
      </c>
      <c r="Y135" s="45">
        <f t="shared" si="42"/>
        <v>5.4997351507999994</v>
      </c>
      <c r="Z135" s="47">
        <v>377</v>
      </c>
      <c r="AA135" s="48">
        <v>46771</v>
      </c>
    </row>
    <row r="136" spans="1:27" x14ac:dyDescent="0.25">
      <c r="A136" s="43">
        <v>7895296289016</v>
      </c>
      <c r="B136" s="43">
        <v>10483</v>
      </c>
      <c r="C136" s="44" t="s">
        <v>145</v>
      </c>
      <c r="D136" s="44" t="s">
        <v>7</v>
      </c>
      <c r="E136" s="44" t="s">
        <v>8</v>
      </c>
      <c r="F136" s="44" t="s">
        <v>405</v>
      </c>
      <c r="G136" s="56">
        <v>3.5453211815999999</v>
      </c>
      <c r="H136" s="56">
        <f t="shared" si="44"/>
        <v>7.6578937522560009E-2</v>
      </c>
      <c r="I136" s="56">
        <f t="shared" si="45"/>
        <v>3.6219001191225599</v>
      </c>
      <c r="J136" s="58">
        <f t="shared" si="46"/>
        <v>0.32905426928397574</v>
      </c>
      <c r="K136" s="58">
        <f t="shared" si="47"/>
        <v>0.18573846764731075</v>
      </c>
      <c r="L136" s="58">
        <f t="shared" si="48"/>
        <v>0.16494736792503992</v>
      </c>
      <c r="M136" s="58">
        <f t="shared" si="49"/>
        <v>4.6434616911827688E-2</v>
      </c>
      <c r="N136" s="56">
        <f t="shared" si="50"/>
        <v>4.3480748408907139</v>
      </c>
      <c r="O136" s="56">
        <v>25.07</v>
      </c>
      <c r="P136" s="46">
        <f t="shared" si="51"/>
        <v>0.81478014793846154</v>
      </c>
      <c r="Q136" s="45">
        <f t="shared" si="52"/>
        <v>4.6434616911827691</v>
      </c>
      <c r="R136" s="45">
        <f t="shared" si="53"/>
        <v>5.0753036284627662</v>
      </c>
      <c r="S136" s="46">
        <f t="shared" si="54"/>
        <v>6.3613500000000017E-2</v>
      </c>
      <c r="T136" s="46">
        <v>0.22</v>
      </c>
      <c r="U136" s="46">
        <f t="shared" si="55"/>
        <v>0.30974358974358984</v>
      </c>
      <c r="V136" s="45">
        <f t="shared" si="40"/>
        <v>25.07</v>
      </c>
      <c r="W136" s="46">
        <f t="shared" si="43"/>
        <v>0.13980000000000001</v>
      </c>
      <c r="X136" s="46">
        <f t="shared" si="41"/>
        <v>0.83560000000000001</v>
      </c>
      <c r="Y136" s="45">
        <f t="shared" si="42"/>
        <v>3.5453211815999999</v>
      </c>
      <c r="Z136" s="47">
        <v>84</v>
      </c>
      <c r="AA136" s="48">
        <v>46618</v>
      </c>
    </row>
    <row r="137" spans="1:27" x14ac:dyDescent="0.25">
      <c r="A137" s="67">
        <v>7895296274012</v>
      </c>
      <c r="B137" s="67">
        <v>10482</v>
      </c>
      <c r="C137" s="68" t="s">
        <v>146</v>
      </c>
      <c r="D137" s="68" t="s">
        <v>7</v>
      </c>
      <c r="E137" s="68" t="s">
        <v>48</v>
      </c>
      <c r="F137" s="68" t="s">
        <v>405</v>
      </c>
      <c r="G137" s="69">
        <v>2.8192676512000001</v>
      </c>
      <c r="H137" s="69">
        <f t="shared" si="44"/>
        <v>6.0896181265920009E-2</v>
      </c>
      <c r="I137" s="69">
        <f t="shared" si="45"/>
        <v>2.8801638324659202</v>
      </c>
      <c r="J137" s="70">
        <f t="shared" si="46"/>
        <v>0.21216208921399685</v>
      </c>
      <c r="K137" s="70">
        <f t="shared" si="47"/>
        <v>0.11975733191126486</v>
      </c>
      <c r="L137" s="70">
        <f t="shared" si="48"/>
        <v>0.10635199557044765</v>
      </c>
      <c r="M137" s="70">
        <f t="shared" si="49"/>
        <v>2.9939332977816216E-2</v>
      </c>
      <c r="N137" s="69">
        <f t="shared" si="50"/>
        <v>3.3483745821394457</v>
      </c>
      <c r="O137" s="69">
        <v>14.56</v>
      </c>
      <c r="P137" s="71">
        <f t="shared" si="51"/>
        <v>0.79437271306444901</v>
      </c>
      <c r="Q137" s="72">
        <f t="shared" si="52"/>
        <v>2.9939332977816218</v>
      </c>
      <c r="R137" s="72">
        <f t="shared" si="53"/>
        <v>3.2723690944753123</v>
      </c>
      <c r="S137" s="71">
        <f t="shared" si="54"/>
        <v>-0.11838649999999999</v>
      </c>
      <c r="T137" s="71">
        <v>3.7999999999999999E-2</v>
      </c>
      <c r="U137" s="71">
        <f t="shared" si="55"/>
        <v>6.1954261954261902E-2</v>
      </c>
      <c r="V137" s="72">
        <f t="shared" si="40"/>
        <v>14.56</v>
      </c>
      <c r="W137" s="71">
        <f t="shared" si="43"/>
        <v>0.13980000000000001</v>
      </c>
      <c r="X137" s="71">
        <f t="shared" si="41"/>
        <v>0.77490000000000003</v>
      </c>
      <c r="Y137" s="72">
        <f t="shared" si="42"/>
        <v>2.8192676512000001</v>
      </c>
      <c r="Z137" s="73">
        <v>61</v>
      </c>
      <c r="AA137" s="74">
        <v>46572</v>
      </c>
    </row>
    <row r="138" spans="1:27" x14ac:dyDescent="0.25">
      <c r="A138" s="43">
        <v>7895296423014</v>
      </c>
      <c r="B138" s="43">
        <v>12198</v>
      </c>
      <c r="C138" s="44" t="s">
        <v>147</v>
      </c>
      <c r="D138" s="44" t="s">
        <v>7</v>
      </c>
      <c r="E138" s="44" t="s">
        <v>8</v>
      </c>
      <c r="F138" s="44" t="s">
        <v>405</v>
      </c>
      <c r="G138" s="56">
        <v>6.3279615168000003</v>
      </c>
      <c r="H138" s="56">
        <f t="shared" si="44"/>
        <v>0.13668396876288</v>
      </c>
      <c r="I138" s="56">
        <f t="shared" si="45"/>
        <v>6.4646454855628805</v>
      </c>
      <c r="J138" s="58">
        <f t="shared" si="46"/>
        <v>0.58732133037042056</v>
      </c>
      <c r="K138" s="58">
        <f t="shared" si="47"/>
        <v>0.33152028131091699</v>
      </c>
      <c r="L138" s="58">
        <f t="shared" si="48"/>
        <v>0.29441072982167615</v>
      </c>
      <c r="M138" s="58">
        <f t="shared" si="49"/>
        <v>8.2880070327729247E-2</v>
      </c>
      <c r="N138" s="56">
        <f t="shared" si="50"/>
        <v>7.7607778973936234</v>
      </c>
      <c r="O138" s="56">
        <v>21.36</v>
      </c>
      <c r="P138" s="46">
        <f t="shared" si="51"/>
        <v>0.61198468947692297</v>
      </c>
      <c r="Q138" s="45">
        <f t="shared" si="52"/>
        <v>8.2880070327729243</v>
      </c>
      <c r="R138" s="45">
        <f t="shared" si="53"/>
        <v>9.0587916868208058</v>
      </c>
      <c r="S138" s="46">
        <f t="shared" si="54"/>
        <v>6.3613500000000045E-2</v>
      </c>
      <c r="T138" s="46">
        <v>0.22</v>
      </c>
      <c r="U138" s="46">
        <f t="shared" si="55"/>
        <v>0.30974358974358984</v>
      </c>
      <c r="V138" s="45">
        <f t="shared" si="40"/>
        <v>21.36</v>
      </c>
      <c r="W138" s="46">
        <f t="shared" si="43"/>
        <v>0.13980000000000001</v>
      </c>
      <c r="X138" s="46">
        <f t="shared" si="41"/>
        <v>0.65559999999999996</v>
      </c>
      <c r="Y138" s="45">
        <f t="shared" si="42"/>
        <v>6.3279615168000003</v>
      </c>
      <c r="Z138" s="47">
        <v>1814</v>
      </c>
      <c r="AA138" s="48">
        <v>46838</v>
      </c>
    </row>
    <row r="139" spans="1:27" x14ac:dyDescent="0.25">
      <c r="A139" s="43">
        <v>7895296377010</v>
      </c>
      <c r="B139" s="43">
        <v>650</v>
      </c>
      <c r="C139" s="44" t="s">
        <v>148</v>
      </c>
      <c r="D139" s="44" t="s">
        <v>7</v>
      </c>
      <c r="E139" s="44" t="s">
        <v>8</v>
      </c>
      <c r="F139" s="44" t="s">
        <v>405</v>
      </c>
      <c r="G139" s="56">
        <v>12.783136291199998</v>
      </c>
      <c r="H139" s="56">
        <f t="shared" si="44"/>
        <v>0.27611574388992</v>
      </c>
      <c r="I139" s="56">
        <f t="shared" si="45"/>
        <v>13.059252035089917</v>
      </c>
      <c r="J139" s="58">
        <f t="shared" si="46"/>
        <v>1.1864497900187332</v>
      </c>
      <c r="K139" s="58">
        <f t="shared" si="47"/>
        <v>0.66970523256871373</v>
      </c>
      <c r="L139" s="58">
        <f t="shared" si="48"/>
        <v>0.59474010309805325</v>
      </c>
      <c r="M139" s="58">
        <f t="shared" si="49"/>
        <v>0.16742630814217843</v>
      </c>
      <c r="N139" s="56">
        <f t="shared" si="50"/>
        <v>15.677573468917595</v>
      </c>
      <c r="O139" s="56">
        <v>44.64</v>
      </c>
      <c r="P139" s="46">
        <f t="shared" si="51"/>
        <v>0.62494106598974364</v>
      </c>
      <c r="Q139" s="45">
        <f t="shared" si="52"/>
        <v>16.742630814217843</v>
      </c>
      <c r="R139" s="45">
        <f t="shared" si="53"/>
        <v>18.299695479940102</v>
      </c>
      <c r="S139" s="46">
        <f t="shared" si="54"/>
        <v>6.3613500000000087E-2</v>
      </c>
      <c r="T139" s="46">
        <v>0.22</v>
      </c>
      <c r="U139" s="46">
        <f t="shared" si="55"/>
        <v>0.30974358974358962</v>
      </c>
      <c r="V139" s="45">
        <f t="shared" si="40"/>
        <v>44.64</v>
      </c>
      <c r="W139" s="46">
        <f t="shared" si="43"/>
        <v>0.13980000000000001</v>
      </c>
      <c r="X139" s="46">
        <f t="shared" si="41"/>
        <v>0.66710000000000003</v>
      </c>
      <c r="Y139" s="45">
        <f t="shared" si="42"/>
        <v>12.783136291199998</v>
      </c>
      <c r="Z139" s="47">
        <v>150</v>
      </c>
      <c r="AA139" s="48">
        <v>46837</v>
      </c>
    </row>
    <row r="140" spans="1:27" x14ac:dyDescent="0.25">
      <c r="A140" s="49">
        <v>7895296444033</v>
      </c>
      <c r="B140" s="49">
        <v>651</v>
      </c>
      <c r="C140" s="50" t="s">
        <v>149</v>
      </c>
      <c r="D140" s="50" t="s">
        <v>12</v>
      </c>
      <c r="E140" s="50" t="s">
        <v>8</v>
      </c>
      <c r="F140" s="44" t="s">
        <v>405</v>
      </c>
      <c r="G140" s="56">
        <v>19.532560539799995</v>
      </c>
      <c r="H140" s="56">
        <f t="shared" si="44"/>
        <v>0.42190330765967993</v>
      </c>
      <c r="I140" s="56">
        <f t="shared" si="45"/>
        <v>19.954463847459674</v>
      </c>
      <c r="J140" s="58">
        <f t="shared" si="46"/>
        <v>1.81288862318767</v>
      </c>
      <c r="K140" s="58">
        <f t="shared" si="47"/>
        <v>1.0233058383312654</v>
      </c>
      <c r="L140" s="58">
        <f t="shared" si="48"/>
        <v>0.90875954105305945</v>
      </c>
      <c r="M140" s="58">
        <f t="shared" si="49"/>
        <v>0.25582645958281636</v>
      </c>
      <c r="N140" s="56">
        <f t="shared" si="50"/>
        <v>23.955244309614486</v>
      </c>
      <c r="O140" s="56">
        <v>63.73</v>
      </c>
      <c r="P140" s="46">
        <f t="shared" si="51"/>
        <v>0.59857765638974358</v>
      </c>
      <c r="Q140" s="45">
        <f t="shared" si="52"/>
        <v>25.582645958281635</v>
      </c>
      <c r="R140" s="45">
        <f t="shared" si="53"/>
        <v>27.961832032401826</v>
      </c>
      <c r="S140" s="46">
        <f t="shared" si="54"/>
        <v>6.3613500000000017E-2</v>
      </c>
      <c r="T140" s="46">
        <v>0.22</v>
      </c>
      <c r="U140" s="46">
        <f t="shared" si="55"/>
        <v>0.30974358974358984</v>
      </c>
      <c r="V140" s="51">
        <f t="shared" si="40"/>
        <v>63.73</v>
      </c>
      <c r="W140" s="46">
        <f t="shared" si="43"/>
        <v>0.13980000000000001</v>
      </c>
      <c r="X140" s="52">
        <f t="shared" si="41"/>
        <v>0.64370000000000005</v>
      </c>
      <c r="Y140" s="45">
        <f t="shared" si="42"/>
        <v>19.532560539799995</v>
      </c>
      <c r="Z140" s="53">
        <v>0</v>
      </c>
      <c r="AA140" s="54" t="s">
        <v>403</v>
      </c>
    </row>
    <row r="141" spans="1:27" x14ac:dyDescent="0.25">
      <c r="A141" s="49">
        <v>7895296032025</v>
      </c>
      <c r="B141" s="49">
        <v>11457</v>
      </c>
      <c r="C141" s="50" t="s">
        <v>150</v>
      </c>
      <c r="D141" s="50" t="s">
        <v>7</v>
      </c>
      <c r="E141" s="50" t="s">
        <v>8</v>
      </c>
      <c r="F141" s="44" t="s">
        <v>405</v>
      </c>
      <c r="G141" s="56">
        <v>6.0452129165999997</v>
      </c>
      <c r="H141" s="56">
        <f t="shared" si="44"/>
        <v>0.13057659899856</v>
      </c>
      <c r="I141" s="56">
        <f t="shared" si="45"/>
        <v>6.1757895155985594</v>
      </c>
      <c r="J141" s="58">
        <f t="shared" si="46"/>
        <v>0.56107839517099523</v>
      </c>
      <c r="K141" s="58">
        <f t="shared" si="47"/>
        <v>0.31670715464607996</v>
      </c>
      <c r="L141" s="58">
        <f t="shared" si="48"/>
        <v>0.28125574752288435</v>
      </c>
      <c r="M141" s="58">
        <f t="shared" si="49"/>
        <v>7.917678866151999E-2</v>
      </c>
      <c r="N141" s="56">
        <f t="shared" si="50"/>
        <v>7.414007601600038</v>
      </c>
      <c r="O141" s="56">
        <v>47.71</v>
      </c>
      <c r="P141" s="46">
        <f t="shared" si="51"/>
        <v>0.83404571649230785</v>
      </c>
      <c r="Q141" s="45">
        <f t="shared" si="52"/>
        <v>7.9176788661519986</v>
      </c>
      <c r="R141" s="45">
        <f t="shared" si="53"/>
        <v>8.6540230007041341</v>
      </c>
      <c r="S141" s="46">
        <f t="shared" si="54"/>
        <v>6.3613500000000045E-2</v>
      </c>
      <c r="T141" s="46">
        <v>0.22</v>
      </c>
      <c r="U141" s="46">
        <f t="shared" si="55"/>
        <v>0.30974358974358962</v>
      </c>
      <c r="V141" s="51">
        <f t="shared" si="40"/>
        <v>47.71</v>
      </c>
      <c r="W141" s="46">
        <f t="shared" si="43"/>
        <v>0.13980000000000001</v>
      </c>
      <c r="X141" s="52">
        <f t="shared" si="41"/>
        <v>0.85270000000000001</v>
      </c>
      <c r="Y141" s="45">
        <f t="shared" si="42"/>
        <v>6.0452129165999997</v>
      </c>
      <c r="Z141" s="53">
        <v>0</v>
      </c>
      <c r="AA141" s="54" t="s">
        <v>403</v>
      </c>
    </row>
    <row r="142" spans="1:27" x14ac:dyDescent="0.25">
      <c r="A142" s="49">
        <v>7895296098090</v>
      </c>
      <c r="B142" s="49">
        <v>11706</v>
      </c>
      <c r="C142" s="50" t="s">
        <v>151</v>
      </c>
      <c r="D142" s="50" t="s">
        <v>7</v>
      </c>
      <c r="E142" s="50" t="s">
        <v>8</v>
      </c>
      <c r="F142" s="44" t="s">
        <v>405</v>
      </c>
      <c r="G142" s="56">
        <v>19.1625652944</v>
      </c>
      <c r="H142" s="56">
        <f t="shared" si="44"/>
        <v>0.41391141035904</v>
      </c>
      <c r="I142" s="56">
        <f t="shared" si="45"/>
        <v>19.576476704759042</v>
      </c>
      <c r="J142" s="58">
        <f t="shared" si="46"/>
        <v>1.7785480066744164</v>
      </c>
      <c r="K142" s="58">
        <f t="shared" si="47"/>
        <v>1.0039218822953355</v>
      </c>
      <c r="L142" s="58">
        <f t="shared" si="48"/>
        <v>0.89154537659590127</v>
      </c>
      <c r="M142" s="58">
        <f t="shared" si="49"/>
        <v>0.25098047057383388</v>
      </c>
      <c r="N142" s="56">
        <f t="shared" si="50"/>
        <v>23.501472440898528</v>
      </c>
      <c r="O142" s="56">
        <v>65.83</v>
      </c>
      <c r="P142" s="46">
        <f t="shared" si="51"/>
        <v>0.61874453809230767</v>
      </c>
      <c r="Q142" s="45">
        <f t="shared" si="52"/>
        <v>25.098047057383386</v>
      </c>
      <c r="R142" s="45">
        <f t="shared" si="53"/>
        <v>27.432165433720041</v>
      </c>
      <c r="S142" s="46">
        <f t="shared" si="54"/>
        <v>6.3613500000000003E-2</v>
      </c>
      <c r="T142" s="46">
        <v>0.22</v>
      </c>
      <c r="U142" s="46">
        <f t="shared" si="55"/>
        <v>0.30974358974358984</v>
      </c>
      <c r="V142" s="51">
        <f t="shared" si="40"/>
        <v>65.83</v>
      </c>
      <c r="W142" s="46">
        <f t="shared" si="43"/>
        <v>0.13980000000000001</v>
      </c>
      <c r="X142" s="52">
        <f t="shared" si="41"/>
        <v>0.66159999999999997</v>
      </c>
      <c r="Y142" s="45">
        <f t="shared" si="42"/>
        <v>19.1625652944</v>
      </c>
      <c r="Z142" s="53">
        <v>0</v>
      </c>
      <c r="AA142" s="54" t="s">
        <v>403</v>
      </c>
    </row>
    <row r="143" spans="1:27" x14ac:dyDescent="0.25">
      <c r="A143" s="49">
        <v>7895296098113</v>
      </c>
      <c r="B143" s="49">
        <v>11707</v>
      </c>
      <c r="C143" s="50" t="s">
        <v>152</v>
      </c>
      <c r="D143" s="50" t="s">
        <v>7</v>
      </c>
      <c r="E143" s="50" t="s">
        <v>8</v>
      </c>
      <c r="F143" s="44" t="s">
        <v>405</v>
      </c>
      <c r="G143" s="56">
        <v>16.1083580988</v>
      </c>
      <c r="H143" s="56">
        <f t="shared" si="44"/>
        <v>0.34794053493408</v>
      </c>
      <c r="I143" s="56">
        <f t="shared" si="45"/>
        <v>16.456298633734079</v>
      </c>
      <c r="J143" s="58">
        <f t="shared" si="46"/>
        <v>1.4950758286935024</v>
      </c>
      <c r="K143" s="58">
        <f t="shared" si="47"/>
        <v>0.84391275044790148</v>
      </c>
      <c r="L143" s="58">
        <f t="shared" si="48"/>
        <v>0.74944726694463959</v>
      </c>
      <c r="M143" s="58">
        <f t="shared" si="49"/>
        <v>0.21097818761197537</v>
      </c>
      <c r="N143" s="56">
        <f t="shared" si="50"/>
        <v>19.755712667432096</v>
      </c>
      <c r="O143" s="56">
        <v>72.78</v>
      </c>
      <c r="P143" s="46">
        <f t="shared" si="51"/>
        <v>0.71011515854358975</v>
      </c>
      <c r="Q143" s="45">
        <f t="shared" si="52"/>
        <v>21.097818761197537</v>
      </c>
      <c r="R143" s="45">
        <f t="shared" si="53"/>
        <v>23.059915905988909</v>
      </c>
      <c r="S143" s="46">
        <f t="shared" si="54"/>
        <v>6.3613500000000073E-2</v>
      </c>
      <c r="T143" s="46">
        <v>0.22</v>
      </c>
      <c r="U143" s="46">
        <f t="shared" si="55"/>
        <v>0.30974358974358962</v>
      </c>
      <c r="V143" s="51">
        <f t="shared" si="40"/>
        <v>72.78</v>
      </c>
      <c r="W143" s="46">
        <f t="shared" si="43"/>
        <v>0.13980000000000001</v>
      </c>
      <c r="X143" s="52">
        <f t="shared" si="41"/>
        <v>0.74270000000000003</v>
      </c>
      <c r="Y143" s="45">
        <f t="shared" si="42"/>
        <v>16.1083580988</v>
      </c>
      <c r="Z143" s="53">
        <v>0</v>
      </c>
      <c r="AA143" s="54" t="s">
        <v>403</v>
      </c>
    </row>
    <row r="144" spans="1:27" x14ac:dyDescent="0.25">
      <c r="A144" s="49">
        <v>7895296286039</v>
      </c>
      <c r="B144" s="49">
        <v>10485</v>
      </c>
      <c r="C144" s="50" t="s">
        <v>153</v>
      </c>
      <c r="D144" s="50" t="s">
        <v>7</v>
      </c>
      <c r="E144" s="50" t="s">
        <v>8</v>
      </c>
      <c r="F144" s="44" t="s">
        <v>405</v>
      </c>
      <c r="G144" s="56">
        <v>3.1160745000000007</v>
      </c>
      <c r="H144" s="56">
        <f t="shared" si="44"/>
        <v>6.7307209200000023E-2</v>
      </c>
      <c r="I144" s="56">
        <f t="shared" si="45"/>
        <v>3.1833817092000007</v>
      </c>
      <c r="J144" s="58">
        <f t="shared" si="46"/>
        <v>0.28921430953942162</v>
      </c>
      <c r="K144" s="58">
        <f t="shared" si="47"/>
        <v>0.16325034406153852</v>
      </c>
      <c r="L144" s="58">
        <f t="shared" si="48"/>
        <v>0.14497650867315007</v>
      </c>
      <c r="M144" s="58">
        <f t="shared" si="49"/>
        <v>4.0812586015384629E-2</v>
      </c>
      <c r="N144" s="56">
        <f t="shared" si="50"/>
        <v>3.8216354574894953</v>
      </c>
      <c r="O144" s="56">
        <v>22.5</v>
      </c>
      <c r="P144" s="46">
        <f t="shared" si="51"/>
        <v>0.81861072882051278</v>
      </c>
      <c r="Q144" s="45">
        <f t="shared" si="52"/>
        <v>4.0812586015384626</v>
      </c>
      <c r="R144" s="45">
        <f t="shared" si="53"/>
        <v>4.46081565148154</v>
      </c>
      <c r="S144" s="46">
        <f t="shared" si="54"/>
        <v>6.3613500000000087E-2</v>
      </c>
      <c r="T144" s="46">
        <v>0.22</v>
      </c>
      <c r="U144" s="46">
        <f t="shared" si="55"/>
        <v>0.30974358974358984</v>
      </c>
      <c r="V144" s="51">
        <f t="shared" si="40"/>
        <v>22.5</v>
      </c>
      <c r="W144" s="46">
        <f t="shared" si="43"/>
        <v>0.13980000000000001</v>
      </c>
      <c r="X144" s="52">
        <f t="shared" si="41"/>
        <v>0.83899999999999997</v>
      </c>
      <c r="Y144" s="45">
        <f t="shared" si="42"/>
        <v>3.1160745000000007</v>
      </c>
      <c r="Z144" s="53">
        <v>0</v>
      </c>
      <c r="AA144" s="54" t="s">
        <v>403</v>
      </c>
    </row>
    <row r="145" spans="1:27" x14ac:dyDescent="0.25">
      <c r="A145" s="43">
        <v>7895296286022</v>
      </c>
      <c r="B145" s="43">
        <v>10486</v>
      </c>
      <c r="C145" s="44" t="s">
        <v>154</v>
      </c>
      <c r="D145" s="44" t="s">
        <v>7</v>
      </c>
      <c r="E145" s="44" t="s">
        <v>8</v>
      </c>
      <c r="F145" s="44" t="s">
        <v>405</v>
      </c>
      <c r="G145" s="56">
        <v>3.0939329519999998</v>
      </c>
      <c r="H145" s="56">
        <f t="shared" si="44"/>
        <v>6.6828951763200001E-2</v>
      </c>
      <c r="I145" s="56">
        <f t="shared" si="45"/>
        <v>3.1607619037631998</v>
      </c>
      <c r="J145" s="58">
        <f t="shared" si="46"/>
        <v>0.28715927121573764</v>
      </c>
      <c r="K145" s="58">
        <f t="shared" si="47"/>
        <v>0.16209035403913843</v>
      </c>
      <c r="L145" s="58">
        <f t="shared" si="48"/>
        <v>0.14394636503388236</v>
      </c>
      <c r="M145" s="58">
        <f t="shared" si="49"/>
        <v>4.0522588509784609E-2</v>
      </c>
      <c r="N145" s="56">
        <f t="shared" si="50"/>
        <v>3.7944804825617431</v>
      </c>
      <c r="O145" s="56">
        <v>15.45</v>
      </c>
      <c r="P145" s="46">
        <f t="shared" si="51"/>
        <v>0.73771787372307696</v>
      </c>
      <c r="Q145" s="45">
        <f t="shared" si="52"/>
        <v>4.0522588509784612</v>
      </c>
      <c r="R145" s="45">
        <f t="shared" si="53"/>
        <v>4.4291189241194573</v>
      </c>
      <c r="S145" s="46">
        <f t="shared" si="54"/>
        <v>6.3613499999999934E-2</v>
      </c>
      <c r="T145" s="46">
        <v>0.22</v>
      </c>
      <c r="U145" s="46">
        <f t="shared" si="55"/>
        <v>0.30974358974358962</v>
      </c>
      <c r="V145" s="45">
        <f t="shared" si="40"/>
        <v>15.45</v>
      </c>
      <c r="W145" s="46">
        <f t="shared" si="43"/>
        <v>0.13980000000000001</v>
      </c>
      <c r="X145" s="46">
        <f t="shared" si="41"/>
        <v>0.76719999999999999</v>
      </c>
      <c r="Y145" s="45">
        <f t="shared" si="42"/>
        <v>3.0939329519999998</v>
      </c>
      <c r="Z145" s="47">
        <v>483</v>
      </c>
      <c r="AA145" s="48">
        <v>46851</v>
      </c>
    </row>
    <row r="146" spans="1:27" x14ac:dyDescent="0.25">
      <c r="A146" s="43">
        <v>7895296448192</v>
      </c>
      <c r="B146" s="43">
        <v>15629</v>
      </c>
      <c r="C146" s="44" t="s">
        <v>155</v>
      </c>
      <c r="D146" s="44" t="s">
        <v>7</v>
      </c>
      <c r="E146" s="44" t="s">
        <v>8</v>
      </c>
      <c r="F146" s="44" t="s">
        <v>405</v>
      </c>
      <c r="G146" s="56">
        <v>10.504721110400004</v>
      </c>
      <c r="H146" s="56">
        <f t="shared" si="44"/>
        <v>0.2269019759846401</v>
      </c>
      <c r="I146" s="56">
        <f t="shared" si="45"/>
        <v>10.731623086384644</v>
      </c>
      <c r="J146" s="58">
        <f t="shared" si="46"/>
        <v>0.97498171588918126</v>
      </c>
      <c r="K146" s="58">
        <f t="shared" si="47"/>
        <v>0.55033964545562275</v>
      </c>
      <c r="L146" s="58">
        <f t="shared" si="48"/>
        <v>0.48873600139243401</v>
      </c>
      <c r="M146" s="58">
        <f t="shared" si="49"/>
        <v>0.13758491136390569</v>
      </c>
      <c r="N146" s="56">
        <f t="shared" si="50"/>
        <v>12.883265360485787</v>
      </c>
      <c r="O146" s="56">
        <v>126.68</v>
      </c>
      <c r="P146" s="46">
        <f t="shared" si="51"/>
        <v>0.89139176557948707</v>
      </c>
      <c r="Q146" s="45">
        <f t="shared" si="52"/>
        <v>13.758491136390569</v>
      </c>
      <c r="R146" s="45">
        <f t="shared" si="53"/>
        <v>15.038030812074892</v>
      </c>
      <c r="S146" s="46">
        <f t="shared" si="54"/>
        <v>6.3613500000000073E-2</v>
      </c>
      <c r="T146" s="46">
        <v>0.22</v>
      </c>
      <c r="U146" s="46">
        <f t="shared" si="55"/>
        <v>0.30974358974358984</v>
      </c>
      <c r="V146" s="45">
        <f t="shared" si="40"/>
        <v>126.68</v>
      </c>
      <c r="W146" s="46">
        <f t="shared" si="43"/>
        <v>0.13980000000000001</v>
      </c>
      <c r="X146" s="46">
        <f t="shared" si="41"/>
        <v>0.90359999999999996</v>
      </c>
      <c r="Y146" s="45">
        <f t="shared" si="42"/>
        <v>10.504721110400004</v>
      </c>
      <c r="Z146" s="47">
        <v>1</v>
      </c>
      <c r="AA146" s="48">
        <v>46412</v>
      </c>
    </row>
    <row r="147" spans="1:27" x14ac:dyDescent="0.25">
      <c r="A147" s="67">
        <v>7895296448154</v>
      </c>
      <c r="B147" s="67">
        <v>15934</v>
      </c>
      <c r="C147" s="68" t="s">
        <v>156</v>
      </c>
      <c r="D147" s="68" t="s">
        <v>7</v>
      </c>
      <c r="E147" s="68" t="s">
        <v>8</v>
      </c>
      <c r="F147" s="68" t="s">
        <v>405</v>
      </c>
      <c r="G147" s="69">
        <v>7.0245170687999998</v>
      </c>
      <c r="H147" s="69">
        <f t="shared" si="44"/>
        <v>0.15172956868608001</v>
      </c>
      <c r="I147" s="69">
        <f t="shared" si="45"/>
        <v>7.1762466374860798</v>
      </c>
      <c r="J147" s="70">
        <f t="shared" si="46"/>
        <v>0.63726508987319996</v>
      </c>
      <c r="K147" s="70">
        <f t="shared" si="47"/>
        <v>0.3597116109015579</v>
      </c>
      <c r="L147" s="70">
        <f t="shared" si="48"/>
        <v>0.31944639245626477</v>
      </c>
      <c r="M147" s="70">
        <f t="shared" si="49"/>
        <v>8.9927902725389475E-2</v>
      </c>
      <c r="N147" s="69">
        <f t="shared" si="50"/>
        <v>8.5825976334424912</v>
      </c>
      <c r="O147" s="69">
        <v>79.36</v>
      </c>
      <c r="P147" s="71">
        <f t="shared" si="51"/>
        <v>0.88668359031578936</v>
      </c>
      <c r="Q147" s="72">
        <f t="shared" si="52"/>
        <v>8.9927902725389472</v>
      </c>
      <c r="R147" s="72">
        <f t="shared" si="53"/>
        <v>9.8291197678850697</v>
      </c>
      <c r="S147" s="71">
        <f t="shared" si="54"/>
        <v>4.5613500000000091E-2</v>
      </c>
      <c r="T147" s="71">
        <v>0.20200000000000001</v>
      </c>
      <c r="U147" s="71">
        <f t="shared" si="55"/>
        <v>0.28020050125313278</v>
      </c>
      <c r="V147" s="72">
        <f t="shared" si="40"/>
        <v>79.36</v>
      </c>
      <c r="W147" s="71">
        <f t="shared" si="43"/>
        <v>0.13980000000000001</v>
      </c>
      <c r="X147" s="71">
        <f t="shared" si="41"/>
        <v>0.89710000000000001</v>
      </c>
      <c r="Y147" s="72">
        <f t="shared" si="42"/>
        <v>7.0245170687999998</v>
      </c>
      <c r="Z147" s="73">
        <v>663</v>
      </c>
      <c r="AA147" s="74">
        <v>46627</v>
      </c>
    </row>
    <row r="148" spans="1:27" x14ac:dyDescent="0.25">
      <c r="A148" s="49">
        <v>7895296089098</v>
      </c>
      <c r="B148" s="49">
        <v>11712</v>
      </c>
      <c r="C148" s="50" t="s">
        <v>157</v>
      </c>
      <c r="D148" s="50" t="s">
        <v>7</v>
      </c>
      <c r="E148" s="50" t="s">
        <v>8</v>
      </c>
      <c r="F148" s="44" t="s">
        <v>405</v>
      </c>
      <c r="G148" s="56">
        <v>21.088025791800003</v>
      </c>
      <c r="H148" s="56">
        <f t="shared" si="44"/>
        <v>0.45550135710288009</v>
      </c>
      <c r="I148" s="56">
        <f t="shared" si="45"/>
        <v>21.543527148902882</v>
      </c>
      <c r="J148" s="58">
        <f t="shared" si="46"/>
        <v>1.957257061384428</v>
      </c>
      <c r="K148" s="58">
        <f t="shared" si="47"/>
        <v>1.1047962640463016</v>
      </c>
      <c r="L148" s="58">
        <f t="shared" si="48"/>
        <v>0.9811281322396187</v>
      </c>
      <c r="M148" s="58">
        <f t="shared" si="49"/>
        <v>0.2761990660115754</v>
      </c>
      <c r="N148" s="56">
        <f t="shared" si="50"/>
        <v>25.862907672584807</v>
      </c>
      <c r="O148" s="56">
        <v>133.88999999999999</v>
      </c>
      <c r="P148" s="46">
        <f t="shared" si="51"/>
        <v>0.79371195308717946</v>
      </c>
      <c r="Q148" s="45">
        <f t="shared" si="52"/>
        <v>27.619906601157542</v>
      </c>
      <c r="R148" s="45">
        <f t="shared" si="53"/>
        <v>30.188557915065189</v>
      </c>
      <c r="S148" s="46">
        <f t="shared" si="54"/>
        <v>6.3613499999999976E-2</v>
      </c>
      <c r="T148" s="46">
        <v>0.22</v>
      </c>
      <c r="U148" s="46">
        <f t="shared" si="55"/>
        <v>0.30974358974358962</v>
      </c>
      <c r="V148" s="51">
        <f t="shared" si="40"/>
        <v>133.88999999999999</v>
      </c>
      <c r="W148" s="46">
        <f t="shared" si="43"/>
        <v>0.13980000000000001</v>
      </c>
      <c r="X148" s="52">
        <f t="shared" si="41"/>
        <v>0.81689999999999996</v>
      </c>
      <c r="Y148" s="45">
        <f t="shared" si="42"/>
        <v>21.088025791800003</v>
      </c>
      <c r="Z148" s="53">
        <v>0</v>
      </c>
      <c r="AA148" s="54" t="s">
        <v>403</v>
      </c>
    </row>
    <row r="149" spans="1:27" x14ac:dyDescent="0.25">
      <c r="A149" s="43">
        <v>7895296089142</v>
      </c>
      <c r="B149" s="43">
        <v>15068</v>
      </c>
      <c r="C149" s="44" t="s">
        <v>158</v>
      </c>
      <c r="D149" s="44" t="s">
        <v>7</v>
      </c>
      <c r="E149" s="44" t="s">
        <v>8</v>
      </c>
      <c r="F149" s="44" t="s">
        <v>405</v>
      </c>
      <c r="G149" s="56">
        <v>35.987377951800006</v>
      </c>
      <c r="H149" s="56">
        <f t="shared" si="44"/>
        <v>0.77732736375888012</v>
      </c>
      <c r="I149" s="56">
        <f t="shared" si="45"/>
        <v>36.764705315558885</v>
      </c>
      <c r="J149" s="58">
        <f t="shared" si="46"/>
        <v>3.3401206121561087</v>
      </c>
      <c r="K149" s="58">
        <f t="shared" si="47"/>
        <v>1.8853695033619939</v>
      </c>
      <c r="L149" s="58">
        <f t="shared" si="48"/>
        <v>1.6743259545794107</v>
      </c>
      <c r="M149" s="58">
        <f t="shared" si="49"/>
        <v>0.47134237584049848</v>
      </c>
      <c r="N149" s="56">
        <f t="shared" si="50"/>
        <v>44.135863761496893</v>
      </c>
      <c r="O149" s="56">
        <v>259.69</v>
      </c>
      <c r="P149" s="46">
        <f t="shared" si="51"/>
        <v>0.81849806467692299</v>
      </c>
      <c r="Q149" s="45">
        <f t="shared" si="52"/>
        <v>47.134237584049849</v>
      </c>
      <c r="R149" s="45">
        <f t="shared" si="53"/>
        <v>51.517721679366481</v>
      </c>
      <c r="S149" s="46">
        <f t="shared" si="54"/>
        <v>6.3613500000000031E-2</v>
      </c>
      <c r="T149" s="46">
        <v>0.22</v>
      </c>
      <c r="U149" s="46">
        <f t="shared" si="55"/>
        <v>0.30974358974358962</v>
      </c>
      <c r="V149" s="45">
        <f t="shared" si="40"/>
        <v>259.69</v>
      </c>
      <c r="W149" s="46">
        <f t="shared" si="43"/>
        <v>0.13980000000000001</v>
      </c>
      <c r="X149" s="46">
        <f t="shared" si="41"/>
        <v>0.83889999999999998</v>
      </c>
      <c r="Y149" s="45">
        <f t="shared" si="42"/>
        <v>35.987377951800006</v>
      </c>
      <c r="Z149" s="47">
        <v>32</v>
      </c>
      <c r="AA149" s="48">
        <v>46697</v>
      </c>
    </row>
    <row r="150" spans="1:27" x14ac:dyDescent="0.25">
      <c r="A150" s="43">
        <v>7895296383011</v>
      </c>
      <c r="B150" s="43">
        <v>10788</v>
      </c>
      <c r="C150" s="44" t="s">
        <v>159</v>
      </c>
      <c r="D150" s="44" t="s">
        <v>7</v>
      </c>
      <c r="E150" s="44" t="s">
        <v>8</v>
      </c>
      <c r="F150" s="44" t="s">
        <v>405</v>
      </c>
      <c r="G150" s="56">
        <v>5.5133211496000012</v>
      </c>
      <c r="H150" s="56">
        <f t="shared" si="44"/>
        <v>0.11908773683136004</v>
      </c>
      <c r="I150" s="56">
        <f t="shared" si="45"/>
        <v>5.6324088864313611</v>
      </c>
      <c r="J150" s="58">
        <f t="shared" si="46"/>
        <v>0.51171156836932308</v>
      </c>
      <c r="K150" s="58">
        <f t="shared" si="47"/>
        <v>0.2888414813554544</v>
      </c>
      <c r="L150" s="58">
        <f t="shared" si="48"/>
        <v>0.25650928803622824</v>
      </c>
      <c r="M150" s="58">
        <f t="shared" si="49"/>
        <v>7.22103703388636E-2</v>
      </c>
      <c r="N150" s="56">
        <f t="shared" si="50"/>
        <v>6.7616815945312307</v>
      </c>
      <c r="O150" s="56">
        <v>50.23</v>
      </c>
      <c r="P150" s="46">
        <f t="shared" si="51"/>
        <v>0.85624055277948707</v>
      </c>
      <c r="Q150" s="45">
        <f t="shared" si="52"/>
        <v>7.2210370338863603</v>
      </c>
      <c r="R150" s="45">
        <f t="shared" si="53"/>
        <v>7.8925934780377913</v>
      </c>
      <c r="S150" s="46">
        <f t="shared" si="54"/>
        <v>6.3613499999999948E-2</v>
      </c>
      <c r="T150" s="46">
        <v>0.22</v>
      </c>
      <c r="U150" s="46">
        <f t="shared" si="55"/>
        <v>0.30974358974358962</v>
      </c>
      <c r="V150" s="45">
        <f t="shared" ref="V150:V181" si="56">IFERROR(VLOOKUP(A150,MATRIZ1,5,0),"")</f>
        <v>50.23</v>
      </c>
      <c r="W150" s="46">
        <f t="shared" si="43"/>
        <v>0.13980000000000001</v>
      </c>
      <c r="X150" s="46">
        <f t="shared" ref="X150:X181" si="57">IFERROR(VLOOKUP(A150,MATRIZ1,7,0),"")</f>
        <v>0.87239999999999995</v>
      </c>
      <c r="Y150" s="45">
        <f t="shared" ref="Y150:Y181" si="58">IFERROR(VLOOKUP(A150,MATRIZ1,8,0),"")</f>
        <v>5.5133211496000012</v>
      </c>
      <c r="Z150" s="47">
        <v>61</v>
      </c>
      <c r="AA150" s="48">
        <v>46545</v>
      </c>
    </row>
    <row r="151" spans="1:27" x14ac:dyDescent="0.25">
      <c r="A151" s="67">
        <v>7895296296021</v>
      </c>
      <c r="B151" s="67">
        <v>11719</v>
      </c>
      <c r="C151" s="68" t="s">
        <v>160</v>
      </c>
      <c r="D151" s="68" t="s">
        <v>7</v>
      </c>
      <c r="E151" s="68" t="s">
        <v>8</v>
      </c>
      <c r="F151" s="68" t="s">
        <v>405</v>
      </c>
      <c r="G151" s="69">
        <v>26.605696972800001</v>
      </c>
      <c r="H151" s="69">
        <f t="shared" si="44"/>
        <v>0.57468305461248015</v>
      </c>
      <c r="I151" s="69">
        <f t="shared" si="45"/>
        <v>27.180380027412482</v>
      </c>
      <c r="J151" s="70">
        <f t="shared" si="46"/>
        <v>2.408541265802874</v>
      </c>
      <c r="K151" s="70">
        <f t="shared" si="47"/>
        <v>1.3595288246798791</v>
      </c>
      <c r="L151" s="70">
        <f t="shared" si="48"/>
        <v>1.2073465668672752</v>
      </c>
      <c r="M151" s="70">
        <f t="shared" si="49"/>
        <v>0.33988220616996978</v>
      </c>
      <c r="N151" s="69">
        <f t="shared" si="50"/>
        <v>32.495678890932474</v>
      </c>
      <c r="O151" s="69">
        <v>130.56</v>
      </c>
      <c r="P151" s="71">
        <f t="shared" si="51"/>
        <v>0.73967355532324619</v>
      </c>
      <c r="Q151" s="72">
        <f t="shared" si="52"/>
        <v>33.988220616996976</v>
      </c>
      <c r="R151" s="72">
        <f t="shared" si="53"/>
        <v>37.149125134377698</v>
      </c>
      <c r="S151" s="71">
        <f t="shared" si="54"/>
        <v>4.3913500000000154E-2</v>
      </c>
      <c r="T151" s="71">
        <v>0.20030000000000001</v>
      </c>
      <c r="U151" s="71">
        <f t="shared" si="55"/>
        <v>0.27747905464549216</v>
      </c>
      <c r="V151" s="72">
        <f t="shared" si="56"/>
        <v>130.56</v>
      </c>
      <c r="W151" s="71">
        <f t="shared" si="43"/>
        <v>0.13980000000000001</v>
      </c>
      <c r="X151" s="71">
        <f t="shared" si="57"/>
        <v>0.7631</v>
      </c>
      <c r="Y151" s="72">
        <f t="shared" si="58"/>
        <v>26.605696972800001</v>
      </c>
      <c r="Z151" s="73">
        <v>60</v>
      </c>
      <c r="AA151" s="74">
        <v>46541</v>
      </c>
    </row>
    <row r="152" spans="1:27" x14ac:dyDescent="0.25">
      <c r="A152" s="67">
        <v>7895296445313</v>
      </c>
      <c r="B152" s="67">
        <v>16418</v>
      </c>
      <c r="C152" s="68" t="s">
        <v>161</v>
      </c>
      <c r="D152" s="68" t="s">
        <v>7</v>
      </c>
      <c r="E152" s="68" t="s">
        <v>8</v>
      </c>
      <c r="F152" s="68" t="s">
        <v>405</v>
      </c>
      <c r="G152" s="69">
        <v>23.728341736000001</v>
      </c>
      <c r="H152" s="69">
        <f t="shared" si="44"/>
        <v>0.51253218149760005</v>
      </c>
      <c r="I152" s="69">
        <f t="shared" si="45"/>
        <v>24.240873917497602</v>
      </c>
      <c r="J152" s="70">
        <f t="shared" si="46"/>
        <v>1.416746630341897</v>
      </c>
      <c r="K152" s="70">
        <f t="shared" si="47"/>
        <v>0.7996989333607456</v>
      </c>
      <c r="L152" s="70">
        <f t="shared" si="48"/>
        <v>0.71018263400767712</v>
      </c>
      <c r="M152" s="70">
        <f t="shared" si="49"/>
        <v>0.1999247333401864</v>
      </c>
      <c r="N152" s="69">
        <f t="shared" si="50"/>
        <v>27.367426848548106</v>
      </c>
      <c r="O152" s="69">
        <v>60.4</v>
      </c>
      <c r="P152" s="71">
        <f t="shared" si="51"/>
        <v>0.66899878586061856</v>
      </c>
      <c r="Q152" s="72">
        <f t="shared" si="52"/>
        <v>19.992473334018641</v>
      </c>
      <c r="R152" s="72">
        <f t="shared" si="53"/>
        <v>21.851773354082372</v>
      </c>
      <c r="S152" s="71">
        <f t="shared" si="54"/>
        <v>-0.36888649999999995</v>
      </c>
      <c r="T152" s="71">
        <v>-0.21249999999999999</v>
      </c>
      <c r="U152" s="71">
        <f t="shared" si="55"/>
        <v>-0.15744329896907217</v>
      </c>
      <c r="V152" s="72">
        <f t="shared" si="56"/>
        <v>60.4</v>
      </c>
      <c r="W152" s="71">
        <f t="shared" si="43"/>
        <v>0.13980000000000001</v>
      </c>
      <c r="X152" s="71">
        <f t="shared" si="57"/>
        <v>0.54330000000000001</v>
      </c>
      <c r="Y152" s="72">
        <f t="shared" si="58"/>
        <v>23.728341736000001</v>
      </c>
      <c r="Z152" s="73">
        <v>9271</v>
      </c>
      <c r="AA152" s="74">
        <v>46608</v>
      </c>
    </row>
    <row r="153" spans="1:27" x14ac:dyDescent="0.25">
      <c r="A153" s="43">
        <v>7895296096034</v>
      </c>
      <c r="B153" s="43">
        <v>10867</v>
      </c>
      <c r="C153" s="44" t="s">
        <v>162</v>
      </c>
      <c r="D153" s="44" t="s">
        <v>7</v>
      </c>
      <c r="E153" s="44" t="s">
        <v>8</v>
      </c>
      <c r="F153" s="44" t="s">
        <v>405</v>
      </c>
      <c r="G153" s="56">
        <v>2.2375075096000012</v>
      </c>
      <c r="H153" s="56">
        <f t="shared" si="44"/>
        <v>4.8330162207360028E-2</v>
      </c>
      <c r="I153" s="56">
        <f t="shared" si="45"/>
        <v>2.2858376718073612</v>
      </c>
      <c r="J153" s="58">
        <f t="shared" si="46"/>
        <v>0.20767128304481647</v>
      </c>
      <c r="K153" s="58">
        <f t="shared" si="47"/>
        <v>0.11722244470806981</v>
      </c>
      <c r="L153" s="58">
        <f t="shared" si="48"/>
        <v>0.10410085730356024</v>
      </c>
      <c r="M153" s="58">
        <f t="shared" si="49"/>
        <v>2.9305611177017452E-2</v>
      </c>
      <c r="N153" s="56">
        <f t="shared" si="50"/>
        <v>2.7441378680408253</v>
      </c>
      <c r="O153" s="56">
        <v>38.14</v>
      </c>
      <c r="P153" s="46">
        <f t="shared" si="51"/>
        <v>0.92316305407179489</v>
      </c>
      <c r="Q153" s="45">
        <f t="shared" si="52"/>
        <v>2.9305611177017452</v>
      </c>
      <c r="R153" s="45">
        <f t="shared" si="53"/>
        <v>3.2031033016480075</v>
      </c>
      <c r="S153" s="46">
        <f t="shared" si="54"/>
        <v>6.3613499999999989E-2</v>
      </c>
      <c r="T153" s="46">
        <v>0.22</v>
      </c>
      <c r="U153" s="46">
        <f t="shared" si="55"/>
        <v>0.30974358974358984</v>
      </c>
      <c r="V153" s="45">
        <f t="shared" si="56"/>
        <v>38.14</v>
      </c>
      <c r="W153" s="46">
        <f t="shared" si="43"/>
        <v>0.13980000000000001</v>
      </c>
      <c r="X153" s="46">
        <f t="shared" si="57"/>
        <v>0.93179999999999996</v>
      </c>
      <c r="Y153" s="45">
        <f t="shared" si="58"/>
        <v>2.2375075096000012</v>
      </c>
      <c r="Z153" s="47">
        <v>217</v>
      </c>
      <c r="AA153" s="48">
        <v>46763</v>
      </c>
    </row>
    <row r="154" spans="1:27" x14ac:dyDescent="0.25">
      <c r="A154" s="49">
        <v>7895296096096</v>
      </c>
      <c r="B154" s="49">
        <v>10472</v>
      </c>
      <c r="C154" s="50" t="s">
        <v>163</v>
      </c>
      <c r="D154" s="50" t="s">
        <v>7</v>
      </c>
      <c r="E154" s="50" t="s">
        <v>8</v>
      </c>
      <c r="F154" s="44" t="s">
        <v>405</v>
      </c>
      <c r="G154" s="56">
        <v>2.8677364803999983</v>
      </c>
      <c r="H154" s="56">
        <f t="shared" si="44"/>
        <v>6.1943107976639968E-2</v>
      </c>
      <c r="I154" s="56">
        <f t="shared" si="45"/>
        <v>2.9296795883766382</v>
      </c>
      <c r="J154" s="58">
        <f t="shared" si="46"/>
        <v>0.26616514660348983</v>
      </c>
      <c r="K154" s="58">
        <f t="shared" si="47"/>
        <v>0.15023997889110963</v>
      </c>
      <c r="L154" s="58">
        <f t="shared" si="48"/>
        <v>0.13342249125398603</v>
      </c>
      <c r="M154" s="58">
        <f t="shared" si="49"/>
        <v>3.7559994722777407E-2</v>
      </c>
      <c r="N154" s="56">
        <f t="shared" si="50"/>
        <v>3.5170671998480008</v>
      </c>
      <c r="O154" s="56">
        <v>63.26</v>
      </c>
      <c r="P154" s="46">
        <f t="shared" si="51"/>
        <v>0.94062599632820509</v>
      </c>
      <c r="Q154" s="45">
        <f t="shared" si="52"/>
        <v>3.755999472277741</v>
      </c>
      <c r="R154" s="45">
        <f t="shared" si="53"/>
        <v>4.1053074231995703</v>
      </c>
      <c r="S154" s="46">
        <f t="shared" si="54"/>
        <v>6.3613500000000045E-2</v>
      </c>
      <c r="T154" s="46">
        <v>0.22</v>
      </c>
      <c r="U154" s="46">
        <f t="shared" si="55"/>
        <v>0.30974358974358962</v>
      </c>
      <c r="V154" s="51">
        <f t="shared" si="56"/>
        <v>63.26</v>
      </c>
      <c r="W154" s="46">
        <f t="shared" si="43"/>
        <v>0.13980000000000001</v>
      </c>
      <c r="X154" s="52">
        <f t="shared" si="57"/>
        <v>0.94730000000000003</v>
      </c>
      <c r="Y154" s="45">
        <f t="shared" si="58"/>
        <v>2.8677364803999983</v>
      </c>
      <c r="Z154" s="53">
        <v>0</v>
      </c>
      <c r="AA154" s="54" t="s">
        <v>403</v>
      </c>
    </row>
    <row r="155" spans="1:27" x14ac:dyDescent="0.25">
      <c r="A155" s="49">
        <v>7895296393027</v>
      </c>
      <c r="B155" s="49">
        <v>11359</v>
      </c>
      <c r="C155" s="50" t="s">
        <v>164</v>
      </c>
      <c r="D155" s="50" t="s">
        <v>7</v>
      </c>
      <c r="E155" s="50" t="s">
        <v>8</v>
      </c>
      <c r="F155" s="44" t="s">
        <v>405</v>
      </c>
      <c r="G155" s="56">
        <v>4.0515007104000009</v>
      </c>
      <c r="H155" s="56">
        <f t="shared" si="44"/>
        <v>8.7512415344640021E-2</v>
      </c>
      <c r="I155" s="56">
        <f t="shared" si="45"/>
        <v>4.1390131257446408</v>
      </c>
      <c r="J155" s="58">
        <f t="shared" si="46"/>
        <v>0.37603464890098487</v>
      </c>
      <c r="K155" s="58">
        <f t="shared" si="47"/>
        <v>0.21225708337152002</v>
      </c>
      <c r="L155" s="58">
        <f t="shared" si="48"/>
        <v>0.1884975561016205</v>
      </c>
      <c r="M155" s="58">
        <f t="shared" si="49"/>
        <v>5.3064270842880006E-2</v>
      </c>
      <c r="N155" s="56">
        <f t="shared" si="50"/>
        <v>4.9688666849616459</v>
      </c>
      <c r="O155" s="56">
        <v>25.16</v>
      </c>
      <c r="P155" s="46">
        <f t="shared" si="51"/>
        <v>0.78909272320000001</v>
      </c>
      <c r="Q155" s="45">
        <f t="shared" si="52"/>
        <v>5.3064270842880008</v>
      </c>
      <c r="R155" s="45">
        <f t="shared" si="53"/>
        <v>5.7999248031267845</v>
      </c>
      <c r="S155" s="46">
        <f t="shared" si="54"/>
        <v>6.3613500000000045E-2</v>
      </c>
      <c r="T155" s="46">
        <v>0.22</v>
      </c>
      <c r="U155" s="46">
        <f t="shared" si="55"/>
        <v>0.30974358974358962</v>
      </c>
      <c r="V155" s="51">
        <f t="shared" si="56"/>
        <v>25.16</v>
      </c>
      <c r="W155" s="46">
        <f t="shared" si="43"/>
        <v>0.13980000000000001</v>
      </c>
      <c r="X155" s="52">
        <f t="shared" si="57"/>
        <v>0.81279999999999997</v>
      </c>
      <c r="Y155" s="45">
        <f t="shared" si="58"/>
        <v>4.0515007104000009</v>
      </c>
      <c r="Z155" s="53">
        <v>0</v>
      </c>
      <c r="AA155" s="54" t="s">
        <v>403</v>
      </c>
    </row>
    <row r="156" spans="1:27" x14ac:dyDescent="0.25">
      <c r="A156" s="43">
        <v>7895296232081</v>
      </c>
      <c r="B156" s="43">
        <v>10782</v>
      </c>
      <c r="C156" s="44" t="s">
        <v>165</v>
      </c>
      <c r="D156" s="44" t="s">
        <v>7</v>
      </c>
      <c r="E156" s="44" t="s">
        <v>8</v>
      </c>
      <c r="F156" s="44" t="s">
        <v>405</v>
      </c>
      <c r="G156" s="56">
        <v>5.9797078264000039</v>
      </c>
      <c r="H156" s="56">
        <f t="shared" si="44"/>
        <v>0.12916168905024009</v>
      </c>
      <c r="I156" s="56">
        <f t="shared" si="45"/>
        <v>6.1088695154502437</v>
      </c>
      <c r="J156" s="58">
        <f t="shared" si="46"/>
        <v>0.55499862736264882</v>
      </c>
      <c r="K156" s="58">
        <f t="shared" si="47"/>
        <v>0.31327535976667914</v>
      </c>
      <c r="L156" s="58">
        <f t="shared" si="48"/>
        <v>0.27820809918279649</v>
      </c>
      <c r="M156" s="58">
        <f t="shared" si="49"/>
        <v>7.8318839941669785E-2</v>
      </c>
      <c r="N156" s="56">
        <f t="shared" si="50"/>
        <v>7.3336704417040384</v>
      </c>
      <c r="O156" s="56">
        <v>85.61</v>
      </c>
      <c r="P156" s="46">
        <f t="shared" si="51"/>
        <v>0.90851671540512824</v>
      </c>
      <c r="Q156" s="45">
        <f t="shared" si="52"/>
        <v>7.8318839941669784</v>
      </c>
      <c r="R156" s="45">
        <f t="shared" si="53"/>
        <v>8.5602492056245065</v>
      </c>
      <c r="S156" s="46">
        <f t="shared" si="54"/>
        <v>6.3613499999999878E-2</v>
      </c>
      <c r="T156" s="46">
        <v>0.22</v>
      </c>
      <c r="U156" s="46">
        <f t="shared" si="55"/>
        <v>0.30974358974358962</v>
      </c>
      <c r="V156" s="45">
        <f t="shared" si="56"/>
        <v>85.61</v>
      </c>
      <c r="W156" s="46">
        <f t="shared" si="43"/>
        <v>0.13980000000000001</v>
      </c>
      <c r="X156" s="46">
        <f t="shared" si="57"/>
        <v>0.91879999999999995</v>
      </c>
      <c r="Y156" s="45">
        <f t="shared" si="58"/>
        <v>5.9797078264000039</v>
      </c>
      <c r="Z156" s="47">
        <v>1</v>
      </c>
      <c r="AA156" s="48">
        <v>46773</v>
      </c>
    </row>
    <row r="157" spans="1:27" x14ac:dyDescent="0.25">
      <c r="A157" s="67">
        <v>7895296211185</v>
      </c>
      <c r="B157" s="67">
        <v>11073</v>
      </c>
      <c r="C157" s="68" t="s">
        <v>166</v>
      </c>
      <c r="D157" s="68" t="s">
        <v>7</v>
      </c>
      <c r="E157" s="68" t="s">
        <v>8</v>
      </c>
      <c r="F157" s="68" t="s">
        <v>405</v>
      </c>
      <c r="G157" s="69">
        <v>11.140372782000002</v>
      </c>
      <c r="H157" s="69">
        <f t="shared" si="44"/>
        <v>0.24063205209120006</v>
      </c>
      <c r="I157" s="69">
        <f t="shared" si="45"/>
        <v>11.381004834091202</v>
      </c>
      <c r="J157" s="70">
        <f t="shared" si="46"/>
        <v>0.92066612621351485</v>
      </c>
      <c r="K157" s="70">
        <f t="shared" si="47"/>
        <v>0.51968058603156175</v>
      </c>
      <c r="L157" s="70">
        <f t="shared" si="48"/>
        <v>0.46150884043265383</v>
      </c>
      <c r="M157" s="70">
        <f t="shared" si="49"/>
        <v>0.12992014650789044</v>
      </c>
      <c r="N157" s="69">
        <f t="shared" si="50"/>
        <v>13.412780533276823</v>
      </c>
      <c r="O157" s="69">
        <v>70.77</v>
      </c>
      <c r="P157" s="71">
        <f t="shared" si="51"/>
        <v>0.81641917972602729</v>
      </c>
      <c r="Q157" s="72">
        <f t="shared" si="52"/>
        <v>12.992014650789043</v>
      </c>
      <c r="R157" s="72">
        <f t="shared" si="53"/>
        <v>14.200272013312425</v>
      </c>
      <c r="S157" s="71">
        <f t="shared" si="54"/>
        <v>-3.2386500000000054E-2</v>
      </c>
      <c r="T157" s="71">
        <v>0.124</v>
      </c>
      <c r="U157" s="71">
        <f t="shared" si="55"/>
        <v>0.16621004566210051</v>
      </c>
      <c r="V157" s="72">
        <f t="shared" si="56"/>
        <v>70.77</v>
      </c>
      <c r="W157" s="71">
        <f t="shared" si="43"/>
        <v>0.13980000000000001</v>
      </c>
      <c r="X157" s="71">
        <f t="shared" si="57"/>
        <v>0.81699999999999995</v>
      </c>
      <c r="Y157" s="72">
        <f t="shared" si="58"/>
        <v>11.140372782000002</v>
      </c>
      <c r="Z157" s="73">
        <v>596</v>
      </c>
      <c r="AA157" s="74">
        <v>46425</v>
      </c>
    </row>
    <row r="158" spans="1:27" x14ac:dyDescent="0.25">
      <c r="A158" s="67">
        <v>7895296192019</v>
      </c>
      <c r="B158" s="67">
        <v>10475</v>
      </c>
      <c r="C158" s="68" t="s">
        <v>167</v>
      </c>
      <c r="D158" s="68" t="s">
        <v>7</v>
      </c>
      <c r="E158" s="68" t="s">
        <v>8</v>
      </c>
      <c r="F158" s="68" t="s">
        <v>405</v>
      </c>
      <c r="G158" s="69">
        <v>2.337141034800001</v>
      </c>
      <c r="H158" s="69">
        <f t="shared" si="44"/>
        <v>5.0482246351680027E-2</v>
      </c>
      <c r="I158" s="69">
        <f t="shared" si="45"/>
        <v>2.3876232811516811</v>
      </c>
      <c r="J158" s="70">
        <f t="shared" si="46"/>
        <v>0.20483842154422849</v>
      </c>
      <c r="K158" s="70">
        <f t="shared" si="47"/>
        <v>0.11562340344560199</v>
      </c>
      <c r="L158" s="70">
        <f t="shared" si="48"/>
        <v>0.10268080872240992</v>
      </c>
      <c r="M158" s="70">
        <f t="shared" si="49"/>
        <v>2.8905850861400496E-2</v>
      </c>
      <c r="N158" s="69">
        <f t="shared" si="50"/>
        <v>2.8396717657253219</v>
      </c>
      <c r="O158" s="69">
        <v>20.49</v>
      </c>
      <c r="P158" s="71">
        <f t="shared" si="51"/>
        <v>0.85892703337530263</v>
      </c>
      <c r="Q158" s="72">
        <f t="shared" si="52"/>
        <v>2.8905850861400495</v>
      </c>
      <c r="R158" s="72">
        <f t="shared" si="53"/>
        <v>3.1594094991510744</v>
      </c>
      <c r="S158" s="71">
        <f t="shared" si="54"/>
        <v>1.7613499999999952E-2</v>
      </c>
      <c r="T158" s="71">
        <v>0.17399999999999999</v>
      </c>
      <c r="U158" s="71">
        <f t="shared" si="55"/>
        <v>0.23680387409200954</v>
      </c>
      <c r="V158" s="72">
        <f t="shared" si="56"/>
        <v>20.49</v>
      </c>
      <c r="W158" s="71">
        <f t="shared" si="43"/>
        <v>0.13980000000000001</v>
      </c>
      <c r="X158" s="71">
        <f t="shared" si="57"/>
        <v>0.86739999999999995</v>
      </c>
      <c r="Y158" s="72">
        <f t="shared" si="58"/>
        <v>2.337141034800001</v>
      </c>
      <c r="Z158" s="73">
        <v>62</v>
      </c>
      <c r="AA158" s="74">
        <v>46531</v>
      </c>
    </row>
    <row r="159" spans="1:27" x14ac:dyDescent="0.25">
      <c r="A159" s="49">
        <v>7895296290012</v>
      </c>
      <c r="B159" s="49">
        <v>10476</v>
      </c>
      <c r="C159" s="50" t="s">
        <v>168</v>
      </c>
      <c r="D159" s="50" t="s">
        <v>7</v>
      </c>
      <c r="E159" s="50" t="s">
        <v>48</v>
      </c>
      <c r="F159" s="44" t="s">
        <v>405</v>
      </c>
      <c r="G159" s="56">
        <v>5.5702612283999997</v>
      </c>
      <c r="H159" s="56">
        <f t="shared" si="44"/>
        <v>0.12031764253344</v>
      </c>
      <c r="I159" s="56">
        <f t="shared" si="45"/>
        <v>5.6905788709334395</v>
      </c>
      <c r="J159" s="58">
        <f t="shared" si="46"/>
        <v>0.51699638603824005</v>
      </c>
      <c r="K159" s="58">
        <f t="shared" si="47"/>
        <v>0.29182455748376612</v>
      </c>
      <c r="L159" s="58">
        <f t="shared" si="48"/>
        <v>0.25915844608042704</v>
      </c>
      <c r="M159" s="58">
        <f t="shared" si="49"/>
        <v>7.2956139370941531E-2</v>
      </c>
      <c r="N159" s="56">
        <f t="shared" si="50"/>
        <v>6.8315143999068146</v>
      </c>
      <c r="O159" s="56">
        <v>16.34</v>
      </c>
      <c r="P159" s="46">
        <f t="shared" si="51"/>
        <v>0.55351199895384617</v>
      </c>
      <c r="Q159" s="45">
        <f t="shared" si="52"/>
        <v>7.2956139370941528</v>
      </c>
      <c r="R159" s="45">
        <f t="shared" si="53"/>
        <v>7.9741060332439089</v>
      </c>
      <c r="S159" s="46">
        <f t="shared" si="54"/>
        <v>6.3613499999999906E-2</v>
      </c>
      <c r="T159" s="46">
        <v>0.22</v>
      </c>
      <c r="U159" s="46">
        <f t="shared" si="55"/>
        <v>0.30974358974358962</v>
      </c>
      <c r="V159" s="51">
        <f t="shared" si="56"/>
        <v>16.34</v>
      </c>
      <c r="W159" s="46">
        <f t="shared" si="43"/>
        <v>0.13980000000000001</v>
      </c>
      <c r="X159" s="52">
        <f t="shared" si="57"/>
        <v>0.60370000000000001</v>
      </c>
      <c r="Y159" s="45">
        <f t="shared" si="58"/>
        <v>5.5702612283999997</v>
      </c>
      <c r="Z159" s="53">
        <v>0</v>
      </c>
      <c r="AA159" s="54" t="s">
        <v>403</v>
      </c>
    </row>
    <row r="160" spans="1:27" x14ac:dyDescent="0.25">
      <c r="A160" s="67">
        <v>7895296288019</v>
      </c>
      <c r="B160" s="67">
        <v>10477</v>
      </c>
      <c r="C160" s="68" t="s">
        <v>169</v>
      </c>
      <c r="D160" s="68" t="s">
        <v>7</v>
      </c>
      <c r="E160" s="68" t="s">
        <v>8</v>
      </c>
      <c r="F160" s="68" t="s">
        <v>405</v>
      </c>
      <c r="G160" s="69">
        <v>2.4538684543999989</v>
      </c>
      <c r="H160" s="69">
        <f t="shared" si="44"/>
        <v>5.3003558615039977E-2</v>
      </c>
      <c r="I160" s="69">
        <f t="shared" si="45"/>
        <v>2.5068720130150388</v>
      </c>
      <c r="J160" s="70">
        <f t="shared" si="46"/>
        <v>0.21198923428436481</v>
      </c>
      <c r="K160" s="70">
        <f t="shared" si="47"/>
        <v>0.11965976195775842</v>
      </c>
      <c r="L160" s="70">
        <f t="shared" si="48"/>
        <v>0.10626534735361182</v>
      </c>
      <c r="M160" s="70">
        <f t="shared" si="49"/>
        <v>2.9914940489439604E-2</v>
      </c>
      <c r="N160" s="69">
        <f t="shared" si="50"/>
        <v>2.9747012971002134</v>
      </c>
      <c r="O160" s="69">
        <v>18.559999999999999</v>
      </c>
      <c r="P160" s="71">
        <f t="shared" si="51"/>
        <v>0.83882036374224356</v>
      </c>
      <c r="Q160" s="72">
        <f t="shared" si="52"/>
        <v>2.9914940489439603</v>
      </c>
      <c r="R160" s="72">
        <f t="shared" si="53"/>
        <v>3.2697029954957486</v>
      </c>
      <c r="S160" s="71">
        <f t="shared" si="54"/>
        <v>5.6135000000000117E-3</v>
      </c>
      <c r="T160" s="71">
        <v>0.16200000000000001</v>
      </c>
      <c r="U160" s="71">
        <f t="shared" si="55"/>
        <v>0.21909307875894979</v>
      </c>
      <c r="V160" s="72">
        <f t="shared" si="56"/>
        <v>18.559999999999999</v>
      </c>
      <c r="W160" s="71">
        <f t="shared" si="43"/>
        <v>0.13980000000000001</v>
      </c>
      <c r="X160" s="71">
        <f t="shared" si="57"/>
        <v>0.84630000000000005</v>
      </c>
      <c r="Y160" s="72">
        <f t="shared" si="58"/>
        <v>2.4538684543999989</v>
      </c>
      <c r="Z160" s="73">
        <v>858</v>
      </c>
      <c r="AA160" s="74">
        <v>46434</v>
      </c>
    </row>
    <row r="161" spans="1:27" x14ac:dyDescent="0.25">
      <c r="A161" s="67">
        <v>7895296449274</v>
      </c>
      <c r="B161" s="67">
        <v>16264</v>
      </c>
      <c r="C161" s="68" t="s">
        <v>170</v>
      </c>
      <c r="D161" s="68" t="s">
        <v>7</v>
      </c>
      <c r="E161" s="68" t="s">
        <v>8</v>
      </c>
      <c r="F161" s="68" t="s">
        <v>405</v>
      </c>
      <c r="G161" s="69">
        <v>3.1218894520000005</v>
      </c>
      <c r="H161" s="69">
        <f t="shared" si="44"/>
        <v>6.7432812163200018E-2</v>
      </c>
      <c r="I161" s="69">
        <f t="shared" si="45"/>
        <v>3.1893222641632004</v>
      </c>
      <c r="J161" s="70">
        <f t="shared" si="46"/>
        <v>0.21221420932174748</v>
      </c>
      <c r="K161" s="70">
        <f t="shared" si="47"/>
        <v>0.11978675170566012</v>
      </c>
      <c r="L161" s="70">
        <f t="shared" si="48"/>
        <v>0.10637812218660779</v>
      </c>
      <c r="M161" s="70">
        <f t="shared" si="49"/>
        <v>2.9946687926415031E-2</v>
      </c>
      <c r="N161" s="69">
        <f t="shared" si="50"/>
        <v>3.6576480353036311</v>
      </c>
      <c r="O161" s="69">
        <v>15.8</v>
      </c>
      <c r="P161" s="71">
        <f t="shared" si="51"/>
        <v>0.81046400046572764</v>
      </c>
      <c r="Q161" s="72">
        <f t="shared" si="52"/>
        <v>2.994668792641503</v>
      </c>
      <c r="R161" s="72">
        <f t="shared" si="53"/>
        <v>3.2731729903571627</v>
      </c>
      <c r="S161" s="71">
        <f t="shared" si="54"/>
        <v>-0.22138650000000001</v>
      </c>
      <c r="T161" s="71">
        <v>-6.5000000000000002E-2</v>
      </c>
      <c r="U161" s="71">
        <f t="shared" si="55"/>
        <v>-4.0751173708920119E-2</v>
      </c>
      <c r="V161" s="72">
        <f t="shared" si="56"/>
        <v>15.8</v>
      </c>
      <c r="W161" s="71">
        <f t="shared" si="43"/>
        <v>0.13980000000000001</v>
      </c>
      <c r="X161" s="71">
        <f t="shared" si="57"/>
        <v>0.77029999999999998</v>
      </c>
      <c r="Y161" s="72">
        <f t="shared" si="58"/>
        <v>3.1218894520000005</v>
      </c>
      <c r="Z161" s="73">
        <v>2545</v>
      </c>
      <c r="AA161" s="74">
        <v>46505</v>
      </c>
    </row>
    <row r="162" spans="1:27" x14ac:dyDescent="0.25">
      <c r="A162" s="49">
        <v>7895296449281</v>
      </c>
      <c r="B162" s="49">
        <v>16230</v>
      </c>
      <c r="C162" s="50" t="s">
        <v>171</v>
      </c>
      <c r="D162" s="50" t="s">
        <v>7</v>
      </c>
      <c r="E162" s="50" t="s">
        <v>8</v>
      </c>
      <c r="F162" s="44" t="s">
        <v>405</v>
      </c>
      <c r="G162" s="56">
        <v>4.2269298984000017</v>
      </c>
      <c r="H162" s="56">
        <f t="shared" si="44"/>
        <v>9.1301685805440042E-2</v>
      </c>
      <c r="I162" s="56">
        <f t="shared" si="45"/>
        <v>4.3182315842054413</v>
      </c>
      <c r="J162" s="58">
        <f t="shared" si="46"/>
        <v>0.39231687561940304</v>
      </c>
      <c r="K162" s="58">
        <f t="shared" si="47"/>
        <v>0.22144777354899697</v>
      </c>
      <c r="L162" s="58">
        <f t="shared" si="48"/>
        <v>0.19665946339735613</v>
      </c>
      <c r="M162" s="58">
        <f t="shared" si="49"/>
        <v>5.5361943387249243E-2</v>
      </c>
      <c r="N162" s="56">
        <f t="shared" si="50"/>
        <v>5.184017640158447</v>
      </c>
      <c r="O162" s="56">
        <v>31.14</v>
      </c>
      <c r="P162" s="46">
        <f t="shared" si="51"/>
        <v>0.82221598141538454</v>
      </c>
      <c r="Q162" s="45">
        <f t="shared" si="52"/>
        <v>5.5361943387249246</v>
      </c>
      <c r="R162" s="45">
        <f t="shared" si="53"/>
        <v>6.0510604122263425</v>
      </c>
      <c r="S162" s="46">
        <f t="shared" si="54"/>
        <v>6.3613499999999934E-2</v>
      </c>
      <c r="T162" s="46">
        <v>0.22</v>
      </c>
      <c r="U162" s="46">
        <f t="shared" si="55"/>
        <v>0.30974358974358962</v>
      </c>
      <c r="V162" s="51">
        <f t="shared" si="56"/>
        <v>31.14</v>
      </c>
      <c r="W162" s="46">
        <f t="shared" si="43"/>
        <v>0.13980000000000001</v>
      </c>
      <c r="X162" s="52">
        <f t="shared" si="57"/>
        <v>0.84219999999999995</v>
      </c>
      <c r="Y162" s="45">
        <f t="shared" si="58"/>
        <v>4.2269298984000017</v>
      </c>
      <c r="Z162" s="53">
        <v>0</v>
      </c>
      <c r="AA162" s="54" t="s">
        <v>403</v>
      </c>
    </row>
    <row r="163" spans="1:27" x14ac:dyDescent="0.25">
      <c r="A163" s="49">
        <v>7898103651044</v>
      </c>
      <c r="B163" s="49">
        <v>24737</v>
      </c>
      <c r="C163" s="50" t="s">
        <v>172</v>
      </c>
      <c r="D163" s="50" t="s">
        <v>12</v>
      </c>
      <c r="E163" s="50" t="s">
        <v>8</v>
      </c>
      <c r="F163" s="44" t="s">
        <v>405</v>
      </c>
      <c r="G163" s="56">
        <v>49.810930444000007</v>
      </c>
      <c r="H163" s="56">
        <f t="shared" si="44"/>
        <v>1.0759160975904003</v>
      </c>
      <c r="I163" s="56">
        <f t="shared" si="45"/>
        <v>50.886846541590408</v>
      </c>
      <c r="J163" s="58">
        <f t="shared" si="46"/>
        <v>4.6231352478503371</v>
      </c>
      <c r="K163" s="58">
        <f t="shared" si="47"/>
        <v>2.6095818739277132</v>
      </c>
      <c r="L163" s="58">
        <f t="shared" si="48"/>
        <v>2.3174718029149295</v>
      </c>
      <c r="M163" s="58">
        <f t="shared" si="49"/>
        <v>0.65239546848192831</v>
      </c>
      <c r="N163" s="56">
        <f t="shared" si="50"/>
        <v>61.089430934765318</v>
      </c>
      <c r="O163" s="56">
        <v>141.58000000000001</v>
      </c>
      <c r="P163" s="46">
        <f t="shared" si="51"/>
        <v>0.53920365271794868</v>
      </c>
      <c r="Q163" s="45">
        <f t="shared" si="52"/>
        <v>65.23954684819283</v>
      </c>
      <c r="R163" s="45">
        <f t="shared" si="53"/>
        <v>71.30682470507476</v>
      </c>
      <c r="S163" s="46">
        <f t="shared" si="54"/>
        <v>6.3613499999999976E-2</v>
      </c>
      <c r="T163" s="46">
        <v>0.22</v>
      </c>
      <c r="U163" s="46">
        <f t="shared" si="55"/>
        <v>0.30974358974358984</v>
      </c>
      <c r="V163" s="51">
        <f t="shared" si="56"/>
        <v>141.58000000000001</v>
      </c>
      <c r="W163" s="46">
        <f t="shared" si="43"/>
        <v>0.13980000000000001</v>
      </c>
      <c r="X163" s="52">
        <f t="shared" si="57"/>
        <v>0.59099999999999997</v>
      </c>
      <c r="Y163" s="45">
        <f t="shared" si="58"/>
        <v>49.810930444000007</v>
      </c>
      <c r="Z163" s="53">
        <v>0</v>
      </c>
      <c r="AA163" s="54" t="s">
        <v>403</v>
      </c>
    </row>
    <row r="164" spans="1:27" x14ac:dyDescent="0.25">
      <c r="A164" s="67">
        <v>7898103651037</v>
      </c>
      <c r="B164" s="67">
        <v>24738</v>
      </c>
      <c r="C164" s="68" t="s">
        <v>173</v>
      </c>
      <c r="D164" s="68" t="s">
        <v>12</v>
      </c>
      <c r="E164" s="68" t="s">
        <v>8</v>
      </c>
      <c r="F164" s="68" t="s">
        <v>405</v>
      </c>
      <c r="G164" s="69">
        <v>41.777042652399992</v>
      </c>
      <c r="H164" s="69">
        <f t="shared" si="44"/>
        <v>0.90238412129183987</v>
      </c>
      <c r="I164" s="69">
        <f t="shared" si="45"/>
        <v>42.67942677369183</v>
      </c>
      <c r="J164" s="70">
        <f t="shared" si="46"/>
        <v>3.5423224395536401</v>
      </c>
      <c r="K164" s="70">
        <f t="shared" si="47"/>
        <v>1.9995046509108376</v>
      </c>
      <c r="L164" s="70">
        <f t="shared" si="48"/>
        <v>1.7756850990495057</v>
      </c>
      <c r="M164" s="70">
        <f t="shared" si="49"/>
        <v>0.49987616272770941</v>
      </c>
      <c r="N164" s="69">
        <f t="shared" si="50"/>
        <v>50.496815125933523</v>
      </c>
      <c r="O164" s="69">
        <v>115.69</v>
      </c>
      <c r="P164" s="71">
        <f t="shared" si="51"/>
        <v>0.56791757046615143</v>
      </c>
      <c r="Q164" s="72">
        <f t="shared" si="52"/>
        <v>49.987616272770943</v>
      </c>
      <c r="R164" s="72">
        <f t="shared" si="53"/>
        <v>54.636464586138636</v>
      </c>
      <c r="S164" s="71">
        <f t="shared" si="54"/>
        <v>-1.0186499999999979E-2</v>
      </c>
      <c r="T164" s="71">
        <v>0.1462</v>
      </c>
      <c r="U164" s="71">
        <f t="shared" si="55"/>
        <v>0.19653314593581639</v>
      </c>
      <c r="V164" s="72">
        <f t="shared" si="56"/>
        <v>115.69</v>
      </c>
      <c r="W164" s="71">
        <f t="shared" si="43"/>
        <v>0.13980000000000001</v>
      </c>
      <c r="X164" s="71">
        <f t="shared" si="57"/>
        <v>0.58020000000000005</v>
      </c>
      <c r="Y164" s="72">
        <f t="shared" si="58"/>
        <v>41.777042652399992</v>
      </c>
      <c r="Z164" s="73">
        <v>20</v>
      </c>
      <c r="AA164" s="74">
        <v>46414</v>
      </c>
    </row>
    <row r="165" spans="1:27" x14ac:dyDescent="0.25">
      <c r="A165" s="49">
        <v>7895296240109</v>
      </c>
      <c r="B165" s="49">
        <v>11717</v>
      </c>
      <c r="C165" s="50" t="s">
        <v>174</v>
      </c>
      <c r="D165" s="50" t="s">
        <v>7</v>
      </c>
      <c r="E165" s="50" t="s">
        <v>8</v>
      </c>
      <c r="F165" s="44" t="s">
        <v>405</v>
      </c>
      <c r="G165" s="56">
        <v>1.9326973599999997</v>
      </c>
      <c r="H165" s="56">
        <f t="shared" si="44"/>
        <v>4.1746262976000002E-2</v>
      </c>
      <c r="I165" s="56">
        <f t="shared" si="45"/>
        <v>1.9744436229759996</v>
      </c>
      <c r="J165" s="58">
        <f t="shared" si="46"/>
        <v>0.17938073448534775</v>
      </c>
      <c r="K165" s="58">
        <f t="shared" si="47"/>
        <v>0.10125351912697435</v>
      </c>
      <c r="L165" s="58">
        <f t="shared" si="48"/>
        <v>8.9919453329698668E-2</v>
      </c>
      <c r="M165" s="58">
        <f t="shared" si="49"/>
        <v>2.5313379781743587E-2</v>
      </c>
      <c r="N165" s="56">
        <f t="shared" si="50"/>
        <v>2.3703107096997642</v>
      </c>
      <c r="O165" s="56">
        <v>34.25</v>
      </c>
      <c r="P165" s="46">
        <f t="shared" si="51"/>
        <v>0.92609232180512813</v>
      </c>
      <c r="Q165" s="45">
        <f t="shared" si="52"/>
        <v>2.5313379781743586</v>
      </c>
      <c r="R165" s="45">
        <f t="shared" si="53"/>
        <v>2.7667524101445742</v>
      </c>
      <c r="S165" s="46">
        <f t="shared" si="54"/>
        <v>6.361349999999992E-2</v>
      </c>
      <c r="T165" s="46">
        <v>0.22</v>
      </c>
      <c r="U165" s="46">
        <f t="shared" si="55"/>
        <v>0.30974358974358984</v>
      </c>
      <c r="V165" s="51">
        <f t="shared" si="56"/>
        <v>34.25</v>
      </c>
      <c r="W165" s="46">
        <f t="shared" si="43"/>
        <v>0.13980000000000001</v>
      </c>
      <c r="X165" s="52">
        <f t="shared" si="57"/>
        <v>0.93440000000000001</v>
      </c>
      <c r="Y165" s="45">
        <f t="shared" si="58"/>
        <v>1.9326973599999997</v>
      </c>
      <c r="Z165" s="53">
        <v>0</v>
      </c>
      <c r="AA165" s="54">
        <v>46800</v>
      </c>
    </row>
    <row r="166" spans="1:27" x14ac:dyDescent="0.25">
      <c r="A166" s="49">
        <v>7895296240093</v>
      </c>
      <c r="B166" s="49">
        <v>10868</v>
      </c>
      <c r="C166" s="50" t="s">
        <v>175</v>
      </c>
      <c r="D166" s="50" t="s">
        <v>7</v>
      </c>
      <c r="E166" s="50" t="s">
        <v>8</v>
      </c>
      <c r="F166" s="44" t="s">
        <v>405</v>
      </c>
      <c r="G166" s="56">
        <v>2.2136455615999986</v>
      </c>
      <c r="H166" s="56">
        <f t="shared" si="44"/>
        <v>4.7814744130559972E-2</v>
      </c>
      <c r="I166" s="56">
        <f t="shared" si="45"/>
        <v>2.2614603057305587</v>
      </c>
      <c r="J166" s="58">
        <f t="shared" si="46"/>
        <v>0.20545656808370552</v>
      </c>
      <c r="K166" s="58">
        <f t="shared" si="47"/>
        <v>0.11597232337079788</v>
      </c>
      <c r="L166" s="58">
        <f t="shared" si="48"/>
        <v>0.1029906714234792</v>
      </c>
      <c r="M166" s="58">
        <f t="shared" si="49"/>
        <v>2.899308084269947E-2</v>
      </c>
      <c r="N166" s="56">
        <f t="shared" si="50"/>
        <v>2.7148729494512409</v>
      </c>
      <c r="O166" s="56">
        <v>46.96</v>
      </c>
      <c r="P166" s="46">
        <f t="shared" si="51"/>
        <v>0.93826004931282059</v>
      </c>
      <c r="Q166" s="45">
        <f t="shared" si="52"/>
        <v>2.899308084269947</v>
      </c>
      <c r="R166" s="45">
        <f t="shared" si="53"/>
        <v>3.1689437361070518</v>
      </c>
      <c r="S166" s="46">
        <f t="shared" si="54"/>
        <v>6.3613499999999948E-2</v>
      </c>
      <c r="T166" s="46">
        <v>0.22</v>
      </c>
      <c r="U166" s="46">
        <f t="shared" si="55"/>
        <v>0.30974358974358984</v>
      </c>
      <c r="V166" s="51">
        <f t="shared" si="56"/>
        <v>46.96</v>
      </c>
      <c r="W166" s="46">
        <f t="shared" si="43"/>
        <v>0.13980000000000001</v>
      </c>
      <c r="X166" s="52">
        <f t="shared" si="57"/>
        <v>0.94520000000000004</v>
      </c>
      <c r="Y166" s="45">
        <f t="shared" si="58"/>
        <v>2.2136455615999986</v>
      </c>
      <c r="Z166" s="53">
        <v>0</v>
      </c>
      <c r="AA166" s="54" t="s">
        <v>403</v>
      </c>
    </row>
    <row r="167" spans="1:27" x14ac:dyDescent="0.25">
      <c r="A167" s="67">
        <v>7895296240031</v>
      </c>
      <c r="B167" s="67">
        <v>11718</v>
      </c>
      <c r="C167" s="68" t="s">
        <v>176</v>
      </c>
      <c r="D167" s="68" t="s">
        <v>7</v>
      </c>
      <c r="E167" s="68" t="s">
        <v>8</v>
      </c>
      <c r="F167" s="68" t="s">
        <v>405</v>
      </c>
      <c r="G167" s="69">
        <v>3.0697527300000029</v>
      </c>
      <c r="H167" s="69">
        <f t="shared" si="44"/>
        <v>6.6306658968000073E-2</v>
      </c>
      <c r="I167" s="69">
        <f t="shared" si="45"/>
        <v>3.1360593889680031</v>
      </c>
      <c r="J167" s="70">
        <f t="shared" si="46"/>
        <v>0.28310027075137401</v>
      </c>
      <c r="K167" s="70">
        <f t="shared" si="47"/>
        <v>0.15979920453340143</v>
      </c>
      <c r="L167" s="70">
        <f t="shared" si="48"/>
        <v>0.14191168107594382</v>
      </c>
      <c r="M167" s="70">
        <f t="shared" si="49"/>
        <v>3.9949801133350359E-2</v>
      </c>
      <c r="N167" s="69">
        <f t="shared" si="50"/>
        <v>3.7608203464620726</v>
      </c>
      <c r="O167" s="69">
        <v>96.45</v>
      </c>
      <c r="P167" s="71">
        <f t="shared" si="51"/>
        <v>0.95857978109554143</v>
      </c>
      <c r="Q167" s="72">
        <f t="shared" si="52"/>
        <v>3.9949801133350356</v>
      </c>
      <c r="R167" s="72">
        <f t="shared" si="53"/>
        <v>4.366513263875194</v>
      </c>
      <c r="S167" s="71">
        <f t="shared" si="54"/>
        <v>5.861349999999995E-2</v>
      </c>
      <c r="T167" s="71">
        <v>0.215</v>
      </c>
      <c r="U167" s="71">
        <f t="shared" si="55"/>
        <v>0.30140127388535021</v>
      </c>
      <c r="V167" s="72">
        <f t="shared" si="56"/>
        <v>96.45</v>
      </c>
      <c r="W167" s="71">
        <f t="shared" si="43"/>
        <v>0.13980000000000001</v>
      </c>
      <c r="X167" s="71">
        <f t="shared" si="57"/>
        <v>0.96299999999999997</v>
      </c>
      <c r="Y167" s="72">
        <f t="shared" si="58"/>
        <v>3.0697527300000029</v>
      </c>
      <c r="Z167" s="73">
        <v>3392</v>
      </c>
      <c r="AA167" s="74">
        <v>46793</v>
      </c>
    </row>
    <row r="168" spans="1:27" x14ac:dyDescent="0.25">
      <c r="A168" s="49">
        <v>7895296132039</v>
      </c>
      <c r="B168" s="49">
        <v>10512</v>
      </c>
      <c r="C168" s="50" t="s">
        <v>177</v>
      </c>
      <c r="D168" s="50" t="s">
        <v>7</v>
      </c>
      <c r="E168" s="50" t="s">
        <v>8</v>
      </c>
      <c r="F168" s="44" t="s">
        <v>405</v>
      </c>
      <c r="G168" s="56">
        <v>18.9972228116</v>
      </c>
      <c r="H168" s="56">
        <f t="shared" si="44"/>
        <v>0.41034001273056003</v>
      </c>
      <c r="I168" s="56">
        <f t="shared" si="45"/>
        <v>19.407562824330562</v>
      </c>
      <c r="J168" s="58">
        <f t="shared" si="46"/>
        <v>1.763201964081232</v>
      </c>
      <c r="K168" s="58">
        <f t="shared" si="47"/>
        <v>0.99525963201695189</v>
      </c>
      <c r="L168" s="58">
        <f t="shared" si="48"/>
        <v>0.88385275695805443</v>
      </c>
      <c r="M168" s="58">
        <f t="shared" si="49"/>
        <v>0.24881490800423797</v>
      </c>
      <c r="N168" s="56">
        <f t="shared" si="50"/>
        <v>23.298692085391039</v>
      </c>
      <c r="O168" s="56">
        <v>66.459999999999994</v>
      </c>
      <c r="P168" s="46">
        <f t="shared" si="51"/>
        <v>0.62561705085128194</v>
      </c>
      <c r="Q168" s="45">
        <f t="shared" si="52"/>
        <v>24.881490800423798</v>
      </c>
      <c r="R168" s="45">
        <f t="shared" si="53"/>
        <v>27.19546944486321</v>
      </c>
      <c r="S168" s="46">
        <f t="shared" si="54"/>
        <v>6.3613499999999976E-2</v>
      </c>
      <c r="T168" s="46">
        <v>0.22</v>
      </c>
      <c r="U168" s="46">
        <f t="shared" si="55"/>
        <v>0.30974358974358984</v>
      </c>
      <c r="V168" s="51">
        <f t="shared" si="56"/>
        <v>66.459999999999994</v>
      </c>
      <c r="W168" s="46">
        <f t="shared" si="43"/>
        <v>0.13980000000000001</v>
      </c>
      <c r="X168" s="52">
        <f t="shared" si="57"/>
        <v>0.66769999999999996</v>
      </c>
      <c r="Y168" s="45">
        <f t="shared" si="58"/>
        <v>18.9972228116</v>
      </c>
      <c r="Z168" s="53">
        <v>0</v>
      </c>
      <c r="AA168" s="54">
        <v>46818</v>
      </c>
    </row>
    <row r="169" spans="1:27" x14ac:dyDescent="0.25">
      <c r="A169" s="67">
        <v>7895296052016</v>
      </c>
      <c r="B169" s="67">
        <v>10480</v>
      </c>
      <c r="C169" s="68" t="s">
        <v>178</v>
      </c>
      <c r="D169" s="68" t="s">
        <v>7</v>
      </c>
      <c r="E169" s="68" t="s">
        <v>8</v>
      </c>
      <c r="F169" s="68" t="s">
        <v>405</v>
      </c>
      <c r="G169" s="69">
        <v>4.5615330749999989</v>
      </c>
      <c r="H169" s="69">
        <f t="shared" si="44"/>
        <v>9.852911441999998E-2</v>
      </c>
      <c r="I169" s="69">
        <f t="shared" si="45"/>
        <v>4.6600621894199987</v>
      </c>
      <c r="J169" s="70">
        <f t="shared" si="46"/>
        <v>0.41022440620007306</v>
      </c>
      <c r="K169" s="70">
        <f t="shared" si="47"/>
        <v>0.23155588518857137</v>
      </c>
      <c r="L169" s="70">
        <f t="shared" si="48"/>
        <v>0.20563609829027565</v>
      </c>
      <c r="M169" s="70">
        <f t="shared" si="49"/>
        <v>5.7888971297142842E-2</v>
      </c>
      <c r="N169" s="69">
        <f t="shared" si="50"/>
        <v>5.5653675503960613</v>
      </c>
      <c r="O169" s="69">
        <v>19.75</v>
      </c>
      <c r="P169" s="71">
        <f t="shared" si="51"/>
        <v>0.70689128457142869</v>
      </c>
      <c r="Q169" s="72">
        <f t="shared" si="52"/>
        <v>5.7888971297142842</v>
      </c>
      <c r="R169" s="72">
        <f t="shared" si="53"/>
        <v>6.3272645627777129</v>
      </c>
      <c r="S169" s="71">
        <f t="shared" si="54"/>
        <v>3.8613500000000051E-2</v>
      </c>
      <c r="T169" s="71">
        <v>0.19500000000000001</v>
      </c>
      <c r="U169" s="71">
        <f t="shared" si="55"/>
        <v>0.2690683229813664</v>
      </c>
      <c r="V169" s="72">
        <f t="shared" si="56"/>
        <v>19.75</v>
      </c>
      <c r="W169" s="71">
        <f t="shared" si="43"/>
        <v>0.13980000000000001</v>
      </c>
      <c r="X169" s="71">
        <f t="shared" si="57"/>
        <v>0.73150000000000004</v>
      </c>
      <c r="Y169" s="72">
        <f t="shared" si="58"/>
        <v>4.5615330749999989</v>
      </c>
      <c r="Z169" s="73">
        <v>1211</v>
      </c>
      <c r="AA169" s="74">
        <v>46679</v>
      </c>
    </row>
    <row r="170" spans="1:27" x14ac:dyDescent="0.25">
      <c r="A170" s="43">
        <v>7895296444897</v>
      </c>
      <c r="B170" s="43">
        <v>652</v>
      </c>
      <c r="C170" s="44" t="s">
        <v>179</v>
      </c>
      <c r="D170" s="44" t="s">
        <v>7</v>
      </c>
      <c r="E170" s="44" t="s">
        <v>8</v>
      </c>
      <c r="F170" s="44" t="s">
        <v>405</v>
      </c>
      <c r="G170" s="56">
        <v>33.133169836799993</v>
      </c>
      <c r="H170" s="56">
        <f t="shared" si="44"/>
        <v>0.71567646847487987</v>
      </c>
      <c r="I170" s="56">
        <f t="shared" si="45"/>
        <v>33.848846305274876</v>
      </c>
      <c r="J170" s="58">
        <f t="shared" si="46"/>
        <v>3.0752110827910242</v>
      </c>
      <c r="K170" s="58">
        <f t="shared" si="47"/>
        <v>1.7358382720653782</v>
      </c>
      <c r="L170" s="58">
        <f t="shared" si="48"/>
        <v>1.5415328754860598</v>
      </c>
      <c r="M170" s="58">
        <f t="shared" si="49"/>
        <v>0.43395956801634455</v>
      </c>
      <c r="N170" s="56">
        <f t="shared" si="50"/>
        <v>40.63538810363368</v>
      </c>
      <c r="O170" s="56">
        <v>235.44</v>
      </c>
      <c r="P170" s="46">
        <f t="shared" si="51"/>
        <v>0.81568146108717954</v>
      </c>
      <c r="Q170" s="45">
        <f t="shared" si="52"/>
        <v>43.395956801634455</v>
      </c>
      <c r="R170" s="45">
        <f t="shared" si="53"/>
        <v>47.431780784186458</v>
      </c>
      <c r="S170" s="46">
        <f t="shared" si="54"/>
        <v>6.3613500000000031E-2</v>
      </c>
      <c r="T170" s="46">
        <v>0.22</v>
      </c>
      <c r="U170" s="46">
        <f t="shared" si="55"/>
        <v>0.30974358974358984</v>
      </c>
      <c r="V170" s="45">
        <f t="shared" si="56"/>
        <v>235.44</v>
      </c>
      <c r="W170" s="46">
        <f t="shared" si="43"/>
        <v>0.13980000000000001</v>
      </c>
      <c r="X170" s="46">
        <f t="shared" si="57"/>
        <v>0.83640000000000003</v>
      </c>
      <c r="Y170" s="45">
        <f t="shared" si="58"/>
        <v>33.133169836799993</v>
      </c>
      <c r="Z170" s="47">
        <v>27</v>
      </c>
      <c r="AA170" s="48">
        <v>46809</v>
      </c>
    </row>
    <row r="171" spans="1:27" x14ac:dyDescent="0.25">
      <c r="A171" s="43">
        <v>7895296444811</v>
      </c>
      <c r="B171" s="43">
        <v>12928</v>
      </c>
      <c r="C171" s="44" t="s">
        <v>180</v>
      </c>
      <c r="D171" s="44" t="s">
        <v>7</v>
      </c>
      <c r="E171" s="44" t="s">
        <v>8</v>
      </c>
      <c r="F171" s="44" t="s">
        <v>405</v>
      </c>
      <c r="G171" s="56">
        <v>10.714070564999998</v>
      </c>
      <c r="H171" s="56">
        <f t="shared" si="44"/>
        <v>0.23142392420399999</v>
      </c>
      <c r="I171" s="56">
        <f t="shared" si="45"/>
        <v>10.945494489203998</v>
      </c>
      <c r="J171" s="58">
        <f t="shared" si="46"/>
        <v>0.9944122070294259</v>
      </c>
      <c r="K171" s="58">
        <f t="shared" si="47"/>
        <v>0.56130740970276916</v>
      </c>
      <c r="L171" s="58">
        <f t="shared" si="48"/>
        <v>0.4984760615291654</v>
      </c>
      <c r="M171" s="58">
        <f t="shared" si="49"/>
        <v>0.14032685242569229</v>
      </c>
      <c r="N171" s="56">
        <f t="shared" si="50"/>
        <v>13.140017019891051</v>
      </c>
      <c r="O171" s="56">
        <v>88.65</v>
      </c>
      <c r="P171" s="46">
        <f t="shared" si="51"/>
        <v>0.84170687825641033</v>
      </c>
      <c r="Q171" s="45">
        <f t="shared" si="52"/>
        <v>14.032685242569228</v>
      </c>
      <c r="R171" s="45">
        <f t="shared" si="53"/>
        <v>15.337724970128166</v>
      </c>
      <c r="S171" s="46">
        <f t="shared" si="54"/>
        <v>6.3613499999999948E-2</v>
      </c>
      <c r="T171" s="46">
        <v>0.22</v>
      </c>
      <c r="U171" s="46">
        <f t="shared" si="55"/>
        <v>0.30974358974358962</v>
      </c>
      <c r="V171" s="45">
        <f t="shared" si="56"/>
        <v>88.65</v>
      </c>
      <c r="W171" s="46">
        <f t="shared" si="43"/>
        <v>0.13980000000000001</v>
      </c>
      <c r="X171" s="46">
        <f t="shared" si="57"/>
        <v>0.85950000000000004</v>
      </c>
      <c r="Y171" s="45">
        <f t="shared" si="58"/>
        <v>10.714070564999998</v>
      </c>
      <c r="Z171" s="47">
        <v>2</v>
      </c>
      <c r="AA171" s="48">
        <v>46763</v>
      </c>
    </row>
    <row r="172" spans="1:27" x14ac:dyDescent="0.25">
      <c r="A172" s="43">
        <v>7895296444859</v>
      </c>
      <c r="B172" s="43">
        <v>12929</v>
      </c>
      <c r="C172" s="44" t="s">
        <v>181</v>
      </c>
      <c r="D172" s="44" t="s">
        <v>7</v>
      </c>
      <c r="E172" s="44" t="s">
        <v>8</v>
      </c>
      <c r="F172" s="44" t="s">
        <v>405</v>
      </c>
      <c r="G172" s="56">
        <v>16.849150296000001</v>
      </c>
      <c r="H172" s="56">
        <f t="shared" si="44"/>
        <v>0.36394164639360005</v>
      </c>
      <c r="I172" s="56">
        <f t="shared" si="45"/>
        <v>17.2130919423936</v>
      </c>
      <c r="J172" s="58">
        <f t="shared" si="46"/>
        <v>1.5638314710330514</v>
      </c>
      <c r="K172" s="58">
        <f t="shared" si="47"/>
        <v>0.88272266371249231</v>
      </c>
      <c r="L172" s="58">
        <f t="shared" si="48"/>
        <v>0.78391289554317511</v>
      </c>
      <c r="M172" s="58">
        <f t="shared" si="49"/>
        <v>0.22068066592812308</v>
      </c>
      <c r="N172" s="56">
        <f t="shared" si="50"/>
        <v>20.664239638610439</v>
      </c>
      <c r="O172" s="56">
        <v>161.88</v>
      </c>
      <c r="P172" s="46">
        <f t="shared" si="51"/>
        <v>0.8636763862564103</v>
      </c>
      <c r="Q172" s="45">
        <f t="shared" si="52"/>
        <v>22.068066592812308</v>
      </c>
      <c r="R172" s="45">
        <f t="shared" si="53"/>
        <v>24.12039678594385</v>
      </c>
      <c r="S172" s="46">
        <f t="shared" si="54"/>
        <v>6.3613500000000114E-2</v>
      </c>
      <c r="T172" s="46">
        <v>0.22</v>
      </c>
      <c r="U172" s="46">
        <f t="shared" si="55"/>
        <v>0.30974358974358962</v>
      </c>
      <c r="V172" s="45">
        <f t="shared" si="56"/>
        <v>161.88</v>
      </c>
      <c r="W172" s="46">
        <f t="shared" si="43"/>
        <v>0.13980000000000001</v>
      </c>
      <c r="X172" s="46">
        <f t="shared" si="57"/>
        <v>0.879</v>
      </c>
      <c r="Y172" s="45">
        <f t="shared" si="58"/>
        <v>16.849150296000001</v>
      </c>
      <c r="Z172" s="47">
        <v>3</v>
      </c>
      <c r="AA172" s="48">
        <v>46740</v>
      </c>
    </row>
    <row r="173" spans="1:27" x14ac:dyDescent="0.25">
      <c r="A173" s="49">
        <v>7895296014014</v>
      </c>
      <c r="B173" s="49">
        <v>10783</v>
      </c>
      <c r="C173" s="50" t="s">
        <v>182</v>
      </c>
      <c r="D173" s="50" t="s">
        <v>7</v>
      </c>
      <c r="E173" s="50" t="s">
        <v>8</v>
      </c>
      <c r="F173" s="44" t="s">
        <v>405</v>
      </c>
      <c r="G173" s="56">
        <v>4.1683356549999999</v>
      </c>
      <c r="H173" s="56">
        <f t="shared" si="44"/>
        <v>9.0036050148000007E-2</v>
      </c>
      <c r="I173" s="56">
        <f t="shared" si="45"/>
        <v>4.2583717051479999</v>
      </c>
      <c r="J173" s="58">
        <f t="shared" si="46"/>
        <v>0.38687852886359986</v>
      </c>
      <c r="K173" s="58">
        <f t="shared" si="47"/>
        <v>0.21837803616143589</v>
      </c>
      <c r="L173" s="58">
        <f t="shared" si="48"/>
        <v>0.19393334473861515</v>
      </c>
      <c r="M173" s="58">
        <f t="shared" si="49"/>
        <v>5.4594509040358973E-2</v>
      </c>
      <c r="N173" s="56">
        <f t="shared" si="50"/>
        <v>5.1121561239520101</v>
      </c>
      <c r="O173" s="56">
        <v>28.93</v>
      </c>
      <c r="P173" s="46">
        <f t="shared" si="51"/>
        <v>0.81128755948717945</v>
      </c>
      <c r="Q173" s="45">
        <f t="shared" si="52"/>
        <v>5.4594509040358972</v>
      </c>
      <c r="R173" s="45">
        <f t="shared" si="53"/>
        <v>5.9671798381112353</v>
      </c>
      <c r="S173" s="46">
        <f t="shared" si="54"/>
        <v>6.3613499999999906E-2</v>
      </c>
      <c r="T173" s="46">
        <v>0.22</v>
      </c>
      <c r="U173" s="46">
        <f t="shared" si="55"/>
        <v>0.30974358974358962</v>
      </c>
      <c r="V173" s="51">
        <f t="shared" si="56"/>
        <v>28.93</v>
      </c>
      <c r="W173" s="46">
        <f t="shared" si="43"/>
        <v>0.13980000000000001</v>
      </c>
      <c r="X173" s="52">
        <f t="shared" si="57"/>
        <v>0.83250000000000002</v>
      </c>
      <c r="Y173" s="45">
        <f t="shared" si="58"/>
        <v>4.1683356549999999</v>
      </c>
      <c r="Z173" s="53">
        <v>0</v>
      </c>
      <c r="AA173" s="54" t="s">
        <v>403</v>
      </c>
    </row>
    <row r="174" spans="1:27" x14ac:dyDescent="0.25">
      <c r="A174" s="43">
        <v>7895296109017</v>
      </c>
      <c r="B174" s="43">
        <v>10365</v>
      </c>
      <c r="C174" s="44" t="s">
        <v>183</v>
      </c>
      <c r="D174" s="44" t="s">
        <v>7</v>
      </c>
      <c r="E174" s="44" t="s">
        <v>8</v>
      </c>
      <c r="F174" s="44" t="s">
        <v>405</v>
      </c>
      <c r="G174" s="56">
        <v>23.838132502800001</v>
      </c>
      <c r="H174" s="56">
        <f t="shared" si="44"/>
        <v>0.51490366206047999</v>
      </c>
      <c r="I174" s="56">
        <f t="shared" si="45"/>
        <v>24.35303616486048</v>
      </c>
      <c r="J174" s="58">
        <f t="shared" si="46"/>
        <v>2.2125045574188116</v>
      </c>
      <c r="K174" s="58">
        <f t="shared" si="47"/>
        <v>1.2488736494800246</v>
      </c>
      <c r="L174" s="58">
        <f t="shared" si="48"/>
        <v>1.1090778553413543</v>
      </c>
      <c r="M174" s="58">
        <f t="shared" si="49"/>
        <v>0.31221841237000614</v>
      </c>
      <c r="N174" s="56">
        <f t="shared" si="50"/>
        <v>29.235710639470675</v>
      </c>
      <c r="O174" s="56">
        <v>92.19</v>
      </c>
      <c r="P174" s="46">
        <f t="shared" si="51"/>
        <v>0.66133158436923078</v>
      </c>
      <c r="Q174" s="45">
        <f t="shared" si="52"/>
        <v>31.221841237000614</v>
      </c>
      <c r="R174" s="45">
        <f t="shared" si="53"/>
        <v>34.125472472041672</v>
      </c>
      <c r="S174" s="46">
        <f t="shared" si="54"/>
        <v>6.3613500000000031E-2</v>
      </c>
      <c r="T174" s="46">
        <v>0.22</v>
      </c>
      <c r="U174" s="46">
        <f t="shared" si="55"/>
        <v>0.30974358974358962</v>
      </c>
      <c r="V174" s="45">
        <f t="shared" si="56"/>
        <v>92.19</v>
      </c>
      <c r="W174" s="46">
        <f t="shared" si="43"/>
        <v>0.13980000000000001</v>
      </c>
      <c r="X174" s="46">
        <f t="shared" si="57"/>
        <v>0.69940000000000002</v>
      </c>
      <c r="Y174" s="45">
        <f t="shared" si="58"/>
        <v>23.838132502800001</v>
      </c>
      <c r="Z174" s="47">
        <v>101</v>
      </c>
      <c r="AA174" s="48">
        <v>46261</v>
      </c>
    </row>
    <row r="175" spans="1:27" x14ac:dyDescent="0.25">
      <c r="A175" s="43">
        <v>7895296388016</v>
      </c>
      <c r="B175" s="43">
        <v>10785</v>
      </c>
      <c r="C175" s="44" t="s">
        <v>184</v>
      </c>
      <c r="D175" s="44" t="s">
        <v>7</v>
      </c>
      <c r="E175" s="44" t="s">
        <v>8</v>
      </c>
      <c r="F175" s="44" t="s">
        <v>405</v>
      </c>
      <c r="G175" s="56">
        <v>18.4578653688</v>
      </c>
      <c r="H175" s="56">
        <f t="shared" si="44"/>
        <v>0.39868989196608001</v>
      </c>
      <c r="I175" s="56">
        <f t="shared" si="45"/>
        <v>18.856555260766079</v>
      </c>
      <c r="J175" s="58">
        <f t="shared" si="46"/>
        <v>1.7131422205114455</v>
      </c>
      <c r="K175" s="58">
        <f t="shared" si="47"/>
        <v>0.96700283388543995</v>
      </c>
      <c r="L175" s="58">
        <f t="shared" si="48"/>
        <v>0.85875895416738846</v>
      </c>
      <c r="M175" s="58">
        <f t="shared" si="49"/>
        <v>0.24175070847135999</v>
      </c>
      <c r="N175" s="56">
        <f t="shared" si="50"/>
        <v>22.637209977801717</v>
      </c>
      <c r="O175" s="56">
        <v>67.989999999999995</v>
      </c>
      <c r="P175" s="46">
        <f t="shared" si="51"/>
        <v>0.6444319628307692</v>
      </c>
      <c r="Q175" s="45">
        <f t="shared" si="52"/>
        <v>24.175070847135999</v>
      </c>
      <c r="R175" s="45">
        <f t="shared" si="53"/>
        <v>26.423352435919647</v>
      </c>
      <c r="S175" s="46">
        <f t="shared" si="54"/>
        <v>6.3613499999999809E-2</v>
      </c>
      <c r="T175" s="46">
        <v>0.22</v>
      </c>
      <c r="U175" s="46">
        <f t="shared" si="55"/>
        <v>0.30974358974358962</v>
      </c>
      <c r="V175" s="45">
        <f t="shared" si="56"/>
        <v>67.989999999999995</v>
      </c>
      <c r="W175" s="46">
        <f t="shared" si="43"/>
        <v>0.13980000000000001</v>
      </c>
      <c r="X175" s="46">
        <f t="shared" si="57"/>
        <v>0.68440000000000001</v>
      </c>
      <c r="Y175" s="45">
        <f t="shared" si="58"/>
        <v>18.4578653688</v>
      </c>
      <c r="Z175" s="47">
        <v>197</v>
      </c>
      <c r="AA175" s="48">
        <v>46725</v>
      </c>
    </row>
    <row r="176" spans="1:27" x14ac:dyDescent="0.25">
      <c r="A176" s="67">
        <v>7895296389020</v>
      </c>
      <c r="B176" s="67">
        <v>10784</v>
      </c>
      <c r="C176" s="68" t="s">
        <v>185</v>
      </c>
      <c r="D176" s="68" t="s">
        <v>7</v>
      </c>
      <c r="E176" s="68" t="s">
        <v>8</v>
      </c>
      <c r="F176" s="68" t="s">
        <v>405</v>
      </c>
      <c r="G176" s="69">
        <v>17.577326799999998</v>
      </c>
      <c r="H176" s="69">
        <f t="shared" si="44"/>
        <v>0.37967025888</v>
      </c>
      <c r="I176" s="69">
        <f t="shared" si="45"/>
        <v>17.956997058879999</v>
      </c>
      <c r="J176" s="70">
        <f t="shared" si="46"/>
        <v>1.6293273234064947</v>
      </c>
      <c r="K176" s="70">
        <f t="shared" si="47"/>
        <v>0.91969255103098591</v>
      </c>
      <c r="L176" s="70">
        <f t="shared" si="48"/>
        <v>0.81674446609995499</v>
      </c>
      <c r="M176" s="70">
        <f t="shared" si="49"/>
        <v>0.22992313775774648</v>
      </c>
      <c r="N176" s="69">
        <f t="shared" si="50"/>
        <v>21.552684537175185</v>
      </c>
      <c r="O176" s="69">
        <v>68</v>
      </c>
      <c r="P176" s="71">
        <f t="shared" si="51"/>
        <v>0.6618777385915493</v>
      </c>
      <c r="Q176" s="72">
        <f t="shared" si="52"/>
        <v>22.992313775774647</v>
      </c>
      <c r="R176" s="72">
        <f t="shared" si="53"/>
        <v>25.130598956921688</v>
      </c>
      <c r="S176" s="71">
        <f t="shared" si="54"/>
        <v>6.2613499999999836E-2</v>
      </c>
      <c r="T176" s="71">
        <v>0.219</v>
      </c>
      <c r="U176" s="71">
        <f t="shared" si="55"/>
        <v>0.30806658130601794</v>
      </c>
      <c r="V176" s="72">
        <f t="shared" si="56"/>
        <v>68</v>
      </c>
      <c r="W176" s="71">
        <f t="shared" si="43"/>
        <v>0.13980000000000001</v>
      </c>
      <c r="X176" s="71">
        <f t="shared" si="57"/>
        <v>0.69950000000000001</v>
      </c>
      <c r="Y176" s="72">
        <f t="shared" si="58"/>
        <v>17.577326799999998</v>
      </c>
      <c r="Z176" s="73">
        <v>1032</v>
      </c>
      <c r="AA176" s="74">
        <v>46786</v>
      </c>
    </row>
    <row r="177" spans="1:27" x14ac:dyDescent="0.25">
      <c r="A177" s="49">
        <v>7896472522149</v>
      </c>
      <c r="B177" s="49">
        <v>24292</v>
      </c>
      <c r="C177" s="50" t="s">
        <v>186</v>
      </c>
      <c r="D177" s="50" t="s">
        <v>12</v>
      </c>
      <c r="E177" s="50" t="s">
        <v>8</v>
      </c>
      <c r="F177" s="44" t="s">
        <v>405</v>
      </c>
      <c r="G177" s="56">
        <v>4.845878206400001</v>
      </c>
      <c r="H177" s="56">
        <f t="shared" si="44"/>
        <v>0.10467096925824003</v>
      </c>
      <c r="I177" s="56">
        <f t="shared" si="45"/>
        <v>4.9505491756582414</v>
      </c>
      <c r="J177" s="58">
        <f t="shared" si="46"/>
        <v>0.44976373946646869</v>
      </c>
      <c r="K177" s="58">
        <f t="shared" si="47"/>
        <v>0.2538743167004226</v>
      </c>
      <c r="L177" s="58">
        <f t="shared" si="48"/>
        <v>0.22545626037476904</v>
      </c>
      <c r="M177" s="58">
        <f t="shared" si="49"/>
        <v>6.3468579175105649E-2</v>
      </c>
      <c r="N177" s="56">
        <f t="shared" si="50"/>
        <v>5.9431120713750074</v>
      </c>
      <c r="O177" s="56">
        <v>27.44</v>
      </c>
      <c r="P177" s="46">
        <f t="shared" si="51"/>
        <v>0.76870051321025634</v>
      </c>
      <c r="Q177" s="45">
        <f t="shared" si="52"/>
        <v>6.3468579175105653</v>
      </c>
      <c r="R177" s="45">
        <f t="shared" si="53"/>
        <v>6.937115703839047</v>
      </c>
      <c r="S177" s="46">
        <f t="shared" si="54"/>
        <v>6.361349999999992E-2</v>
      </c>
      <c r="T177" s="46">
        <v>0.22</v>
      </c>
      <c r="U177" s="46">
        <f t="shared" si="55"/>
        <v>0.30974358974358962</v>
      </c>
      <c r="V177" s="51">
        <f t="shared" si="56"/>
        <v>27.44</v>
      </c>
      <c r="W177" s="46">
        <f t="shared" si="43"/>
        <v>0.13980000000000001</v>
      </c>
      <c r="X177" s="52">
        <f t="shared" si="57"/>
        <v>0.79469999999999996</v>
      </c>
      <c r="Y177" s="45">
        <f t="shared" si="58"/>
        <v>4.845878206400001</v>
      </c>
      <c r="Z177" s="53">
        <v>0</v>
      </c>
      <c r="AA177" s="54" t="s">
        <v>403</v>
      </c>
    </row>
    <row r="178" spans="1:27" x14ac:dyDescent="0.25">
      <c r="A178" s="43">
        <v>7896472522156</v>
      </c>
      <c r="B178" s="43">
        <v>24293</v>
      </c>
      <c r="C178" s="44" t="s">
        <v>187</v>
      </c>
      <c r="D178" s="44" t="s">
        <v>12</v>
      </c>
      <c r="E178" s="44" t="s">
        <v>8</v>
      </c>
      <c r="F178" s="44" t="s">
        <v>405</v>
      </c>
      <c r="G178" s="56">
        <v>9.7244956247999994</v>
      </c>
      <c r="H178" s="56">
        <f t="shared" si="44"/>
        <v>0.21004910549567998</v>
      </c>
      <c r="I178" s="56">
        <f t="shared" si="45"/>
        <v>9.9345447302956789</v>
      </c>
      <c r="J178" s="58">
        <f t="shared" si="46"/>
        <v>0.90256612534317049</v>
      </c>
      <c r="K178" s="58">
        <f t="shared" si="47"/>
        <v>0.5094638323228553</v>
      </c>
      <c r="L178" s="58">
        <f t="shared" si="48"/>
        <v>0.4524357245922157</v>
      </c>
      <c r="M178" s="58">
        <f t="shared" si="49"/>
        <v>0.12736595808071383</v>
      </c>
      <c r="N178" s="56">
        <f t="shared" si="50"/>
        <v>11.926376370634635</v>
      </c>
      <c r="O178" s="56">
        <v>52.63</v>
      </c>
      <c r="P178" s="46">
        <f t="shared" si="51"/>
        <v>0.75799741956923072</v>
      </c>
      <c r="Q178" s="45">
        <f t="shared" si="52"/>
        <v>12.736595808071383</v>
      </c>
      <c r="R178" s="45">
        <f t="shared" si="53"/>
        <v>13.921099218222022</v>
      </c>
      <c r="S178" s="46">
        <f t="shared" si="54"/>
        <v>6.3613499999999934E-2</v>
      </c>
      <c r="T178" s="46">
        <v>0.22</v>
      </c>
      <c r="U178" s="46">
        <f t="shared" si="55"/>
        <v>0.30974358974358962</v>
      </c>
      <c r="V178" s="45">
        <f t="shared" si="56"/>
        <v>52.63</v>
      </c>
      <c r="W178" s="46">
        <f t="shared" si="43"/>
        <v>0.13980000000000001</v>
      </c>
      <c r="X178" s="46">
        <f t="shared" si="57"/>
        <v>0.78520000000000001</v>
      </c>
      <c r="Y178" s="45">
        <f t="shared" si="58"/>
        <v>9.7244956247999994</v>
      </c>
      <c r="Z178" s="47">
        <v>1</v>
      </c>
      <c r="AA178" s="48">
        <v>46783</v>
      </c>
    </row>
    <row r="179" spans="1:27" x14ac:dyDescent="0.25">
      <c r="A179" s="67">
        <v>7895296292016</v>
      </c>
      <c r="B179" s="67">
        <v>10499</v>
      </c>
      <c r="C179" s="68" t="s">
        <v>188</v>
      </c>
      <c r="D179" s="68" t="s">
        <v>7</v>
      </c>
      <c r="E179" s="68" t="s">
        <v>8</v>
      </c>
      <c r="F179" s="68" t="s">
        <v>405</v>
      </c>
      <c r="G179" s="69">
        <v>7.0388273559999988</v>
      </c>
      <c r="H179" s="69">
        <f t="shared" si="44"/>
        <v>0.15203867088959999</v>
      </c>
      <c r="I179" s="69">
        <f t="shared" si="45"/>
        <v>7.1908660268895987</v>
      </c>
      <c r="J179" s="70">
        <f t="shared" si="46"/>
        <v>0.63696691266188066</v>
      </c>
      <c r="K179" s="70">
        <f t="shared" si="47"/>
        <v>0.35954330134447993</v>
      </c>
      <c r="L179" s="70">
        <f t="shared" si="48"/>
        <v>0.31929692305023222</v>
      </c>
      <c r="M179" s="70">
        <f t="shared" si="49"/>
        <v>8.9885825336119982E-2</v>
      </c>
      <c r="N179" s="69">
        <f t="shared" si="50"/>
        <v>8.5965589892823111</v>
      </c>
      <c r="O179" s="69">
        <v>27.88</v>
      </c>
      <c r="P179" s="71">
        <f t="shared" si="51"/>
        <v>0.67759747010000004</v>
      </c>
      <c r="Q179" s="72">
        <f t="shared" si="52"/>
        <v>8.9885825336119982</v>
      </c>
      <c r="R179" s="72">
        <f t="shared" si="53"/>
        <v>9.8245207092379143</v>
      </c>
      <c r="S179" s="71">
        <f t="shared" si="54"/>
        <v>4.3613500000000027E-2</v>
      </c>
      <c r="T179" s="71">
        <v>0.2</v>
      </c>
      <c r="U179" s="71">
        <f t="shared" si="55"/>
        <v>0.27699999999999991</v>
      </c>
      <c r="V179" s="72">
        <f t="shared" si="56"/>
        <v>27.88</v>
      </c>
      <c r="W179" s="71">
        <f t="shared" si="43"/>
        <v>0.13980000000000001</v>
      </c>
      <c r="X179" s="71">
        <f t="shared" si="57"/>
        <v>0.70650000000000002</v>
      </c>
      <c r="Y179" s="72">
        <f t="shared" si="58"/>
        <v>7.0388273559999988</v>
      </c>
      <c r="Z179" s="73">
        <v>546</v>
      </c>
      <c r="AA179" s="74">
        <v>46549</v>
      </c>
    </row>
    <row r="180" spans="1:27" x14ac:dyDescent="0.25">
      <c r="A180" s="49">
        <v>7896472521777</v>
      </c>
      <c r="B180" s="49">
        <v>24011</v>
      </c>
      <c r="C180" s="50" t="s">
        <v>189</v>
      </c>
      <c r="D180" s="50" t="s">
        <v>12</v>
      </c>
      <c r="E180" s="50" t="s">
        <v>8</v>
      </c>
      <c r="F180" s="44" t="s">
        <v>405</v>
      </c>
      <c r="G180" s="56">
        <v>16.048458931999999</v>
      </c>
      <c r="H180" s="56">
        <f t="shared" si="44"/>
        <v>0.34664671293119997</v>
      </c>
      <c r="I180" s="56">
        <f t="shared" si="45"/>
        <v>16.395105644931199</v>
      </c>
      <c r="J180" s="58">
        <f t="shared" si="46"/>
        <v>1.489516367208211</v>
      </c>
      <c r="K180" s="58">
        <f t="shared" si="47"/>
        <v>0.8407746484580102</v>
      </c>
      <c r="L180" s="58">
        <f t="shared" si="48"/>
        <v>0.74666043624624168</v>
      </c>
      <c r="M180" s="58">
        <f t="shared" si="49"/>
        <v>0.21019366211450255</v>
      </c>
      <c r="N180" s="56">
        <f t="shared" si="50"/>
        <v>19.682250758958162</v>
      </c>
      <c r="O180" s="56">
        <v>61.9</v>
      </c>
      <c r="P180" s="46">
        <f t="shared" si="51"/>
        <v>0.6604302712205129</v>
      </c>
      <c r="Q180" s="45">
        <f t="shared" si="52"/>
        <v>21.019366211450254</v>
      </c>
      <c r="R180" s="45">
        <f t="shared" si="53"/>
        <v>22.974167269115128</v>
      </c>
      <c r="S180" s="46">
        <f t="shared" si="54"/>
        <v>6.3613500000000087E-2</v>
      </c>
      <c r="T180" s="46">
        <v>0.22</v>
      </c>
      <c r="U180" s="46">
        <f t="shared" si="55"/>
        <v>0.30974358974358962</v>
      </c>
      <c r="V180" s="51">
        <f t="shared" si="56"/>
        <v>61.9</v>
      </c>
      <c r="W180" s="46">
        <f t="shared" si="43"/>
        <v>0.13980000000000001</v>
      </c>
      <c r="X180" s="52">
        <f t="shared" si="57"/>
        <v>0.6986</v>
      </c>
      <c r="Y180" s="45">
        <f t="shared" si="58"/>
        <v>16.048458931999999</v>
      </c>
      <c r="Z180" s="53">
        <v>0</v>
      </c>
      <c r="AA180" s="54" t="s">
        <v>403</v>
      </c>
    </row>
    <row r="181" spans="1:27" x14ac:dyDescent="0.25">
      <c r="A181" s="49">
        <v>7896472521784</v>
      </c>
      <c r="B181" s="49">
        <v>24012</v>
      </c>
      <c r="C181" s="50" t="s">
        <v>190</v>
      </c>
      <c r="D181" s="50" t="s">
        <v>12</v>
      </c>
      <c r="E181" s="50" t="s">
        <v>8</v>
      </c>
      <c r="F181" s="44" t="s">
        <v>405</v>
      </c>
      <c r="G181" s="56">
        <v>28.527225495999996</v>
      </c>
      <c r="H181" s="56">
        <f t="shared" si="44"/>
        <v>0.61618807071359993</v>
      </c>
      <c r="I181" s="56">
        <f t="shared" si="45"/>
        <v>29.143413566713598</v>
      </c>
      <c r="J181" s="58">
        <f t="shared" si="46"/>
        <v>2.6477164858866571</v>
      </c>
      <c r="K181" s="58">
        <f t="shared" si="47"/>
        <v>1.4945340290622358</v>
      </c>
      <c r="L181" s="58">
        <f t="shared" si="48"/>
        <v>1.3272396261840818</v>
      </c>
      <c r="M181" s="58">
        <f t="shared" si="49"/>
        <v>0.37363350726555894</v>
      </c>
      <c r="N181" s="56">
        <f t="shared" si="50"/>
        <v>34.986537215112129</v>
      </c>
      <c r="O181" s="56">
        <v>71.349999999999994</v>
      </c>
      <c r="P181" s="46">
        <f t="shared" si="51"/>
        <v>0.4763370605948718</v>
      </c>
      <c r="Q181" s="45">
        <f t="shared" si="52"/>
        <v>37.363350726555893</v>
      </c>
      <c r="R181" s="45">
        <f t="shared" si="53"/>
        <v>40.838142344125593</v>
      </c>
      <c r="S181" s="46">
        <f t="shared" si="54"/>
        <v>6.3613500000000017E-2</v>
      </c>
      <c r="T181" s="46">
        <v>0.22</v>
      </c>
      <c r="U181" s="46">
        <f t="shared" si="55"/>
        <v>0.30974358974358984</v>
      </c>
      <c r="V181" s="51">
        <f t="shared" si="56"/>
        <v>71.349999999999994</v>
      </c>
      <c r="W181" s="46">
        <f t="shared" si="43"/>
        <v>0.13980000000000001</v>
      </c>
      <c r="X181" s="52">
        <f t="shared" si="57"/>
        <v>0.53520000000000001</v>
      </c>
      <c r="Y181" s="45">
        <f t="shared" si="58"/>
        <v>28.527225495999996</v>
      </c>
      <c r="Z181" s="53">
        <v>0</v>
      </c>
      <c r="AA181" s="54" t="s">
        <v>403</v>
      </c>
    </row>
    <row r="182" spans="1:27" x14ac:dyDescent="0.25">
      <c r="A182" s="43">
        <v>7895296056199</v>
      </c>
      <c r="B182" s="43">
        <v>15627</v>
      </c>
      <c r="C182" s="44" t="s">
        <v>191</v>
      </c>
      <c r="D182" s="44" t="s">
        <v>7</v>
      </c>
      <c r="E182" s="44" t="s">
        <v>8</v>
      </c>
      <c r="F182" s="44" t="s">
        <v>405</v>
      </c>
      <c r="G182" s="56">
        <v>25.338816778000005</v>
      </c>
      <c r="H182" s="56">
        <f t="shared" si="44"/>
        <v>0.54731844240480021</v>
      </c>
      <c r="I182" s="56">
        <f t="shared" si="45"/>
        <v>25.886135220404807</v>
      </c>
      <c r="J182" s="58">
        <f t="shared" si="46"/>
        <v>2.3517885721266234</v>
      </c>
      <c r="K182" s="58">
        <f t="shared" si="47"/>
        <v>1.3274941138669132</v>
      </c>
      <c r="L182" s="58">
        <f t="shared" si="48"/>
        <v>1.1788977414959354</v>
      </c>
      <c r="M182" s="58">
        <f t="shared" si="49"/>
        <v>0.3318735284667283</v>
      </c>
      <c r="N182" s="56">
        <f t="shared" si="50"/>
        <v>31.076189176361005</v>
      </c>
      <c r="O182" s="56">
        <v>149.30000000000001</v>
      </c>
      <c r="P182" s="46">
        <f t="shared" si="51"/>
        <v>0.77771364469743576</v>
      </c>
      <c r="Q182" s="45">
        <f t="shared" si="52"/>
        <v>33.18735284667283</v>
      </c>
      <c r="R182" s="45">
        <f t="shared" si="53"/>
        <v>36.2737766614134</v>
      </c>
      <c r="S182" s="46">
        <f t="shared" si="54"/>
        <v>6.3613500000000087E-2</v>
      </c>
      <c r="T182" s="46">
        <v>0.22</v>
      </c>
      <c r="U182" s="46">
        <f t="shared" si="55"/>
        <v>0.30974358974358984</v>
      </c>
      <c r="V182" s="45">
        <f t="shared" ref="V182:V188" si="59">IFERROR(VLOOKUP(A182,MATRIZ1,5,0),"")</f>
        <v>149.30000000000001</v>
      </c>
      <c r="W182" s="46">
        <f t="shared" si="43"/>
        <v>0.13980000000000001</v>
      </c>
      <c r="X182" s="46">
        <f t="shared" ref="X182:X188" si="60">IFERROR(VLOOKUP(A182,MATRIZ1,7,0),"")</f>
        <v>0.80269999999999997</v>
      </c>
      <c r="Y182" s="45">
        <f t="shared" ref="Y182:Y188" si="61">IFERROR(VLOOKUP(A182,MATRIZ1,8,0),"")</f>
        <v>25.338816778000005</v>
      </c>
      <c r="Z182" s="47">
        <v>1</v>
      </c>
      <c r="AA182" s="48">
        <v>46809</v>
      </c>
    </row>
    <row r="183" spans="1:27" x14ac:dyDescent="0.25">
      <c r="A183" s="67">
        <v>7895296220019</v>
      </c>
      <c r="B183" s="67">
        <v>16003</v>
      </c>
      <c r="C183" s="68" t="s">
        <v>192</v>
      </c>
      <c r="D183" s="68" t="s">
        <v>7</v>
      </c>
      <c r="E183" s="68" t="s">
        <v>8</v>
      </c>
      <c r="F183" s="68" t="s">
        <v>405</v>
      </c>
      <c r="G183" s="69">
        <v>13.1987909526</v>
      </c>
      <c r="H183" s="69">
        <f t="shared" si="44"/>
        <v>0.28509388457616003</v>
      </c>
      <c r="I183" s="69">
        <f t="shared" si="45"/>
        <v>13.483884837176159</v>
      </c>
      <c r="J183" s="70">
        <f t="shared" si="46"/>
        <v>1.2041865344696301</v>
      </c>
      <c r="K183" s="70">
        <f t="shared" si="47"/>
        <v>0.67971694201266086</v>
      </c>
      <c r="L183" s="70">
        <f t="shared" si="48"/>
        <v>0.60363112681611863</v>
      </c>
      <c r="M183" s="70">
        <f t="shared" si="49"/>
        <v>0.16992923550316522</v>
      </c>
      <c r="N183" s="69">
        <f t="shared" si="50"/>
        <v>16.141348675977735</v>
      </c>
      <c r="O183" s="69">
        <v>50.69</v>
      </c>
      <c r="P183" s="71">
        <f t="shared" si="51"/>
        <v>0.66476773426086966</v>
      </c>
      <c r="Q183" s="72">
        <f t="shared" si="52"/>
        <v>16.992923550316522</v>
      </c>
      <c r="R183" s="72">
        <f t="shared" si="53"/>
        <v>18.573265440495959</v>
      </c>
      <c r="S183" s="71">
        <f t="shared" si="54"/>
        <v>5.0113500000000019E-2</v>
      </c>
      <c r="T183" s="71">
        <v>0.20649999999999999</v>
      </c>
      <c r="U183" s="71">
        <f t="shared" si="55"/>
        <v>0.28746061751732843</v>
      </c>
      <c r="V183" s="72">
        <f t="shared" si="59"/>
        <v>50.69</v>
      </c>
      <c r="W183" s="71">
        <f t="shared" si="43"/>
        <v>0.13980000000000001</v>
      </c>
      <c r="X183" s="71">
        <f t="shared" si="60"/>
        <v>0.69730000000000003</v>
      </c>
      <c r="Y183" s="72">
        <f t="shared" si="61"/>
        <v>13.1987909526</v>
      </c>
      <c r="Z183" s="73">
        <v>116</v>
      </c>
      <c r="AA183" s="74">
        <v>46534</v>
      </c>
    </row>
    <row r="184" spans="1:27" x14ac:dyDescent="0.25">
      <c r="A184" s="67">
        <v>7895296056168</v>
      </c>
      <c r="B184" s="67">
        <v>15583</v>
      </c>
      <c r="C184" s="68" t="s">
        <v>193</v>
      </c>
      <c r="D184" s="68" t="s">
        <v>7</v>
      </c>
      <c r="E184" s="68" t="s">
        <v>8</v>
      </c>
      <c r="F184" s="68" t="s">
        <v>405</v>
      </c>
      <c r="G184" s="69">
        <v>17.044716766000001</v>
      </c>
      <c r="H184" s="69">
        <f t="shared" si="44"/>
        <v>0.36816588214560003</v>
      </c>
      <c r="I184" s="69">
        <f t="shared" si="45"/>
        <v>17.412882648145601</v>
      </c>
      <c r="J184" s="70">
        <f t="shared" si="46"/>
        <v>1.5580132777502396</v>
      </c>
      <c r="K184" s="70">
        <f t="shared" si="47"/>
        <v>0.87943851758311109</v>
      </c>
      <c r="L184" s="70">
        <f t="shared" si="48"/>
        <v>0.78099636852115162</v>
      </c>
      <c r="M184" s="70">
        <f t="shared" si="49"/>
        <v>0.21985962939577777</v>
      </c>
      <c r="N184" s="69">
        <f t="shared" si="50"/>
        <v>20.851190441395879</v>
      </c>
      <c r="O184" s="69">
        <v>87.29</v>
      </c>
      <c r="P184" s="71">
        <f t="shared" si="51"/>
        <v>0.74812735777777783</v>
      </c>
      <c r="Q184" s="72">
        <f t="shared" si="52"/>
        <v>21.985962939577778</v>
      </c>
      <c r="R184" s="72">
        <f t="shared" si="53"/>
        <v>24.030657492958511</v>
      </c>
      <c r="S184" s="71">
        <f t="shared" si="54"/>
        <v>5.1613500000000069E-2</v>
      </c>
      <c r="T184" s="71">
        <v>0.20799999999999999</v>
      </c>
      <c r="U184" s="71">
        <f t="shared" si="55"/>
        <v>0.28989898989898988</v>
      </c>
      <c r="V184" s="72">
        <f t="shared" si="59"/>
        <v>87.29</v>
      </c>
      <c r="W184" s="71">
        <f t="shared" si="43"/>
        <v>0.13980000000000001</v>
      </c>
      <c r="X184" s="71">
        <f t="shared" si="60"/>
        <v>0.77300000000000002</v>
      </c>
      <c r="Y184" s="72">
        <f t="shared" si="61"/>
        <v>17.044716766000001</v>
      </c>
      <c r="Z184" s="73">
        <v>457</v>
      </c>
      <c r="AA184" s="74">
        <v>46719</v>
      </c>
    </row>
    <row r="185" spans="1:27" x14ac:dyDescent="0.25">
      <c r="A185" s="43">
        <v>7895296188012</v>
      </c>
      <c r="B185" s="43">
        <v>10494</v>
      </c>
      <c r="C185" s="44" t="s">
        <v>194</v>
      </c>
      <c r="D185" s="44" t="s">
        <v>7</v>
      </c>
      <c r="E185" s="44" t="s">
        <v>8</v>
      </c>
      <c r="F185" s="44" t="s">
        <v>405</v>
      </c>
      <c r="G185" s="56">
        <v>8.21985615</v>
      </c>
      <c r="H185" s="56">
        <f t="shared" si="44"/>
        <v>0.17754889284000003</v>
      </c>
      <c r="I185" s="56">
        <f t="shared" si="45"/>
        <v>8.3974050428400009</v>
      </c>
      <c r="J185" s="58">
        <f t="shared" si="46"/>
        <v>0.76291501404591511</v>
      </c>
      <c r="K185" s="58">
        <f t="shared" si="47"/>
        <v>0.43063615604307692</v>
      </c>
      <c r="L185" s="58">
        <f t="shared" si="48"/>
        <v>0.38243182132600501</v>
      </c>
      <c r="M185" s="58">
        <f t="shared" si="49"/>
        <v>0.10765903901076923</v>
      </c>
      <c r="N185" s="56">
        <f t="shared" si="50"/>
        <v>10.081047073265767</v>
      </c>
      <c r="O185" s="56">
        <v>27.9</v>
      </c>
      <c r="P185" s="46">
        <f t="shared" si="51"/>
        <v>0.61412530820512812</v>
      </c>
      <c r="Q185" s="45">
        <f t="shared" si="52"/>
        <v>10.765903901076923</v>
      </c>
      <c r="R185" s="45">
        <f t="shared" si="53"/>
        <v>11.767132963877076</v>
      </c>
      <c r="S185" s="46">
        <f t="shared" si="54"/>
        <v>6.3613499999999962E-2</v>
      </c>
      <c r="T185" s="46">
        <v>0.22</v>
      </c>
      <c r="U185" s="46">
        <f t="shared" si="55"/>
        <v>0.30974358974358984</v>
      </c>
      <c r="V185" s="45">
        <f t="shared" si="59"/>
        <v>27.9</v>
      </c>
      <c r="W185" s="46">
        <f t="shared" si="43"/>
        <v>0.13980000000000001</v>
      </c>
      <c r="X185" s="46">
        <f t="shared" si="60"/>
        <v>0.65749999999999997</v>
      </c>
      <c r="Y185" s="45">
        <f t="shared" si="61"/>
        <v>8.21985615</v>
      </c>
      <c r="Z185" s="47">
        <v>53</v>
      </c>
      <c r="AA185" s="48">
        <v>46786</v>
      </c>
    </row>
    <row r="186" spans="1:27" x14ac:dyDescent="0.25">
      <c r="A186" s="49">
        <v>7896472521890</v>
      </c>
      <c r="B186" s="49">
        <v>24119</v>
      </c>
      <c r="C186" s="50" t="s">
        <v>195</v>
      </c>
      <c r="D186" s="50" t="s">
        <v>12</v>
      </c>
      <c r="E186" s="50" t="s">
        <v>8</v>
      </c>
      <c r="F186" s="44" t="s">
        <v>405</v>
      </c>
      <c r="G186" s="56">
        <v>14.965289070599999</v>
      </c>
      <c r="H186" s="56">
        <f t="shared" si="44"/>
        <v>0.32325024392495999</v>
      </c>
      <c r="I186" s="56">
        <f t="shared" si="45"/>
        <v>15.288539314524959</v>
      </c>
      <c r="J186" s="58">
        <f t="shared" si="46"/>
        <v>1.3889833974160215</v>
      </c>
      <c r="K186" s="58">
        <f t="shared" si="47"/>
        <v>0.78402765715512612</v>
      </c>
      <c r="L186" s="58">
        <f t="shared" si="48"/>
        <v>0.69626556128232409</v>
      </c>
      <c r="M186" s="58">
        <f t="shared" si="49"/>
        <v>0.19600691428878153</v>
      </c>
      <c r="N186" s="56">
        <f t="shared" si="50"/>
        <v>18.35382284466721</v>
      </c>
      <c r="O186" s="56">
        <v>84.99</v>
      </c>
      <c r="P186" s="46">
        <f t="shared" si="51"/>
        <v>0.76937649807179487</v>
      </c>
      <c r="Q186" s="45">
        <f t="shared" si="52"/>
        <v>19.600691428878154</v>
      </c>
      <c r="R186" s="45">
        <f t="shared" si="53"/>
        <v>21.42355573176382</v>
      </c>
      <c r="S186" s="46">
        <f t="shared" si="54"/>
        <v>6.361350000000017E-2</v>
      </c>
      <c r="T186" s="46">
        <v>0.22</v>
      </c>
      <c r="U186" s="46">
        <f t="shared" si="55"/>
        <v>0.30974358974358984</v>
      </c>
      <c r="V186" s="51">
        <f t="shared" si="59"/>
        <v>84.99</v>
      </c>
      <c r="W186" s="46">
        <f t="shared" si="43"/>
        <v>0.13980000000000001</v>
      </c>
      <c r="X186" s="52">
        <f t="shared" si="60"/>
        <v>0.79530000000000001</v>
      </c>
      <c r="Y186" s="45">
        <f t="shared" si="61"/>
        <v>14.965289070599999</v>
      </c>
      <c r="Z186" s="53">
        <v>0</v>
      </c>
      <c r="AA186" s="54" t="s">
        <v>403</v>
      </c>
    </row>
    <row r="187" spans="1:27" x14ac:dyDescent="0.25">
      <c r="A187" s="49">
        <v>7895296039031</v>
      </c>
      <c r="B187" s="49">
        <v>10787</v>
      </c>
      <c r="C187" s="50" t="s">
        <v>196</v>
      </c>
      <c r="D187" s="50" t="s">
        <v>7</v>
      </c>
      <c r="E187" s="50" t="s">
        <v>8</v>
      </c>
      <c r="F187" s="44" t="s">
        <v>405</v>
      </c>
      <c r="G187" s="56">
        <v>3.246029215000001</v>
      </c>
      <c r="H187" s="56">
        <f t="shared" si="44"/>
        <v>7.0114231044000025E-2</v>
      </c>
      <c r="I187" s="56">
        <f t="shared" si="45"/>
        <v>3.3161434460440011</v>
      </c>
      <c r="J187" s="58">
        <f t="shared" si="46"/>
        <v>0.30127588353905399</v>
      </c>
      <c r="K187" s="58">
        <f t="shared" si="47"/>
        <v>0.17005863825866674</v>
      </c>
      <c r="L187" s="58">
        <f t="shared" si="48"/>
        <v>0.1510226994385872</v>
      </c>
      <c r="M187" s="58">
        <f t="shared" si="49"/>
        <v>4.2514659564666685E-2</v>
      </c>
      <c r="N187" s="56">
        <f t="shared" si="50"/>
        <v>3.9810153268449757</v>
      </c>
      <c r="O187" s="56">
        <v>55.25</v>
      </c>
      <c r="P187" s="46">
        <f t="shared" si="51"/>
        <v>0.9230503899282051</v>
      </c>
      <c r="Q187" s="45">
        <f t="shared" si="52"/>
        <v>4.2514659564666681</v>
      </c>
      <c r="R187" s="45">
        <f t="shared" si="53"/>
        <v>4.6468522904180682</v>
      </c>
      <c r="S187" s="46">
        <f t="shared" si="54"/>
        <v>6.3613500000000003E-2</v>
      </c>
      <c r="T187" s="46">
        <v>0.22</v>
      </c>
      <c r="U187" s="46">
        <f t="shared" si="55"/>
        <v>0.30974358974358984</v>
      </c>
      <c r="V187" s="51">
        <f t="shared" si="59"/>
        <v>55.25</v>
      </c>
      <c r="W187" s="46">
        <f t="shared" si="43"/>
        <v>0.13980000000000001</v>
      </c>
      <c r="X187" s="52">
        <f t="shared" si="60"/>
        <v>0.93169999999999997</v>
      </c>
      <c r="Y187" s="45">
        <f t="shared" si="61"/>
        <v>3.246029215000001</v>
      </c>
      <c r="Z187" s="53">
        <v>0</v>
      </c>
      <c r="AA187" s="54" t="s">
        <v>403</v>
      </c>
    </row>
    <row r="188" spans="1:27" x14ac:dyDescent="0.25">
      <c r="A188" s="43">
        <v>7895296444026</v>
      </c>
      <c r="B188" s="43">
        <v>12525</v>
      </c>
      <c r="C188" s="44" t="s">
        <v>197</v>
      </c>
      <c r="D188" s="44" t="s">
        <v>7</v>
      </c>
      <c r="E188" s="44" t="s">
        <v>8</v>
      </c>
      <c r="F188" s="44" t="s">
        <v>405</v>
      </c>
      <c r="G188" s="56">
        <v>4.1712990439999977</v>
      </c>
      <c r="H188" s="56">
        <f t="shared" si="44"/>
        <v>9.0100059350399955E-2</v>
      </c>
      <c r="I188" s="56">
        <f t="shared" si="45"/>
        <v>4.2613991033503975</v>
      </c>
      <c r="J188" s="58">
        <f t="shared" si="46"/>
        <v>0.38715357187156746</v>
      </c>
      <c r="K188" s="58">
        <f t="shared" si="47"/>
        <v>0.21853328735130245</v>
      </c>
      <c r="L188" s="58">
        <f t="shared" si="48"/>
        <v>0.19407121749841602</v>
      </c>
      <c r="M188" s="58">
        <f t="shared" si="49"/>
        <v>5.4633321837825613E-2</v>
      </c>
      <c r="N188" s="56">
        <f t="shared" si="50"/>
        <v>5.1157905019095091</v>
      </c>
      <c r="O188" s="56">
        <v>65.53</v>
      </c>
      <c r="P188" s="46">
        <f t="shared" si="51"/>
        <v>0.91662853374358977</v>
      </c>
      <c r="Q188" s="45">
        <f t="shared" si="52"/>
        <v>5.463332183782561</v>
      </c>
      <c r="R188" s="45">
        <f t="shared" si="53"/>
        <v>5.9714220768743393</v>
      </c>
      <c r="S188" s="46">
        <f t="shared" si="54"/>
        <v>6.3613499999999989E-2</v>
      </c>
      <c r="T188" s="46">
        <v>0.22</v>
      </c>
      <c r="U188" s="46">
        <f t="shared" si="55"/>
        <v>0.30974358974358962</v>
      </c>
      <c r="V188" s="45">
        <f t="shared" si="59"/>
        <v>65.53</v>
      </c>
      <c r="W188" s="46">
        <f t="shared" si="43"/>
        <v>0.13980000000000001</v>
      </c>
      <c r="X188" s="46">
        <f t="shared" si="60"/>
        <v>0.92600000000000005</v>
      </c>
      <c r="Y188" s="45">
        <f t="shared" si="61"/>
        <v>4.1712990439999977</v>
      </c>
      <c r="Z188" s="47">
        <v>3</v>
      </c>
      <c r="AA188" s="48">
        <v>46774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07CA-750F-4DAA-A555-152BAE7DB8CA}">
  <dimension ref="A1:N214"/>
  <sheetViews>
    <sheetView workbookViewId="0">
      <selection activeCell="H1" sqref="H1"/>
    </sheetView>
  </sheetViews>
  <sheetFormatPr defaultRowHeight="15" x14ac:dyDescent="0.25"/>
  <cols>
    <col min="1" max="1" width="15.28515625" bestFit="1" customWidth="1"/>
    <col min="2" max="2" width="6.42578125" customWidth="1"/>
    <col min="3" max="3" width="43.42578125" customWidth="1"/>
    <col min="4" max="4" width="6.7109375" customWidth="1"/>
    <col min="5" max="5" width="8.28515625" customWidth="1"/>
    <col min="6" max="6" width="10" customWidth="1"/>
    <col min="7" max="7" width="7.85546875" customWidth="1"/>
    <col min="8" max="8" width="9.5703125" customWidth="1"/>
    <col min="9" max="9" width="12.85546875" style="30" bestFit="1" customWidth="1"/>
    <col min="10" max="10" width="10.140625" customWidth="1"/>
    <col min="11" max="11" width="16" customWidth="1"/>
    <col min="12" max="12" width="8.7109375" customWidth="1"/>
    <col min="13" max="13" width="14.5703125" bestFit="1" customWidth="1"/>
    <col min="14" max="14" width="8" customWidth="1"/>
  </cols>
  <sheetData>
    <row r="1" spans="1:14" s="7" customFormat="1" ht="44.25" customHeight="1" x14ac:dyDescent="0.25">
      <c r="A1" s="2" t="s">
        <v>200</v>
      </c>
      <c r="B1" s="2" t="s">
        <v>199</v>
      </c>
      <c r="C1" s="2" t="s">
        <v>198</v>
      </c>
      <c r="D1" s="2" t="s">
        <v>201</v>
      </c>
      <c r="E1" s="4" t="s">
        <v>202</v>
      </c>
      <c r="F1" s="2" t="s">
        <v>203</v>
      </c>
      <c r="G1" s="2" t="s">
        <v>204</v>
      </c>
      <c r="H1" s="2" t="s">
        <v>205</v>
      </c>
      <c r="I1" s="3" t="s">
        <v>206</v>
      </c>
      <c r="J1" s="5" t="s">
        <v>207</v>
      </c>
      <c r="K1" s="5" t="s">
        <v>208</v>
      </c>
      <c r="L1" s="5" t="s">
        <v>209</v>
      </c>
      <c r="M1" s="5" t="s">
        <v>210</v>
      </c>
      <c r="N1" s="6" t="s">
        <v>211</v>
      </c>
    </row>
    <row r="2" spans="1:14" x14ac:dyDescent="0.25">
      <c r="A2" s="1">
        <v>7895296034029</v>
      </c>
      <c r="B2" s="9">
        <v>21172</v>
      </c>
      <c r="C2" s="8" t="s">
        <v>212</v>
      </c>
      <c r="D2" s="10">
        <v>56</v>
      </c>
      <c r="E2" s="11">
        <v>54.03</v>
      </c>
      <c r="F2" s="12">
        <v>0.13980000000000001</v>
      </c>
      <c r="G2" s="13">
        <v>0.23580000000000001</v>
      </c>
      <c r="H2" s="11">
        <f t="shared" ref="H2:H65" si="0">(E2-E2*F2)*(1-G2)</f>
        <v>35.5174223052</v>
      </c>
      <c r="I2" s="14"/>
      <c r="J2" s="15"/>
      <c r="K2" s="16">
        <f t="shared" ref="K2:K65" si="1">J2*H2</f>
        <v>0</v>
      </c>
      <c r="L2" s="17">
        <v>21</v>
      </c>
      <c r="M2" s="17">
        <v>0</v>
      </c>
      <c r="N2" s="11">
        <v>71.41</v>
      </c>
    </row>
    <row r="3" spans="1:14" x14ac:dyDescent="0.25">
      <c r="A3" s="1">
        <v>7895296271042</v>
      </c>
      <c r="B3" s="9">
        <v>27101</v>
      </c>
      <c r="C3" s="8" t="s">
        <v>213</v>
      </c>
      <c r="D3" s="10">
        <v>60</v>
      </c>
      <c r="E3" s="11">
        <v>24.85</v>
      </c>
      <c r="F3" s="12">
        <v>0.13980000000000001</v>
      </c>
      <c r="G3" s="13">
        <v>0.68159999999999998</v>
      </c>
      <c r="H3" s="11">
        <f t="shared" si="0"/>
        <v>6.8061088480000009</v>
      </c>
      <c r="I3" s="18"/>
      <c r="J3" s="15"/>
      <c r="K3" s="16">
        <f t="shared" si="1"/>
        <v>0</v>
      </c>
      <c r="L3" s="17">
        <v>67</v>
      </c>
      <c r="M3" s="17">
        <v>0</v>
      </c>
      <c r="N3" s="11">
        <v>32.06</v>
      </c>
    </row>
    <row r="4" spans="1:14" x14ac:dyDescent="0.25">
      <c r="A4" s="1">
        <v>7895296271035</v>
      </c>
      <c r="B4" s="9">
        <v>27102</v>
      </c>
      <c r="C4" s="8" t="s">
        <v>214</v>
      </c>
      <c r="D4" s="10">
        <v>60</v>
      </c>
      <c r="E4" s="11">
        <v>34.950000000000003</v>
      </c>
      <c r="F4" s="12">
        <v>0.13980000000000001</v>
      </c>
      <c r="G4" s="13">
        <v>0.6482</v>
      </c>
      <c r="H4" s="11">
        <f t="shared" si="0"/>
        <v>10.576511682000001</v>
      </c>
      <c r="I4" s="18"/>
      <c r="J4" s="15"/>
      <c r="K4" s="16">
        <f t="shared" si="1"/>
        <v>0</v>
      </c>
      <c r="L4" s="17">
        <v>22</v>
      </c>
      <c r="M4" s="17">
        <v>0</v>
      </c>
      <c r="N4" s="11">
        <v>45.18</v>
      </c>
    </row>
    <row r="5" spans="1:14" x14ac:dyDescent="0.25">
      <c r="A5" s="1">
        <v>7895296118064</v>
      </c>
      <c r="B5" s="9">
        <v>21563</v>
      </c>
      <c r="C5" s="8" t="s">
        <v>215</v>
      </c>
      <c r="D5" s="10">
        <v>48</v>
      </c>
      <c r="E5" s="11">
        <v>39.06</v>
      </c>
      <c r="F5" s="12">
        <v>0.13980000000000001</v>
      </c>
      <c r="G5" s="13">
        <v>0.82240000000000002</v>
      </c>
      <c r="H5" s="11">
        <f t="shared" si="0"/>
        <v>5.9672555711999999</v>
      </c>
      <c r="I5" s="18"/>
      <c r="J5" s="15"/>
      <c r="K5" s="16">
        <f t="shared" si="1"/>
        <v>0</v>
      </c>
      <c r="L5" s="17">
        <v>56</v>
      </c>
      <c r="M5" s="17">
        <v>0</v>
      </c>
      <c r="N5" s="11">
        <v>51.43</v>
      </c>
    </row>
    <row r="6" spans="1:14" x14ac:dyDescent="0.25">
      <c r="A6" s="9">
        <v>7895296449267</v>
      </c>
      <c r="B6" s="9">
        <v>30127</v>
      </c>
      <c r="C6" s="19" t="s">
        <v>216</v>
      </c>
      <c r="D6" s="10">
        <v>56</v>
      </c>
      <c r="E6" s="11">
        <v>11.1</v>
      </c>
      <c r="F6" s="12">
        <v>0.13980000000000001</v>
      </c>
      <c r="G6" s="13">
        <v>0.79330000000000001</v>
      </c>
      <c r="H6" s="11">
        <f t="shared" si="0"/>
        <v>1.9736170740000001</v>
      </c>
      <c r="I6" s="18"/>
      <c r="J6" s="15"/>
      <c r="K6" s="16">
        <f t="shared" si="1"/>
        <v>0</v>
      </c>
      <c r="L6" s="17">
        <v>0</v>
      </c>
      <c r="M6" s="17">
        <v>0</v>
      </c>
      <c r="N6" s="11">
        <v>14.64</v>
      </c>
    </row>
    <row r="7" spans="1:14" x14ac:dyDescent="0.25">
      <c r="A7" s="1">
        <v>7895296446556</v>
      </c>
      <c r="B7" s="9">
        <v>30026</v>
      </c>
      <c r="C7" s="19" t="s">
        <v>217</v>
      </c>
      <c r="D7" s="10">
        <v>56</v>
      </c>
      <c r="E7" s="11">
        <v>101.3</v>
      </c>
      <c r="F7" s="12">
        <v>0.13980000000000001</v>
      </c>
      <c r="G7" s="13">
        <v>0.88700000000000001</v>
      </c>
      <c r="H7" s="11">
        <f t="shared" si="0"/>
        <v>9.8466233799999987</v>
      </c>
      <c r="I7" s="18"/>
      <c r="J7" s="15"/>
      <c r="K7" s="16">
        <f t="shared" si="1"/>
        <v>0</v>
      </c>
      <c r="L7" s="17">
        <v>12</v>
      </c>
      <c r="M7" s="17">
        <v>0</v>
      </c>
      <c r="N7" s="11">
        <v>133.31</v>
      </c>
    </row>
    <row r="8" spans="1:14" x14ac:dyDescent="0.25">
      <c r="A8" s="9">
        <v>7895296446655</v>
      </c>
      <c r="B8" s="9">
        <v>30027</v>
      </c>
      <c r="C8" s="19" t="s">
        <v>218</v>
      </c>
      <c r="D8" s="10">
        <v>56</v>
      </c>
      <c r="E8" s="11">
        <v>24.7</v>
      </c>
      <c r="F8" s="12">
        <v>0.13980000000000001</v>
      </c>
      <c r="G8" s="13">
        <v>0.8115</v>
      </c>
      <c r="H8" s="11">
        <f t="shared" si="0"/>
        <v>4.0050481900000001</v>
      </c>
      <c r="I8" s="18"/>
      <c r="J8" s="15"/>
      <c r="K8" s="16">
        <f t="shared" si="1"/>
        <v>0</v>
      </c>
      <c r="L8" s="17">
        <v>4</v>
      </c>
      <c r="M8" s="17">
        <v>0</v>
      </c>
      <c r="N8" s="11">
        <v>31.93</v>
      </c>
    </row>
    <row r="9" spans="1:14" x14ac:dyDescent="0.25">
      <c r="A9" s="1">
        <v>7895296210218</v>
      </c>
      <c r="B9" s="9">
        <v>21021</v>
      </c>
      <c r="C9" s="8" t="s">
        <v>219</v>
      </c>
      <c r="D9" s="10">
        <v>120</v>
      </c>
      <c r="E9" s="11">
        <v>11</v>
      </c>
      <c r="F9" s="12">
        <v>0.13980000000000001</v>
      </c>
      <c r="G9" s="13">
        <v>0.63729999999999998</v>
      </c>
      <c r="H9" s="11">
        <f t="shared" si="0"/>
        <v>3.4319399399999999</v>
      </c>
      <c r="I9" s="18"/>
      <c r="J9" s="15"/>
      <c r="K9" s="16">
        <f t="shared" si="1"/>
        <v>0</v>
      </c>
      <c r="L9" s="17">
        <v>41</v>
      </c>
      <c r="M9" s="17">
        <v>0</v>
      </c>
      <c r="N9" s="11">
        <v>14.7</v>
      </c>
    </row>
    <row r="10" spans="1:14" x14ac:dyDescent="0.25">
      <c r="A10" s="1">
        <v>7895296420020</v>
      </c>
      <c r="B10" s="9">
        <v>29351</v>
      </c>
      <c r="C10" s="8" t="s">
        <v>220</v>
      </c>
      <c r="D10" s="10">
        <v>96</v>
      </c>
      <c r="E10" s="11">
        <v>55.75</v>
      </c>
      <c r="F10" s="12">
        <v>0.13980000000000001</v>
      </c>
      <c r="G10" s="13">
        <v>0.96189999999999998</v>
      </c>
      <c r="H10" s="11">
        <f t="shared" si="0"/>
        <v>1.8271293150000012</v>
      </c>
      <c r="I10" s="18"/>
      <c r="J10" s="15"/>
      <c r="K10" s="16">
        <f t="shared" si="1"/>
        <v>0</v>
      </c>
      <c r="L10" s="17">
        <v>204</v>
      </c>
      <c r="M10" s="17">
        <v>0</v>
      </c>
      <c r="N10" s="11">
        <v>74.349999999999994</v>
      </c>
    </row>
    <row r="11" spans="1:14" x14ac:dyDescent="0.25">
      <c r="A11" s="1">
        <v>7895296280082</v>
      </c>
      <c r="B11" s="9">
        <v>28008</v>
      </c>
      <c r="C11" s="20" t="s">
        <v>221</v>
      </c>
      <c r="D11" s="10">
        <v>84</v>
      </c>
      <c r="E11" s="11">
        <v>13.61</v>
      </c>
      <c r="F11" s="12">
        <v>0.13980000000000001</v>
      </c>
      <c r="G11" s="13">
        <v>0.76880000000000004</v>
      </c>
      <c r="H11" s="11">
        <f t="shared" si="0"/>
        <v>2.7067328463999996</v>
      </c>
      <c r="I11" s="21" t="s">
        <v>222</v>
      </c>
      <c r="J11" s="15"/>
      <c r="K11" s="16">
        <f t="shared" si="1"/>
        <v>0</v>
      </c>
      <c r="L11" s="17">
        <v>646</v>
      </c>
      <c r="M11" s="17">
        <v>0</v>
      </c>
      <c r="N11" s="11">
        <v>17.420000000000002</v>
      </c>
    </row>
    <row r="12" spans="1:14" x14ac:dyDescent="0.25">
      <c r="A12" s="1">
        <v>7895296280143</v>
      </c>
      <c r="B12" s="9">
        <v>28014</v>
      </c>
      <c r="C12" s="20" t="s">
        <v>223</v>
      </c>
      <c r="D12" s="10">
        <v>84</v>
      </c>
      <c r="E12" s="11">
        <v>26.7</v>
      </c>
      <c r="F12" s="12">
        <v>0.13980000000000001</v>
      </c>
      <c r="G12" s="13">
        <v>0.84699999999999998</v>
      </c>
      <c r="H12" s="11">
        <f t="shared" si="0"/>
        <v>3.5140030200000005</v>
      </c>
      <c r="I12" s="21" t="s">
        <v>222</v>
      </c>
      <c r="J12" s="15"/>
      <c r="K12" s="16">
        <f t="shared" si="1"/>
        <v>0</v>
      </c>
      <c r="L12" s="17">
        <v>165</v>
      </c>
      <c r="M12" s="17">
        <v>0</v>
      </c>
      <c r="N12" s="11">
        <v>34.130000000000003</v>
      </c>
    </row>
    <row r="13" spans="1:14" x14ac:dyDescent="0.25">
      <c r="A13" s="1">
        <v>7895296280204</v>
      </c>
      <c r="B13" s="9">
        <v>28020</v>
      </c>
      <c r="C13" s="20" t="s">
        <v>224</v>
      </c>
      <c r="D13" s="10">
        <v>60</v>
      </c>
      <c r="E13" s="11">
        <v>71.83</v>
      </c>
      <c r="F13" s="12">
        <v>0.13980000000000001</v>
      </c>
      <c r="G13" s="13">
        <v>0.90690000000000004</v>
      </c>
      <c r="H13" s="11">
        <f t="shared" si="0"/>
        <v>5.7524782545999971</v>
      </c>
      <c r="I13" s="21" t="s">
        <v>222</v>
      </c>
      <c r="J13" s="15"/>
      <c r="K13" s="16">
        <f t="shared" si="1"/>
        <v>0</v>
      </c>
      <c r="L13" s="17">
        <v>120</v>
      </c>
      <c r="M13" s="17">
        <v>0</v>
      </c>
      <c r="N13" s="11">
        <v>91.52</v>
      </c>
    </row>
    <row r="14" spans="1:14" x14ac:dyDescent="0.25">
      <c r="A14" s="9">
        <v>7895296449670</v>
      </c>
      <c r="B14" s="9">
        <v>30128</v>
      </c>
      <c r="C14" s="8" t="s">
        <v>225</v>
      </c>
      <c r="D14" s="10">
        <v>50</v>
      </c>
      <c r="E14" s="11">
        <v>22.36</v>
      </c>
      <c r="F14" s="12">
        <v>0.13980000000000001</v>
      </c>
      <c r="G14" s="13">
        <v>0.68469999999999998</v>
      </c>
      <c r="H14" s="11">
        <f t="shared" si="0"/>
        <v>6.0645029016000001</v>
      </c>
      <c r="I14" s="18"/>
      <c r="J14" s="15"/>
      <c r="K14" s="16">
        <f t="shared" si="1"/>
        <v>0</v>
      </c>
      <c r="L14" s="17">
        <v>0</v>
      </c>
      <c r="M14" s="17">
        <v>0</v>
      </c>
      <c r="N14" s="11">
        <v>29.43</v>
      </c>
    </row>
    <row r="15" spans="1:14" x14ac:dyDescent="0.25">
      <c r="A15" s="9">
        <v>7895296449687</v>
      </c>
      <c r="B15" s="9">
        <v>30129</v>
      </c>
      <c r="C15" s="8" t="s">
        <v>226</v>
      </c>
      <c r="D15" s="10">
        <v>50</v>
      </c>
      <c r="E15" s="11">
        <v>26.66</v>
      </c>
      <c r="F15" s="12">
        <v>0.13980000000000001</v>
      </c>
      <c r="G15" s="13">
        <v>0.73509999999999998</v>
      </c>
      <c r="H15" s="11">
        <f t="shared" si="0"/>
        <v>6.0749336868000006</v>
      </c>
      <c r="I15" s="18"/>
      <c r="J15" s="15"/>
      <c r="K15" s="16">
        <f t="shared" si="1"/>
        <v>0</v>
      </c>
      <c r="L15" s="17">
        <v>157</v>
      </c>
      <c r="M15" s="17">
        <v>0</v>
      </c>
      <c r="N15" s="11">
        <v>35.1</v>
      </c>
    </row>
    <row r="16" spans="1:14" x14ac:dyDescent="0.25">
      <c r="A16" s="1">
        <v>7895296193016</v>
      </c>
      <c r="B16" s="9">
        <v>29971</v>
      </c>
      <c r="C16" s="8" t="s">
        <v>227</v>
      </c>
      <c r="D16" s="10">
        <v>50</v>
      </c>
      <c r="E16" s="11">
        <v>67.09</v>
      </c>
      <c r="F16" s="12">
        <v>0.13980000000000001</v>
      </c>
      <c r="G16" s="13">
        <v>0.69510000000000005</v>
      </c>
      <c r="H16" s="11">
        <f t="shared" si="0"/>
        <v>17.596028408199999</v>
      </c>
      <c r="I16" s="18"/>
      <c r="J16" s="15"/>
      <c r="K16" s="16">
        <f t="shared" si="1"/>
        <v>0</v>
      </c>
      <c r="L16" s="17">
        <v>84</v>
      </c>
      <c r="M16" s="17">
        <v>11603</v>
      </c>
      <c r="N16" s="11">
        <v>86.87</v>
      </c>
    </row>
    <row r="17" spans="1:14" x14ac:dyDescent="0.25">
      <c r="A17" s="9">
        <v>7895296449069</v>
      </c>
      <c r="B17" s="9">
        <v>29484</v>
      </c>
      <c r="C17" s="8" t="s">
        <v>228</v>
      </c>
      <c r="D17" s="10">
        <v>50</v>
      </c>
      <c r="E17" s="11">
        <v>16.399999999999999</v>
      </c>
      <c r="F17" s="12">
        <v>0.13980000000000001</v>
      </c>
      <c r="G17" s="13">
        <v>0.59299999999999997</v>
      </c>
      <c r="H17" s="11">
        <f t="shared" si="0"/>
        <v>5.7416629600000002</v>
      </c>
      <c r="I17" s="18"/>
      <c r="J17" s="15"/>
      <c r="K17" s="16">
        <f t="shared" si="1"/>
        <v>0</v>
      </c>
      <c r="L17" s="17">
        <v>124</v>
      </c>
      <c r="M17" s="17">
        <v>0</v>
      </c>
      <c r="N17" s="11">
        <v>21.61</v>
      </c>
    </row>
    <row r="18" spans="1:14" x14ac:dyDescent="0.25">
      <c r="A18" s="9">
        <v>7895296219020</v>
      </c>
      <c r="B18" s="9">
        <v>29082</v>
      </c>
      <c r="C18" s="20" t="s">
        <v>229</v>
      </c>
      <c r="D18" s="10">
        <v>56</v>
      </c>
      <c r="E18" s="11">
        <v>163.58000000000001</v>
      </c>
      <c r="F18" s="12">
        <v>0.13980000000000001</v>
      </c>
      <c r="G18" s="13">
        <v>0.81330000000000002</v>
      </c>
      <c r="H18" s="11">
        <f t="shared" si="0"/>
        <v>26.270840037199999</v>
      </c>
      <c r="I18" s="21" t="s">
        <v>222</v>
      </c>
      <c r="J18" s="15"/>
      <c r="K18" s="16">
        <f t="shared" si="1"/>
        <v>0</v>
      </c>
      <c r="L18" s="17">
        <v>110</v>
      </c>
      <c r="M18" s="17">
        <v>0</v>
      </c>
      <c r="N18" s="11">
        <v>312.58</v>
      </c>
    </row>
    <row r="19" spans="1:14" x14ac:dyDescent="0.25">
      <c r="A19" s="9">
        <v>7895296219037</v>
      </c>
      <c r="B19" s="9">
        <v>29083</v>
      </c>
      <c r="C19" s="20" t="s">
        <v>230</v>
      </c>
      <c r="D19" s="10">
        <v>56</v>
      </c>
      <c r="E19" s="11">
        <v>354.09</v>
      </c>
      <c r="F19" s="12">
        <v>0.13980000000000001</v>
      </c>
      <c r="G19" s="13">
        <v>0.81899999999999995</v>
      </c>
      <c r="H19" s="11">
        <f t="shared" si="0"/>
        <v>55.130467458000012</v>
      </c>
      <c r="I19" s="21" t="s">
        <v>222</v>
      </c>
      <c r="J19" s="15"/>
      <c r="K19" s="16">
        <f t="shared" si="1"/>
        <v>0</v>
      </c>
      <c r="L19" s="17">
        <v>0</v>
      </c>
      <c r="M19" s="17">
        <v>0</v>
      </c>
      <c r="N19" s="11">
        <v>451.17</v>
      </c>
    </row>
    <row r="20" spans="1:14" x14ac:dyDescent="0.25">
      <c r="A20" s="1">
        <v>7895296087032</v>
      </c>
      <c r="B20" s="9">
        <v>21342</v>
      </c>
      <c r="C20" s="8" t="s">
        <v>231</v>
      </c>
      <c r="D20" s="10">
        <v>48</v>
      </c>
      <c r="E20" s="11">
        <v>58.66</v>
      </c>
      <c r="F20" s="12">
        <v>0.13980000000000001</v>
      </c>
      <c r="G20" s="13">
        <v>0.876</v>
      </c>
      <c r="H20" s="11">
        <f t="shared" si="0"/>
        <v>6.2569571679999996</v>
      </c>
      <c r="I20" s="14"/>
      <c r="J20" s="15"/>
      <c r="K20" s="16">
        <f t="shared" si="1"/>
        <v>0</v>
      </c>
      <c r="L20" s="17">
        <v>84</v>
      </c>
      <c r="M20" s="17">
        <v>0</v>
      </c>
      <c r="N20" s="11">
        <v>89.1</v>
      </c>
    </row>
    <row r="21" spans="1:14" x14ac:dyDescent="0.25">
      <c r="A21" s="1">
        <v>7895296087087</v>
      </c>
      <c r="B21" s="9">
        <v>21346</v>
      </c>
      <c r="C21" s="8" t="s">
        <v>232</v>
      </c>
      <c r="D21" s="10">
        <v>56</v>
      </c>
      <c r="E21" s="11">
        <v>69.790000000000006</v>
      </c>
      <c r="F21" s="12">
        <v>0.13980000000000001</v>
      </c>
      <c r="G21" s="13">
        <v>0.89659999999999995</v>
      </c>
      <c r="H21" s="11">
        <f t="shared" si="0"/>
        <v>6.2074492172000033</v>
      </c>
      <c r="I21" s="14"/>
      <c r="J21" s="15"/>
      <c r="K21" s="16">
        <f t="shared" si="1"/>
        <v>0</v>
      </c>
      <c r="L21" s="17">
        <v>131</v>
      </c>
      <c r="M21" s="17">
        <v>0</v>
      </c>
      <c r="N21" s="11">
        <v>89.1</v>
      </c>
    </row>
    <row r="22" spans="1:14" x14ac:dyDescent="0.25">
      <c r="A22" s="1">
        <v>7895296087131</v>
      </c>
      <c r="B22" s="9">
        <v>21340</v>
      </c>
      <c r="C22" s="8" t="s">
        <v>233</v>
      </c>
      <c r="D22" s="10">
        <v>60</v>
      </c>
      <c r="E22" s="11">
        <v>117.39</v>
      </c>
      <c r="F22" s="12">
        <v>0.13980000000000001</v>
      </c>
      <c r="G22" s="13">
        <v>0.87429999999999997</v>
      </c>
      <c r="H22" s="11">
        <f t="shared" si="0"/>
        <v>12.693044964600002</v>
      </c>
      <c r="I22" s="14"/>
      <c r="J22" s="15"/>
      <c r="K22" s="16">
        <f t="shared" si="1"/>
        <v>0</v>
      </c>
      <c r="L22" s="17">
        <v>321</v>
      </c>
      <c r="M22" s="17">
        <v>0</v>
      </c>
      <c r="N22" s="11">
        <v>178.18</v>
      </c>
    </row>
    <row r="23" spans="1:14" x14ac:dyDescent="0.25">
      <c r="A23" s="1">
        <v>7895296220033</v>
      </c>
      <c r="B23" s="9">
        <v>22003</v>
      </c>
      <c r="C23" s="8" t="s">
        <v>234</v>
      </c>
      <c r="D23" s="10">
        <v>60</v>
      </c>
      <c r="E23" s="11">
        <v>24.68</v>
      </c>
      <c r="F23" s="12">
        <v>0.13980000000000001</v>
      </c>
      <c r="G23" s="13">
        <v>0.87539999999999996</v>
      </c>
      <c r="H23" s="11">
        <f t="shared" si="0"/>
        <v>2.6452251056000007</v>
      </c>
      <c r="I23" s="18"/>
      <c r="J23" s="15"/>
      <c r="K23" s="16">
        <f t="shared" si="1"/>
        <v>0</v>
      </c>
      <c r="L23" s="17">
        <v>133</v>
      </c>
      <c r="M23" s="17">
        <v>0</v>
      </c>
      <c r="N23" s="11">
        <v>32.49</v>
      </c>
    </row>
    <row r="24" spans="1:14" x14ac:dyDescent="0.25">
      <c r="A24" s="1">
        <v>7895296415026</v>
      </c>
      <c r="B24" s="9">
        <v>29346</v>
      </c>
      <c r="C24" s="8" t="s">
        <v>235</v>
      </c>
      <c r="D24" s="10">
        <v>84</v>
      </c>
      <c r="E24" s="11">
        <v>51.68</v>
      </c>
      <c r="F24" s="12">
        <v>0.13980000000000001</v>
      </c>
      <c r="G24" s="13">
        <v>0.95130000000000003</v>
      </c>
      <c r="H24" s="11">
        <f t="shared" si="0"/>
        <v>2.1649651231999982</v>
      </c>
      <c r="I24" s="18"/>
      <c r="J24" s="15"/>
      <c r="K24" s="16">
        <f t="shared" si="1"/>
        <v>0</v>
      </c>
      <c r="L24" s="17">
        <v>0</v>
      </c>
      <c r="M24" s="17">
        <v>0</v>
      </c>
      <c r="N24" s="11">
        <v>68.900000000000006</v>
      </c>
    </row>
    <row r="25" spans="1:14" x14ac:dyDescent="0.25">
      <c r="A25" s="1">
        <v>7895296415019</v>
      </c>
      <c r="B25" s="9">
        <v>29345</v>
      </c>
      <c r="C25" s="8" t="s">
        <v>236</v>
      </c>
      <c r="D25" s="10">
        <v>84</v>
      </c>
      <c r="E25" s="11">
        <v>26.1</v>
      </c>
      <c r="F25" s="12">
        <v>0.13980000000000001</v>
      </c>
      <c r="G25" s="13">
        <v>0.95179999999999998</v>
      </c>
      <c r="H25" s="11">
        <f t="shared" si="0"/>
        <v>1.0821488040000005</v>
      </c>
      <c r="I25" s="18"/>
      <c r="J25" s="15"/>
      <c r="K25" s="16">
        <f t="shared" si="1"/>
        <v>0</v>
      </c>
      <c r="L25" s="17">
        <v>16</v>
      </c>
      <c r="M25" s="17">
        <v>0</v>
      </c>
      <c r="N25" s="11">
        <v>34.82</v>
      </c>
    </row>
    <row r="26" spans="1:14" x14ac:dyDescent="0.25">
      <c r="A26" s="1">
        <v>7895296365017</v>
      </c>
      <c r="B26" s="9">
        <v>29020</v>
      </c>
      <c r="C26" s="8" t="s">
        <v>237</v>
      </c>
      <c r="D26" s="10">
        <v>56</v>
      </c>
      <c r="E26" s="11">
        <v>71.83</v>
      </c>
      <c r="F26" s="12">
        <v>0.13980000000000001</v>
      </c>
      <c r="G26" s="13">
        <v>0.80740000000000001</v>
      </c>
      <c r="H26" s="11">
        <f t="shared" si="0"/>
        <v>11.900400771599999</v>
      </c>
      <c r="I26" s="14"/>
      <c r="J26" s="15"/>
      <c r="K26" s="16">
        <f t="shared" si="1"/>
        <v>0</v>
      </c>
      <c r="L26" s="17">
        <v>96</v>
      </c>
      <c r="M26" s="17">
        <v>0</v>
      </c>
      <c r="N26" s="11">
        <v>91.52</v>
      </c>
    </row>
    <row r="27" spans="1:14" x14ac:dyDescent="0.25">
      <c r="A27" s="1">
        <v>7896472521937</v>
      </c>
      <c r="B27" s="9">
        <v>30277</v>
      </c>
      <c r="C27" s="22" t="s">
        <v>238</v>
      </c>
      <c r="D27" s="10">
        <v>48</v>
      </c>
      <c r="E27" s="11">
        <v>42.16</v>
      </c>
      <c r="F27" s="12">
        <v>0.13980000000000001</v>
      </c>
      <c r="G27" s="13">
        <v>0.56720000000000004</v>
      </c>
      <c r="H27" s="11">
        <f t="shared" si="0"/>
        <v>15.695938649599997</v>
      </c>
      <c r="I27" s="18" t="s">
        <v>239</v>
      </c>
      <c r="J27" s="15"/>
      <c r="K27" s="16">
        <f t="shared" si="1"/>
        <v>0</v>
      </c>
      <c r="L27" s="17">
        <v>75</v>
      </c>
      <c r="M27" s="17">
        <v>0</v>
      </c>
      <c r="N27" s="11">
        <v>53.71</v>
      </c>
    </row>
    <row r="28" spans="1:14" x14ac:dyDescent="0.25">
      <c r="A28" s="1">
        <v>7896472521944</v>
      </c>
      <c r="B28" s="9">
        <v>30278</v>
      </c>
      <c r="C28" s="22" t="s">
        <v>240</v>
      </c>
      <c r="D28" s="10">
        <v>48</v>
      </c>
      <c r="E28" s="11">
        <v>51.31</v>
      </c>
      <c r="F28" s="12">
        <v>0.13980000000000001</v>
      </c>
      <c r="G28" s="13">
        <v>0.59760000000000002</v>
      </c>
      <c r="H28" s="11">
        <f t="shared" si="0"/>
        <v>17.760673268799998</v>
      </c>
      <c r="I28" s="18" t="s">
        <v>239</v>
      </c>
      <c r="J28" s="15"/>
      <c r="K28" s="16">
        <f t="shared" si="1"/>
        <v>0</v>
      </c>
      <c r="L28" s="17">
        <v>84</v>
      </c>
      <c r="M28" s="17">
        <v>0</v>
      </c>
      <c r="N28" s="11">
        <v>65.38</v>
      </c>
    </row>
    <row r="29" spans="1:14" x14ac:dyDescent="0.25">
      <c r="A29" s="1">
        <v>7895296044011</v>
      </c>
      <c r="B29" s="9">
        <v>21221</v>
      </c>
      <c r="C29" s="8" t="s">
        <v>241</v>
      </c>
      <c r="D29" s="10">
        <v>120</v>
      </c>
      <c r="E29" s="11">
        <v>12.68</v>
      </c>
      <c r="F29" s="12">
        <v>0.13980000000000001</v>
      </c>
      <c r="G29" s="13">
        <v>0.82210000000000005</v>
      </c>
      <c r="H29" s="11">
        <f t="shared" si="0"/>
        <v>1.9404150743999993</v>
      </c>
      <c r="I29" s="18"/>
      <c r="J29" s="15"/>
      <c r="K29" s="16">
        <f t="shared" si="1"/>
        <v>0</v>
      </c>
      <c r="L29" s="17">
        <v>331</v>
      </c>
      <c r="M29" s="17">
        <v>0</v>
      </c>
      <c r="N29" s="11">
        <v>21.4</v>
      </c>
    </row>
    <row r="30" spans="1:14" x14ac:dyDescent="0.25">
      <c r="A30" s="1">
        <v>7895296408011</v>
      </c>
      <c r="B30" s="9">
        <v>29331</v>
      </c>
      <c r="C30" s="23" t="s">
        <v>242</v>
      </c>
      <c r="D30" s="10">
        <v>84</v>
      </c>
      <c r="E30" s="11">
        <v>48.68</v>
      </c>
      <c r="F30" s="12">
        <v>0.13980000000000001</v>
      </c>
      <c r="G30" s="13">
        <v>0.85640000000000005</v>
      </c>
      <c r="H30" s="11">
        <f t="shared" si="0"/>
        <v>6.0131833695999974</v>
      </c>
      <c r="I30" s="24"/>
      <c r="J30" s="15"/>
      <c r="K30" s="16">
        <f t="shared" si="1"/>
        <v>0</v>
      </c>
      <c r="L30" s="17">
        <v>69</v>
      </c>
      <c r="M30" s="17">
        <v>0</v>
      </c>
      <c r="N30" s="11">
        <v>64.06</v>
      </c>
    </row>
    <row r="31" spans="1:14" x14ac:dyDescent="0.25">
      <c r="A31" s="1">
        <v>7895296231022</v>
      </c>
      <c r="B31" s="9">
        <v>29102</v>
      </c>
      <c r="C31" s="8" t="s">
        <v>243</v>
      </c>
      <c r="D31" s="10">
        <v>56</v>
      </c>
      <c r="E31" s="11">
        <v>227.43</v>
      </c>
      <c r="F31" s="12">
        <v>0.13980000000000001</v>
      </c>
      <c r="G31" s="13">
        <v>0.30609999999999998</v>
      </c>
      <c r="H31" s="11">
        <f t="shared" si="0"/>
        <v>135.75132495540001</v>
      </c>
      <c r="I31" s="18"/>
      <c r="J31" s="15"/>
      <c r="K31" s="16">
        <f t="shared" si="1"/>
        <v>0</v>
      </c>
      <c r="L31" s="17">
        <v>0</v>
      </c>
      <c r="M31" s="17">
        <v>1736</v>
      </c>
      <c r="N31" s="11">
        <v>291.89</v>
      </c>
    </row>
    <row r="32" spans="1:14" x14ac:dyDescent="0.25">
      <c r="A32" s="1">
        <v>7895296231015</v>
      </c>
      <c r="B32" s="9">
        <v>29101</v>
      </c>
      <c r="C32" s="8" t="s">
        <v>244</v>
      </c>
      <c r="D32" s="10">
        <v>56</v>
      </c>
      <c r="E32" s="11">
        <v>201.84</v>
      </c>
      <c r="F32" s="12">
        <v>0.13980000000000001</v>
      </c>
      <c r="G32" s="13">
        <v>0.56659999999999999</v>
      </c>
      <c r="H32" s="11">
        <f t="shared" si="0"/>
        <v>75.248107651200002</v>
      </c>
      <c r="I32" s="18"/>
      <c r="J32" s="15"/>
      <c r="K32" s="16">
        <f t="shared" si="1"/>
        <v>0</v>
      </c>
      <c r="L32" s="17">
        <v>0</v>
      </c>
      <c r="M32" s="17">
        <v>3432</v>
      </c>
      <c r="N32" s="11">
        <v>259.66000000000003</v>
      </c>
    </row>
    <row r="33" spans="1:14" x14ac:dyDescent="0.25">
      <c r="A33" s="1">
        <v>7895296210744</v>
      </c>
      <c r="B33" s="9">
        <v>21074</v>
      </c>
      <c r="C33" s="19" t="s">
        <v>245</v>
      </c>
      <c r="D33" s="10">
        <v>120</v>
      </c>
      <c r="E33" s="11">
        <v>18.52</v>
      </c>
      <c r="F33" s="12">
        <v>0.13980000000000001</v>
      </c>
      <c r="G33" s="13">
        <v>0.76949999999999996</v>
      </c>
      <c r="H33" s="11">
        <f t="shared" si="0"/>
        <v>3.6720733720000007</v>
      </c>
      <c r="I33" s="18"/>
      <c r="J33" s="15"/>
      <c r="K33" s="16">
        <f t="shared" si="1"/>
        <v>0</v>
      </c>
      <c r="L33" s="17">
        <v>73</v>
      </c>
      <c r="M33" s="17">
        <v>0</v>
      </c>
      <c r="N33" s="11">
        <v>23.95</v>
      </c>
    </row>
    <row r="34" spans="1:14" x14ac:dyDescent="0.25">
      <c r="A34" s="9">
        <v>7895296211017</v>
      </c>
      <c r="B34" s="9">
        <v>29062</v>
      </c>
      <c r="C34" s="8" t="s">
        <v>246</v>
      </c>
      <c r="D34" s="10">
        <v>100</v>
      </c>
      <c r="E34" s="11">
        <v>76.099999999999994</v>
      </c>
      <c r="F34" s="12">
        <v>0.13980000000000001</v>
      </c>
      <c r="G34" s="13">
        <v>0.85819999999999996</v>
      </c>
      <c r="H34" s="11">
        <f t="shared" si="0"/>
        <v>9.2824009960000016</v>
      </c>
      <c r="I34" s="18"/>
      <c r="J34" s="15"/>
      <c r="K34" s="16">
        <f t="shared" si="1"/>
        <v>0</v>
      </c>
      <c r="L34" s="17">
        <v>91</v>
      </c>
      <c r="M34" s="17">
        <v>0</v>
      </c>
      <c r="N34" s="11">
        <v>103.6</v>
      </c>
    </row>
    <row r="35" spans="1:14" x14ac:dyDescent="0.25">
      <c r="A35" s="9">
        <v>7895296211024</v>
      </c>
      <c r="B35" s="9">
        <v>29063</v>
      </c>
      <c r="C35" s="23" t="s">
        <v>247</v>
      </c>
      <c r="D35" s="10">
        <v>100</v>
      </c>
      <c r="E35" s="11">
        <v>272.35000000000002</v>
      </c>
      <c r="F35" s="12">
        <v>0.13980000000000001</v>
      </c>
      <c r="G35" s="13">
        <v>0.81200000000000006</v>
      </c>
      <c r="H35" s="11">
        <f t="shared" si="0"/>
        <v>44.043788359999986</v>
      </c>
      <c r="I35" s="18"/>
      <c r="J35" s="15"/>
      <c r="K35" s="16">
        <f t="shared" si="1"/>
        <v>0</v>
      </c>
      <c r="L35" s="17">
        <v>12</v>
      </c>
      <c r="M35" s="17">
        <v>0</v>
      </c>
      <c r="N35" s="11">
        <v>362.41</v>
      </c>
    </row>
    <row r="36" spans="1:14" x14ac:dyDescent="0.25">
      <c r="A36" s="1">
        <v>7896004777740</v>
      </c>
      <c r="B36" s="9">
        <v>40026</v>
      </c>
      <c r="C36" s="19" t="s">
        <v>248</v>
      </c>
      <c r="D36" s="10">
        <v>84</v>
      </c>
      <c r="E36" s="11">
        <v>14.94</v>
      </c>
      <c r="F36" s="12">
        <v>0.13980000000000001</v>
      </c>
      <c r="G36" s="13">
        <v>0.8972</v>
      </c>
      <c r="H36" s="11">
        <f t="shared" si="0"/>
        <v>1.3211226864000001</v>
      </c>
      <c r="I36" s="21"/>
      <c r="J36" s="15"/>
      <c r="K36" s="16">
        <f t="shared" si="1"/>
        <v>0</v>
      </c>
      <c r="L36" s="17">
        <v>0</v>
      </c>
      <c r="M36" s="17">
        <v>0</v>
      </c>
      <c r="N36" s="11">
        <v>19.690000000000001</v>
      </c>
    </row>
    <row r="37" spans="1:14" x14ac:dyDescent="0.25">
      <c r="A37" s="1">
        <v>7895296092180</v>
      </c>
      <c r="B37" s="9">
        <v>29914</v>
      </c>
      <c r="C37" s="19" t="s">
        <v>249</v>
      </c>
      <c r="D37" s="10">
        <v>84</v>
      </c>
      <c r="E37" s="11">
        <v>54.99</v>
      </c>
      <c r="F37" s="12">
        <v>0.13980000000000001</v>
      </c>
      <c r="G37" s="13">
        <v>0.93030000000000002</v>
      </c>
      <c r="H37" s="11">
        <f t="shared" si="0"/>
        <v>3.2969771405999997</v>
      </c>
      <c r="I37" s="24"/>
      <c r="J37" s="15"/>
      <c r="K37" s="16">
        <f t="shared" si="1"/>
        <v>0</v>
      </c>
      <c r="L37" s="17">
        <v>55</v>
      </c>
      <c r="M37" s="17">
        <v>0</v>
      </c>
      <c r="N37" s="11">
        <v>72.37</v>
      </c>
    </row>
    <row r="38" spans="1:14" x14ac:dyDescent="0.25">
      <c r="A38" s="1">
        <v>7895296092302</v>
      </c>
      <c r="B38" s="9">
        <v>29935</v>
      </c>
      <c r="C38" s="19" t="s">
        <v>250</v>
      </c>
      <c r="D38" s="10">
        <v>84</v>
      </c>
      <c r="E38" s="11">
        <v>92.41</v>
      </c>
      <c r="F38" s="12">
        <v>0.13980000000000001</v>
      </c>
      <c r="G38" s="13">
        <v>0.93830000000000002</v>
      </c>
      <c r="H38" s="11">
        <f t="shared" si="0"/>
        <v>4.9045997593999973</v>
      </c>
      <c r="I38" s="24"/>
      <c r="J38" s="15"/>
      <c r="K38" s="16">
        <f t="shared" si="1"/>
        <v>0</v>
      </c>
      <c r="L38" s="17">
        <v>138</v>
      </c>
      <c r="M38" s="17">
        <v>0</v>
      </c>
      <c r="N38" s="11">
        <v>121.63</v>
      </c>
    </row>
    <row r="39" spans="1:14" x14ac:dyDescent="0.25">
      <c r="A39" s="1">
        <v>7895296092326</v>
      </c>
      <c r="B39" s="9">
        <v>29937</v>
      </c>
      <c r="C39" s="19" t="s">
        <v>251</v>
      </c>
      <c r="D39" s="10">
        <v>84</v>
      </c>
      <c r="E39" s="11">
        <v>41.03</v>
      </c>
      <c r="F39" s="12">
        <v>0.13980000000000001</v>
      </c>
      <c r="G39" s="13">
        <v>0.9133</v>
      </c>
      <c r="H39" s="11">
        <f t="shared" si="0"/>
        <v>3.0599903202000003</v>
      </c>
      <c r="I39" s="24"/>
      <c r="J39" s="15"/>
      <c r="K39" s="16">
        <f t="shared" si="1"/>
        <v>0</v>
      </c>
      <c r="L39" s="17">
        <v>0</v>
      </c>
      <c r="M39" s="17">
        <v>0</v>
      </c>
      <c r="N39" s="11">
        <v>54</v>
      </c>
    </row>
    <row r="40" spans="1:14" x14ac:dyDescent="0.25">
      <c r="A40" s="1">
        <v>7895296092111</v>
      </c>
      <c r="B40" s="9">
        <v>29912</v>
      </c>
      <c r="C40" s="19" t="s">
        <v>252</v>
      </c>
      <c r="D40" s="10">
        <v>84</v>
      </c>
      <c r="E40" s="11">
        <v>47.69</v>
      </c>
      <c r="F40" s="12">
        <v>0.13980000000000001</v>
      </c>
      <c r="G40" s="13">
        <v>0.92659999999999998</v>
      </c>
      <c r="H40" s="11">
        <f t="shared" si="0"/>
        <v>3.0110836492000006</v>
      </c>
      <c r="I40" s="24"/>
      <c r="J40" s="15"/>
      <c r="K40" s="16">
        <f t="shared" si="1"/>
        <v>0</v>
      </c>
      <c r="L40" s="17">
        <v>58</v>
      </c>
      <c r="M40" s="17">
        <v>0</v>
      </c>
      <c r="N40" s="11">
        <v>62.78</v>
      </c>
    </row>
    <row r="41" spans="1:14" x14ac:dyDescent="0.25">
      <c r="A41" s="1">
        <v>7896472519033</v>
      </c>
      <c r="B41" s="9">
        <v>19020</v>
      </c>
      <c r="C41" s="8" t="s">
        <v>253</v>
      </c>
      <c r="D41" s="10">
        <v>48</v>
      </c>
      <c r="E41" s="11">
        <v>32.590000000000003</v>
      </c>
      <c r="F41" s="12">
        <v>0.13980000000000001</v>
      </c>
      <c r="G41" s="13">
        <v>0.81130000000000002</v>
      </c>
      <c r="H41" s="11">
        <f t="shared" si="0"/>
        <v>5.2900003266000004</v>
      </c>
      <c r="I41" s="21"/>
      <c r="J41" s="15"/>
      <c r="K41" s="16">
        <f t="shared" si="1"/>
        <v>0</v>
      </c>
      <c r="L41" s="17">
        <v>967</v>
      </c>
      <c r="M41" s="17">
        <v>0</v>
      </c>
      <c r="N41" s="11">
        <v>43.46</v>
      </c>
    </row>
    <row r="42" spans="1:14" x14ac:dyDescent="0.25">
      <c r="A42" s="1">
        <v>7895296297042</v>
      </c>
      <c r="B42" s="9">
        <v>29704</v>
      </c>
      <c r="C42" s="19" t="s">
        <v>254</v>
      </c>
      <c r="D42" s="10">
        <v>42</v>
      </c>
      <c r="E42" s="11">
        <v>32.83</v>
      </c>
      <c r="F42" s="12">
        <v>0.13980000000000001</v>
      </c>
      <c r="G42" s="13">
        <v>0.83309999999999995</v>
      </c>
      <c r="H42" s="11">
        <f t="shared" si="0"/>
        <v>4.7133170854000008</v>
      </c>
      <c r="I42" s="18"/>
      <c r="J42" s="15"/>
      <c r="K42" s="16">
        <f t="shared" si="1"/>
        <v>0</v>
      </c>
      <c r="L42" s="17">
        <v>0</v>
      </c>
      <c r="M42" s="17">
        <v>0</v>
      </c>
      <c r="N42" s="11">
        <v>42.98</v>
      </c>
    </row>
    <row r="43" spans="1:14" x14ac:dyDescent="0.25">
      <c r="A43" s="1">
        <v>7895296270014</v>
      </c>
      <c r="B43" s="9">
        <v>27001</v>
      </c>
      <c r="C43" s="8" t="s">
        <v>255</v>
      </c>
      <c r="D43" s="10">
        <v>42</v>
      </c>
      <c r="E43" s="11">
        <v>25.13</v>
      </c>
      <c r="F43" s="12">
        <v>0.13980000000000001</v>
      </c>
      <c r="G43" s="13">
        <v>0.76080000000000003</v>
      </c>
      <c r="H43" s="11">
        <f t="shared" si="0"/>
        <v>5.1707447791999996</v>
      </c>
      <c r="I43" s="18"/>
      <c r="J43" s="15"/>
      <c r="K43" s="16">
        <f t="shared" si="1"/>
        <v>0</v>
      </c>
      <c r="L43" s="17">
        <v>0</v>
      </c>
      <c r="M43" s="17">
        <v>0</v>
      </c>
      <c r="N43" s="11">
        <v>32.909999999999997</v>
      </c>
    </row>
    <row r="44" spans="1:14" x14ac:dyDescent="0.25">
      <c r="A44" s="1">
        <v>7896472521715</v>
      </c>
      <c r="B44" s="9">
        <v>30198</v>
      </c>
      <c r="C44" s="22" t="s">
        <v>256</v>
      </c>
      <c r="D44" s="10">
        <v>60</v>
      </c>
      <c r="E44" s="11">
        <v>33.71</v>
      </c>
      <c r="F44" s="12">
        <v>0.13980000000000001</v>
      </c>
      <c r="G44" s="13">
        <v>0.30680000000000002</v>
      </c>
      <c r="H44" s="11">
        <f t="shared" si="0"/>
        <v>20.100957474400001</v>
      </c>
      <c r="I44" s="18" t="s">
        <v>239</v>
      </c>
      <c r="J44" s="15"/>
      <c r="K44" s="16">
        <f t="shared" si="1"/>
        <v>0</v>
      </c>
      <c r="L44" s="17">
        <v>0</v>
      </c>
      <c r="M44" s="17">
        <v>88800</v>
      </c>
      <c r="N44" s="11">
        <v>44.38</v>
      </c>
    </row>
    <row r="45" spans="1:14" x14ac:dyDescent="0.25">
      <c r="A45" s="1">
        <v>7895296055024</v>
      </c>
      <c r="B45" s="9">
        <v>29017</v>
      </c>
      <c r="C45" s="8" t="s">
        <v>257</v>
      </c>
      <c r="D45" s="10">
        <v>84</v>
      </c>
      <c r="E45" s="11">
        <v>13.99</v>
      </c>
      <c r="F45" s="12">
        <v>0.13980000000000001</v>
      </c>
      <c r="G45" s="13">
        <v>0.79959999999999998</v>
      </c>
      <c r="H45" s="11">
        <f t="shared" si="0"/>
        <v>2.4116532792000003</v>
      </c>
      <c r="I45" s="24"/>
      <c r="J45" s="15"/>
      <c r="K45" s="16">
        <f t="shared" si="1"/>
        <v>0</v>
      </c>
      <c r="L45" s="17">
        <v>168</v>
      </c>
      <c r="M45" s="17">
        <v>0</v>
      </c>
      <c r="N45" s="11">
        <v>23.7</v>
      </c>
    </row>
    <row r="46" spans="1:14" x14ac:dyDescent="0.25">
      <c r="A46" s="1">
        <v>7895296213042</v>
      </c>
      <c r="B46" s="9">
        <v>21304</v>
      </c>
      <c r="C46" s="20" t="s">
        <v>258</v>
      </c>
      <c r="D46" s="10">
        <v>56</v>
      </c>
      <c r="E46" s="11">
        <v>98.99</v>
      </c>
      <c r="F46" s="12">
        <v>0.13980000000000001</v>
      </c>
      <c r="G46" s="13">
        <v>0.82110000000000005</v>
      </c>
      <c r="H46" s="11">
        <f t="shared" si="0"/>
        <v>15.233549322199995</v>
      </c>
      <c r="I46" s="21" t="s">
        <v>222</v>
      </c>
      <c r="J46" s="15"/>
      <c r="K46" s="16">
        <f t="shared" si="1"/>
        <v>0</v>
      </c>
      <c r="L46" s="17">
        <v>56</v>
      </c>
      <c r="M46" s="17">
        <v>0</v>
      </c>
      <c r="N46" s="11">
        <v>133.72</v>
      </c>
    </row>
    <row r="47" spans="1:14" x14ac:dyDescent="0.25">
      <c r="A47" s="1">
        <v>7895296213059</v>
      </c>
      <c r="B47" s="9">
        <v>21305</v>
      </c>
      <c r="C47" s="20" t="s">
        <v>259</v>
      </c>
      <c r="D47" s="10">
        <v>40</v>
      </c>
      <c r="E47" s="11">
        <v>180.8</v>
      </c>
      <c r="F47" s="12">
        <v>0.13980000000000001</v>
      </c>
      <c r="G47" s="13">
        <v>0.83189999999999997</v>
      </c>
      <c r="H47" s="11">
        <f t="shared" si="0"/>
        <v>26.143611296000003</v>
      </c>
      <c r="I47" s="21" t="s">
        <v>222</v>
      </c>
      <c r="J47" s="15"/>
      <c r="K47" s="16">
        <f t="shared" si="1"/>
        <v>0</v>
      </c>
      <c r="L47" s="17">
        <v>52</v>
      </c>
      <c r="M47" s="17">
        <v>0</v>
      </c>
      <c r="N47" s="11">
        <v>244.22</v>
      </c>
    </row>
    <row r="48" spans="1:14" x14ac:dyDescent="0.25">
      <c r="A48" s="1">
        <v>7895296450065</v>
      </c>
      <c r="B48" s="9">
        <v>30201</v>
      </c>
      <c r="C48" s="22" t="s">
        <v>260</v>
      </c>
      <c r="D48" s="10">
        <v>60</v>
      </c>
      <c r="E48" s="11">
        <v>155</v>
      </c>
      <c r="F48" s="12">
        <v>0.13980000000000001</v>
      </c>
      <c r="G48" s="13">
        <v>0.5131</v>
      </c>
      <c r="H48" s="11">
        <f t="shared" si="0"/>
        <v>64.918863899999991</v>
      </c>
      <c r="I48" s="18" t="s">
        <v>239</v>
      </c>
      <c r="J48" s="15"/>
      <c r="K48" s="16">
        <f t="shared" si="1"/>
        <v>0</v>
      </c>
      <c r="L48" s="17">
        <v>9</v>
      </c>
      <c r="M48" s="17">
        <v>0</v>
      </c>
      <c r="N48" s="11">
        <v>197.5</v>
      </c>
    </row>
    <row r="49" spans="1:14" x14ac:dyDescent="0.25">
      <c r="A49" s="1">
        <v>7895296033053</v>
      </c>
      <c r="B49" s="9">
        <v>21209</v>
      </c>
      <c r="C49" s="8" t="s">
        <v>261</v>
      </c>
      <c r="D49" s="10">
        <v>48</v>
      </c>
      <c r="E49" s="11">
        <v>17.66</v>
      </c>
      <c r="F49" s="12">
        <v>0.13980000000000001</v>
      </c>
      <c r="G49" s="13">
        <v>0.74170000000000003</v>
      </c>
      <c r="H49" s="11">
        <f t="shared" si="0"/>
        <v>3.9238693955999997</v>
      </c>
      <c r="I49" s="18"/>
      <c r="J49" s="15"/>
      <c r="K49" s="16">
        <f t="shared" si="1"/>
        <v>0</v>
      </c>
      <c r="L49" s="17">
        <v>31</v>
      </c>
      <c r="M49" s="17">
        <v>0</v>
      </c>
      <c r="N49" s="11">
        <v>23.45</v>
      </c>
    </row>
    <row r="50" spans="1:14" x14ac:dyDescent="0.25">
      <c r="A50" s="1">
        <v>7895296033121</v>
      </c>
      <c r="B50" s="9">
        <v>29960</v>
      </c>
      <c r="C50" s="19" t="s">
        <v>262</v>
      </c>
      <c r="D50" s="10">
        <v>60</v>
      </c>
      <c r="E50" s="11">
        <v>15.54</v>
      </c>
      <c r="F50" s="12">
        <v>0.13980000000000001</v>
      </c>
      <c r="G50" s="13">
        <v>0.77890000000000004</v>
      </c>
      <c r="H50" s="11">
        <f t="shared" si="0"/>
        <v>2.9555560187999994</v>
      </c>
      <c r="I50" s="18"/>
      <c r="J50" s="15"/>
      <c r="K50" s="16">
        <f t="shared" si="1"/>
        <v>0</v>
      </c>
      <c r="L50" s="17">
        <v>120</v>
      </c>
      <c r="M50" s="17">
        <v>0</v>
      </c>
      <c r="N50" s="11">
        <v>20.6</v>
      </c>
    </row>
    <row r="51" spans="1:14" x14ac:dyDescent="0.25">
      <c r="A51" s="1">
        <v>7895296033138</v>
      </c>
      <c r="B51" s="9">
        <v>29975</v>
      </c>
      <c r="C51" s="19" t="s">
        <v>263</v>
      </c>
      <c r="D51" s="10">
        <v>60</v>
      </c>
      <c r="E51" s="11">
        <v>31.75</v>
      </c>
      <c r="F51" s="12">
        <v>0.13980000000000001</v>
      </c>
      <c r="G51" s="13">
        <v>0.77039999999999997</v>
      </c>
      <c r="H51" s="11">
        <f t="shared" si="0"/>
        <v>6.2706859600000007</v>
      </c>
      <c r="I51" s="18"/>
      <c r="J51" s="15"/>
      <c r="K51" s="16">
        <f t="shared" si="1"/>
        <v>0</v>
      </c>
      <c r="L51" s="17" t="e">
        <v>#N/A</v>
      </c>
      <c r="M51" s="17" t="e">
        <v>#N/A</v>
      </c>
      <c r="N51" s="11">
        <v>42.12</v>
      </c>
    </row>
    <row r="52" spans="1:14" x14ac:dyDescent="0.25">
      <c r="A52" s="1">
        <v>7895296033077</v>
      </c>
      <c r="B52" s="9">
        <v>21204</v>
      </c>
      <c r="C52" s="19" t="s">
        <v>264</v>
      </c>
      <c r="D52" s="10">
        <v>84</v>
      </c>
      <c r="E52" s="11">
        <v>35.44</v>
      </c>
      <c r="F52" s="12">
        <v>0.13980000000000001</v>
      </c>
      <c r="G52" s="13">
        <v>0.75649999999999995</v>
      </c>
      <c r="H52" s="11">
        <f t="shared" si="0"/>
        <v>7.4232163280000005</v>
      </c>
      <c r="I52" s="18"/>
      <c r="J52" s="15"/>
      <c r="K52" s="16">
        <f t="shared" si="1"/>
        <v>0</v>
      </c>
      <c r="L52" s="17">
        <v>10</v>
      </c>
      <c r="M52" s="17">
        <v>0</v>
      </c>
      <c r="N52" s="11">
        <v>47.02</v>
      </c>
    </row>
    <row r="53" spans="1:14" x14ac:dyDescent="0.25">
      <c r="A53" s="1">
        <v>7896004778198</v>
      </c>
      <c r="B53" s="9">
        <v>40024</v>
      </c>
      <c r="C53" s="8" t="s">
        <v>265</v>
      </c>
      <c r="D53" s="10">
        <v>48</v>
      </c>
      <c r="E53" s="11">
        <v>37.58</v>
      </c>
      <c r="F53" s="12">
        <v>0.13980000000000001</v>
      </c>
      <c r="G53" s="13">
        <v>0.81659999999999999</v>
      </c>
      <c r="H53" s="11">
        <f t="shared" si="0"/>
        <v>5.9286463543999997</v>
      </c>
      <c r="I53" s="18"/>
      <c r="J53" s="15"/>
      <c r="K53" s="16">
        <f t="shared" si="1"/>
        <v>0</v>
      </c>
      <c r="L53" s="17">
        <v>0</v>
      </c>
      <c r="M53" s="17">
        <v>0</v>
      </c>
      <c r="N53" s="11">
        <v>53.03</v>
      </c>
    </row>
    <row r="54" spans="1:14" x14ac:dyDescent="0.25">
      <c r="A54" s="1">
        <v>7895296211062</v>
      </c>
      <c r="B54" s="9">
        <v>21106</v>
      </c>
      <c r="C54" s="8" t="s">
        <v>266</v>
      </c>
      <c r="D54" s="10">
        <v>48</v>
      </c>
      <c r="E54" s="11">
        <v>21.18</v>
      </c>
      <c r="F54" s="12">
        <v>0.13980000000000001</v>
      </c>
      <c r="G54" s="13">
        <v>0.32700000000000001</v>
      </c>
      <c r="H54" s="11">
        <f t="shared" si="0"/>
        <v>12.261411228</v>
      </c>
      <c r="I54" s="18"/>
      <c r="J54" s="15"/>
      <c r="K54" s="16">
        <f t="shared" si="1"/>
        <v>0</v>
      </c>
      <c r="L54" s="17">
        <v>16</v>
      </c>
      <c r="M54" s="17">
        <v>0</v>
      </c>
      <c r="N54" s="11">
        <v>28.24</v>
      </c>
    </row>
    <row r="55" spans="1:14" x14ac:dyDescent="0.25">
      <c r="A55" s="1">
        <v>7895296211086</v>
      </c>
      <c r="B55" s="9">
        <v>21108</v>
      </c>
      <c r="C55" s="8" t="s">
        <v>267</v>
      </c>
      <c r="D55" s="10">
        <v>60</v>
      </c>
      <c r="E55" s="11">
        <v>40.28</v>
      </c>
      <c r="F55" s="12">
        <v>0.13980000000000001</v>
      </c>
      <c r="G55" s="13">
        <v>0.3972</v>
      </c>
      <c r="H55" s="11">
        <f t="shared" si="0"/>
        <v>20.886330396800002</v>
      </c>
      <c r="I55" s="18"/>
      <c r="J55" s="15"/>
      <c r="K55" s="16">
        <f t="shared" si="1"/>
        <v>0</v>
      </c>
      <c r="L55" s="17">
        <v>143</v>
      </c>
      <c r="M55" s="17">
        <v>0</v>
      </c>
      <c r="N55" s="11">
        <v>53.71</v>
      </c>
    </row>
    <row r="56" spans="1:14" x14ac:dyDescent="0.25">
      <c r="A56" s="1">
        <v>7895296447256</v>
      </c>
      <c r="B56" s="9">
        <v>30059</v>
      </c>
      <c r="C56" s="8" t="s">
        <v>268</v>
      </c>
      <c r="D56" s="10">
        <v>56</v>
      </c>
      <c r="E56" s="11">
        <v>114.39</v>
      </c>
      <c r="F56" s="12">
        <v>0.13980000000000001</v>
      </c>
      <c r="G56" s="13">
        <v>0.8518</v>
      </c>
      <c r="H56" s="11">
        <f t="shared" si="0"/>
        <v>14.582624799600001</v>
      </c>
      <c r="I56" s="24"/>
      <c r="J56" s="15"/>
      <c r="K56" s="16">
        <f t="shared" si="1"/>
        <v>0</v>
      </c>
      <c r="L56" s="17">
        <v>56</v>
      </c>
      <c r="M56" s="17">
        <v>0</v>
      </c>
      <c r="N56" s="11">
        <v>204.75</v>
      </c>
    </row>
    <row r="57" spans="1:14" x14ac:dyDescent="0.25">
      <c r="A57" s="1">
        <v>7895296447249</v>
      </c>
      <c r="B57" s="9">
        <v>30058</v>
      </c>
      <c r="C57" s="8" t="s">
        <v>269</v>
      </c>
      <c r="D57" s="10">
        <v>60</v>
      </c>
      <c r="E57" s="11">
        <v>145.03</v>
      </c>
      <c r="F57" s="12">
        <v>0.13980000000000001</v>
      </c>
      <c r="G57" s="13">
        <v>0.87219999999999998</v>
      </c>
      <c r="H57" s="11">
        <f t="shared" si="0"/>
        <v>15.943664206800003</v>
      </c>
      <c r="I57" s="24"/>
      <c r="J57" s="15"/>
      <c r="K57" s="16">
        <f t="shared" si="1"/>
        <v>0</v>
      </c>
      <c r="L57" s="17">
        <v>0</v>
      </c>
      <c r="M57" s="17">
        <v>26040</v>
      </c>
      <c r="N57" s="11">
        <v>184.8</v>
      </c>
    </row>
    <row r="58" spans="1:14" x14ac:dyDescent="0.25">
      <c r="A58" s="1">
        <v>7895296186018</v>
      </c>
      <c r="B58" s="9">
        <v>29964</v>
      </c>
      <c r="C58" s="25" t="s">
        <v>270</v>
      </c>
      <c r="D58" s="10">
        <v>100</v>
      </c>
      <c r="E58" s="11">
        <v>64.930000000000007</v>
      </c>
      <c r="F58" s="12">
        <v>0.13980000000000001</v>
      </c>
      <c r="G58" s="13">
        <v>0.38879999999999998</v>
      </c>
      <c r="H58" s="11">
        <f t="shared" si="0"/>
        <v>34.137222803200004</v>
      </c>
      <c r="I58" s="18"/>
      <c r="J58" s="15"/>
      <c r="K58" s="16">
        <f t="shared" si="1"/>
        <v>0</v>
      </c>
      <c r="L58" s="17">
        <v>97</v>
      </c>
      <c r="M58" s="17">
        <v>0</v>
      </c>
      <c r="N58" s="11">
        <v>86.55</v>
      </c>
    </row>
    <row r="59" spans="1:14" x14ac:dyDescent="0.25">
      <c r="A59" s="1">
        <v>7895296195010</v>
      </c>
      <c r="B59" s="9">
        <v>29976</v>
      </c>
      <c r="C59" s="25" t="s">
        <v>271</v>
      </c>
      <c r="D59" s="10">
        <v>100</v>
      </c>
      <c r="E59" s="11">
        <v>90.81</v>
      </c>
      <c r="F59" s="12">
        <v>0.13980000000000001</v>
      </c>
      <c r="G59" s="13">
        <v>0.66279999999999994</v>
      </c>
      <c r="H59" s="11">
        <f t="shared" si="0"/>
        <v>26.340297746400005</v>
      </c>
      <c r="I59" s="18"/>
      <c r="J59" s="15"/>
      <c r="K59" s="16">
        <f t="shared" si="1"/>
        <v>0</v>
      </c>
      <c r="L59" s="17">
        <v>107</v>
      </c>
      <c r="M59" s="17">
        <v>0</v>
      </c>
      <c r="N59" s="11">
        <v>128</v>
      </c>
    </row>
    <row r="60" spans="1:14" x14ac:dyDescent="0.25">
      <c r="A60" s="1">
        <v>7895296354028</v>
      </c>
      <c r="B60" s="9">
        <v>29255</v>
      </c>
      <c r="C60" s="20" t="s">
        <v>272</v>
      </c>
      <c r="D60" s="10">
        <v>50</v>
      </c>
      <c r="E60" s="11">
        <v>59.24</v>
      </c>
      <c r="F60" s="12">
        <v>0.13980000000000001</v>
      </c>
      <c r="G60" s="13">
        <v>0.49309999999999998</v>
      </c>
      <c r="H60" s="11">
        <f t="shared" si="0"/>
        <v>25.830735911199998</v>
      </c>
      <c r="I60" s="21" t="s">
        <v>222</v>
      </c>
      <c r="J60" s="15"/>
      <c r="K60" s="16">
        <f t="shared" si="1"/>
        <v>0</v>
      </c>
      <c r="L60" s="17">
        <v>6</v>
      </c>
      <c r="M60" s="17">
        <v>12650</v>
      </c>
      <c r="N60" s="11">
        <v>76.56</v>
      </c>
    </row>
    <row r="61" spans="1:14" x14ac:dyDescent="0.25">
      <c r="A61" s="1">
        <v>7895296354035</v>
      </c>
      <c r="B61" s="9">
        <v>29256</v>
      </c>
      <c r="C61" s="20" t="s">
        <v>273</v>
      </c>
      <c r="D61" s="10">
        <v>50</v>
      </c>
      <c r="E61" s="11">
        <v>106.19</v>
      </c>
      <c r="F61" s="12">
        <v>0.13980000000000001</v>
      </c>
      <c r="G61" s="13">
        <v>0.45429999999999998</v>
      </c>
      <c r="H61" s="11">
        <f t="shared" si="0"/>
        <v>49.846768956600009</v>
      </c>
      <c r="I61" s="21" t="s">
        <v>222</v>
      </c>
      <c r="J61" s="15"/>
      <c r="K61" s="16">
        <f t="shared" si="1"/>
        <v>0</v>
      </c>
      <c r="L61" s="17">
        <v>51</v>
      </c>
      <c r="M61" s="17">
        <v>0</v>
      </c>
      <c r="N61" s="11">
        <v>137.21</v>
      </c>
    </row>
    <row r="62" spans="1:14" x14ac:dyDescent="0.25">
      <c r="A62" s="1">
        <v>7895296447317</v>
      </c>
      <c r="B62" s="9">
        <v>29349</v>
      </c>
      <c r="C62" s="8" t="s">
        <v>274</v>
      </c>
      <c r="D62" s="10">
        <v>48</v>
      </c>
      <c r="E62" s="11">
        <v>47.75</v>
      </c>
      <c r="F62" s="12">
        <v>0.13980000000000001</v>
      </c>
      <c r="G62" s="13">
        <v>0.88670000000000004</v>
      </c>
      <c r="H62" s="11">
        <f t="shared" si="0"/>
        <v>4.6537465149999981</v>
      </c>
      <c r="I62" s="26"/>
      <c r="J62" s="15"/>
      <c r="K62" s="16">
        <f t="shared" si="1"/>
        <v>0</v>
      </c>
      <c r="L62" s="17">
        <v>193</v>
      </c>
      <c r="M62" s="17">
        <v>0</v>
      </c>
      <c r="N62" s="11">
        <v>64.56</v>
      </c>
    </row>
    <row r="63" spans="1:14" x14ac:dyDescent="0.25">
      <c r="A63" s="1">
        <v>7895296447324</v>
      </c>
      <c r="B63" s="9">
        <v>29350</v>
      </c>
      <c r="C63" s="8" t="s">
        <v>275</v>
      </c>
      <c r="D63" s="10">
        <v>48</v>
      </c>
      <c r="E63" s="11">
        <v>74.72</v>
      </c>
      <c r="F63" s="12">
        <v>0.13980000000000001</v>
      </c>
      <c r="G63" s="13">
        <v>0.88260000000000005</v>
      </c>
      <c r="H63" s="11">
        <f t="shared" si="0"/>
        <v>7.5457845055999959</v>
      </c>
      <c r="I63" s="26"/>
      <c r="J63" s="15"/>
      <c r="K63" s="16">
        <f t="shared" si="1"/>
        <v>0</v>
      </c>
      <c r="L63" s="17">
        <v>7</v>
      </c>
      <c r="M63" s="17">
        <v>0</v>
      </c>
      <c r="N63" s="11">
        <v>92.82</v>
      </c>
    </row>
    <row r="64" spans="1:14" x14ac:dyDescent="0.25">
      <c r="A64" s="1">
        <v>7896472521814</v>
      </c>
      <c r="B64" s="9">
        <v>30269</v>
      </c>
      <c r="C64" s="8" t="s">
        <v>276</v>
      </c>
      <c r="D64" s="10">
        <v>25</v>
      </c>
      <c r="E64" s="11" t="s">
        <v>277</v>
      </c>
      <c r="F64" s="12">
        <v>0.13980000000000001</v>
      </c>
      <c r="G64" s="13">
        <v>0.63619999999999999</v>
      </c>
      <c r="H64" s="11" t="e">
        <f t="shared" si="0"/>
        <v>#VALUE!</v>
      </c>
      <c r="I64" s="18" t="s">
        <v>239</v>
      </c>
      <c r="J64" s="15"/>
      <c r="K64" s="16" t="e">
        <f t="shared" si="1"/>
        <v>#VALUE!</v>
      </c>
      <c r="L64" s="17">
        <v>58</v>
      </c>
      <c r="M64" s="17">
        <v>0</v>
      </c>
      <c r="N64" s="11">
        <v>106.73</v>
      </c>
    </row>
    <row r="65" spans="1:14" x14ac:dyDescent="0.25">
      <c r="A65" s="1">
        <v>7896472521821</v>
      </c>
      <c r="B65" s="9">
        <v>30270</v>
      </c>
      <c r="C65" s="8" t="s">
        <v>278</v>
      </c>
      <c r="D65" s="10">
        <v>25</v>
      </c>
      <c r="E65" s="11">
        <v>33.76</v>
      </c>
      <c r="F65" s="12">
        <v>0.13980000000000001</v>
      </c>
      <c r="G65" s="13">
        <v>0.60489999999999999</v>
      </c>
      <c r="H65" s="11">
        <f t="shared" si="0"/>
        <v>11.4738430752</v>
      </c>
      <c r="I65" s="18" t="s">
        <v>239</v>
      </c>
      <c r="J65" s="15"/>
      <c r="K65" s="16">
        <f t="shared" si="1"/>
        <v>0</v>
      </c>
      <c r="L65" s="17">
        <v>178</v>
      </c>
      <c r="M65" s="17">
        <v>0</v>
      </c>
      <c r="N65" s="11">
        <v>42.65</v>
      </c>
    </row>
    <row r="66" spans="1:14" x14ac:dyDescent="0.25">
      <c r="A66" s="1">
        <v>7895296344029</v>
      </c>
      <c r="B66" s="9">
        <v>29244</v>
      </c>
      <c r="C66" s="8" t="s">
        <v>279</v>
      </c>
      <c r="D66" s="10">
        <v>48</v>
      </c>
      <c r="E66" s="11">
        <v>96.18</v>
      </c>
      <c r="F66" s="12">
        <v>0.13980000000000001</v>
      </c>
      <c r="G66" s="13">
        <v>0.32540000000000002</v>
      </c>
      <c r="H66" s="11">
        <f t="shared" ref="H66:H129" si="2">(E66-E66*F66)*(1-G66)</f>
        <v>55.812380685599997</v>
      </c>
      <c r="I66" s="18"/>
      <c r="J66" s="15"/>
      <c r="K66" s="16">
        <f t="shared" ref="K66:K129" si="3">J66*H66</f>
        <v>0</v>
      </c>
      <c r="L66" s="17">
        <v>44</v>
      </c>
      <c r="M66" s="17">
        <v>0</v>
      </c>
      <c r="N66" s="11">
        <v>128.22</v>
      </c>
    </row>
    <row r="67" spans="1:14" x14ac:dyDescent="0.25">
      <c r="A67" s="1">
        <v>7895296097055</v>
      </c>
      <c r="B67" s="9">
        <v>17027</v>
      </c>
      <c r="C67" s="8" t="s">
        <v>280</v>
      </c>
      <c r="D67" s="10">
        <v>48</v>
      </c>
      <c r="E67" s="11">
        <v>58.61</v>
      </c>
      <c r="F67" s="12">
        <v>0.13980000000000001</v>
      </c>
      <c r="G67" s="13">
        <v>0.92510000000000003</v>
      </c>
      <c r="H67" s="11">
        <f t="shared" si="2"/>
        <v>3.7761825177999984</v>
      </c>
      <c r="I67" s="18"/>
      <c r="J67" s="15"/>
      <c r="K67" s="16">
        <f t="shared" si="3"/>
        <v>0</v>
      </c>
      <c r="L67" s="17">
        <v>418</v>
      </c>
      <c r="M67" s="17">
        <v>38832</v>
      </c>
      <c r="N67" s="11">
        <v>136.32</v>
      </c>
    </row>
    <row r="68" spans="1:14" x14ac:dyDescent="0.25">
      <c r="A68" s="1">
        <v>7895296449847</v>
      </c>
      <c r="B68" s="9">
        <v>30144</v>
      </c>
      <c r="C68" s="8" t="s">
        <v>281</v>
      </c>
      <c r="D68" s="10">
        <v>56</v>
      </c>
      <c r="E68" s="11">
        <v>66.45</v>
      </c>
      <c r="F68" s="12">
        <v>0.13980000000000001</v>
      </c>
      <c r="G68" s="13">
        <v>0.93189999999999995</v>
      </c>
      <c r="H68" s="11">
        <f t="shared" si="2"/>
        <v>3.8926157490000031</v>
      </c>
      <c r="I68" s="18"/>
      <c r="J68" s="15"/>
      <c r="K68" s="16">
        <f t="shared" si="3"/>
        <v>0</v>
      </c>
      <c r="L68" s="17">
        <v>56</v>
      </c>
      <c r="M68" s="17">
        <v>25368</v>
      </c>
      <c r="N68" s="11">
        <v>270.06</v>
      </c>
    </row>
    <row r="69" spans="1:14" x14ac:dyDescent="0.25">
      <c r="A69" s="1">
        <v>7898103651068</v>
      </c>
      <c r="B69" s="9">
        <v>30322</v>
      </c>
      <c r="C69" s="20" t="s">
        <v>282</v>
      </c>
      <c r="D69" s="10">
        <v>60</v>
      </c>
      <c r="E69" s="11">
        <v>26.21</v>
      </c>
      <c r="F69" s="12">
        <v>0.13980000000000001</v>
      </c>
      <c r="G69" s="13">
        <v>0.51949999999999996</v>
      </c>
      <c r="H69" s="11">
        <f t="shared" si="2"/>
        <v>10.833277081</v>
      </c>
      <c r="I69" s="21" t="s">
        <v>222</v>
      </c>
      <c r="J69" s="15"/>
      <c r="K69" s="16">
        <f t="shared" si="3"/>
        <v>0</v>
      </c>
      <c r="L69" s="17">
        <v>0</v>
      </c>
      <c r="M69" s="17">
        <v>49020</v>
      </c>
      <c r="N69" s="11">
        <v>42.55</v>
      </c>
    </row>
    <row r="70" spans="1:14" x14ac:dyDescent="0.25">
      <c r="A70" s="1">
        <v>7895296449816</v>
      </c>
      <c r="B70" s="9">
        <v>30172</v>
      </c>
      <c r="C70" s="20" t="s">
        <v>283</v>
      </c>
      <c r="D70" s="10">
        <v>60</v>
      </c>
      <c r="E70" s="11">
        <v>13.89</v>
      </c>
      <c r="F70" s="12">
        <v>0.13980000000000001</v>
      </c>
      <c r="G70" s="13">
        <v>0.33789999999999998</v>
      </c>
      <c r="H70" s="11">
        <f t="shared" si="2"/>
        <v>7.9108886538000007</v>
      </c>
      <c r="I70" s="21" t="s">
        <v>222</v>
      </c>
      <c r="J70" s="15"/>
      <c r="K70" s="16">
        <f t="shared" si="3"/>
        <v>0</v>
      </c>
      <c r="L70" s="17">
        <v>55</v>
      </c>
      <c r="M70" s="17">
        <v>227460</v>
      </c>
      <c r="N70" s="11">
        <v>18.77</v>
      </c>
    </row>
    <row r="71" spans="1:14" x14ac:dyDescent="0.25">
      <c r="A71" s="1">
        <v>7895296032025</v>
      </c>
      <c r="B71" s="9">
        <v>29343</v>
      </c>
      <c r="C71" s="19" t="s">
        <v>284</v>
      </c>
      <c r="D71" s="10">
        <v>48</v>
      </c>
      <c r="E71" s="11">
        <v>47.71</v>
      </c>
      <c r="F71" s="12">
        <v>0.13980000000000001</v>
      </c>
      <c r="G71" s="13">
        <v>0.85270000000000001</v>
      </c>
      <c r="H71" s="27">
        <f t="shared" si="2"/>
        <v>6.0452129165999997</v>
      </c>
      <c r="I71" s="18"/>
      <c r="J71" s="15"/>
      <c r="K71" s="16">
        <f t="shared" si="3"/>
        <v>0</v>
      </c>
      <c r="L71" s="17">
        <v>48</v>
      </c>
      <c r="M71" s="17">
        <v>0</v>
      </c>
      <c r="N71" s="11">
        <v>62.8</v>
      </c>
    </row>
    <row r="72" spans="1:14" x14ac:dyDescent="0.25">
      <c r="A72" s="1">
        <v>7895296098090</v>
      </c>
      <c r="B72" s="9">
        <v>21279</v>
      </c>
      <c r="C72" s="8" t="s">
        <v>285</v>
      </c>
      <c r="D72" s="10">
        <v>100</v>
      </c>
      <c r="E72" s="11">
        <v>65.83</v>
      </c>
      <c r="F72" s="12">
        <v>0.13980000000000001</v>
      </c>
      <c r="G72" s="13">
        <v>0.66159999999999997</v>
      </c>
      <c r="H72" s="11">
        <f t="shared" si="2"/>
        <v>19.1625652944</v>
      </c>
      <c r="I72" s="21"/>
      <c r="J72" s="15"/>
      <c r="K72" s="16">
        <f t="shared" si="3"/>
        <v>0</v>
      </c>
      <c r="L72" s="17">
        <v>109</v>
      </c>
      <c r="M72" s="17">
        <v>0</v>
      </c>
      <c r="N72" s="11">
        <v>89.93</v>
      </c>
    </row>
    <row r="73" spans="1:14" x14ac:dyDescent="0.25">
      <c r="A73" s="1">
        <v>7895296098113</v>
      </c>
      <c r="B73" s="9">
        <v>21271</v>
      </c>
      <c r="C73" s="23" t="s">
        <v>286</v>
      </c>
      <c r="D73" s="10">
        <v>100</v>
      </c>
      <c r="E73" s="11">
        <v>72.78</v>
      </c>
      <c r="F73" s="12">
        <v>0.13980000000000001</v>
      </c>
      <c r="G73" s="13">
        <v>0.74270000000000003</v>
      </c>
      <c r="H73" s="11">
        <f t="shared" si="2"/>
        <v>16.1083580988</v>
      </c>
      <c r="I73" s="21"/>
      <c r="J73" s="15"/>
      <c r="K73" s="16">
        <f t="shared" si="3"/>
        <v>0</v>
      </c>
      <c r="L73" s="17">
        <v>128</v>
      </c>
      <c r="M73" s="17">
        <v>0</v>
      </c>
      <c r="N73" s="11">
        <v>178.8</v>
      </c>
    </row>
    <row r="74" spans="1:14" x14ac:dyDescent="0.25">
      <c r="A74" s="1">
        <v>7895296232081</v>
      </c>
      <c r="B74" s="9">
        <v>23208</v>
      </c>
      <c r="C74" s="8" t="s">
        <v>287</v>
      </c>
      <c r="D74" s="10">
        <v>60</v>
      </c>
      <c r="E74" s="11">
        <v>85.61</v>
      </c>
      <c r="F74" s="12">
        <v>0.13980000000000001</v>
      </c>
      <c r="G74" s="13">
        <v>0.91879999999999995</v>
      </c>
      <c r="H74" s="11">
        <f t="shared" si="2"/>
        <v>5.9797078264000039</v>
      </c>
      <c r="I74" s="18"/>
      <c r="J74" s="15"/>
      <c r="K74" s="16">
        <f t="shared" si="3"/>
        <v>0</v>
      </c>
      <c r="L74" s="17">
        <v>0</v>
      </c>
      <c r="M74" s="17">
        <v>0</v>
      </c>
      <c r="N74" s="11">
        <v>117.62</v>
      </c>
    </row>
    <row r="75" spans="1:14" x14ac:dyDescent="0.25">
      <c r="A75" s="1">
        <v>7895296211185</v>
      </c>
      <c r="B75" s="9">
        <v>21118</v>
      </c>
      <c r="C75" s="8" t="s">
        <v>288</v>
      </c>
      <c r="D75" s="10">
        <v>100</v>
      </c>
      <c r="E75" s="11">
        <v>70.77</v>
      </c>
      <c r="F75" s="12">
        <v>0.13980000000000001</v>
      </c>
      <c r="G75" s="13">
        <v>0.81699999999999995</v>
      </c>
      <c r="H75" s="11">
        <f t="shared" si="2"/>
        <v>11.140372782000002</v>
      </c>
      <c r="I75" s="18"/>
      <c r="J75" s="15"/>
      <c r="K75" s="16">
        <f t="shared" si="3"/>
        <v>0</v>
      </c>
      <c r="L75" s="17">
        <v>0</v>
      </c>
      <c r="M75" s="17">
        <v>28672</v>
      </c>
      <c r="N75" s="11">
        <v>107.6</v>
      </c>
    </row>
    <row r="76" spans="1:14" x14ac:dyDescent="0.25">
      <c r="A76" s="1">
        <v>7895296014014</v>
      </c>
      <c r="B76" s="9">
        <v>21151</v>
      </c>
      <c r="C76" s="8" t="s">
        <v>289</v>
      </c>
      <c r="D76" s="10">
        <v>60</v>
      </c>
      <c r="E76" s="11">
        <v>28.93</v>
      </c>
      <c r="F76" s="12">
        <v>0.13980000000000001</v>
      </c>
      <c r="G76" s="13">
        <v>0.83250000000000002</v>
      </c>
      <c r="H76" s="11">
        <f t="shared" si="2"/>
        <v>4.1683356549999999</v>
      </c>
      <c r="I76" s="18"/>
      <c r="J76" s="15"/>
      <c r="K76" s="16">
        <f t="shared" si="3"/>
        <v>0</v>
      </c>
      <c r="L76" s="17">
        <v>171</v>
      </c>
      <c r="M76" s="17">
        <v>43380</v>
      </c>
      <c r="N76" s="11">
        <v>36.68</v>
      </c>
    </row>
    <row r="77" spans="1:14" x14ac:dyDescent="0.25">
      <c r="A77" s="1">
        <v>7895296389020</v>
      </c>
      <c r="B77" s="9">
        <v>29310</v>
      </c>
      <c r="C77" s="20" t="s">
        <v>290</v>
      </c>
      <c r="D77" s="10">
        <v>56</v>
      </c>
      <c r="E77" s="11">
        <v>68</v>
      </c>
      <c r="F77" s="12">
        <v>0.13980000000000001</v>
      </c>
      <c r="G77" s="13">
        <v>0.69950000000000001</v>
      </c>
      <c r="H77" s="11">
        <f t="shared" si="2"/>
        <v>17.577326799999998</v>
      </c>
      <c r="I77" s="21" t="s">
        <v>222</v>
      </c>
      <c r="J77" s="15"/>
      <c r="K77" s="16">
        <f t="shared" si="3"/>
        <v>0</v>
      </c>
      <c r="L77" s="17">
        <v>106</v>
      </c>
      <c r="M77" s="17">
        <v>0</v>
      </c>
      <c r="N77" s="11">
        <v>89.5</v>
      </c>
    </row>
    <row r="78" spans="1:14" x14ac:dyDescent="0.25">
      <c r="A78" s="1">
        <v>7895296388016</v>
      </c>
      <c r="B78" s="9">
        <v>29309</v>
      </c>
      <c r="C78" s="20" t="s">
        <v>291</v>
      </c>
      <c r="D78" s="10">
        <v>48</v>
      </c>
      <c r="E78" s="11">
        <v>67.989999999999995</v>
      </c>
      <c r="F78" s="12">
        <v>0.13980000000000001</v>
      </c>
      <c r="G78" s="13">
        <v>0.68440000000000001</v>
      </c>
      <c r="H78" s="11">
        <f t="shared" si="2"/>
        <v>18.4578653688</v>
      </c>
      <c r="I78" s="21" t="s">
        <v>222</v>
      </c>
      <c r="J78" s="15"/>
      <c r="K78" s="16">
        <f t="shared" si="3"/>
        <v>0</v>
      </c>
      <c r="L78" s="17">
        <v>46</v>
      </c>
      <c r="M78" s="17">
        <v>0</v>
      </c>
      <c r="N78" s="11">
        <v>89.49</v>
      </c>
    </row>
    <row r="79" spans="1:14" x14ac:dyDescent="0.25">
      <c r="A79" s="1">
        <v>7895296056199</v>
      </c>
      <c r="B79" s="9">
        <v>29980</v>
      </c>
      <c r="C79" s="8" t="s">
        <v>292</v>
      </c>
      <c r="D79" s="10">
        <v>60</v>
      </c>
      <c r="E79" s="11">
        <v>149.30000000000001</v>
      </c>
      <c r="F79" s="12">
        <v>0.13980000000000001</v>
      </c>
      <c r="G79" s="13">
        <v>0.80269999999999997</v>
      </c>
      <c r="H79" s="11">
        <f t="shared" si="2"/>
        <v>25.338816778000005</v>
      </c>
      <c r="I79" s="18"/>
      <c r="J79" s="15"/>
      <c r="K79" s="16">
        <f t="shared" si="3"/>
        <v>0</v>
      </c>
      <c r="L79" s="17">
        <v>360</v>
      </c>
      <c r="M79" s="17">
        <v>18174</v>
      </c>
      <c r="N79" s="11">
        <v>189.73</v>
      </c>
    </row>
    <row r="80" spans="1:14" x14ac:dyDescent="0.25">
      <c r="A80" s="1">
        <v>7895296220019</v>
      </c>
      <c r="B80" s="9">
        <v>29059</v>
      </c>
      <c r="C80" s="8" t="s">
        <v>293</v>
      </c>
      <c r="D80" s="10">
        <v>100</v>
      </c>
      <c r="E80" s="11">
        <v>50.69</v>
      </c>
      <c r="F80" s="12">
        <v>0.13980000000000001</v>
      </c>
      <c r="G80" s="13">
        <v>0.69730000000000003</v>
      </c>
      <c r="H80" s="11">
        <f t="shared" si="2"/>
        <v>13.1987909526</v>
      </c>
      <c r="I80" s="18"/>
      <c r="J80" s="15"/>
      <c r="K80" s="16">
        <f t="shared" si="3"/>
        <v>0</v>
      </c>
      <c r="L80" s="17">
        <v>500</v>
      </c>
      <c r="M80" s="17">
        <v>6384</v>
      </c>
      <c r="N80" s="11">
        <v>64.599999999999994</v>
      </c>
    </row>
    <row r="81" spans="1:14" x14ac:dyDescent="0.25">
      <c r="A81" s="1">
        <v>7895296056168</v>
      </c>
      <c r="B81" s="9">
        <v>29965</v>
      </c>
      <c r="C81" s="8" t="s">
        <v>294</v>
      </c>
      <c r="D81" s="10">
        <v>48</v>
      </c>
      <c r="E81" s="11">
        <v>87.29</v>
      </c>
      <c r="F81" s="12">
        <v>0.13980000000000001</v>
      </c>
      <c r="G81" s="13">
        <v>0.77300000000000002</v>
      </c>
      <c r="H81" s="11">
        <f t="shared" si="2"/>
        <v>17.044716766000001</v>
      </c>
      <c r="I81" s="18"/>
      <c r="J81" s="15"/>
      <c r="K81" s="16">
        <f t="shared" si="3"/>
        <v>0</v>
      </c>
      <c r="L81" s="17">
        <v>404</v>
      </c>
      <c r="M81" s="17">
        <v>0</v>
      </c>
      <c r="N81" s="11">
        <v>111.22</v>
      </c>
    </row>
    <row r="82" spans="1:14" x14ac:dyDescent="0.25">
      <c r="A82" s="1">
        <v>7895296188012</v>
      </c>
      <c r="B82" s="9">
        <v>29966</v>
      </c>
      <c r="C82" s="8" t="s">
        <v>295</v>
      </c>
      <c r="D82" s="10">
        <v>60</v>
      </c>
      <c r="E82" s="11">
        <v>27.9</v>
      </c>
      <c r="F82" s="12">
        <v>0.13980000000000001</v>
      </c>
      <c r="G82" s="13">
        <v>0.65749999999999997</v>
      </c>
      <c r="H82" s="11">
        <f t="shared" si="2"/>
        <v>8.21985615</v>
      </c>
      <c r="I82" s="18"/>
      <c r="J82" s="15"/>
      <c r="K82" s="16">
        <f t="shared" si="3"/>
        <v>0</v>
      </c>
      <c r="L82" s="17">
        <v>98</v>
      </c>
      <c r="M82" s="17">
        <v>0</v>
      </c>
      <c r="N82" s="11">
        <v>37.229999999999997</v>
      </c>
    </row>
    <row r="83" spans="1:14" x14ac:dyDescent="0.25">
      <c r="A83" s="9">
        <v>7895296449076</v>
      </c>
      <c r="B83" s="9">
        <v>30123</v>
      </c>
      <c r="C83" s="8" t="s">
        <v>296</v>
      </c>
      <c r="D83" s="10">
        <v>48</v>
      </c>
      <c r="E83" s="11">
        <v>39.75</v>
      </c>
      <c r="F83" s="12">
        <v>0.13980000000000001</v>
      </c>
      <c r="G83" s="13">
        <v>0.8034</v>
      </c>
      <c r="H83" s="11">
        <f t="shared" si="2"/>
        <v>6.7223339699999993</v>
      </c>
      <c r="I83" s="18"/>
      <c r="J83" s="15"/>
      <c r="K83" s="16">
        <f t="shared" si="3"/>
        <v>0</v>
      </c>
      <c r="L83" s="17">
        <v>62</v>
      </c>
      <c r="M83" s="17">
        <v>0</v>
      </c>
      <c r="N83" s="11">
        <v>53.02</v>
      </c>
    </row>
    <row r="84" spans="1:14" x14ac:dyDescent="0.25">
      <c r="A84" s="1">
        <v>7895296277174</v>
      </c>
      <c r="B84" s="9">
        <v>27717</v>
      </c>
      <c r="C84" s="8" t="s">
        <v>297</v>
      </c>
      <c r="D84" s="28">
        <v>48</v>
      </c>
      <c r="E84" s="11">
        <v>118.46</v>
      </c>
      <c r="F84" s="12">
        <v>0.13980000000000001</v>
      </c>
      <c r="G84" s="13">
        <v>0.2407</v>
      </c>
      <c r="H84" s="11">
        <f t="shared" si="2"/>
        <v>77.372132415599992</v>
      </c>
      <c r="I84" s="18"/>
      <c r="J84" s="15"/>
      <c r="K84" s="16">
        <f t="shared" si="3"/>
        <v>0</v>
      </c>
      <c r="L84" s="17">
        <v>81</v>
      </c>
      <c r="M84" s="17">
        <v>8016</v>
      </c>
      <c r="N84" s="11">
        <v>157.93</v>
      </c>
    </row>
    <row r="85" spans="1:14" x14ac:dyDescent="0.25">
      <c r="A85" s="1">
        <v>7895296277051</v>
      </c>
      <c r="B85" s="9">
        <v>27705</v>
      </c>
      <c r="C85" s="8" t="s">
        <v>298</v>
      </c>
      <c r="D85" s="10">
        <v>60</v>
      </c>
      <c r="E85" s="11">
        <v>49.65</v>
      </c>
      <c r="F85" s="12">
        <v>0.13980000000000001</v>
      </c>
      <c r="G85" s="13">
        <v>0.28670000000000001</v>
      </c>
      <c r="H85" s="11">
        <f t="shared" si="2"/>
        <v>30.464279768999997</v>
      </c>
      <c r="I85" s="18"/>
      <c r="J85" s="15"/>
      <c r="K85" s="16">
        <f t="shared" si="3"/>
        <v>0</v>
      </c>
      <c r="L85" s="17">
        <v>0</v>
      </c>
      <c r="M85" s="17">
        <v>0</v>
      </c>
      <c r="N85" s="11">
        <v>66.209999999999994</v>
      </c>
    </row>
    <row r="86" spans="1:14" x14ac:dyDescent="0.25">
      <c r="A86" s="9">
        <v>7896472520305</v>
      </c>
      <c r="B86" s="9">
        <v>30197</v>
      </c>
      <c r="C86" s="8" t="s">
        <v>299</v>
      </c>
      <c r="D86" s="10">
        <v>56</v>
      </c>
      <c r="E86" s="11">
        <v>81.260000000000005</v>
      </c>
      <c r="F86" s="12">
        <v>0.13980000000000001</v>
      </c>
      <c r="G86" s="13">
        <v>0.88990000000000002</v>
      </c>
      <c r="H86" s="11">
        <f t="shared" si="2"/>
        <v>7.6959737051999992</v>
      </c>
      <c r="I86" s="18"/>
      <c r="J86" s="15"/>
      <c r="K86" s="16">
        <f t="shared" si="3"/>
        <v>0</v>
      </c>
      <c r="L86" s="17">
        <v>92</v>
      </c>
      <c r="M86" s="17">
        <v>0</v>
      </c>
      <c r="N86" s="11">
        <v>174.66</v>
      </c>
    </row>
    <row r="87" spans="1:14" x14ac:dyDescent="0.25">
      <c r="A87" s="9">
        <v>7896472520299</v>
      </c>
      <c r="B87" s="9">
        <v>30196</v>
      </c>
      <c r="C87" s="8" t="s">
        <v>300</v>
      </c>
      <c r="D87" s="10">
        <v>48</v>
      </c>
      <c r="E87" s="11">
        <v>46.23</v>
      </c>
      <c r="F87" s="12">
        <v>0.13980000000000001</v>
      </c>
      <c r="G87" s="13">
        <v>0.89870000000000005</v>
      </c>
      <c r="H87" s="11">
        <f t="shared" si="2"/>
        <v>4.0284017597999968</v>
      </c>
      <c r="I87" s="18"/>
      <c r="J87" s="15"/>
      <c r="K87" s="16">
        <f t="shared" si="3"/>
        <v>0</v>
      </c>
      <c r="L87" s="17">
        <v>183</v>
      </c>
      <c r="M87" s="17">
        <v>0</v>
      </c>
      <c r="N87" s="11">
        <v>76.92</v>
      </c>
    </row>
    <row r="88" spans="1:14" x14ac:dyDescent="0.25">
      <c r="A88" s="1">
        <v>7895296446228</v>
      </c>
      <c r="B88" s="9">
        <v>29473</v>
      </c>
      <c r="C88" s="8" t="s">
        <v>301</v>
      </c>
      <c r="D88" s="10">
        <v>25</v>
      </c>
      <c r="E88" s="11">
        <v>60.66</v>
      </c>
      <c r="F88" s="12">
        <v>0.13980000000000001</v>
      </c>
      <c r="G88" s="13">
        <v>0.86370000000000002</v>
      </c>
      <c r="H88" s="11">
        <f t="shared" si="2"/>
        <v>7.1120974715999976</v>
      </c>
      <c r="I88" s="18"/>
      <c r="J88" s="15"/>
      <c r="K88" s="16">
        <f t="shared" si="3"/>
        <v>0</v>
      </c>
      <c r="L88" s="17">
        <v>0</v>
      </c>
      <c r="M88" s="17">
        <v>0</v>
      </c>
      <c r="N88" s="11">
        <v>94.81</v>
      </c>
    </row>
    <row r="89" spans="1:14" x14ac:dyDescent="0.25">
      <c r="A89" s="1">
        <v>7895296446211</v>
      </c>
      <c r="B89" s="9">
        <v>29472</v>
      </c>
      <c r="C89" s="8" t="s">
        <v>302</v>
      </c>
      <c r="D89" s="10">
        <v>25</v>
      </c>
      <c r="E89" s="11">
        <v>45.01</v>
      </c>
      <c r="F89" s="12">
        <v>0.13980000000000001</v>
      </c>
      <c r="G89" s="13">
        <v>0.83689999999999998</v>
      </c>
      <c r="H89" s="11">
        <f t="shared" si="2"/>
        <v>6.3148408862000007</v>
      </c>
      <c r="I89" s="18"/>
      <c r="J89" s="15"/>
      <c r="K89" s="16">
        <f t="shared" si="3"/>
        <v>0</v>
      </c>
      <c r="L89" s="17">
        <v>73</v>
      </c>
      <c r="M89" s="17">
        <v>0</v>
      </c>
      <c r="N89" s="11">
        <v>56.82</v>
      </c>
    </row>
    <row r="90" spans="1:14" x14ac:dyDescent="0.25">
      <c r="A90" s="1">
        <v>7895296414012</v>
      </c>
      <c r="B90" s="9">
        <v>29344</v>
      </c>
      <c r="C90" s="8" t="s">
        <v>303</v>
      </c>
      <c r="D90" s="10">
        <v>96</v>
      </c>
      <c r="E90" s="11">
        <v>27.78</v>
      </c>
      <c r="F90" s="12">
        <v>0.13980000000000001</v>
      </c>
      <c r="G90" s="13">
        <v>0.82569999999999999</v>
      </c>
      <c r="H90" s="11">
        <f t="shared" si="2"/>
        <v>4.1651348508000003</v>
      </c>
      <c r="I90" s="18"/>
      <c r="J90" s="15"/>
      <c r="K90" s="16">
        <f t="shared" si="3"/>
        <v>0</v>
      </c>
      <c r="L90" s="17">
        <v>61</v>
      </c>
      <c r="M90" s="17">
        <v>0</v>
      </c>
      <c r="N90" s="11">
        <v>36.57</v>
      </c>
    </row>
    <row r="91" spans="1:14" x14ac:dyDescent="0.25">
      <c r="A91" s="1">
        <v>7895296053044</v>
      </c>
      <c r="B91" s="9">
        <v>29036</v>
      </c>
      <c r="C91" s="23" t="s">
        <v>304</v>
      </c>
      <c r="D91" s="10">
        <v>100</v>
      </c>
      <c r="E91" s="11">
        <v>33.630000000000003</v>
      </c>
      <c r="F91" s="12">
        <v>0.13980000000000001</v>
      </c>
      <c r="G91" s="13">
        <v>0.26910000000000001</v>
      </c>
      <c r="H91" s="11">
        <f t="shared" si="2"/>
        <v>21.1438596534</v>
      </c>
      <c r="I91" s="18"/>
      <c r="J91" s="15"/>
      <c r="K91" s="16">
        <f t="shared" si="3"/>
        <v>0</v>
      </c>
      <c r="L91" s="17">
        <v>198</v>
      </c>
      <c r="M91" s="17">
        <v>0</v>
      </c>
      <c r="N91" s="11">
        <v>43.46</v>
      </c>
    </row>
    <row r="92" spans="1:14" x14ac:dyDescent="0.25">
      <c r="A92" s="1">
        <v>7896472522422</v>
      </c>
      <c r="B92" s="9">
        <v>30275</v>
      </c>
      <c r="C92" s="22" t="s">
        <v>305</v>
      </c>
      <c r="D92" s="10">
        <v>48</v>
      </c>
      <c r="E92" s="11">
        <v>20.28</v>
      </c>
      <c r="F92" s="12">
        <v>0.13980000000000001</v>
      </c>
      <c r="G92" s="13">
        <v>0.73299999999999998</v>
      </c>
      <c r="H92" s="11">
        <f t="shared" si="2"/>
        <v>4.6577765520000005</v>
      </c>
      <c r="I92" s="18" t="s">
        <v>239</v>
      </c>
      <c r="J92" s="15"/>
      <c r="K92" s="16">
        <f t="shared" si="3"/>
        <v>0</v>
      </c>
      <c r="L92" s="17">
        <v>10</v>
      </c>
      <c r="M92" s="17">
        <v>0</v>
      </c>
      <c r="N92" s="11">
        <v>25.37</v>
      </c>
    </row>
    <row r="93" spans="1:14" x14ac:dyDescent="0.25">
      <c r="A93" s="1">
        <v>7895296210959</v>
      </c>
      <c r="B93" s="9">
        <v>21095</v>
      </c>
      <c r="C93" s="8" t="s">
        <v>306</v>
      </c>
      <c r="D93" s="10">
        <v>24</v>
      </c>
      <c r="E93" s="11">
        <v>202.52</v>
      </c>
      <c r="F93" s="12">
        <v>0.13980000000000001</v>
      </c>
      <c r="G93" s="13">
        <v>0.79959999999999998</v>
      </c>
      <c r="H93" s="11">
        <f t="shared" si="2"/>
        <v>34.911223881600009</v>
      </c>
      <c r="I93" s="18"/>
      <c r="J93" s="15"/>
      <c r="K93" s="16">
        <f t="shared" si="3"/>
        <v>0</v>
      </c>
      <c r="L93" s="17">
        <v>943</v>
      </c>
      <c r="M93" s="17">
        <v>0</v>
      </c>
      <c r="N93" s="11">
        <v>256.3</v>
      </c>
    </row>
    <row r="94" spans="1:14" x14ac:dyDescent="0.25">
      <c r="A94" s="1">
        <v>7895296210034</v>
      </c>
      <c r="B94" s="9">
        <v>21003</v>
      </c>
      <c r="C94" s="19" t="s">
        <v>307</v>
      </c>
      <c r="D94" s="10">
        <v>120</v>
      </c>
      <c r="E94" s="11">
        <v>14.56</v>
      </c>
      <c r="F94" s="12">
        <v>0.13980000000000001</v>
      </c>
      <c r="G94" s="13">
        <v>0.81769999999999998</v>
      </c>
      <c r="H94" s="11">
        <f t="shared" si="2"/>
        <v>2.2832185376000003</v>
      </c>
      <c r="I94" s="18"/>
      <c r="J94" s="15"/>
      <c r="K94" s="16">
        <f t="shared" si="3"/>
        <v>0</v>
      </c>
      <c r="L94" s="17">
        <v>0</v>
      </c>
      <c r="M94" s="17">
        <v>0</v>
      </c>
      <c r="N94" s="11">
        <v>18.82</v>
      </c>
    </row>
    <row r="95" spans="1:14" x14ac:dyDescent="0.25">
      <c r="A95" s="1">
        <v>7895296048033</v>
      </c>
      <c r="B95" s="9">
        <v>21363</v>
      </c>
      <c r="C95" s="8" t="s">
        <v>308</v>
      </c>
      <c r="D95" s="10">
        <v>84</v>
      </c>
      <c r="E95" s="11">
        <v>19.25</v>
      </c>
      <c r="F95" s="12">
        <v>0.13980000000000001</v>
      </c>
      <c r="G95" s="13">
        <v>0.83009999999999995</v>
      </c>
      <c r="H95" s="11">
        <f t="shared" si="2"/>
        <v>2.8133486150000007</v>
      </c>
      <c r="I95" s="18"/>
      <c r="J95" s="15"/>
      <c r="K95" s="16">
        <f t="shared" si="3"/>
        <v>0</v>
      </c>
      <c r="L95" s="17">
        <v>0</v>
      </c>
      <c r="M95" s="17">
        <v>0</v>
      </c>
      <c r="N95" s="11">
        <v>24.88</v>
      </c>
    </row>
    <row r="96" spans="1:14" x14ac:dyDescent="0.25">
      <c r="A96" s="1">
        <v>7895296048057</v>
      </c>
      <c r="B96" s="9">
        <v>21361</v>
      </c>
      <c r="C96" s="8" t="s">
        <v>309</v>
      </c>
      <c r="D96" s="10">
        <v>84</v>
      </c>
      <c r="E96" s="11">
        <v>36.57</v>
      </c>
      <c r="F96" s="12">
        <v>0.13980000000000001</v>
      </c>
      <c r="G96" s="13">
        <v>0.83160000000000001</v>
      </c>
      <c r="H96" s="11">
        <f t="shared" si="2"/>
        <v>5.2974453576</v>
      </c>
      <c r="I96" s="18"/>
      <c r="J96" s="15"/>
      <c r="K96" s="16">
        <f t="shared" si="3"/>
        <v>0</v>
      </c>
      <c r="L96" s="17">
        <v>0</v>
      </c>
      <c r="M96" s="17">
        <v>0</v>
      </c>
      <c r="N96" s="11">
        <v>46.9</v>
      </c>
    </row>
    <row r="97" spans="1:14" x14ac:dyDescent="0.25">
      <c r="A97" s="1">
        <v>7895296378017</v>
      </c>
      <c r="B97" s="9">
        <v>29292</v>
      </c>
      <c r="C97" s="8" t="s">
        <v>310</v>
      </c>
      <c r="D97" s="10">
        <v>48</v>
      </c>
      <c r="E97" s="11">
        <v>126.8</v>
      </c>
      <c r="F97" s="12">
        <v>0.13980000000000001</v>
      </c>
      <c r="G97" s="13">
        <v>0.80310000000000004</v>
      </c>
      <c r="H97" s="11">
        <f t="shared" si="2"/>
        <v>21.476544583999996</v>
      </c>
      <c r="I97" s="14"/>
      <c r="J97" s="15"/>
      <c r="K97" s="16">
        <f t="shared" si="3"/>
        <v>0</v>
      </c>
      <c r="L97" s="17">
        <v>39</v>
      </c>
      <c r="M97" s="17">
        <v>0</v>
      </c>
      <c r="N97" s="11">
        <v>161.58000000000001</v>
      </c>
    </row>
    <row r="98" spans="1:14" x14ac:dyDescent="0.25">
      <c r="A98" s="1">
        <v>7895296352017</v>
      </c>
      <c r="B98" s="9">
        <v>29250</v>
      </c>
      <c r="C98" s="8" t="s">
        <v>311</v>
      </c>
      <c r="D98" s="10">
        <v>48</v>
      </c>
      <c r="E98" s="11">
        <v>58.38</v>
      </c>
      <c r="F98" s="12">
        <v>0.13980000000000001</v>
      </c>
      <c r="G98" s="13">
        <v>0.79830000000000001</v>
      </c>
      <c r="H98" s="11">
        <f t="shared" si="2"/>
        <v>10.129066609200001</v>
      </c>
      <c r="I98" s="14"/>
      <c r="J98" s="15"/>
      <c r="K98" s="16">
        <f t="shared" si="3"/>
        <v>0</v>
      </c>
      <c r="L98" s="17">
        <v>37</v>
      </c>
      <c r="M98" s="17">
        <v>0</v>
      </c>
      <c r="N98" s="11">
        <v>77.83</v>
      </c>
    </row>
    <row r="99" spans="1:14" x14ac:dyDescent="0.25">
      <c r="A99" s="1">
        <v>7895296100038</v>
      </c>
      <c r="B99" s="9">
        <v>21512</v>
      </c>
      <c r="C99" s="8" t="s">
        <v>312</v>
      </c>
      <c r="D99" s="10">
        <v>48</v>
      </c>
      <c r="E99" s="11">
        <v>53.54</v>
      </c>
      <c r="F99" s="12">
        <v>0.13980000000000001</v>
      </c>
      <c r="G99" s="13">
        <v>0.82540000000000002</v>
      </c>
      <c r="H99" s="11">
        <f t="shared" si="2"/>
        <v>8.0412218567999982</v>
      </c>
      <c r="I99" s="14"/>
      <c r="J99" s="15"/>
      <c r="K99" s="16">
        <f t="shared" si="3"/>
        <v>0</v>
      </c>
      <c r="L99" s="17">
        <v>62</v>
      </c>
      <c r="M99" s="17">
        <v>0</v>
      </c>
      <c r="N99" s="11">
        <v>68.22</v>
      </c>
    </row>
    <row r="100" spans="1:14" x14ac:dyDescent="0.25">
      <c r="A100" s="1">
        <v>7895296351041</v>
      </c>
      <c r="B100" s="9">
        <v>29280</v>
      </c>
      <c r="C100" s="8" t="s">
        <v>313</v>
      </c>
      <c r="D100" s="10">
        <v>48</v>
      </c>
      <c r="E100" s="11">
        <v>159.81</v>
      </c>
      <c r="F100" s="12">
        <v>0.13980000000000001</v>
      </c>
      <c r="G100" s="13">
        <v>0.85109999999999997</v>
      </c>
      <c r="H100" s="11">
        <f t="shared" si="2"/>
        <v>20.469068881800002</v>
      </c>
      <c r="I100" s="14"/>
      <c r="J100" s="15"/>
      <c r="K100" s="16">
        <f t="shared" si="3"/>
        <v>0</v>
      </c>
      <c r="L100" s="17">
        <v>15</v>
      </c>
      <c r="M100" s="17">
        <v>0</v>
      </c>
      <c r="N100" s="11">
        <v>213.05</v>
      </c>
    </row>
    <row r="101" spans="1:14" x14ac:dyDescent="0.25">
      <c r="A101" s="1">
        <v>7896472521845</v>
      </c>
      <c r="B101" s="9">
        <v>30266</v>
      </c>
      <c r="C101" s="22" t="s">
        <v>314</v>
      </c>
      <c r="D101" s="10">
        <v>60</v>
      </c>
      <c r="E101" s="11">
        <v>80.040000000000006</v>
      </c>
      <c r="F101" s="12">
        <v>0.13980000000000001</v>
      </c>
      <c r="G101" s="13">
        <v>0.81420000000000003</v>
      </c>
      <c r="H101" s="11">
        <f t="shared" si="2"/>
        <v>12.792405806399998</v>
      </c>
      <c r="I101" s="18" t="s">
        <v>239</v>
      </c>
      <c r="J101" s="15"/>
      <c r="K101" s="16">
        <f t="shared" si="3"/>
        <v>0</v>
      </c>
      <c r="L101" s="17">
        <v>35</v>
      </c>
      <c r="M101" s="17">
        <v>0</v>
      </c>
      <c r="N101" s="11">
        <v>102</v>
      </c>
    </row>
    <row r="102" spans="1:14" x14ac:dyDescent="0.25">
      <c r="A102" s="1">
        <v>7896472521838</v>
      </c>
      <c r="B102" s="9">
        <v>30267</v>
      </c>
      <c r="C102" s="22" t="s">
        <v>315</v>
      </c>
      <c r="D102" s="10">
        <v>56</v>
      </c>
      <c r="E102" s="11">
        <v>132.68</v>
      </c>
      <c r="F102" s="12">
        <v>0.13980000000000001</v>
      </c>
      <c r="G102" s="13">
        <v>0.79830000000000001</v>
      </c>
      <c r="H102" s="11">
        <f t="shared" si="2"/>
        <v>23.020290471199999</v>
      </c>
      <c r="I102" s="18" t="s">
        <v>239</v>
      </c>
      <c r="J102" s="15"/>
      <c r="K102" s="16">
        <f t="shared" si="3"/>
        <v>0</v>
      </c>
      <c r="L102" s="17">
        <v>193</v>
      </c>
      <c r="M102" s="17">
        <v>0</v>
      </c>
      <c r="N102" s="11">
        <v>169.06</v>
      </c>
    </row>
    <row r="103" spans="1:14" x14ac:dyDescent="0.25">
      <c r="A103" s="1">
        <v>7895296128049</v>
      </c>
      <c r="B103" s="9">
        <v>29919</v>
      </c>
      <c r="C103" s="20" t="s">
        <v>316</v>
      </c>
      <c r="D103" s="10">
        <v>56</v>
      </c>
      <c r="E103" s="11">
        <v>71.180000000000007</v>
      </c>
      <c r="F103" s="12">
        <v>0.13980000000000001</v>
      </c>
      <c r="G103" s="13">
        <v>0.70269999999999999</v>
      </c>
      <c r="H103" s="11">
        <f t="shared" si="2"/>
        <v>18.203392402800002</v>
      </c>
      <c r="I103" s="21" t="s">
        <v>222</v>
      </c>
      <c r="J103" s="15"/>
      <c r="K103" s="16">
        <f t="shared" si="3"/>
        <v>0</v>
      </c>
      <c r="L103" s="17">
        <v>49</v>
      </c>
      <c r="M103" s="17">
        <v>0</v>
      </c>
      <c r="N103" s="11">
        <v>90.69</v>
      </c>
    </row>
    <row r="104" spans="1:14" x14ac:dyDescent="0.25">
      <c r="A104" s="1">
        <v>7895296128087</v>
      </c>
      <c r="B104" s="9">
        <v>29922</v>
      </c>
      <c r="C104" s="20" t="s">
        <v>317</v>
      </c>
      <c r="D104" s="10">
        <v>56</v>
      </c>
      <c r="E104" s="11">
        <v>235.29</v>
      </c>
      <c r="F104" s="12">
        <v>0.13980000000000001</v>
      </c>
      <c r="G104" s="13">
        <v>0.81210000000000004</v>
      </c>
      <c r="H104" s="11">
        <f t="shared" si="2"/>
        <v>38.03029445819999</v>
      </c>
      <c r="I104" s="21" t="s">
        <v>222</v>
      </c>
      <c r="J104" s="15"/>
      <c r="K104" s="16">
        <f t="shared" si="3"/>
        <v>0</v>
      </c>
      <c r="L104" s="17">
        <v>0</v>
      </c>
      <c r="M104" s="17">
        <v>0</v>
      </c>
      <c r="N104" s="11">
        <v>309.60000000000002</v>
      </c>
    </row>
    <row r="105" spans="1:14" x14ac:dyDescent="0.25">
      <c r="A105" s="1">
        <v>7895296194013</v>
      </c>
      <c r="B105" s="9">
        <v>29972</v>
      </c>
      <c r="C105" s="8" t="s">
        <v>318</v>
      </c>
      <c r="D105" s="10">
        <v>48</v>
      </c>
      <c r="E105" s="11">
        <v>98.85</v>
      </c>
      <c r="F105" s="12">
        <v>0.13980000000000001</v>
      </c>
      <c r="G105" s="13">
        <v>0.43159999999999998</v>
      </c>
      <c r="H105" s="11">
        <f t="shared" si="2"/>
        <v>48.331489667999996</v>
      </c>
      <c r="I105" s="24"/>
      <c r="J105" s="15"/>
      <c r="K105" s="16">
        <f t="shared" si="3"/>
        <v>0</v>
      </c>
      <c r="L105" s="17">
        <v>15</v>
      </c>
      <c r="M105" s="17">
        <v>0</v>
      </c>
      <c r="N105" s="11">
        <v>131.80000000000001</v>
      </c>
    </row>
    <row r="106" spans="1:14" x14ac:dyDescent="0.25">
      <c r="A106" s="1">
        <v>7895296275040</v>
      </c>
      <c r="B106" s="9">
        <v>27504</v>
      </c>
      <c r="C106" s="19" t="s">
        <v>319</v>
      </c>
      <c r="D106" s="10">
        <v>84</v>
      </c>
      <c r="E106" s="11">
        <v>63.8</v>
      </c>
      <c r="F106" s="12">
        <v>0.13980000000000001</v>
      </c>
      <c r="G106" s="13">
        <v>0.8206</v>
      </c>
      <c r="H106" s="11">
        <f t="shared" si="2"/>
        <v>9.8456083439999986</v>
      </c>
      <c r="I106" s="18"/>
      <c r="J106" s="15"/>
      <c r="K106" s="16">
        <f t="shared" si="3"/>
        <v>0</v>
      </c>
      <c r="L106" s="17" t="e">
        <v>#N/A</v>
      </c>
      <c r="M106" s="17" t="e">
        <v>#N/A</v>
      </c>
      <c r="N106" s="11">
        <v>83.52</v>
      </c>
    </row>
    <row r="107" spans="1:14" x14ac:dyDescent="0.25">
      <c r="A107" s="1">
        <v>7895296276047</v>
      </c>
      <c r="B107" s="9">
        <v>27604</v>
      </c>
      <c r="C107" s="8" t="s">
        <v>320</v>
      </c>
      <c r="D107" s="10">
        <v>84</v>
      </c>
      <c r="E107" s="11">
        <v>108.53</v>
      </c>
      <c r="F107" s="12">
        <v>0.13980000000000001</v>
      </c>
      <c r="G107" s="13">
        <v>0.83379999999999999</v>
      </c>
      <c r="H107" s="11">
        <f t="shared" si="2"/>
        <v>15.516017497200002</v>
      </c>
      <c r="I107" s="18"/>
      <c r="J107" s="15"/>
      <c r="K107" s="16">
        <f t="shared" si="3"/>
        <v>0</v>
      </c>
      <c r="L107" s="17">
        <v>0</v>
      </c>
      <c r="M107" s="17">
        <v>0</v>
      </c>
      <c r="N107" s="11">
        <v>138.94</v>
      </c>
    </row>
    <row r="108" spans="1:14" x14ac:dyDescent="0.25">
      <c r="A108" s="1">
        <v>7895296063050</v>
      </c>
      <c r="B108" s="9">
        <v>27606</v>
      </c>
      <c r="C108" s="8" t="s">
        <v>321</v>
      </c>
      <c r="D108" s="10">
        <v>84</v>
      </c>
      <c r="E108" s="11">
        <v>191.18</v>
      </c>
      <c r="F108" s="12">
        <v>0.13980000000000001</v>
      </c>
      <c r="G108" s="13">
        <v>0.83679999999999999</v>
      </c>
      <c r="H108" s="11">
        <f t="shared" si="2"/>
        <v>26.8387354752</v>
      </c>
      <c r="I108" s="29"/>
      <c r="J108" s="15"/>
      <c r="K108" s="16">
        <f t="shared" si="3"/>
        <v>0</v>
      </c>
      <c r="L108" s="17">
        <v>339</v>
      </c>
      <c r="M108" s="17">
        <v>0</v>
      </c>
      <c r="N108" s="11">
        <v>244.73</v>
      </c>
    </row>
    <row r="109" spans="1:14" x14ac:dyDescent="0.25">
      <c r="A109" s="1">
        <v>7895296272018</v>
      </c>
      <c r="B109" s="9">
        <v>27201</v>
      </c>
      <c r="C109" s="19" t="s">
        <v>322</v>
      </c>
      <c r="D109" s="10">
        <v>84</v>
      </c>
      <c r="E109" s="11">
        <v>12.6</v>
      </c>
      <c r="F109" s="12">
        <v>0.13980000000000001</v>
      </c>
      <c r="G109" s="13">
        <v>0.85950000000000004</v>
      </c>
      <c r="H109" s="11">
        <f t="shared" si="2"/>
        <v>1.5228120599999995</v>
      </c>
      <c r="I109" s="18"/>
      <c r="J109" s="15"/>
      <c r="K109" s="16">
        <f t="shared" si="3"/>
        <v>0</v>
      </c>
      <c r="L109" s="17">
        <v>0</v>
      </c>
      <c r="M109" s="17">
        <v>0</v>
      </c>
      <c r="N109" s="11">
        <v>16.809999999999999</v>
      </c>
    </row>
    <row r="110" spans="1:14" x14ac:dyDescent="0.25">
      <c r="A110" s="1">
        <v>7896472521890</v>
      </c>
      <c r="B110" s="9">
        <v>30121</v>
      </c>
      <c r="C110" s="22" t="s">
        <v>323</v>
      </c>
      <c r="D110" s="10">
        <v>36</v>
      </c>
      <c r="E110" s="11">
        <v>84.99</v>
      </c>
      <c r="F110" s="12">
        <v>0.13980000000000001</v>
      </c>
      <c r="G110" s="13">
        <v>0.79530000000000001</v>
      </c>
      <c r="H110" s="11">
        <f t="shared" si="2"/>
        <v>14.965289070599999</v>
      </c>
      <c r="I110" s="18" t="s">
        <v>239</v>
      </c>
      <c r="J110" s="15"/>
      <c r="K110" s="16">
        <f t="shared" si="3"/>
        <v>0</v>
      </c>
      <c r="L110" s="17">
        <v>10</v>
      </c>
      <c r="M110" s="17">
        <v>0</v>
      </c>
      <c r="N110" s="11">
        <v>108.3</v>
      </c>
    </row>
    <row r="111" spans="1:14" x14ac:dyDescent="0.25">
      <c r="A111" s="1">
        <v>7895296039031</v>
      </c>
      <c r="B111" s="9">
        <v>29910</v>
      </c>
      <c r="C111" s="19" t="s">
        <v>324</v>
      </c>
      <c r="D111" s="10">
        <v>60</v>
      </c>
      <c r="E111" s="11">
        <v>55.25</v>
      </c>
      <c r="F111" s="12">
        <v>0.13980000000000001</v>
      </c>
      <c r="G111" s="13">
        <v>0.93169999999999997</v>
      </c>
      <c r="H111" s="11">
        <f t="shared" si="2"/>
        <v>3.246029215000001</v>
      </c>
      <c r="I111" s="26"/>
      <c r="J111" s="15"/>
      <c r="K111" s="16">
        <f t="shared" si="3"/>
        <v>0</v>
      </c>
      <c r="L111" s="17">
        <v>179</v>
      </c>
      <c r="M111" s="17">
        <v>0</v>
      </c>
      <c r="N111" s="11">
        <v>73.67</v>
      </c>
    </row>
    <row r="112" spans="1:14" x14ac:dyDescent="0.25">
      <c r="A112" s="1">
        <v>7895296444026</v>
      </c>
      <c r="B112" s="9">
        <v>29370</v>
      </c>
      <c r="C112" s="8" t="s">
        <v>325</v>
      </c>
      <c r="D112" s="10">
        <v>60</v>
      </c>
      <c r="E112" s="11">
        <v>65.53</v>
      </c>
      <c r="F112" s="12">
        <v>0.13980000000000001</v>
      </c>
      <c r="G112" s="13">
        <v>0.92600000000000005</v>
      </c>
      <c r="H112" s="11">
        <f t="shared" si="2"/>
        <v>4.1712990439999977</v>
      </c>
      <c r="I112" s="26"/>
      <c r="J112" s="15"/>
      <c r="K112" s="16">
        <f t="shared" si="3"/>
        <v>0</v>
      </c>
      <c r="L112" s="17">
        <v>0</v>
      </c>
      <c r="M112" s="17">
        <v>0</v>
      </c>
      <c r="N112" s="11">
        <v>83.5</v>
      </c>
    </row>
    <row r="113" spans="1:14" x14ac:dyDescent="0.25">
      <c r="A113" s="1">
        <v>7895296383011</v>
      </c>
      <c r="B113" s="9">
        <v>29304</v>
      </c>
      <c r="C113" s="20" t="s">
        <v>326</v>
      </c>
      <c r="D113" s="10">
        <v>84</v>
      </c>
      <c r="E113" s="11">
        <v>50.23</v>
      </c>
      <c r="F113" s="12">
        <v>0.13980000000000001</v>
      </c>
      <c r="G113" s="13">
        <v>0.87239999999999995</v>
      </c>
      <c r="H113" s="11">
        <f t="shared" si="2"/>
        <v>5.5133211496000012</v>
      </c>
      <c r="I113" s="21" t="s">
        <v>222</v>
      </c>
      <c r="J113" s="15"/>
      <c r="K113" s="16">
        <f t="shared" si="3"/>
        <v>0</v>
      </c>
      <c r="L113" s="17">
        <v>95</v>
      </c>
      <c r="M113" s="17">
        <v>0</v>
      </c>
      <c r="N113" s="11">
        <v>62.11</v>
      </c>
    </row>
    <row r="114" spans="1:14" x14ac:dyDescent="0.25">
      <c r="A114" s="1">
        <v>7895296089098</v>
      </c>
      <c r="B114" s="9">
        <v>21249</v>
      </c>
      <c r="C114" s="20" t="s">
        <v>327</v>
      </c>
      <c r="D114" s="10">
        <v>60</v>
      </c>
      <c r="E114" s="11">
        <v>133.88999999999999</v>
      </c>
      <c r="F114" s="12">
        <v>0.13980000000000001</v>
      </c>
      <c r="G114" s="13">
        <v>0.81689999999999996</v>
      </c>
      <c r="H114" s="11">
        <f t="shared" si="2"/>
        <v>21.088025791800003</v>
      </c>
      <c r="I114" s="21" t="s">
        <v>222</v>
      </c>
      <c r="J114" s="15"/>
      <c r="K114" s="16">
        <f t="shared" si="3"/>
        <v>0</v>
      </c>
      <c r="L114" s="17">
        <v>160</v>
      </c>
      <c r="M114" s="17">
        <v>0</v>
      </c>
      <c r="N114" s="11">
        <v>165.54</v>
      </c>
    </row>
    <row r="115" spans="1:14" x14ac:dyDescent="0.25">
      <c r="A115" s="1">
        <v>7895296089142</v>
      </c>
      <c r="B115" s="9">
        <v>21244</v>
      </c>
      <c r="C115" s="20" t="s">
        <v>328</v>
      </c>
      <c r="D115" s="10">
        <v>56</v>
      </c>
      <c r="E115" s="11">
        <v>259.69</v>
      </c>
      <c r="F115" s="12">
        <v>0.13980000000000001</v>
      </c>
      <c r="G115" s="13">
        <v>0.83889999999999998</v>
      </c>
      <c r="H115" s="11">
        <f t="shared" si="2"/>
        <v>35.987377951800006</v>
      </c>
      <c r="I115" s="21" t="s">
        <v>222</v>
      </c>
      <c r="J115" s="15"/>
      <c r="K115" s="16">
        <f t="shared" si="3"/>
        <v>0</v>
      </c>
      <c r="L115" s="17">
        <v>0</v>
      </c>
      <c r="M115" s="17">
        <v>0</v>
      </c>
      <c r="N115" s="11">
        <v>321.08999999999997</v>
      </c>
    </row>
    <row r="116" spans="1:14" x14ac:dyDescent="0.25">
      <c r="A116" s="1">
        <v>7895296038010</v>
      </c>
      <c r="B116" s="9">
        <v>21212</v>
      </c>
      <c r="C116" s="8" t="s">
        <v>329</v>
      </c>
      <c r="D116" s="10">
        <v>120</v>
      </c>
      <c r="E116" s="11">
        <v>23.71</v>
      </c>
      <c r="F116" s="12">
        <v>0.13980000000000001</v>
      </c>
      <c r="G116" s="13">
        <v>0.81010000000000004</v>
      </c>
      <c r="H116" s="11">
        <f t="shared" si="2"/>
        <v>3.8730754457999992</v>
      </c>
      <c r="I116" s="18"/>
      <c r="J116" s="15"/>
      <c r="K116" s="16">
        <f t="shared" si="3"/>
        <v>0</v>
      </c>
      <c r="L116" s="17">
        <v>24</v>
      </c>
      <c r="M116" s="17">
        <v>0</v>
      </c>
      <c r="N116" s="11">
        <v>29.65</v>
      </c>
    </row>
    <row r="117" spans="1:14" x14ac:dyDescent="0.25">
      <c r="A117" s="1">
        <v>7895296043021</v>
      </c>
      <c r="B117" s="9">
        <v>21421</v>
      </c>
      <c r="C117" s="20" t="s">
        <v>330</v>
      </c>
      <c r="D117" s="10">
        <v>24</v>
      </c>
      <c r="E117" s="11">
        <v>91.16</v>
      </c>
      <c r="F117" s="12">
        <v>0.13980000000000001</v>
      </c>
      <c r="G117" s="13">
        <v>0.64849999999999997</v>
      </c>
      <c r="H117" s="11">
        <f t="shared" si="2"/>
        <v>27.563164948000001</v>
      </c>
      <c r="I117" s="21" t="s">
        <v>222</v>
      </c>
      <c r="J117" s="15"/>
      <c r="K117" s="16">
        <f t="shared" si="3"/>
        <v>0</v>
      </c>
      <c r="L117" s="17">
        <v>19</v>
      </c>
      <c r="M117" s="17">
        <v>0</v>
      </c>
      <c r="N117" s="11">
        <v>121.52</v>
      </c>
    </row>
    <row r="118" spans="1:14" x14ac:dyDescent="0.25">
      <c r="A118" s="1">
        <v>7895296043069</v>
      </c>
      <c r="B118" s="9">
        <v>21423</v>
      </c>
      <c r="C118" s="20" t="s">
        <v>331</v>
      </c>
      <c r="D118" s="10">
        <v>24</v>
      </c>
      <c r="E118" s="11">
        <v>124.18</v>
      </c>
      <c r="F118" s="12">
        <v>0.13980000000000001</v>
      </c>
      <c r="G118" s="13">
        <v>0.73470000000000002</v>
      </c>
      <c r="H118" s="11">
        <f t="shared" si="2"/>
        <v>28.339249430799999</v>
      </c>
      <c r="I118" s="21" t="s">
        <v>222</v>
      </c>
      <c r="J118" s="15"/>
      <c r="K118" s="16">
        <f t="shared" si="3"/>
        <v>0</v>
      </c>
      <c r="L118" s="17">
        <v>29</v>
      </c>
      <c r="M118" s="17">
        <v>19296</v>
      </c>
      <c r="N118" s="11">
        <v>158.22</v>
      </c>
    </row>
    <row r="119" spans="1:14" x14ac:dyDescent="0.25">
      <c r="A119" s="1">
        <v>7895296422024</v>
      </c>
      <c r="B119" s="9">
        <v>29354</v>
      </c>
      <c r="C119" s="8" t="s">
        <v>332</v>
      </c>
      <c r="D119" s="10">
        <v>56</v>
      </c>
      <c r="E119" s="11">
        <v>111.14</v>
      </c>
      <c r="F119" s="12">
        <v>0.13980000000000001</v>
      </c>
      <c r="G119" s="13">
        <v>0.71509999999999996</v>
      </c>
      <c r="H119" s="11">
        <f t="shared" si="2"/>
        <v>27.237188717200002</v>
      </c>
      <c r="I119" s="18"/>
      <c r="J119" s="15"/>
      <c r="K119" s="16">
        <f t="shared" si="3"/>
        <v>0</v>
      </c>
      <c r="L119" s="17">
        <v>54</v>
      </c>
      <c r="M119" s="17">
        <v>0</v>
      </c>
      <c r="N119" s="11">
        <v>140.58000000000001</v>
      </c>
    </row>
    <row r="120" spans="1:14" x14ac:dyDescent="0.25">
      <c r="A120" s="1">
        <v>7896472521722</v>
      </c>
      <c r="B120" s="9">
        <v>30289</v>
      </c>
      <c r="C120" s="22" t="s">
        <v>333</v>
      </c>
      <c r="D120" s="10">
        <v>120</v>
      </c>
      <c r="E120" s="11">
        <v>245.8</v>
      </c>
      <c r="F120" s="12">
        <v>0.13980000000000001</v>
      </c>
      <c r="G120" s="13">
        <v>0.46920000000000001</v>
      </c>
      <c r="H120" s="11">
        <f t="shared" si="2"/>
        <v>112.23084452799999</v>
      </c>
      <c r="I120" s="18" t="s">
        <v>239</v>
      </c>
      <c r="J120" s="15"/>
      <c r="K120" s="16">
        <f t="shared" si="3"/>
        <v>0</v>
      </c>
      <c r="L120" s="17">
        <v>63</v>
      </c>
      <c r="M120" s="17">
        <v>0</v>
      </c>
      <c r="N120" s="11">
        <v>326.06</v>
      </c>
    </row>
    <row r="121" spans="1:14" x14ac:dyDescent="0.25">
      <c r="A121" s="1">
        <v>7896472521746</v>
      </c>
      <c r="B121" s="9">
        <v>30291</v>
      </c>
      <c r="C121" s="22" t="s">
        <v>334</v>
      </c>
      <c r="D121" s="10">
        <v>120</v>
      </c>
      <c r="E121" s="11">
        <v>298.08</v>
      </c>
      <c r="F121" s="12">
        <v>0.13980000000000001</v>
      </c>
      <c r="G121" s="13">
        <v>0.44280000000000003</v>
      </c>
      <c r="H121" s="11">
        <f t="shared" si="2"/>
        <v>142.87076939519997</v>
      </c>
      <c r="I121" s="18" t="s">
        <v>239</v>
      </c>
      <c r="J121" s="15"/>
      <c r="K121" s="16">
        <f t="shared" si="3"/>
        <v>0</v>
      </c>
      <c r="L121" s="17">
        <v>111</v>
      </c>
      <c r="M121" s="17">
        <v>0</v>
      </c>
      <c r="N121" s="11">
        <v>395.41</v>
      </c>
    </row>
    <row r="122" spans="1:14" x14ac:dyDescent="0.25">
      <c r="A122" s="1">
        <v>7896472521753</v>
      </c>
      <c r="B122" s="9">
        <v>30292</v>
      </c>
      <c r="C122" s="22" t="s">
        <v>335</v>
      </c>
      <c r="D122" s="10">
        <v>120</v>
      </c>
      <c r="E122" s="11">
        <v>298.08</v>
      </c>
      <c r="F122" s="12">
        <v>0.13980000000000001</v>
      </c>
      <c r="G122" s="13">
        <v>0.44280000000000003</v>
      </c>
      <c r="H122" s="11">
        <f t="shared" si="2"/>
        <v>142.87076939519997</v>
      </c>
      <c r="I122" s="18" t="s">
        <v>239</v>
      </c>
      <c r="J122" s="15"/>
      <c r="K122" s="16">
        <f t="shared" si="3"/>
        <v>0</v>
      </c>
      <c r="L122" s="17">
        <v>0</v>
      </c>
      <c r="M122" s="17">
        <v>0</v>
      </c>
      <c r="N122" s="11">
        <v>395.41</v>
      </c>
    </row>
    <row r="123" spans="1:14" x14ac:dyDescent="0.25">
      <c r="A123" s="1">
        <v>7896004778204</v>
      </c>
      <c r="B123" s="9">
        <v>40032</v>
      </c>
      <c r="C123" s="8" t="s">
        <v>336</v>
      </c>
      <c r="D123" s="10">
        <v>84</v>
      </c>
      <c r="E123" s="11">
        <v>8.43</v>
      </c>
      <c r="F123" s="12">
        <v>0.13980000000000001</v>
      </c>
      <c r="G123" s="13">
        <v>0.89090000000000003</v>
      </c>
      <c r="H123" s="11">
        <f t="shared" si="2"/>
        <v>0.7911371225999998</v>
      </c>
      <c r="I123" s="26"/>
      <c r="J123" s="15"/>
      <c r="K123" s="16">
        <f t="shared" si="3"/>
        <v>0</v>
      </c>
      <c r="L123" s="17">
        <v>17</v>
      </c>
      <c r="M123" s="17">
        <v>0</v>
      </c>
      <c r="N123" s="11">
        <v>18.11</v>
      </c>
    </row>
    <row r="124" spans="1:14" x14ac:dyDescent="0.25">
      <c r="A124" s="1">
        <v>7895296291071</v>
      </c>
      <c r="B124" s="9">
        <v>29107</v>
      </c>
      <c r="C124" s="8" t="s">
        <v>337</v>
      </c>
      <c r="D124" s="10">
        <v>60</v>
      </c>
      <c r="E124" s="11">
        <v>20.43</v>
      </c>
      <c r="F124" s="12">
        <v>0.13980000000000001</v>
      </c>
      <c r="G124" s="13">
        <v>0.45879999999999999</v>
      </c>
      <c r="H124" s="11">
        <f t="shared" si="2"/>
        <v>9.5109871031999997</v>
      </c>
      <c r="I124" s="18"/>
      <c r="J124" s="15"/>
      <c r="K124" s="16">
        <f t="shared" si="3"/>
        <v>0</v>
      </c>
      <c r="L124" s="17">
        <v>0</v>
      </c>
      <c r="M124" s="17">
        <v>0</v>
      </c>
      <c r="N124" s="11">
        <v>26.76</v>
      </c>
    </row>
    <row r="125" spans="1:14" x14ac:dyDescent="0.25">
      <c r="A125" s="1">
        <v>7895296216036</v>
      </c>
      <c r="B125" s="9">
        <v>21603</v>
      </c>
      <c r="C125" s="8" t="s">
        <v>338</v>
      </c>
      <c r="D125" s="10">
        <v>48</v>
      </c>
      <c r="E125" s="11">
        <v>10.44</v>
      </c>
      <c r="F125" s="12">
        <v>0.13980000000000001</v>
      </c>
      <c r="G125" s="13">
        <v>0.91290000000000004</v>
      </c>
      <c r="H125" s="11">
        <f t="shared" si="2"/>
        <v>0.78220050479999959</v>
      </c>
      <c r="I125" s="18"/>
      <c r="J125" s="15"/>
      <c r="K125" s="16">
        <f t="shared" si="3"/>
        <v>0</v>
      </c>
      <c r="L125" s="17">
        <v>88</v>
      </c>
      <c r="M125" s="17">
        <v>0</v>
      </c>
      <c r="N125" s="11">
        <v>26.07</v>
      </c>
    </row>
    <row r="126" spans="1:14" x14ac:dyDescent="0.25">
      <c r="A126" s="1">
        <v>7895296216050</v>
      </c>
      <c r="B126" s="9">
        <v>21605</v>
      </c>
      <c r="C126" s="8" t="s">
        <v>339</v>
      </c>
      <c r="D126" s="10">
        <v>48</v>
      </c>
      <c r="E126" s="11">
        <v>31.09</v>
      </c>
      <c r="F126" s="12">
        <v>0.13980000000000001</v>
      </c>
      <c r="G126" s="13">
        <v>0.89429999999999998</v>
      </c>
      <c r="H126" s="11">
        <f t="shared" si="2"/>
        <v>2.8268004226000003</v>
      </c>
      <c r="I126" s="18"/>
      <c r="J126" s="15"/>
      <c r="K126" s="16">
        <f t="shared" si="3"/>
        <v>0</v>
      </c>
      <c r="L126" s="17">
        <v>47</v>
      </c>
      <c r="M126" s="17">
        <v>0</v>
      </c>
      <c r="N126" s="11">
        <v>39.61</v>
      </c>
    </row>
    <row r="127" spans="1:14" x14ac:dyDescent="0.25">
      <c r="A127" s="1">
        <v>7895296282109</v>
      </c>
      <c r="B127" s="9">
        <v>28210</v>
      </c>
      <c r="C127" s="8" t="s">
        <v>340</v>
      </c>
      <c r="D127" s="10">
        <v>96</v>
      </c>
      <c r="E127" s="11">
        <v>38.479999999999997</v>
      </c>
      <c r="F127" s="12">
        <v>0.13980000000000001</v>
      </c>
      <c r="G127" s="13">
        <v>0.94499999999999995</v>
      </c>
      <c r="H127" s="11">
        <f t="shared" si="2"/>
        <v>1.8205272800000016</v>
      </c>
      <c r="I127" s="18"/>
      <c r="J127" s="15"/>
      <c r="K127" s="16">
        <f t="shared" si="3"/>
        <v>0</v>
      </c>
      <c r="L127" s="17">
        <v>267</v>
      </c>
      <c r="M127" s="17">
        <v>0</v>
      </c>
      <c r="N127" s="11">
        <v>50.65</v>
      </c>
    </row>
    <row r="128" spans="1:14" x14ac:dyDescent="0.25">
      <c r="A128" s="1">
        <v>7895296282239</v>
      </c>
      <c r="B128" s="9">
        <v>28223</v>
      </c>
      <c r="C128" s="8" t="s">
        <v>341</v>
      </c>
      <c r="D128" s="10">
        <v>96</v>
      </c>
      <c r="E128" s="11">
        <v>22.3</v>
      </c>
      <c r="F128" s="12">
        <v>0.13980000000000001</v>
      </c>
      <c r="G128" s="13">
        <v>0.87749999999999995</v>
      </c>
      <c r="H128" s="11">
        <f t="shared" si="2"/>
        <v>2.3498513500000011</v>
      </c>
      <c r="I128" s="18"/>
      <c r="J128" s="15"/>
      <c r="K128" s="16">
        <f t="shared" si="3"/>
        <v>0</v>
      </c>
      <c r="L128" s="17">
        <v>0</v>
      </c>
      <c r="M128" s="17">
        <v>0</v>
      </c>
      <c r="N128" s="11">
        <v>29.36</v>
      </c>
    </row>
    <row r="129" spans="1:14" x14ac:dyDescent="0.25">
      <c r="A129" s="1">
        <v>7895296279017</v>
      </c>
      <c r="B129" s="9">
        <v>27901</v>
      </c>
      <c r="C129" s="8" t="s">
        <v>342</v>
      </c>
      <c r="D129" s="10">
        <v>48</v>
      </c>
      <c r="E129" s="11">
        <v>30.84</v>
      </c>
      <c r="F129" s="12">
        <v>0.13980000000000001</v>
      </c>
      <c r="G129" s="13">
        <v>0.57799999999999996</v>
      </c>
      <c r="H129" s="11">
        <f t="shared" si="2"/>
        <v>11.195055696000001</v>
      </c>
      <c r="I129" s="18"/>
      <c r="J129" s="15"/>
      <c r="K129" s="16">
        <f t="shared" si="3"/>
        <v>0</v>
      </c>
      <c r="L129" s="17">
        <v>11</v>
      </c>
      <c r="M129" s="17">
        <v>0</v>
      </c>
      <c r="N129" s="11">
        <v>40.590000000000003</v>
      </c>
    </row>
    <row r="130" spans="1:14" x14ac:dyDescent="0.25">
      <c r="A130" s="1">
        <v>7896472520374</v>
      </c>
      <c r="B130" s="9">
        <v>30199</v>
      </c>
      <c r="C130" s="22" t="s">
        <v>343</v>
      </c>
      <c r="D130" s="10">
        <v>56</v>
      </c>
      <c r="E130" s="11">
        <v>27.1</v>
      </c>
      <c r="F130" s="12">
        <v>0.13980000000000001</v>
      </c>
      <c r="G130" s="13">
        <v>0.37190000000000001</v>
      </c>
      <c r="H130" s="11">
        <f t="shared" ref="H130:H186" si="4">(E130-E130*F130)*(1-G130)</f>
        <v>14.641902902000002</v>
      </c>
      <c r="I130" s="18" t="s">
        <v>239</v>
      </c>
      <c r="J130" s="15"/>
      <c r="K130" s="16">
        <f t="shared" ref="K130:K186" si="5">J130*H130</f>
        <v>0</v>
      </c>
      <c r="L130" s="17">
        <v>68</v>
      </c>
      <c r="M130" s="17">
        <v>8540</v>
      </c>
      <c r="N130" s="11">
        <v>35.950000000000003</v>
      </c>
    </row>
    <row r="131" spans="1:14" x14ac:dyDescent="0.25">
      <c r="A131" s="1">
        <v>7896472520381</v>
      </c>
      <c r="B131" s="9">
        <v>30200</v>
      </c>
      <c r="C131" s="22" t="s">
        <v>344</v>
      </c>
      <c r="D131" s="10">
        <v>56</v>
      </c>
      <c r="E131" s="11">
        <v>52.96</v>
      </c>
      <c r="F131" s="12">
        <v>0.13980000000000001</v>
      </c>
      <c r="G131" s="13">
        <v>0.4163</v>
      </c>
      <c r="H131" s="11">
        <f t="shared" si="4"/>
        <v>26.591149270400003</v>
      </c>
      <c r="I131" s="18" t="s">
        <v>239</v>
      </c>
      <c r="J131" s="15"/>
      <c r="K131" s="16">
        <f t="shared" si="5"/>
        <v>0</v>
      </c>
      <c r="L131" s="17">
        <v>50</v>
      </c>
      <c r="M131" s="17">
        <v>4918</v>
      </c>
      <c r="N131" s="11">
        <v>70.239999999999995</v>
      </c>
    </row>
    <row r="132" spans="1:14" x14ac:dyDescent="0.25">
      <c r="A132" s="1">
        <v>7895296405010</v>
      </c>
      <c r="B132" s="9">
        <v>29328</v>
      </c>
      <c r="C132" s="20" t="s">
        <v>345</v>
      </c>
      <c r="D132" s="10">
        <v>36</v>
      </c>
      <c r="E132" s="11">
        <v>66.63</v>
      </c>
      <c r="F132" s="12">
        <v>0.13980000000000001</v>
      </c>
      <c r="G132" s="13">
        <v>0.58209999999999995</v>
      </c>
      <c r="H132" s="11">
        <f t="shared" si="4"/>
        <v>23.951991155399998</v>
      </c>
      <c r="I132" s="21" t="s">
        <v>222</v>
      </c>
      <c r="J132" s="15"/>
      <c r="K132" s="16">
        <f t="shared" si="5"/>
        <v>0</v>
      </c>
      <c r="L132" s="17">
        <v>51</v>
      </c>
      <c r="M132" s="17">
        <v>0</v>
      </c>
      <c r="N132" s="11">
        <v>84.9</v>
      </c>
    </row>
    <row r="133" spans="1:14" x14ac:dyDescent="0.25">
      <c r="A133" s="1">
        <v>7895296405027</v>
      </c>
      <c r="B133" s="9">
        <v>29329</v>
      </c>
      <c r="C133" s="20" t="s">
        <v>346</v>
      </c>
      <c r="D133" s="10">
        <v>40</v>
      </c>
      <c r="E133" s="11">
        <v>154.88999999999999</v>
      </c>
      <c r="F133" s="12">
        <v>0.13980000000000001</v>
      </c>
      <c r="G133" s="13">
        <v>0.67510000000000003</v>
      </c>
      <c r="H133" s="11">
        <f t="shared" si="4"/>
        <v>43.288499212199994</v>
      </c>
      <c r="I133" s="21" t="s">
        <v>222</v>
      </c>
      <c r="J133" s="15"/>
      <c r="K133" s="16">
        <f t="shared" si="5"/>
        <v>0</v>
      </c>
      <c r="L133" s="17">
        <v>796</v>
      </c>
      <c r="M133" s="17">
        <v>0</v>
      </c>
      <c r="N133" s="11">
        <v>197.36</v>
      </c>
    </row>
    <row r="134" spans="1:14" x14ac:dyDescent="0.25">
      <c r="A134" s="1">
        <v>7895296211215</v>
      </c>
      <c r="B134" s="9">
        <v>21121</v>
      </c>
      <c r="C134" s="8" t="s">
        <v>347</v>
      </c>
      <c r="D134" s="10">
        <v>96</v>
      </c>
      <c r="E134" s="11">
        <v>18.46</v>
      </c>
      <c r="F134" s="12">
        <v>0.13980000000000001</v>
      </c>
      <c r="G134" s="13">
        <v>0.92100000000000004</v>
      </c>
      <c r="H134" s="11">
        <f t="shared" si="4"/>
        <v>1.2544640679999992</v>
      </c>
      <c r="I134" s="18"/>
      <c r="J134" s="15"/>
      <c r="K134" s="16">
        <f t="shared" si="5"/>
        <v>0</v>
      </c>
      <c r="L134" s="17">
        <v>275</v>
      </c>
      <c r="M134" s="17">
        <v>0</v>
      </c>
      <c r="N134" s="11">
        <v>23.31</v>
      </c>
    </row>
    <row r="135" spans="1:14" x14ac:dyDescent="0.25">
      <c r="A135" s="1">
        <v>7895296284042</v>
      </c>
      <c r="B135" s="9">
        <v>28404</v>
      </c>
      <c r="C135" s="8" t="s">
        <v>348</v>
      </c>
      <c r="D135" s="10">
        <v>56</v>
      </c>
      <c r="E135" s="11">
        <v>29.57</v>
      </c>
      <c r="F135" s="12">
        <v>0.13980000000000001</v>
      </c>
      <c r="G135" s="13">
        <v>0.70909999999999995</v>
      </c>
      <c r="H135" s="11">
        <f t="shared" si="4"/>
        <v>7.3993655626000008</v>
      </c>
      <c r="I135" s="24"/>
      <c r="J135" s="15"/>
      <c r="K135" s="16">
        <f t="shared" si="5"/>
        <v>0</v>
      </c>
      <c r="L135" s="17">
        <v>223</v>
      </c>
      <c r="M135" s="17">
        <v>0</v>
      </c>
      <c r="N135" s="11">
        <v>36.549999999999997</v>
      </c>
    </row>
    <row r="136" spans="1:14" x14ac:dyDescent="0.25">
      <c r="A136" s="1">
        <v>7895296445597</v>
      </c>
      <c r="B136" s="9">
        <v>29444</v>
      </c>
      <c r="C136" s="20" t="s">
        <v>349</v>
      </c>
      <c r="D136" s="10">
        <v>56</v>
      </c>
      <c r="E136" s="11">
        <v>246.74</v>
      </c>
      <c r="F136" s="12">
        <v>0.13980000000000001</v>
      </c>
      <c r="G136" s="13">
        <v>0.87480000000000002</v>
      </c>
      <c r="H136" s="11">
        <f t="shared" si="4"/>
        <v>26.573167649599995</v>
      </c>
      <c r="I136" s="21" t="s">
        <v>222</v>
      </c>
      <c r="J136" s="15"/>
      <c r="K136" s="16">
        <f t="shared" si="5"/>
        <v>0</v>
      </c>
      <c r="L136" s="17">
        <v>56</v>
      </c>
      <c r="M136" s="17">
        <v>0</v>
      </c>
      <c r="N136" s="11">
        <v>314.38</v>
      </c>
    </row>
    <row r="137" spans="1:14" x14ac:dyDescent="0.25">
      <c r="A137" s="1">
        <v>7895296445474</v>
      </c>
      <c r="B137" s="9">
        <v>29439</v>
      </c>
      <c r="C137" s="20" t="s">
        <v>350</v>
      </c>
      <c r="D137" s="10">
        <v>48</v>
      </c>
      <c r="E137" s="11">
        <v>74.89</v>
      </c>
      <c r="F137" s="12">
        <v>0.13980000000000001</v>
      </c>
      <c r="G137" s="13">
        <v>0.86260000000000003</v>
      </c>
      <c r="H137" s="11">
        <f t="shared" si="4"/>
        <v>8.851359937199998</v>
      </c>
      <c r="I137" s="21" t="s">
        <v>222</v>
      </c>
      <c r="J137" s="15"/>
      <c r="K137" s="16">
        <f t="shared" si="5"/>
        <v>0</v>
      </c>
      <c r="L137" s="17">
        <v>69</v>
      </c>
      <c r="M137" s="17">
        <v>4896</v>
      </c>
      <c r="N137" s="11">
        <v>94.96</v>
      </c>
    </row>
    <row r="138" spans="1:14" x14ac:dyDescent="0.25">
      <c r="A138" s="1">
        <v>7895296445528</v>
      </c>
      <c r="B138" s="9">
        <v>29434</v>
      </c>
      <c r="C138" s="20" t="s">
        <v>351</v>
      </c>
      <c r="D138" s="10">
        <v>48</v>
      </c>
      <c r="E138" s="11">
        <v>125.85</v>
      </c>
      <c r="F138" s="12">
        <v>0.13980000000000001</v>
      </c>
      <c r="G138" s="13">
        <v>0.84740000000000004</v>
      </c>
      <c r="H138" s="11">
        <f t="shared" si="4"/>
        <v>16.519891541999996</v>
      </c>
      <c r="I138" s="21" t="s">
        <v>222</v>
      </c>
      <c r="J138" s="15"/>
      <c r="K138" s="16">
        <f t="shared" si="5"/>
        <v>0</v>
      </c>
      <c r="L138" s="17">
        <v>164</v>
      </c>
      <c r="M138" s="17">
        <v>0</v>
      </c>
      <c r="N138" s="11">
        <v>159.55000000000001</v>
      </c>
    </row>
    <row r="139" spans="1:14" x14ac:dyDescent="0.25">
      <c r="A139" s="9">
        <v>7895296449694</v>
      </c>
      <c r="B139" s="9">
        <v>30130</v>
      </c>
      <c r="C139" s="8" t="s">
        <v>352</v>
      </c>
      <c r="D139" s="10">
        <v>100</v>
      </c>
      <c r="E139" s="11">
        <v>27.88</v>
      </c>
      <c r="F139" s="12">
        <v>0.13980000000000001</v>
      </c>
      <c r="G139" s="13">
        <v>0.84709999999999996</v>
      </c>
      <c r="H139" s="11">
        <f t="shared" si="4"/>
        <v>3.6669052904000008</v>
      </c>
      <c r="I139" s="26"/>
      <c r="J139" s="15"/>
      <c r="K139" s="16">
        <f t="shared" si="5"/>
        <v>0</v>
      </c>
      <c r="L139" s="17">
        <v>0</v>
      </c>
      <c r="M139" s="17">
        <v>0</v>
      </c>
      <c r="N139" s="11">
        <v>36.700000000000003</v>
      </c>
    </row>
    <row r="140" spans="1:14" x14ac:dyDescent="0.25">
      <c r="A140" s="9">
        <v>7895296449700</v>
      </c>
      <c r="B140" s="9">
        <v>30131</v>
      </c>
      <c r="C140" s="8" t="s">
        <v>353</v>
      </c>
      <c r="D140" s="10">
        <v>56</v>
      </c>
      <c r="E140" s="11">
        <v>50.28</v>
      </c>
      <c r="F140" s="12">
        <v>0.13980000000000001</v>
      </c>
      <c r="G140" s="13">
        <v>0.90339999999999998</v>
      </c>
      <c r="H140" s="11">
        <f t="shared" si="4"/>
        <v>4.1780326896000011</v>
      </c>
      <c r="I140" s="26"/>
      <c r="J140" s="15"/>
      <c r="K140" s="16">
        <f t="shared" si="5"/>
        <v>0</v>
      </c>
      <c r="L140" s="17">
        <v>9</v>
      </c>
      <c r="M140" s="17">
        <v>0</v>
      </c>
      <c r="N140" s="11">
        <v>66.16</v>
      </c>
    </row>
    <row r="141" spans="1:14" x14ac:dyDescent="0.25">
      <c r="A141" s="1">
        <v>7895296448802</v>
      </c>
      <c r="B141" s="9">
        <v>30109</v>
      </c>
      <c r="C141" s="8" t="s">
        <v>354</v>
      </c>
      <c r="D141" s="10">
        <v>56</v>
      </c>
      <c r="E141" s="11">
        <v>95.33</v>
      </c>
      <c r="F141" s="12">
        <v>0.13980000000000001</v>
      </c>
      <c r="G141" s="13">
        <v>0.79430000000000001</v>
      </c>
      <c r="H141" s="11">
        <f t="shared" si="4"/>
        <v>16.8679895362</v>
      </c>
      <c r="I141" s="29"/>
      <c r="J141" s="15"/>
      <c r="K141" s="16">
        <f t="shared" si="5"/>
        <v>0</v>
      </c>
      <c r="L141" s="17">
        <v>239</v>
      </c>
      <c r="M141" s="17">
        <v>31752</v>
      </c>
      <c r="N141" s="11">
        <v>120.87</v>
      </c>
    </row>
    <row r="142" spans="1:14" x14ac:dyDescent="0.25">
      <c r="A142" s="1">
        <v>7896472521791</v>
      </c>
      <c r="B142" s="9">
        <v>30192</v>
      </c>
      <c r="C142" s="22" t="s">
        <v>355</v>
      </c>
      <c r="D142" s="10">
        <v>48</v>
      </c>
      <c r="E142" s="11">
        <v>23.73</v>
      </c>
      <c r="F142" s="12">
        <v>0.13980000000000001</v>
      </c>
      <c r="G142" s="13">
        <v>0.72719999999999996</v>
      </c>
      <c r="H142" s="11">
        <f t="shared" si="4"/>
        <v>5.5685425488000009</v>
      </c>
      <c r="I142" s="18" t="s">
        <v>239</v>
      </c>
      <c r="J142" s="15"/>
      <c r="K142" s="16">
        <f t="shared" si="5"/>
        <v>0</v>
      </c>
      <c r="L142" s="17">
        <v>0</v>
      </c>
      <c r="M142" s="17">
        <v>0</v>
      </c>
      <c r="N142" s="11">
        <v>31.51</v>
      </c>
    </row>
    <row r="143" spans="1:14" x14ac:dyDescent="0.25">
      <c r="A143" s="1">
        <v>7896472521807</v>
      </c>
      <c r="B143" s="9">
        <v>30193</v>
      </c>
      <c r="C143" s="22" t="s">
        <v>356</v>
      </c>
      <c r="D143" s="10">
        <v>48</v>
      </c>
      <c r="E143" s="11">
        <v>45.6</v>
      </c>
      <c r="F143" s="12">
        <v>0.13980000000000001</v>
      </c>
      <c r="G143" s="13">
        <v>0.77190000000000003</v>
      </c>
      <c r="H143" s="11">
        <f t="shared" si="4"/>
        <v>8.9472498720000004</v>
      </c>
      <c r="I143" s="18" t="s">
        <v>239</v>
      </c>
      <c r="J143" s="15"/>
      <c r="K143" s="16">
        <f t="shared" si="5"/>
        <v>0</v>
      </c>
      <c r="L143" s="17">
        <v>114</v>
      </c>
      <c r="M143" s="17">
        <v>0</v>
      </c>
      <c r="N143" s="11">
        <v>57.86</v>
      </c>
    </row>
    <row r="144" spans="1:14" x14ac:dyDescent="0.25">
      <c r="A144" s="1">
        <v>7895296113137</v>
      </c>
      <c r="B144" s="9">
        <v>29023</v>
      </c>
      <c r="C144" s="20" t="s">
        <v>357</v>
      </c>
      <c r="D144" s="10">
        <v>60</v>
      </c>
      <c r="E144" s="11">
        <v>40.89</v>
      </c>
      <c r="F144" s="12">
        <v>0.13980000000000001</v>
      </c>
      <c r="G144" s="13">
        <v>0.92459999999999998</v>
      </c>
      <c r="H144" s="11">
        <f t="shared" si="4"/>
        <v>2.6520877812000005</v>
      </c>
      <c r="I144" s="21" t="s">
        <v>222</v>
      </c>
      <c r="J144" s="15"/>
      <c r="K144" s="16">
        <f t="shared" si="5"/>
        <v>0</v>
      </c>
      <c r="L144" s="17">
        <v>0</v>
      </c>
      <c r="M144" s="17">
        <v>0</v>
      </c>
      <c r="N144" s="11">
        <v>85.75</v>
      </c>
    </row>
    <row r="145" spans="1:14" x14ac:dyDescent="0.25">
      <c r="A145" s="1">
        <v>7895296204019</v>
      </c>
      <c r="B145" s="9">
        <v>29992</v>
      </c>
      <c r="C145" s="20" t="s">
        <v>358</v>
      </c>
      <c r="D145" s="10">
        <v>48</v>
      </c>
      <c r="E145" s="11">
        <v>98.7</v>
      </c>
      <c r="F145" s="12">
        <v>0.13980000000000001</v>
      </c>
      <c r="G145" s="13">
        <v>0.91539999999999999</v>
      </c>
      <c r="H145" s="11">
        <f t="shared" si="4"/>
        <v>7.1826872040000014</v>
      </c>
      <c r="I145" s="21" t="s">
        <v>222</v>
      </c>
      <c r="J145" s="15"/>
      <c r="K145" s="16">
        <f t="shared" si="5"/>
        <v>0</v>
      </c>
      <c r="L145" s="17">
        <v>0</v>
      </c>
      <c r="M145" s="17">
        <v>0</v>
      </c>
      <c r="N145" s="11">
        <v>200.18</v>
      </c>
    </row>
    <row r="146" spans="1:14" x14ac:dyDescent="0.25">
      <c r="A146" s="1">
        <v>7895296113182</v>
      </c>
      <c r="B146" s="9">
        <v>29024</v>
      </c>
      <c r="C146" s="20" t="s">
        <v>359</v>
      </c>
      <c r="D146" s="10">
        <v>48</v>
      </c>
      <c r="E146" s="11">
        <v>56.71</v>
      </c>
      <c r="F146" s="12">
        <v>0.13980000000000001</v>
      </c>
      <c r="G146" s="13">
        <v>0.92290000000000005</v>
      </c>
      <c r="H146" s="11">
        <f t="shared" si="4"/>
        <v>3.7610877281999975</v>
      </c>
      <c r="I146" s="21" t="s">
        <v>222</v>
      </c>
      <c r="J146" s="15"/>
      <c r="K146" s="16">
        <f t="shared" si="5"/>
        <v>0</v>
      </c>
      <c r="L146" s="17">
        <v>91</v>
      </c>
      <c r="M146" s="17">
        <v>0</v>
      </c>
      <c r="N146" s="11">
        <v>176.19</v>
      </c>
    </row>
    <row r="147" spans="1:14" x14ac:dyDescent="0.25">
      <c r="A147" s="1">
        <v>7895296199025</v>
      </c>
      <c r="B147" s="9">
        <v>29988</v>
      </c>
      <c r="C147" s="8" t="s">
        <v>360</v>
      </c>
      <c r="D147" s="10">
        <v>56</v>
      </c>
      <c r="E147" s="11">
        <v>26.93</v>
      </c>
      <c r="F147" s="12">
        <v>0.13980000000000001</v>
      </c>
      <c r="G147" s="13">
        <v>0.8226</v>
      </c>
      <c r="H147" s="11">
        <f t="shared" si="4"/>
        <v>4.1095039964</v>
      </c>
      <c r="I147" s="18"/>
      <c r="J147" s="15"/>
      <c r="K147" s="16">
        <f t="shared" si="5"/>
        <v>0</v>
      </c>
      <c r="L147" s="17">
        <v>36</v>
      </c>
      <c r="M147" s="17">
        <v>25984</v>
      </c>
      <c r="N147" s="11">
        <v>34.340000000000003</v>
      </c>
    </row>
    <row r="148" spans="1:14" x14ac:dyDescent="0.25">
      <c r="A148" s="1">
        <v>7895296199049</v>
      </c>
      <c r="B148" s="9">
        <v>29989</v>
      </c>
      <c r="C148" s="8" t="s">
        <v>361</v>
      </c>
      <c r="D148" s="10">
        <v>56</v>
      </c>
      <c r="E148" s="11">
        <v>41.98</v>
      </c>
      <c r="F148" s="12">
        <v>0.13980000000000001</v>
      </c>
      <c r="G148" s="13">
        <v>0.84770000000000001</v>
      </c>
      <c r="H148" s="11">
        <f t="shared" si="4"/>
        <v>5.4997351507999994</v>
      </c>
      <c r="I148" s="14"/>
      <c r="J148" s="15"/>
      <c r="K148" s="16">
        <f t="shared" si="5"/>
        <v>0</v>
      </c>
      <c r="L148" s="17">
        <v>112</v>
      </c>
      <c r="M148" s="17">
        <v>0</v>
      </c>
      <c r="N148" s="11">
        <v>53.5</v>
      </c>
    </row>
    <row r="149" spans="1:14" x14ac:dyDescent="0.25">
      <c r="A149" s="1">
        <v>7895296274012</v>
      </c>
      <c r="B149" s="9">
        <v>27401</v>
      </c>
      <c r="C149" s="8" t="s">
        <v>362</v>
      </c>
      <c r="D149" s="10">
        <v>120</v>
      </c>
      <c r="E149" s="11">
        <v>14.56</v>
      </c>
      <c r="F149" s="12">
        <v>0.13980000000000001</v>
      </c>
      <c r="G149" s="13">
        <v>0.77490000000000003</v>
      </c>
      <c r="H149" s="11">
        <f t="shared" si="4"/>
        <v>2.8192676512000001</v>
      </c>
      <c r="I149" s="18"/>
      <c r="J149" s="15"/>
      <c r="K149" s="16">
        <f t="shared" si="5"/>
        <v>0</v>
      </c>
      <c r="L149" s="17">
        <v>0</v>
      </c>
      <c r="M149" s="17">
        <v>0</v>
      </c>
      <c r="N149" s="11">
        <v>18.82</v>
      </c>
    </row>
    <row r="150" spans="1:14" x14ac:dyDescent="0.25">
      <c r="A150" s="1">
        <v>7895296289016</v>
      </c>
      <c r="B150" s="9">
        <v>28901</v>
      </c>
      <c r="C150" s="8" t="s">
        <v>363</v>
      </c>
      <c r="D150" s="10">
        <v>48</v>
      </c>
      <c r="E150" s="11">
        <v>25.07</v>
      </c>
      <c r="F150" s="12">
        <v>0.13980000000000001</v>
      </c>
      <c r="G150" s="13">
        <v>0.83560000000000001</v>
      </c>
      <c r="H150" s="11">
        <f t="shared" si="4"/>
        <v>3.5453211815999999</v>
      </c>
      <c r="I150" s="18"/>
      <c r="J150" s="15"/>
      <c r="K150" s="16">
        <f t="shared" si="5"/>
        <v>0</v>
      </c>
      <c r="L150" s="17">
        <v>0</v>
      </c>
      <c r="M150" s="17">
        <v>0</v>
      </c>
      <c r="N150" s="11">
        <v>32.4</v>
      </c>
    </row>
    <row r="151" spans="1:14" x14ac:dyDescent="0.25">
      <c r="A151" s="1">
        <v>7895296377010</v>
      </c>
      <c r="B151" s="9">
        <v>29290</v>
      </c>
      <c r="C151" s="8" t="s">
        <v>364</v>
      </c>
      <c r="D151" s="10">
        <v>60</v>
      </c>
      <c r="E151" s="11">
        <v>44.64</v>
      </c>
      <c r="F151" s="12">
        <v>0.13980000000000001</v>
      </c>
      <c r="G151" s="13">
        <v>0.66710000000000003</v>
      </c>
      <c r="H151" s="11">
        <f t="shared" si="4"/>
        <v>12.783136291199998</v>
      </c>
      <c r="I151" s="18"/>
      <c r="J151" s="15"/>
      <c r="K151" s="16">
        <f t="shared" si="5"/>
        <v>0</v>
      </c>
      <c r="L151" s="17">
        <v>0</v>
      </c>
      <c r="M151" s="17">
        <v>0</v>
      </c>
      <c r="N151" s="11">
        <v>57.27</v>
      </c>
    </row>
    <row r="152" spans="1:14" x14ac:dyDescent="0.25">
      <c r="A152" s="1">
        <v>7895296444033</v>
      </c>
      <c r="B152" s="9">
        <v>29371</v>
      </c>
      <c r="C152" s="8" t="s">
        <v>365</v>
      </c>
      <c r="D152" s="10">
        <v>60</v>
      </c>
      <c r="E152" s="11">
        <v>63.73</v>
      </c>
      <c r="F152" s="12">
        <v>0.13980000000000001</v>
      </c>
      <c r="G152" s="13">
        <v>0.64370000000000005</v>
      </c>
      <c r="H152" s="11">
        <f t="shared" si="4"/>
        <v>19.532560539799995</v>
      </c>
      <c r="I152" s="18"/>
      <c r="J152" s="15"/>
      <c r="K152" s="16">
        <f t="shared" si="5"/>
        <v>0</v>
      </c>
      <c r="L152" s="17">
        <v>17</v>
      </c>
      <c r="M152" s="17">
        <v>0</v>
      </c>
      <c r="N152" s="11">
        <v>83.25</v>
      </c>
    </row>
    <row r="153" spans="1:14" x14ac:dyDescent="0.25">
      <c r="A153" s="1">
        <v>7895296423014</v>
      </c>
      <c r="B153" s="9">
        <v>29355</v>
      </c>
      <c r="C153" s="8" t="s">
        <v>366</v>
      </c>
      <c r="D153" s="10">
        <v>60</v>
      </c>
      <c r="E153" s="11">
        <v>21.36</v>
      </c>
      <c r="F153" s="12">
        <v>0.13980000000000001</v>
      </c>
      <c r="G153" s="13">
        <v>0.65559999999999996</v>
      </c>
      <c r="H153" s="11">
        <f t="shared" si="4"/>
        <v>6.3279615168000003</v>
      </c>
      <c r="I153" s="18"/>
      <c r="J153" s="15"/>
      <c r="K153" s="16">
        <f t="shared" si="5"/>
        <v>0</v>
      </c>
      <c r="L153" s="17">
        <v>90</v>
      </c>
      <c r="M153" s="17">
        <v>27621</v>
      </c>
      <c r="N153" s="11">
        <v>27.41</v>
      </c>
    </row>
    <row r="154" spans="1:14" x14ac:dyDescent="0.25">
      <c r="A154" s="1">
        <v>7895296286039</v>
      </c>
      <c r="B154" s="9">
        <v>28603</v>
      </c>
      <c r="C154" s="8" t="s">
        <v>367</v>
      </c>
      <c r="D154" s="10">
        <v>96</v>
      </c>
      <c r="E154" s="11">
        <v>22.5</v>
      </c>
      <c r="F154" s="12">
        <v>0.13980000000000001</v>
      </c>
      <c r="G154" s="13">
        <v>0.83899999999999997</v>
      </c>
      <c r="H154" s="11">
        <f t="shared" si="4"/>
        <v>3.1160745000000007</v>
      </c>
      <c r="I154" s="18"/>
      <c r="J154" s="15"/>
      <c r="K154" s="16">
        <f t="shared" si="5"/>
        <v>0</v>
      </c>
      <c r="L154" s="17">
        <v>20</v>
      </c>
      <c r="M154" s="17">
        <v>0</v>
      </c>
      <c r="N154" s="11">
        <v>28.82</v>
      </c>
    </row>
    <row r="155" spans="1:14" x14ac:dyDescent="0.25">
      <c r="A155" s="1">
        <v>7895296286022</v>
      </c>
      <c r="B155" s="9">
        <v>28602</v>
      </c>
      <c r="C155" s="8" t="s">
        <v>368</v>
      </c>
      <c r="D155" s="10">
        <v>60</v>
      </c>
      <c r="E155" s="11">
        <v>15.45</v>
      </c>
      <c r="F155" s="12">
        <v>0.13980000000000001</v>
      </c>
      <c r="G155" s="13">
        <v>0.76719999999999999</v>
      </c>
      <c r="H155" s="11">
        <f t="shared" si="4"/>
        <v>3.0939329519999998</v>
      </c>
      <c r="I155" s="18"/>
      <c r="J155" s="15"/>
      <c r="K155" s="16">
        <f t="shared" si="5"/>
        <v>0</v>
      </c>
      <c r="L155" s="17">
        <v>166</v>
      </c>
      <c r="M155" s="17">
        <v>0</v>
      </c>
      <c r="N155" s="11">
        <v>19.71</v>
      </c>
    </row>
    <row r="156" spans="1:14" x14ac:dyDescent="0.25">
      <c r="A156" s="1">
        <v>7895296448192</v>
      </c>
      <c r="B156" s="9">
        <v>30094</v>
      </c>
      <c r="C156" s="20" t="s">
        <v>369</v>
      </c>
      <c r="D156" s="10">
        <v>48</v>
      </c>
      <c r="E156" s="11">
        <v>126.68</v>
      </c>
      <c r="F156" s="12">
        <v>0.13980000000000001</v>
      </c>
      <c r="G156" s="13">
        <v>0.90359999999999996</v>
      </c>
      <c r="H156" s="11">
        <f t="shared" si="4"/>
        <v>10.504721110400004</v>
      </c>
      <c r="I156" s="21" t="s">
        <v>222</v>
      </c>
      <c r="J156" s="15"/>
      <c r="K156" s="16">
        <f t="shared" si="5"/>
        <v>0</v>
      </c>
      <c r="L156" s="17">
        <v>165</v>
      </c>
      <c r="M156" s="17">
        <v>0</v>
      </c>
      <c r="N156" s="11">
        <v>182.15</v>
      </c>
    </row>
    <row r="157" spans="1:14" x14ac:dyDescent="0.25">
      <c r="A157" s="1">
        <v>7895296448154</v>
      </c>
      <c r="B157" s="9">
        <v>30090</v>
      </c>
      <c r="C157" s="20" t="s">
        <v>370</v>
      </c>
      <c r="D157" s="10">
        <v>56</v>
      </c>
      <c r="E157" s="11">
        <v>79.36</v>
      </c>
      <c r="F157" s="12">
        <v>0.13980000000000001</v>
      </c>
      <c r="G157" s="13">
        <v>0.89710000000000001</v>
      </c>
      <c r="H157" s="11">
        <f t="shared" si="4"/>
        <v>7.0245170687999998</v>
      </c>
      <c r="I157" s="21" t="s">
        <v>222</v>
      </c>
      <c r="J157" s="15"/>
      <c r="K157" s="16">
        <f t="shared" si="5"/>
        <v>0</v>
      </c>
      <c r="L157" s="17">
        <v>92</v>
      </c>
      <c r="M157" s="17">
        <v>0</v>
      </c>
      <c r="N157" s="11">
        <v>114.2</v>
      </c>
    </row>
    <row r="158" spans="1:14" x14ac:dyDescent="0.25">
      <c r="A158" s="1">
        <v>7895296210324</v>
      </c>
      <c r="B158" s="9">
        <v>21032</v>
      </c>
      <c r="C158" s="8" t="s">
        <v>371</v>
      </c>
      <c r="D158" s="10">
        <v>42</v>
      </c>
      <c r="E158" s="11">
        <v>21.35</v>
      </c>
      <c r="F158" s="12">
        <v>0.13980000000000001</v>
      </c>
      <c r="G158" s="13">
        <v>0.72799999999999998</v>
      </c>
      <c r="H158" s="11">
        <f t="shared" si="4"/>
        <v>4.9953534400000006</v>
      </c>
      <c r="I158" s="18"/>
      <c r="J158" s="15"/>
      <c r="K158" s="16">
        <f t="shared" si="5"/>
        <v>0</v>
      </c>
      <c r="L158" s="17">
        <v>12</v>
      </c>
      <c r="M158" s="17">
        <v>0</v>
      </c>
      <c r="N158" s="11">
        <v>28.11</v>
      </c>
    </row>
    <row r="159" spans="1:14" x14ac:dyDescent="0.25">
      <c r="A159" s="1">
        <v>7895296210423</v>
      </c>
      <c r="B159" s="9">
        <v>21042</v>
      </c>
      <c r="C159" s="8" t="s">
        <v>372</v>
      </c>
      <c r="D159" s="10">
        <v>42</v>
      </c>
      <c r="E159" s="11">
        <v>20.440000000000001</v>
      </c>
      <c r="F159" s="12">
        <v>0.13980000000000001</v>
      </c>
      <c r="G159" s="13">
        <v>0.7157</v>
      </c>
      <c r="H159" s="11">
        <f t="shared" si="4"/>
        <v>4.9987013384000001</v>
      </c>
      <c r="I159" s="18"/>
      <c r="J159" s="15"/>
      <c r="K159" s="16">
        <f t="shared" si="5"/>
        <v>0</v>
      </c>
      <c r="L159" s="17">
        <v>33</v>
      </c>
      <c r="M159" s="17">
        <v>30366</v>
      </c>
      <c r="N159" s="11">
        <v>26.89</v>
      </c>
    </row>
    <row r="160" spans="1:14" x14ac:dyDescent="0.25">
      <c r="A160" s="1">
        <v>7895296296021</v>
      </c>
      <c r="B160" s="9">
        <v>29198</v>
      </c>
      <c r="C160" s="8" t="s">
        <v>373</v>
      </c>
      <c r="D160" s="10">
        <v>96</v>
      </c>
      <c r="E160" s="11">
        <v>130.56</v>
      </c>
      <c r="F160" s="12">
        <v>0.13980000000000001</v>
      </c>
      <c r="G160" s="13">
        <v>0.7631</v>
      </c>
      <c r="H160" s="11">
        <f t="shared" si="4"/>
        <v>26.605696972800001</v>
      </c>
      <c r="I160" s="18"/>
      <c r="J160" s="15"/>
      <c r="K160" s="16">
        <f t="shared" si="5"/>
        <v>0</v>
      </c>
      <c r="L160" s="17">
        <v>0</v>
      </c>
      <c r="M160" s="17">
        <v>0</v>
      </c>
      <c r="N160" s="11">
        <v>174.06</v>
      </c>
    </row>
    <row r="161" spans="1:14" x14ac:dyDescent="0.25">
      <c r="A161" s="1">
        <v>7895296445313</v>
      </c>
      <c r="B161" s="9">
        <v>29422</v>
      </c>
      <c r="C161" s="20" t="s">
        <v>374</v>
      </c>
      <c r="D161" s="10">
        <v>36</v>
      </c>
      <c r="E161" s="11">
        <v>60.4</v>
      </c>
      <c r="F161" s="12">
        <v>0.13980000000000001</v>
      </c>
      <c r="G161" s="13">
        <v>0.54330000000000001</v>
      </c>
      <c r="H161" s="11">
        <f t="shared" si="4"/>
        <v>23.728341736000001</v>
      </c>
      <c r="I161" s="21" t="s">
        <v>222</v>
      </c>
      <c r="J161" s="15"/>
      <c r="K161" s="16">
        <f t="shared" si="5"/>
        <v>0</v>
      </c>
      <c r="L161" s="17">
        <v>72</v>
      </c>
      <c r="M161" s="17">
        <v>0</v>
      </c>
      <c r="N161" s="11">
        <v>76.97</v>
      </c>
    </row>
    <row r="162" spans="1:14" x14ac:dyDescent="0.25">
      <c r="A162" s="1">
        <v>7895296096034</v>
      </c>
      <c r="B162" s="9">
        <v>21393</v>
      </c>
      <c r="C162" s="8" t="s">
        <v>375</v>
      </c>
      <c r="D162" s="10">
        <v>48</v>
      </c>
      <c r="E162" s="11">
        <v>38.14</v>
      </c>
      <c r="F162" s="12">
        <v>0.13980000000000001</v>
      </c>
      <c r="G162" s="13">
        <v>0.93179999999999996</v>
      </c>
      <c r="H162" s="11">
        <f t="shared" si="4"/>
        <v>2.2375075096000012</v>
      </c>
      <c r="I162" s="21"/>
      <c r="J162" s="15"/>
      <c r="K162" s="16">
        <f t="shared" si="5"/>
        <v>0</v>
      </c>
      <c r="L162" s="17">
        <v>120</v>
      </c>
      <c r="M162" s="17">
        <v>0</v>
      </c>
      <c r="N162" s="11">
        <v>117.87</v>
      </c>
    </row>
    <row r="163" spans="1:14" x14ac:dyDescent="0.25">
      <c r="A163" s="1">
        <v>7895296096096</v>
      </c>
      <c r="B163" s="9">
        <v>21399</v>
      </c>
      <c r="C163" s="8" t="s">
        <v>376</v>
      </c>
      <c r="D163" s="10">
        <v>56</v>
      </c>
      <c r="E163" s="11">
        <v>63.26</v>
      </c>
      <c r="F163" s="12">
        <v>0.13980000000000001</v>
      </c>
      <c r="G163" s="13">
        <v>0.94730000000000003</v>
      </c>
      <c r="H163" s="11">
        <f t="shared" si="4"/>
        <v>2.8677364803999983</v>
      </c>
      <c r="I163" s="21"/>
      <c r="J163" s="15"/>
      <c r="K163" s="16">
        <f t="shared" si="5"/>
        <v>0</v>
      </c>
      <c r="L163" s="17">
        <v>88</v>
      </c>
      <c r="M163" s="17">
        <v>0</v>
      </c>
      <c r="N163" s="11">
        <v>218.44</v>
      </c>
    </row>
    <row r="164" spans="1:14" x14ac:dyDescent="0.25">
      <c r="A164" s="1">
        <v>7895296393027</v>
      </c>
      <c r="B164" s="9">
        <v>29311</v>
      </c>
      <c r="C164" s="19" t="s">
        <v>377</v>
      </c>
      <c r="D164" s="10">
        <v>60</v>
      </c>
      <c r="E164" s="11">
        <v>25.16</v>
      </c>
      <c r="F164" s="12">
        <v>0.13980000000000001</v>
      </c>
      <c r="G164" s="13">
        <v>0.81279999999999997</v>
      </c>
      <c r="H164" s="11">
        <f t="shared" si="4"/>
        <v>4.0515007104000009</v>
      </c>
      <c r="I164" s="18"/>
      <c r="J164" s="15"/>
      <c r="K164" s="16">
        <f t="shared" si="5"/>
        <v>0</v>
      </c>
      <c r="L164" s="17">
        <v>460</v>
      </c>
      <c r="M164" s="17">
        <v>0</v>
      </c>
      <c r="N164" s="11">
        <v>32.950000000000003</v>
      </c>
    </row>
    <row r="165" spans="1:14" x14ac:dyDescent="0.25">
      <c r="A165" s="1">
        <v>7895296192019</v>
      </c>
      <c r="B165" s="9">
        <v>29959</v>
      </c>
      <c r="C165" s="8" t="s">
        <v>378</v>
      </c>
      <c r="D165" s="10">
        <v>96</v>
      </c>
      <c r="E165" s="11">
        <v>20.49</v>
      </c>
      <c r="F165" s="12">
        <v>0.13980000000000001</v>
      </c>
      <c r="G165" s="13">
        <v>0.86739999999999995</v>
      </c>
      <c r="H165" s="11">
        <f t="shared" si="4"/>
        <v>2.337141034800001</v>
      </c>
      <c r="I165" s="18"/>
      <c r="J165" s="15"/>
      <c r="K165" s="16">
        <f t="shared" si="5"/>
        <v>0</v>
      </c>
      <c r="L165" s="17">
        <v>758</v>
      </c>
      <c r="M165" s="17">
        <v>0</v>
      </c>
      <c r="N165" s="11" t="s">
        <v>379</v>
      </c>
    </row>
    <row r="166" spans="1:14" x14ac:dyDescent="0.25">
      <c r="A166" s="1">
        <v>7895296290012</v>
      </c>
      <c r="B166" s="9">
        <v>29001</v>
      </c>
      <c r="C166" s="19" t="s">
        <v>380</v>
      </c>
      <c r="D166" s="10">
        <v>60</v>
      </c>
      <c r="E166" s="11">
        <v>16.34</v>
      </c>
      <c r="F166" s="12">
        <v>0.13980000000000001</v>
      </c>
      <c r="G166" s="13">
        <v>0.60370000000000001</v>
      </c>
      <c r="H166" s="11">
        <f t="shared" si="4"/>
        <v>5.5702612283999997</v>
      </c>
      <c r="I166" s="18"/>
      <c r="J166" s="15"/>
      <c r="K166" s="16">
        <f t="shared" si="5"/>
        <v>0</v>
      </c>
      <c r="L166" s="17">
        <v>0</v>
      </c>
      <c r="M166" s="17">
        <v>0</v>
      </c>
      <c r="N166" s="11" t="s">
        <v>379</v>
      </c>
    </row>
    <row r="167" spans="1:14" x14ac:dyDescent="0.25">
      <c r="A167" s="1">
        <v>7895296288019</v>
      </c>
      <c r="B167" s="9">
        <v>28801</v>
      </c>
      <c r="C167" s="8" t="s">
        <v>381</v>
      </c>
      <c r="D167" s="10">
        <v>120</v>
      </c>
      <c r="E167" s="11">
        <v>18.559999999999999</v>
      </c>
      <c r="F167" s="12">
        <v>0.13980000000000001</v>
      </c>
      <c r="G167" s="13">
        <v>0.84630000000000005</v>
      </c>
      <c r="H167" s="11">
        <f t="shared" si="4"/>
        <v>2.4538684543999989</v>
      </c>
      <c r="I167" s="18"/>
      <c r="J167" s="15"/>
      <c r="K167" s="16">
        <f t="shared" si="5"/>
        <v>0</v>
      </c>
      <c r="L167" s="17">
        <v>126</v>
      </c>
      <c r="M167" s="17">
        <v>0</v>
      </c>
      <c r="N167" s="11" t="s">
        <v>379</v>
      </c>
    </row>
    <row r="168" spans="1:14" x14ac:dyDescent="0.25">
      <c r="A168" s="1">
        <v>7895296449274</v>
      </c>
      <c r="B168" s="9">
        <v>30125</v>
      </c>
      <c r="C168" s="8" t="s">
        <v>382</v>
      </c>
      <c r="D168" s="10">
        <v>48</v>
      </c>
      <c r="E168" s="11">
        <v>15.8</v>
      </c>
      <c r="F168" s="12">
        <v>0.13980000000000001</v>
      </c>
      <c r="G168" s="13">
        <v>0.77029999999999998</v>
      </c>
      <c r="H168" s="11">
        <f t="shared" si="4"/>
        <v>3.1218894520000005</v>
      </c>
      <c r="I168" s="21"/>
      <c r="J168" s="15"/>
      <c r="K168" s="16">
        <f t="shared" si="5"/>
        <v>0</v>
      </c>
      <c r="L168" s="17">
        <v>162</v>
      </c>
      <c r="M168" s="17">
        <v>0</v>
      </c>
      <c r="N168" s="11">
        <v>19.989999999999998</v>
      </c>
    </row>
    <row r="169" spans="1:14" x14ac:dyDescent="0.25">
      <c r="A169" s="1">
        <v>7895296449281</v>
      </c>
      <c r="B169" s="9">
        <v>30126</v>
      </c>
      <c r="C169" s="8" t="s">
        <v>383</v>
      </c>
      <c r="D169" s="10">
        <v>48</v>
      </c>
      <c r="E169" s="11">
        <v>31.14</v>
      </c>
      <c r="F169" s="12">
        <v>0.13980000000000001</v>
      </c>
      <c r="G169" s="13">
        <v>0.84219999999999995</v>
      </c>
      <c r="H169" s="11">
        <f t="shared" si="4"/>
        <v>4.2269298984000017</v>
      </c>
      <c r="I169" s="21"/>
      <c r="J169" s="15"/>
      <c r="K169" s="16">
        <f t="shared" si="5"/>
        <v>0</v>
      </c>
      <c r="L169" s="17">
        <v>74</v>
      </c>
      <c r="M169" s="17">
        <v>0</v>
      </c>
      <c r="N169" s="11">
        <v>39.590000000000003</v>
      </c>
    </row>
    <row r="170" spans="1:14" x14ac:dyDescent="0.25">
      <c r="A170" s="1">
        <v>7898103651037</v>
      </c>
      <c r="B170" s="9">
        <v>19310</v>
      </c>
      <c r="C170" s="22" t="s">
        <v>384</v>
      </c>
      <c r="D170" s="10">
        <v>60</v>
      </c>
      <c r="E170" s="11">
        <v>115.69</v>
      </c>
      <c r="F170" s="12">
        <v>0.13980000000000001</v>
      </c>
      <c r="G170" s="13">
        <v>0.58020000000000005</v>
      </c>
      <c r="H170" s="11">
        <f t="shared" si="4"/>
        <v>41.777042652399992</v>
      </c>
      <c r="I170" s="18" t="s">
        <v>239</v>
      </c>
      <c r="J170" s="15"/>
      <c r="K170" s="16">
        <f t="shared" si="5"/>
        <v>0</v>
      </c>
      <c r="L170" s="17">
        <v>4860</v>
      </c>
      <c r="M170" s="17">
        <v>0</v>
      </c>
      <c r="N170" s="11">
        <v>153.46</v>
      </c>
    </row>
    <row r="171" spans="1:14" x14ac:dyDescent="0.25">
      <c r="A171" s="1">
        <v>7898103651044</v>
      </c>
      <c r="B171" s="9">
        <v>19311</v>
      </c>
      <c r="C171" s="22" t="s">
        <v>385</v>
      </c>
      <c r="D171" s="10">
        <v>60</v>
      </c>
      <c r="E171" s="11">
        <v>141.58000000000001</v>
      </c>
      <c r="F171" s="12">
        <v>0.13980000000000001</v>
      </c>
      <c r="G171" s="13">
        <v>0.59099999999999997</v>
      </c>
      <c r="H171" s="11">
        <f t="shared" si="4"/>
        <v>49.810930444000007</v>
      </c>
      <c r="I171" s="18" t="s">
        <v>239</v>
      </c>
      <c r="J171" s="15"/>
      <c r="K171" s="16">
        <f t="shared" si="5"/>
        <v>0</v>
      </c>
      <c r="L171" s="17">
        <v>44</v>
      </c>
      <c r="M171" s="17">
        <v>0</v>
      </c>
      <c r="N171" s="11">
        <v>187.81</v>
      </c>
    </row>
    <row r="172" spans="1:14" x14ac:dyDescent="0.25">
      <c r="A172" s="1">
        <v>7895296250016</v>
      </c>
      <c r="B172" s="9">
        <v>29149</v>
      </c>
      <c r="C172" s="8" t="s">
        <v>386</v>
      </c>
      <c r="D172" s="10">
        <v>18</v>
      </c>
      <c r="E172" s="11">
        <v>155.21</v>
      </c>
      <c r="F172" s="12">
        <v>0.13980000000000001</v>
      </c>
      <c r="G172" s="13">
        <v>0.4128</v>
      </c>
      <c r="H172" s="11">
        <f t="shared" si="4"/>
        <v>78.398036182399991</v>
      </c>
      <c r="I172" s="29"/>
      <c r="J172" s="15"/>
      <c r="K172" s="16">
        <f t="shared" si="5"/>
        <v>0</v>
      </c>
      <c r="L172" s="17">
        <v>0</v>
      </c>
      <c r="M172" s="17">
        <v>5670</v>
      </c>
      <c r="N172" s="11">
        <v>204.24</v>
      </c>
    </row>
    <row r="173" spans="1:14" x14ac:dyDescent="0.25">
      <c r="A173" s="1">
        <v>7895296240093</v>
      </c>
      <c r="B173" s="9">
        <v>29137</v>
      </c>
      <c r="C173" s="19" t="s">
        <v>387</v>
      </c>
      <c r="D173" s="10">
        <v>60</v>
      </c>
      <c r="E173" s="11">
        <v>46.96</v>
      </c>
      <c r="F173" s="12">
        <v>0.13980000000000001</v>
      </c>
      <c r="G173" s="13">
        <v>0.94520000000000004</v>
      </c>
      <c r="H173" s="11">
        <f t="shared" si="4"/>
        <v>2.2136455615999986</v>
      </c>
      <c r="I173" s="18"/>
      <c r="J173" s="15"/>
      <c r="K173" s="16">
        <f t="shared" si="5"/>
        <v>0</v>
      </c>
      <c r="L173" s="17">
        <v>119</v>
      </c>
      <c r="M173" s="17">
        <v>0</v>
      </c>
      <c r="N173" s="11">
        <v>61.81</v>
      </c>
    </row>
    <row r="174" spans="1:14" x14ac:dyDescent="0.25">
      <c r="A174" s="1">
        <v>7895296240109</v>
      </c>
      <c r="B174" s="9">
        <v>29138</v>
      </c>
      <c r="C174" s="8" t="s">
        <v>388</v>
      </c>
      <c r="D174" s="10">
        <v>96</v>
      </c>
      <c r="E174" s="11">
        <v>34.25</v>
      </c>
      <c r="F174" s="12">
        <v>0.13980000000000001</v>
      </c>
      <c r="G174" s="13">
        <v>0.93440000000000001</v>
      </c>
      <c r="H174" s="11">
        <f t="shared" si="4"/>
        <v>1.9326973599999997</v>
      </c>
      <c r="I174" s="18"/>
      <c r="J174" s="15"/>
      <c r="K174" s="16">
        <f t="shared" si="5"/>
        <v>0</v>
      </c>
      <c r="L174" s="17">
        <v>291</v>
      </c>
      <c r="M174" s="17">
        <v>0</v>
      </c>
      <c r="N174" s="11">
        <v>43.86</v>
      </c>
    </row>
    <row r="175" spans="1:14" x14ac:dyDescent="0.25">
      <c r="A175" s="1">
        <v>7895296240031</v>
      </c>
      <c r="B175" s="9">
        <v>29134</v>
      </c>
      <c r="C175" s="8" t="s">
        <v>389</v>
      </c>
      <c r="D175" s="10">
        <v>84</v>
      </c>
      <c r="E175" s="11">
        <v>96.45</v>
      </c>
      <c r="F175" s="12">
        <v>0.13980000000000001</v>
      </c>
      <c r="G175" s="13">
        <v>0.96299999999999997</v>
      </c>
      <c r="H175" s="11">
        <f t="shared" si="4"/>
        <v>3.0697527300000029</v>
      </c>
      <c r="I175" s="14"/>
      <c r="J175" s="15"/>
      <c r="K175" s="16">
        <f t="shared" si="5"/>
        <v>0</v>
      </c>
      <c r="L175" s="17">
        <v>378</v>
      </c>
      <c r="M175" s="17">
        <v>0</v>
      </c>
      <c r="N175" s="11">
        <v>122.55</v>
      </c>
    </row>
    <row r="176" spans="1:14" x14ac:dyDescent="0.25">
      <c r="A176" s="1">
        <v>7895296132039</v>
      </c>
      <c r="B176" s="9">
        <v>29925</v>
      </c>
      <c r="C176" s="8" t="s">
        <v>390</v>
      </c>
      <c r="D176" s="10">
        <v>48</v>
      </c>
      <c r="E176" s="11">
        <v>66.459999999999994</v>
      </c>
      <c r="F176" s="12">
        <v>0.13980000000000001</v>
      </c>
      <c r="G176" s="13">
        <v>0.66769999999999996</v>
      </c>
      <c r="H176" s="11">
        <f t="shared" si="4"/>
        <v>18.9972228116</v>
      </c>
      <c r="I176" s="18"/>
      <c r="J176" s="15"/>
      <c r="K176" s="16">
        <f t="shared" si="5"/>
        <v>0</v>
      </c>
      <c r="L176" s="17">
        <v>145</v>
      </c>
      <c r="M176" s="17">
        <v>0</v>
      </c>
      <c r="N176" s="11">
        <v>89.79</v>
      </c>
    </row>
    <row r="177" spans="1:14" x14ac:dyDescent="0.25">
      <c r="A177" s="1">
        <v>7895296052016</v>
      </c>
      <c r="B177" s="9">
        <v>29968</v>
      </c>
      <c r="C177" s="8" t="s">
        <v>391</v>
      </c>
      <c r="D177" s="10">
        <v>100</v>
      </c>
      <c r="E177" s="11">
        <v>19.75</v>
      </c>
      <c r="F177" s="12">
        <v>0.13980000000000001</v>
      </c>
      <c r="G177" s="13">
        <v>0.73150000000000004</v>
      </c>
      <c r="H177" s="11">
        <f t="shared" si="4"/>
        <v>4.5615330749999989</v>
      </c>
      <c r="I177" s="18"/>
      <c r="J177" s="15"/>
      <c r="K177" s="16">
        <f t="shared" si="5"/>
        <v>0</v>
      </c>
      <c r="L177" s="17">
        <v>68</v>
      </c>
      <c r="M177" s="17">
        <v>0</v>
      </c>
      <c r="N177" s="11">
        <v>26.61</v>
      </c>
    </row>
    <row r="178" spans="1:14" x14ac:dyDescent="0.25">
      <c r="A178" s="1">
        <v>7895296444897</v>
      </c>
      <c r="B178" s="9">
        <v>29411</v>
      </c>
      <c r="C178" s="20" t="s">
        <v>392</v>
      </c>
      <c r="D178" s="10">
        <v>56</v>
      </c>
      <c r="E178" s="11">
        <v>235.44</v>
      </c>
      <c r="F178" s="12">
        <v>0.13980000000000001</v>
      </c>
      <c r="G178" s="13">
        <v>0.83640000000000003</v>
      </c>
      <c r="H178" s="11">
        <f t="shared" si="4"/>
        <v>33.133169836799993</v>
      </c>
      <c r="I178" s="21" t="s">
        <v>222</v>
      </c>
      <c r="J178" s="15"/>
      <c r="K178" s="16">
        <f t="shared" si="5"/>
        <v>0</v>
      </c>
      <c r="L178" s="17">
        <v>224</v>
      </c>
      <c r="M178" s="17">
        <v>0</v>
      </c>
      <c r="N178" s="11">
        <v>299.99</v>
      </c>
    </row>
    <row r="179" spans="1:14" x14ac:dyDescent="0.25">
      <c r="A179" s="1">
        <v>7895296444811</v>
      </c>
      <c r="B179" s="9">
        <v>29403</v>
      </c>
      <c r="C179" s="20" t="s">
        <v>393</v>
      </c>
      <c r="D179" s="10">
        <v>56</v>
      </c>
      <c r="E179" s="11">
        <v>88.65</v>
      </c>
      <c r="F179" s="12">
        <v>0.13980000000000001</v>
      </c>
      <c r="G179" s="13">
        <v>0.85950000000000004</v>
      </c>
      <c r="H179" s="11">
        <f t="shared" si="4"/>
        <v>10.714070564999998</v>
      </c>
      <c r="I179" s="21" t="s">
        <v>222</v>
      </c>
      <c r="J179" s="15"/>
      <c r="K179" s="16">
        <f t="shared" si="5"/>
        <v>0</v>
      </c>
      <c r="L179" s="17">
        <v>74</v>
      </c>
      <c r="M179" s="17">
        <v>38864</v>
      </c>
      <c r="N179" s="11">
        <v>112.96</v>
      </c>
    </row>
    <row r="180" spans="1:14" x14ac:dyDescent="0.25">
      <c r="A180" s="1">
        <v>7895296444859</v>
      </c>
      <c r="B180" s="9">
        <v>29407</v>
      </c>
      <c r="C180" s="20" t="s">
        <v>394</v>
      </c>
      <c r="D180" s="10">
        <v>56</v>
      </c>
      <c r="E180" s="11">
        <v>161.88</v>
      </c>
      <c r="F180" s="12">
        <v>0.13980000000000001</v>
      </c>
      <c r="G180" s="13">
        <v>0.879</v>
      </c>
      <c r="H180" s="11">
        <f t="shared" si="4"/>
        <v>16.849150296000001</v>
      </c>
      <c r="I180" s="21" t="s">
        <v>222</v>
      </c>
      <c r="J180" s="15"/>
      <c r="K180" s="16">
        <f t="shared" si="5"/>
        <v>0</v>
      </c>
      <c r="L180" s="17">
        <v>665</v>
      </c>
      <c r="M180" s="17">
        <v>49560</v>
      </c>
      <c r="N180" s="11">
        <v>206.26</v>
      </c>
    </row>
    <row r="181" spans="1:14" x14ac:dyDescent="0.25">
      <c r="A181" s="1">
        <v>7895296109017</v>
      </c>
      <c r="B181" s="9">
        <v>21441</v>
      </c>
      <c r="C181" s="23" t="s">
        <v>395</v>
      </c>
      <c r="D181" s="10">
        <v>60</v>
      </c>
      <c r="E181" s="11">
        <v>92.19</v>
      </c>
      <c r="F181" s="12">
        <v>0.13980000000000001</v>
      </c>
      <c r="G181" s="13">
        <v>0.69940000000000002</v>
      </c>
      <c r="H181" s="11">
        <f t="shared" si="4"/>
        <v>23.838132502800001</v>
      </c>
      <c r="I181" s="18"/>
      <c r="J181" s="15"/>
      <c r="K181" s="16">
        <f t="shared" si="5"/>
        <v>0</v>
      </c>
      <c r="L181" s="17">
        <v>0</v>
      </c>
      <c r="M181" s="17">
        <v>0</v>
      </c>
      <c r="N181" s="11">
        <v>122.9</v>
      </c>
    </row>
    <row r="182" spans="1:14" x14ac:dyDescent="0.25">
      <c r="A182" s="1">
        <v>7896472522149</v>
      </c>
      <c r="B182" s="9">
        <v>30256</v>
      </c>
      <c r="C182" s="22" t="s">
        <v>396</v>
      </c>
      <c r="D182" s="10">
        <v>36</v>
      </c>
      <c r="E182" s="11">
        <v>27.44</v>
      </c>
      <c r="F182" s="12">
        <v>0.13980000000000001</v>
      </c>
      <c r="G182" s="13">
        <v>0.79469999999999996</v>
      </c>
      <c r="H182" s="11">
        <f t="shared" si="4"/>
        <v>4.845878206400001</v>
      </c>
      <c r="I182" s="18" t="s">
        <v>239</v>
      </c>
      <c r="J182" s="15"/>
      <c r="K182" s="16">
        <f t="shared" si="5"/>
        <v>0</v>
      </c>
      <c r="L182" s="17">
        <v>36</v>
      </c>
      <c r="M182" s="17">
        <v>0</v>
      </c>
      <c r="N182" s="11">
        <v>36.14</v>
      </c>
    </row>
    <row r="183" spans="1:14" x14ac:dyDescent="0.25">
      <c r="A183" s="1">
        <v>7896472522156</v>
      </c>
      <c r="B183" s="9">
        <v>30257</v>
      </c>
      <c r="C183" s="22" t="s">
        <v>397</v>
      </c>
      <c r="D183" s="10">
        <v>36</v>
      </c>
      <c r="E183" s="11">
        <v>52.63</v>
      </c>
      <c r="F183" s="12">
        <v>0.13980000000000001</v>
      </c>
      <c r="G183" s="13">
        <v>0.78520000000000001</v>
      </c>
      <c r="H183" s="11">
        <f t="shared" si="4"/>
        <v>9.7244956247999994</v>
      </c>
      <c r="I183" s="18" t="s">
        <v>239</v>
      </c>
      <c r="J183" s="15"/>
      <c r="K183" s="16">
        <f t="shared" si="5"/>
        <v>0</v>
      </c>
      <c r="L183" s="17">
        <v>0</v>
      </c>
      <c r="M183" s="17">
        <v>0</v>
      </c>
      <c r="N183" s="11">
        <v>69.260000000000005</v>
      </c>
    </row>
    <row r="184" spans="1:14" x14ac:dyDescent="0.25">
      <c r="A184" s="1">
        <v>7896472521777</v>
      </c>
      <c r="B184" s="9">
        <v>30202</v>
      </c>
      <c r="C184" s="22" t="s">
        <v>398</v>
      </c>
      <c r="D184" s="10">
        <v>56</v>
      </c>
      <c r="E184" s="11">
        <v>61.9</v>
      </c>
      <c r="F184" s="12">
        <v>0.13980000000000001</v>
      </c>
      <c r="G184" s="13">
        <v>0.6986</v>
      </c>
      <c r="H184" s="11">
        <f t="shared" si="4"/>
        <v>16.048458931999999</v>
      </c>
      <c r="I184" s="18" t="s">
        <v>239</v>
      </c>
      <c r="J184" s="15"/>
      <c r="K184" s="16">
        <f t="shared" si="5"/>
        <v>0</v>
      </c>
      <c r="L184" s="17">
        <v>46</v>
      </c>
      <c r="M184" s="17">
        <v>0</v>
      </c>
      <c r="N184" s="11">
        <v>78.88</v>
      </c>
    </row>
    <row r="185" spans="1:14" x14ac:dyDescent="0.25">
      <c r="A185" s="1">
        <v>7896472521784</v>
      </c>
      <c r="B185" s="9">
        <v>30203</v>
      </c>
      <c r="C185" s="22" t="s">
        <v>399</v>
      </c>
      <c r="D185" s="10">
        <v>60</v>
      </c>
      <c r="E185" s="11">
        <v>71.349999999999994</v>
      </c>
      <c r="F185" s="12">
        <v>0.13980000000000001</v>
      </c>
      <c r="G185" s="13">
        <v>0.53520000000000001</v>
      </c>
      <c r="H185" s="11">
        <f t="shared" si="4"/>
        <v>28.527225495999996</v>
      </c>
      <c r="I185" s="18" t="s">
        <v>239</v>
      </c>
      <c r="J185" s="15"/>
      <c r="K185" s="16">
        <f t="shared" si="5"/>
        <v>0</v>
      </c>
      <c r="L185" s="17">
        <v>89</v>
      </c>
      <c r="M185" s="17">
        <v>0</v>
      </c>
      <c r="N185" s="11">
        <v>90.91</v>
      </c>
    </row>
    <row r="186" spans="1:14" x14ac:dyDescent="0.25">
      <c r="A186" s="1">
        <v>7895296292016</v>
      </c>
      <c r="B186" s="9">
        <v>29201</v>
      </c>
      <c r="C186" s="8" t="s">
        <v>400</v>
      </c>
      <c r="D186" s="10">
        <v>56</v>
      </c>
      <c r="E186" s="11">
        <v>27.88</v>
      </c>
      <c r="F186" s="12">
        <v>0.13980000000000001</v>
      </c>
      <c r="G186" s="13">
        <v>0.70650000000000002</v>
      </c>
      <c r="H186" s="11">
        <f t="shared" si="4"/>
        <v>7.0388273559999988</v>
      </c>
      <c r="I186" s="18"/>
      <c r="J186" s="15"/>
      <c r="K186" s="16">
        <f t="shared" si="5"/>
        <v>0</v>
      </c>
      <c r="L186" s="17">
        <v>0</v>
      </c>
      <c r="M186" s="17">
        <v>43008</v>
      </c>
      <c r="N186" s="11">
        <v>36.5</v>
      </c>
    </row>
    <row r="187" spans="1:14" x14ac:dyDescent="0.25">
      <c r="G187" s="13"/>
      <c r="J187" s="31">
        <f>SUBTOTAL(9,J2:J186)</f>
        <v>0</v>
      </c>
      <c r="K187" s="32" t="e">
        <f>SUBTOTAL(9,K2:K186)</f>
        <v>#VALUE!</v>
      </c>
      <c r="L187" s="17"/>
      <c r="M187" s="17"/>
    </row>
    <row r="188" spans="1:14" x14ac:dyDescent="0.25">
      <c r="G188" s="13"/>
      <c r="H188" s="11"/>
      <c r="J188" s="33"/>
      <c r="L188" s="17"/>
      <c r="M188" s="17"/>
    </row>
    <row r="189" spans="1:14" x14ac:dyDescent="0.25">
      <c r="G189" s="13"/>
      <c r="H189" s="11"/>
      <c r="J189" s="33"/>
      <c r="L189" s="17"/>
      <c r="M189" s="17"/>
    </row>
    <row r="190" spans="1:14" x14ac:dyDescent="0.25">
      <c r="H190" s="11"/>
      <c r="L190" s="34"/>
      <c r="M190" s="35"/>
    </row>
    <row r="191" spans="1:14" x14ac:dyDescent="0.25">
      <c r="L191" s="34"/>
      <c r="M191" s="35"/>
    </row>
    <row r="192" spans="1:14" x14ac:dyDescent="0.25">
      <c r="L192" s="34"/>
      <c r="M192" s="35"/>
    </row>
    <row r="193" spans="2:13" x14ac:dyDescent="0.25">
      <c r="L193" s="34"/>
      <c r="M193" s="35"/>
    </row>
    <row r="194" spans="2:13" x14ac:dyDescent="0.25">
      <c r="B194" s="9"/>
      <c r="L194" s="34"/>
      <c r="M194" s="35"/>
    </row>
    <row r="195" spans="2:13" x14ac:dyDescent="0.25">
      <c r="B195" s="9"/>
      <c r="L195" s="34"/>
      <c r="M195" s="35"/>
    </row>
    <row r="196" spans="2:13" x14ac:dyDescent="0.25">
      <c r="B196" s="9"/>
      <c r="L196" s="34"/>
      <c r="M196" s="35"/>
    </row>
    <row r="197" spans="2:13" x14ac:dyDescent="0.25">
      <c r="B197" s="9"/>
      <c r="L197" s="34"/>
      <c r="M197" s="35"/>
    </row>
    <row r="198" spans="2:13" x14ac:dyDescent="0.25">
      <c r="B198" s="9"/>
      <c r="L198" s="34"/>
      <c r="M198" s="35"/>
    </row>
    <row r="199" spans="2:13" x14ac:dyDescent="0.25">
      <c r="B199" s="9"/>
      <c r="L199" s="34"/>
      <c r="M199" s="35"/>
    </row>
    <row r="200" spans="2:13" x14ac:dyDescent="0.25">
      <c r="B200" s="9"/>
      <c r="L200" s="34"/>
      <c r="M200" s="35"/>
    </row>
    <row r="201" spans="2:13" x14ac:dyDescent="0.25">
      <c r="B201" s="9"/>
      <c r="L201" s="34"/>
      <c r="M201" s="35"/>
    </row>
    <row r="202" spans="2:13" x14ac:dyDescent="0.25">
      <c r="B202" s="9"/>
      <c r="L202" s="34"/>
      <c r="M202" s="35"/>
    </row>
    <row r="203" spans="2:13" x14ac:dyDescent="0.25">
      <c r="L203" s="34"/>
      <c r="M203" s="35"/>
    </row>
    <row r="204" spans="2:13" x14ac:dyDescent="0.25">
      <c r="L204" s="34"/>
      <c r="M204" s="35"/>
    </row>
    <row r="205" spans="2:13" x14ac:dyDescent="0.25">
      <c r="L205" s="34"/>
      <c r="M205" s="35"/>
    </row>
    <row r="206" spans="2:13" x14ac:dyDescent="0.25">
      <c r="L206" s="34"/>
      <c r="M206" s="35"/>
    </row>
    <row r="207" spans="2:13" x14ac:dyDescent="0.25">
      <c r="L207" s="34"/>
      <c r="M207" s="35"/>
    </row>
    <row r="208" spans="2:13" x14ac:dyDescent="0.25">
      <c r="L208" s="34"/>
      <c r="M208" s="35"/>
    </row>
    <row r="209" spans="12:13" x14ac:dyDescent="0.25">
      <c r="L209" s="34"/>
      <c r="M209" s="35"/>
    </row>
    <row r="210" spans="12:13" x14ac:dyDescent="0.25">
      <c r="L210" s="34"/>
      <c r="M210" s="35"/>
    </row>
    <row r="211" spans="12:13" x14ac:dyDescent="0.25">
      <c r="L211" s="34"/>
      <c r="M211" s="35"/>
    </row>
    <row r="212" spans="12:13" x14ac:dyDescent="0.25">
      <c r="L212" s="34"/>
      <c r="M212" s="35"/>
    </row>
    <row r="213" spans="12:13" ht="15" customHeight="1" x14ac:dyDescent="0.25">
      <c r="L213" s="34"/>
      <c r="M213" s="35"/>
    </row>
    <row r="214" spans="12:13" ht="15" customHeight="1" x14ac:dyDescent="0.25">
      <c r="L214" s="34"/>
      <c r="M214" s="35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OL. PROMO NOVA Q.G. 09-06-2026</vt:lpstr>
      <vt:lpstr>Planilha1</vt:lpstr>
      <vt:lpstr>MATRIZ1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 Office TS</dc:creator>
  <cp:lastModifiedBy>jose luis mesquita</cp:lastModifiedBy>
  <dcterms:created xsi:type="dcterms:W3CDTF">2026-06-09T11:19:54Z</dcterms:created>
  <dcterms:modified xsi:type="dcterms:W3CDTF">2026-06-12T15:12:29Z</dcterms:modified>
</cp:coreProperties>
</file>