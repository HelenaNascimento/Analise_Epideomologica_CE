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ntrada" sheetId="1" state="visible" r:id="rId3"/>
    <sheet name="Saída_2023" sheetId="2" state="visible" r:id="rId4"/>
    <sheet name="Saída_DEZ" sheetId="3" state="visible" r:id="rId5"/>
    <sheet name="Result" sheetId="4" state="visible" r:id="rId6"/>
  </sheets>
  <definedNames>
    <definedName function="false" hidden="true" localSheetId="1" name="_xlnm._FilterDatabase" vbProcedure="false">Saída_2023!$A$1:$G$1199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<sst xmlns="http://schemas.openxmlformats.org/spreadsheetml/2006/main" count="5900" uniqueCount="586">
  <si>
    <t xml:space="preserve">CODIGO</t>
  </si>
  <si>
    <t xml:space="preserve">Prc_Fabric</t>
  </si>
  <si>
    <t xml:space="preserve">Prc_UltEnt</t>
  </si>
  <si>
    <t xml:space="preserve">Qtd_PedFat</t>
  </si>
  <si>
    <t xml:space="preserve">Qtd_BON</t>
  </si>
  <si>
    <t xml:space="preserve">Mai 25 2023 12:00AM </t>
  </si>
  <si>
    <t xml:space="preserve">Nov 16 2023 12:00AM </t>
  </si>
  <si>
    <t xml:space="preserve">Dez 21 2023 12:00AM </t>
  </si>
  <si>
    <t xml:space="preserve">Mar 3 2023 12:00AM </t>
  </si>
  <si>
    <t xml:space="preserve">Dez 18 2023 12:00AM </t>
  </si>
  <si>
    <t xml:space="preserve">Dez 4 2023 12:00AM </t>
  </si>
  <si>
    <t xml:space="preserve">Abr 10 2023 12:00AM </t>
  </si>
  <si>
    <t xml:space="preserve">Dez 28 2023 12:00AM </t>
  </si>
  <si>
    <t xml:space="preserve">Out 26 2023 12:00AM </t>
  </si>
  <si>
    <t xml:space="preserve">Nov 24 2023 12:00AM </t>
  </si>
  <si>
    <t xml:space="preserve">Nov 21 2023 12:00AM </t>
  </si>
  <si>
    <t xml:space="preserve">Ago 25 2023 12:00AM </t>
  </si>
  <si>
    <t xml:space="preserve">Ago 23 2023 12:00AM </t>
  </si>
  <si>
    <t xml:space="preserve">Mai 24 2023 12:00AM </t>
  </si>
  <si>
    <t xml:space="preserve">Out 28 2023 12:00AM </t>
  </si>
  <si>
    <t xml:space="preserve">Jan 13 2023 12:00AM </t>
  </si>
  <si>
    <t xml:space="preserve">Jul 17 2023 12:00AM </t>
  </si>
  <si>
    <t xml:space="preserve">Dez 20 2023 12:00AM </t>
  </si>
  <si>
    <t xml:space="preserve">Jul 7 2023 12:00AM </t>
  </si>
  <si>
    <t xml:space="preserve">Jul 14 2023 12:00AM </t>
  </si>
  <si>
    <t xml:space="preserve">Mai 19 2023 12:00AM </t>
  </si>
  <si>
    <t xml:space="preserve">Mai 3 2023 12:00AM </t>
  </si>
  <si>
    <t xml:space="preserve">Set 28 2023 12:00AM </t>
  </si>
  <si>
    <t xml:space="preserve">Mar 13 2023 12:00AM </t>
  </si>
  <si>
    <t xml:space="preserve">Abr 5 2023 12:00AM </t>
  </si>
  <si>
    <t xml:space="preserve">Abr 1 2023 12:00AM </t>
  </si>
  <si>
    <t xml:space="preserve">Ago 16 2023 12:00AM </t>
  </si>
  <si>
    <t xml:space="preserve">Mai 22 2023 12:00AM </t>
  </si>
  <si>
    <t xml:space="preserve">Ago 2 2023 12:00AM </t>
  </si>
  <si>
    <t xml:space="preserve">Fev 24 2023 12:00AM </t>
  </si>
  <si>
    <t xml:space="preserve">Dez 5 2023 12:00AM </t>
  </si>
  <si>
    <t xml:space="preserve">Set 27 2023 12:00AM </t>
  </si>
  <si>
    <t xml:space="preserve">Set 20 2023 12:00AM </t>
  </si>
  <si>
    <t xml:space="preserve">Dez 29 2023 12:00AM </t>
  </si>
  <si>
    <t xml:space="preserve">Set 29 2023 12:00AM </t>
  </si>
  <si>
    <t xml:space="preserve">Set 18 2023 12:00AM </t>
  </si>
  <si>
    <t xml:space="preserve">Abr 18 2023 12:00AM </t>
  </si>
  <si>
    <t xml:space="preserve">Jun 28 2023 12:00AM </t>
  </si>
  <si>
    <t xml:space="preserve">Mar 10 2023 12:00AM </t>
  </si>
  <si>
    <t xml:space="preserve">Nov 27 2023 12:00AM </t>
  </si>
  <si>
    <t xml:space="preserve">Nov 25 2023 12:00AM </t>
  </si>
  <si>
    <t xml:space="preserve">Abr 20 2023 12:00AM </t>
  </si>
  <si>
    <t xml:space="preserve">Abr 27 2023 12:00AM </t>
  </si>
  <si>
    <t xml:space="preserve">Jan 30 2023 12:00AM </t>
  </si>
  <si>
    <t xml:space="preserve">Out 20 2023 12:00AM </t>
  </si>
  <si>
    <t xml:space="preserve">Out 18 2023 12:00AM </t>
  </si>
  <si>
    <t xml:space="preserve">Ago 28 2023 12:00AM </t>
  </si>
  <si>
    <t xml:space="preserve">Nov 6 2023 12:00AM </t>
  </si>
  <si>
    <t xml:space="preserve">Dez 19 2023 12:00AM </t>
  </si>
  <si>
    <t xml:space="preserve">Dez 21 2023 12:00AM</t>
  </si>
  <si>
    <t xml:space="preserve">cod_ean</t>
  </si>
  <si>
    <t xml:space="preserve">codigo</t>
  </si>
  <si>
    <t xml:space="preserve">descricao</t>
  </si>
  <si>
    <t xml:space="preserve">Cod_PolCom</t>
  </si>
  <si>
    <t xml:space="preserve">Auxiliar</t>
  </si>
  <si>
    <t xml:space="preserve">QtdVen</t>
  </si>
  <si>
    <t xml:space="preserve">VlrFatVen</t>
  </si>
  <si>
    <t xml:space="preserve">7891317002688</t>
  </si>
  <si>
    <t xml:space="preserve">ACEBROFILINA 25 MG INF XPE 120 ML</t>
  </si>
  <si>
    <t xml:space="preserve">CE - 0000</t>
  </si>
  <si>
    <t xml:space="preserve">CE - EURO X AUGEFARMA</t>
  </si>
  <si>
    <t xml:space="preserve">CE - OL 001</t>
  </si>
  <si>
    <t xml:space="preserve">CE - EUROFARMA G7</t>
  </si>
  <si>
    <t xml:space="preserve">CE - OL 002</t>
  </si>
  <si>
    <t xml:space="preserve">CE - EUROFARMA 6%</t>
  </si>
  <si>
    <t xml:space="preserve">7891317002695</t>
  </si>
  <si>
    <t xml:space="preserve">ACEBROFILINA 50 MG ADT XPE 120 ML</t>
  </si>
  <si>
    <t xml:space="preserve">7891317020002</t>
  </si>
  <si>
    <t xml:space="preserve">ACECLOFENACO 100 MG C/12 CPR REV</t>
  </si>
  <si>
    <t xml:space="preserve">7891317001056</t>
  </si>
  <si>
    <t xml:space="preserve">ACETILCISTEINA 100 MG C/16 ENV 5G</t>
  </si>
  <si>
    <t xml:space="preserve">7891317025083</t>
  </si>
  <si>
    <t xml:space="preserve">ACETILCISTEINA 20 MG/ML XPE INF 120ML</t>
  </si>
  <si>
    <t xml:space="preserve">7891317001063</t>
  </si>
  <si>
    <t xml:space="preserve">ACETILCISTEINA 200 MG C/16 ENV 5G</t>
  </si>
  <si>
    <t xml:space="preserve">7891317011154</t>
  </si>
  <si>
    <t xml:space="preserve">ACETILCISTEINA 40 MG/ML XP C/120 ML</t>
  </si>
  <si>
    <t xml:space="preserve">7891317001070</t>
  </si>
  <si>
    <t xml:space="preserve">ACETILCISTEINA 600 MG C/16 ENV 5G</t>
  </si>
  <si>
    <t xml:space="preserve">7891317001513</t>
  </si>
  <si>
    <t xml:space="preserve">ACICLOVIR 200MG 25CPR</t>
  </si>
  <si>
    <t xml:space="preserve">7891317001476</t>
  </si>
  <si>
    <t xml:space="preserve">ALENDRONATO SODIO 70MG C/04 CPR</t>
  </si>
  <si>
    <t xml:space="preserve">7891317445300</t>
  </si>
  <si>
    <t xml:space="preserve">ALGESTONA+ESTRADIOL C/1 AMP EUROFARMA</t>
  </si>
  <si>
    <t xml:space="preserve">CE - OL PROMOÇÃO DA SEMAN</t>
  </si>
  <si>
    <t xml:space="preserve">7891317010782</t>
  </si>
  <si>
    <t xml:space="preserve">ALPRAZOLAM (B1) 1 MG C/30 CPR</t>
  </si>
  <si>
    <t xml:space="preserve">7891317462031</t>
  </si>
  <si>
    <t xml:space="preserve">7891317010799</t>
  </si>
  <si>
    <t xml:space="preserve">ALPRAZOLAM (B1) 2 MG C/30 CPR</t>
  </si>
  <si>
    <t xml:space="preserve">7891317408060</t>
  </si>
  <si>
    <t xml:space="preserve">AMITRIPTILINA (C1) 25 MG C/20 CPR</t>
  </si>
  <si>
    <t xml:space="preserve">7891317001568</t>
  </si>
  <si>
    <t xml:space="preserve">AMOXICILINA 250 MG 150 ML</t>
  </si>
  <si>
    <t xml:space="preserve">7891317005054</t>
  </si>
  <si>
    <t xml:space="preserve">AMOXICILINA 400 MG 100 ML</t>
  </si>
  <si>
    <t xml:space="preserve">7891317001636</t>
  </si>
  <si>
    <t xml:space="preserve">AMOXICILINA 500 MG C/21 CPR</t>
  </si>
  <si>
    <t xml:space="preserve">7891317008406</t>
  </si>
  <si>
    <t xml:space="preserve">AMOXICILINA 875 MG C/14 CPR</t>
  </si>
  <si>
    <t xml:space="preserve">7891317469283</t>
  </si>
  <si>
    <t xml:space="preserve">AMOXICILINA+CLAV 400+57 MG 70 ML</t>
  </si>
  <si>
    <t xml:space="preserve">7891317422042</t>
  </si>
  <si>
    <t xml:space="preserve">AMOXICILINA+CLAV 875+125 MG C/14 CPR</t>
  </si>
  <si>
    <t xml:space="preserve">7891317461089</t>
  </si>
  <si>
    <t xml:space="preserve">AMOXICILINA+CLAV 875+125 MG C/20 CPR</t>
  </si>
  <si>
    <t xml:space="preserve">7891317444747</t>
  </si>
  <si>
    <t xml:space="preserve">ATENOLOL+CLORTALIDONA 100+25 MG C/30 CPR</t>
  </si>
  <si>
    <t xml:space="preserve">7891317451035</t>
  </si>
  <si>
    <t xml:space="preserve">ATENOLOL+CLORTALIDONA 50+12,5 MG C/30 CPR</t>
  </si>
  <si>
    <t xml:space="preserve">7891317489328</t>
  </si>
  <si>
    <t xml:space="preserve">ATORVASTATINA 10 MG C/30 CPR</t>
  </si>
  <si>
    <t xml:space="preserve">7891317489366</t>
  </si>
  <si>
    <t xml:space="preserve">ATORVASTATINA 20 MG C/30 CPR</t>
  </si>
  <si>
    <t xml:space="preserve">7891317489403</t>
  </si>
  <si>
    <t xml:space="preserve">ATORVASTATINA 40 MG C/30 CPR</t>
  </si>
  <si>
    <t xml:space="preserve">7891317421991</t>
  </si>
  <si>
    <t xml:space="preserve">AZITROMICINA 500 MG C/3 CPR</t>
  </si>
  <si>
    <t xml:space="preserve">7891317444921</t>
  </si>
  <si>
    <t xml:space="preserve">AZITROMICINA 500 MG C/5 CPR</t>
  </si>
  <si>
    <t xml:space="preserve">7891317450359</t>
  </si>
  <si>
    <t xml:space="preserve">AZITROMICINA 500 MG C/60 CPR</t>
  </si>
  <si>
    <t xml:space="preserve">7891317101961</t>
  </si>
  <si>
    <t xml:space="preserve">AZITROMICINA DI-HID SUSP 1500 MG +DIL 22 ML</t>
  </si>
  <si>
    <t xml:space="preserve">7891317102012</t>
  </si>
  <si>
    <t xml:space="preserve">AZITROMICINA DI-HID SUSP 600 MG +DIL 09ML</t>
  </si>
  <si>
    <t xml:space="preserve">7891317101985</t>
  </si>
  <si>
    <t xml:space="preserve">AZITROMICINA DI-HID SUSP 900 MG +DIL 12ML</t>
  </si>
  <si>
    <t xml:space="preserve">7891317009106</t>
  </si>
  <si>
    <t xml:space="preserve">BETA+GEN+TOL+CLIO CREME 20G</t>
  </si>
  <si>
    <t xml:space="preserve">7891317009113</t>
  </si>
  <si>
    <t xml:space="preserve">BETA+GEN+TOL+CLIO POMADA 20G</t>
  </si>
  <si>
    <t xml:space="preserve">7891317025793</t>
  </si>
  <si>
    <t xml:space="preserve">BETAMETASONA+GENTAMICINA CREME 30G</t>
  </si>
  <si>
    <t xml:space="preserve">7891317025809</t>
  </si>
  <si>
    <t xml:space="preserve">BETAMETASONA+GENTAMICINA POM 30G</t>
  </si>
  <si>
    <t xml:space="preserve">7891317016333</t>
  </si>
  <si>
    <t xml:space="preserve">BILASTINA 20 MG C/30 CPR</t>
  </si>
  <si>
    <t xml:space="preserve">7891317016326</t>
  </si>
  <si>
    <t xml:space="preserve">BILASTINA 20MG C/15 CPR</t>
  </si>
  <si>
    <t xml:space="preserve">7891317189631</t>
  </si>
  <si>
    <t xml:space="preserve">BUPROPIONA (C1) 150 MG C/30 CPR</t>
  </si>
  <si>
    <t xml:space="preserve">7891317010164</t>
  </si>
  <si>
    <t xml:space="preserve">BUPROPIONA (C1) 150 MG C/30 CPR LIB PROL</t>
  </si>
  <si>
    <t xml:space="preserve">7891317189648</t>
  </si>
  <si>
    <t xml:space="preserve">BUPROPIONA (C1) 150 MG C/60 CPR</t>
  </si>
  <si>
    <t xml:space="preserve">7891317010171</t>
  </si>
  <si>
    <t xml:space="preserve">BUPROPIONA (C1) 300 MG C/30 CPR</t>
  </si>
  <si>
    <t xml:space="preserve">7891317010195</t>
  </si>
  <si>
    <t xml:space="preserve">BUPROPIONA (C1) 300 MG C/60 CPR</t>
  </si>
  <si>
    <t xml:space="preserve">7891317005757</t>
  </si>
  <si>
    <t xml:space="preserve">CABERGOLINA 0,5MG C/2 CPS</t>
  </si>
  <si>
    <t xml:space="preserve">7891317005764</t>
  </si>
  <si>
    <t xml:space="preserve">CABERGOLINA 0,5MG C/8 CPS</t>
  </si>
  <si>
    <t xml:space="preserve">7891317013646</t>
  </si>
  <si>
    <t xml:space="preserve">CARBONATO DE LITIO (C1) 300 MG 60 CPR REV</t>
  </si>
  <si>
    <t xml:space="preserve">7891317013653</t>
  </si>
  <si>
    <t xml:space="preserve">CARBONATO DE LITIO (C1) 300 MG 90 CPR REV</t>
  </si>
  <si>
    <t xml:space="preserve">7891317005917</t>
  </si>
  <si>
    <t xml:space="preserve">CARISOPODOL+CAF+DIC SOD+PARACE C/15 CPR</t>
  </si>
  <si>
    <t xml:space="preserve">7891317005900</t>
  </si>
  <si>
    <t xml:space="preserve">CARISOPODOL+CAF+DIC SOD+PARACE C/30 CPR</t>
  </si>
  <si>
    <t xml:space="preserve">7891317001421</t>
  </si>
  <si>
    <t xml:space="preserve">CEFADROXILA 250 MG 100 ML</t>
  </si>
  <si>
    <t xml:space="preserve">7891317001438</t>
  </si>
  <si>
    <t xml:space="preserve">CEFADROXILA 500 MG C/8 CAPS</t>
  </si>
  <si>
    <t xml:space="preserve">7891317018221</t>
  </si>
  <si>
    <t xml:space="preserve">7891317007898</t>
  </si>
  <si>
    <t xml:space="preserve">CEFALEXINA 250 MG/5ML SUSP 100 ML</t>
  </si>
  <si>
    <t xml:space="preserve">7891317007836</t>
  </si>
  <si>
    <t xml:space="preserve">CEFTRIAXONA SOD 1G IM C/01 AMP</t>
  </si>
  <si>
    <t xml:space="preserve">CE - OL NCO01</t>
  </si>
  <si>
    <t xml:space="preserve">7891317007829</t>
  </si>
  <si>
    <t xml:space="preserve">CEFTRIAXONA SOD 500 MG IM C/01 AMP</t>
  </si>
  <si>
    <t xml:space="preserve">7891317002190</t>
  </si>
  <si>
    <t xml:space="preserve">CEFTRIAXONA SÓDICA 1G 5 FRASCOS AMP. + 5 AMP DILUENTE C/3,5 ML</t>
  </si>
  <si>
    <t xml:space="preserve">7891317002954</t>
  </si>
  <si>
    <t xml:space="preserve">CELECOXIBE (C1) 200 MG C/ 30 CAPS</t>
  </si>
  <si>
    <t xml:space="preserve">7891317137359</t>
  </si>
  <si>
    <t xml:space="preserve">CELECOXIBE (C1) 200 MG C/10 CAPS</t>
  </si>
  <si>
    <t xml:space="preserve">7891317002442</t>
  </si>
  <si>
    <t xml:space="preserve">CETOCONAZOL+BETAM CREME 30G</t>
  </si>
  <si>
    <t xml:space="preserve">7891317002459</t>
  </si>
  <si>
    <t xml:space="preserve">CETOCONAZOL+BETAM POM 30G</t>
  </si>
  <si>
    <t xml:space="preserve">7891317002503</t>
  </si>
  <si>
    <t xml:space="preserve">CETOCONAZOL+BETAM+NEOM CREME 30G</t>
  </si>
  <si>
    <t xml:space="preserve">7891317002497</t>
  </si>
  <si>
    <t xml:space="preserve">CETOCONAZOL+BETAM+NEOM POM 30G</t>
  </si>
  <si>
    <t xml:space="preserve">7891317001926</t>
  </si>
  <si>
    <t xml:space="preserve">CETOPROFENO 150 MG C/ 10 CPR</t>
  </si>
  <si>
    <t xml:space="preserve">7891317001483</t>
  </si>
  <si>
    <t xml:space="preserve">CETOPROFENO SOL ORAL  GTS 20 ML</t>
  </si>
  <si>
    <t xml:space="preserve">7891317446772</t>
  </si>
  <si>
    <t xml:space="preserve">CICLOBENZAPRINA 10 MG C/15 CPR</t>
  </si>
  <si>
    <t xml:space="preserve">7891317433642</t>
  </si>
  <si>
    <t xml:space="preserve">CICLOBENZAPRINA 10 MG C/30 CPR</t>
  </si>
  <si>
    <t xml:space="preserve">7891317446819</t>
  </si>
  <si>
    <t xml:space="preserve">CICLOBENZAPRINA 5 MG C/15 CPR</t>
  </si>
  <si>
    <t xml:space="preserve">7891317433673</t>
  </si>
  <si>
    <t xml:space="preserve">CICLOBENZAPRINA 5 MG C/30 CPR</t>
  </si>
  <si>
    <t xml:space="preserve">7891317435943</t>
  </si>
  <si>
    <t xml:space="preserve">CILOSTAZOL 100 MG C/30 CPR</t>
  </si>
  <si>
    <t xml:space="preserve">7891317452230</t>
  </si>
  <si>
    <t xml:space="preserve">CILOSTAZOL 100MG 60CPR</t>
  </si>
  <si>
    <t xml:space="preserve">7891317435936</t>
  </si>
  <si>
    <t xml:space="preserve">CILOSTAZOL 50 MG C/30 CPR</t>
  </si>
  <si>
    <t xml:space="preserve">7891317017002</t>
  </si>
  <si>
    <t xml:space="preserve">7891317017019</t>
  </si>
  <si>
    <t xml:space="preserve">CILOSTAZOL 50 MG C/60 CPR</t>
  </si>
  <si>
    <t xml:space="preserve">7891317025786</t>
  </si>
  <si>
    <t xml:space="preserve">CIPROFIBRATO 100 MG C/30 CPR</t>
  </si>
  <si>
    <t xml:space="preserve">7891317191733</t>
  </si>
  <si>
    <t xml:space="preserve">CIPROFLOXACINO 500 MG C/ 14 CPR</t>
  </si>
  <si>
    <t xml:space="preserve">7891317472009</t>
  </si>
  <si>
    <t xml:space="preserve">CITALOPRAM (C1) 20 MG C/30 CPR</t>
  </si>
  <si>
    <t xml:space="preserve">7891317008932</t>
  </si>
  <si>
    <t xml:space="preserve">CLONAZEPAM (B1) 2 MG C/30 CPR</t>
  </si>
  <si>
    <t xml:space="preserve">7891317496753</t>
  </si>
  <si>
    <t xml:space="preserve">CLOPIDOGREL 75 MG C/30 CPR</t>
  </si>
  <si>
    <t xml:space="preserve">7891317011260</t>
  </si>
  <si>
    <t xml:space="preserve">CLOR DE TRAZODONA (C1) 100 MG C/30 CPR</t>
  </si>
  <si>
    <t xml:space="preserve">7891317011253</t>
  </si>
  <si>
    <t xml:space="preserve">CLOR DE TRAZODONA (C1) 50 MG C/60 CPR</t>
  </si>
  <si>
    <t xml:space="preserve">7891317154721</t>
  </si>
  <si>
    <t xml:space="preserve">CLORMADINONA 2 MG + ETINILES 0,03 MG C/21 CPR</t>
  </si>
  <si>
    <t xml:space="preserve">7891317003494</t>
  </si>
  <si>
    <t xml:space="preserve">DESLORATADINA 0,5 MG C/100 ML</t>
  </si>
  <si>
    <t xml:space="preserve">7891317003487</t>
  </si>
  <si>
    <t xml:space="preserve">DESLORATADINA 0,5 MG XPE 60 ML</t>
  </si>
  <si>
    <t xml:space="preserve">7891317005269</t>
  </si>
  <si>
    <t xml:space="preserve">DESLORATADINA 5 MG C/10 CPR</t>
  </si>
  <si>
    <t xml:space="preserve">7891317005252</t>
  </si>
  <si>
    <t xml:space="preserve">DESLORATADINA 5MG C/30 CPR</t>
  </si>
  <si>
    <t xml:space="preserve">7891317180539</t>
  </si>
  <si>
    <t xml:space="preserve">DESOGESTREL 0,075 MG C/28 CPR</t>
  </si>
  <si>
    <t xml:space="preserve">7891317180553</t>
  </si>
  <si>
    <t xml:space="preserve">DESOGESTREL 0,075 MG C/84 CPR	</t>
  </si>
  <si>
    <t xml:space="preserve">7891317448936</t>
  </si>
  <si>
    <t xml:space="preserve">DESOGESTREL+ETINILESTRADIOL 150MCG+20 MCG C/21</t>
  </si>
  <si>
    <t xml:space="preserve">7891317448943</t>
  </si>
  <si>
    <t xml:space="preserve">DESOGESTREL+ETINILESTRADIOL 150MCG+30 MCG C/21</t>
  </si>
  <si>
    <t xml:space="preserve">7891317000530</t>
  </si>
  <si>
    <t xml:space="preserve">DESVENLAFAXINA (C1) SUC 100 MG C/30 CPR</t>
  </si>
  <si>
    <t xml:space="preserve">7891317007294</t>
  </si>
  <si>
    <t xml:space="preserve">DESVENLAFAXINA (C1) SUC 100 MG C/60 CPR LIB. PROL</t>
  </si>
  <si>
    <t xml:space="preserve">7891317000509</t>
  </si>
  <si>
    <t xml:space="preserve">DESVENLAFAXINA (C1) SUC 50 MG C/30 CPR</t>
  </si>
  <si>
    <t xml:space="preserve">7891317007287</t>
  </si>
  <si>
    <t xml:space="preserve">DESVENLAFAXINA (C1) SUC 50 MG C/60 CPR LIB. PROL</t>
  </si>
  <si>
    <t xml:space="preserve">7891317010744</t>
  </si>
  <si>
    <t xml:space="preserve">DEXA+CIANO 2ML + TIAM+PIRID 1ML SOL INJ</t>
  </si>
  <si>
    <t xml:space="preserve">7891317478766</t>
  </si>
  <si>
    <t xml:space="preserve">DICLORIDRATO DE BETAISTINA 16 MG C/30 CPR</t>
  </si>
  <si>
    <t xml:space="preserve">7891317478810</t>
  </si>
  <si>
    <t xml:space="preserve">DICLORIDRATO DE BETAISTINA 24 MG C/30 CPR</t>
  </si>
  <si>
    <t xml:space="preserve">7891317133689</t>
  </si>
  <si>
    <t xml:space="preserve">DICLORIDRATO DE PRAMIPEXOL 0,75MG C/30 CPR</t>
  </si>
  <si>
    <t xml:space="preserve">7891317140458</t>
  </si>
  <si>
    <t xml:space="preserve">DIENOGESTE 2 MG C/30 CPR</t>
  </si>
  <si>
    <t xml:space="preserve">7891317141974</t>
  </si>
  <si>
    <t xml:space="preserve">DIP BETAMET+ FOSF DIS DE BETAM C/06 AMP 1 ML</t>
  </si>
  <si>
    <t xml:space="preserve">7891317141967</t>
  </si>
  <si>
    <t xml:space="preserve">DIP BETAMET+ FOSF DIS DE BETAM C/1 AMP</t>
  </si>
  <si>
    <t xml:space="preserve">7891317452995</t>
  </si>
  <si>
    <t xml:space="preserve">DOMPERIDONA 10 MG C/30 CPR</t>
  </si>
  <si>
    <t xml:space="preserve">7891317453008</t>
  </si>
  <si>
    <t xml:space="preserve">DOMPERIDONA 10 MG C/60 CPR</t>
  </si>
  <si>
    <t xml:space="preserve">7891317452971</t>
  </si>
  <si>
    <t xml:space="preserve">DOMPERIDONA SUSP 100 ML</t>
  </si>
  <si>
    <t xml:space="preserve">7891317452964</t>
  </si>
  <si>
    <t xml:space="preserve">DOXAZOSINA 2 MG C/30 CPR</t>
  </si>
  <si>
    <t xml:space="preserve">7891317003050</t>
  </si>
  <si>
    <t xml:space="preserve">DOXAZOSINA 4 MG C/30 CPR</t>
  </si>
  <si>
    <t xml:space="preserve">7891317011420</t>
  </si>
  <si>
    <t xml:space="preserve">DROSPIR + ETINILEST 3,0MG + 0,02MG C/24 CPR</t>
  </si>
  <si>
    <t xml:space="preserve">7891317020415</t>
  </si>
  <si>
    <t xml:space="preserve">DROSPIR + ETINILEST SEM PARAR C/28 CPR</t>
  </si>
  <si>
    <t xml:space="preserve">7891317020422</t>
  </si>
  <si>
    <t xml:space="preserve">DROSPIR + ETINILEST SEM PARAR C/84 CPR</t>
  </si>
  <si>
    <t xml:space="preserve">7891317021955</t>
  </si>
  <si>
    <t xml:space="preserve">DROSPIRENONA+ETINIL 3+0,02 MG C/24 CPR</t>
  </si>
  <si>
    <t xml:space="preserve">7891317021962</t>
  </si>
  <si>
    <t xml:space="preserve">DROSPIRENONA+ETINIL 3+0,02 MG C/72 CPR</t>
  </si>
  <si>
    <t xml:space="preserve">7891317021948</t>
  </si>
  <si>
    <t xml:space="preserve">DROSPIRENONA+ETINIL 3+0,03 MG C/21 CPR</t>
  </si>
  <si>
    <t xml:space="preserve">7891317021931</t>
  </si>
  <si>
    <t xml:space="preserve">DROSPIRENONA+ETINIL 3+0,03 MG C/63 CPR</t>
  </si>
  <si>
    <t xml:space="preserve">7891317010157</t>
  </si>
  <si>
    <t xml:space="preserve">7891317011338</t>
  </si>
  <si>
    <t xml:space="preserve">DULOXETINA (C1) 30MG C/ 30 CAPS</t>
  </si>
  <si>
    <t xml:space="preserve">7891317487386</t>
  </si>
  <si>
    <t xml:space="preserve">DULOXETINA (C1) 60 MG C/ 30 CPR</t>
  </si>
  <si>
    <t xml:space="preserve">7891317496388</t>
  </si>
  <si>
    <t xml:space="preserve">ENANT NORET+ ESTRADIOL INJ C/1 AMP</t>
  </si>
  <si>
    <t xml:space="preserve">7891317016920</t>
  </si>
  <si>
    <t xml:space="preserve">ENANT NORETISTERONA + ESTRADIOL 5MG/ML C/1 AMP</t>
  </si>
  <si>
    <t xml:space="preserve">7891317191740</t>
  </si>
  <si>
    <t xml:space="preserve">ESCITALOPRAM (C1) 20 MG/ML C/15 ML</t>
  </si>
  <si>
    <t xml:space="preserve">7891317004286</t>
  </si>
  <si>
    <t xml:space="preserve">ESCITALOPRAM OXAL 15 MG (C1) C/30 CPR</t>
  </si>
  <si>
    <t xml:space="preserve">7891317431358</t>
  </si>
  <si>
    <t xml:space="preserve">ESPIRONOLACTONA  25 MG C/30 CPR</t>
  </si>
  <si>
    <t xml:space="preserve">7891317431334</t>
  </si>
  <si>
    <t xml:space="preserve">ESPIRONOLACTONA  50 MG C/30 CPR</t>
  </si>
  <si>
    <t xml:space="preserve">7891317488833</t>
  </si>
  <si>
    <t xml:space="preserve">FENTICONAZOL CREME 40G C/7 APLIC</t>
  </si>
  <si>
    <t xml:space="preserve">7891317009434</t>
  </si>
  <si>
    <t xml:space="preserve">FEXOFENADINA 120 MG C/10 CPR</t>
  </si>
  <si>
    <t xml:space="preserve">7891317009441</t>
  </si>
  <si>
    <t xml:space="preserve">FEXOFENADINA 180 MG C/10 CPR</t>
  </si>
  <si>
    <t xml:space="preserve">7891317002572</t>
  </si>
  <si>
    <t xml:space="preserve">FINASTERIDA 5 MG C/30 CPR</t>
  </si>
  <si>
    <t xml:space="preserve">7891317160920</t>
  </si>
  <si>
    <t xml:space="preserve">FLUOXETINA (C1) 20 MG C/28 CAPS</t>
  </si>
  <si>
    <t xml:space="preserve">7891317022570</t>
  </si>
  <si>
    <t xml:space="preserve">FLUOXETINA (C1) 20 MG C/60 CAPS</t>
  </si>
  <si>
    <t xml:space="preserve">7891317000066</t>
  </si>
  <si>
    <t xml:space="preserve">GLIMEPIRIDA 2 MG C/30 CPR</t>
  </si>
  <si>
    <t xml:space="preserve">7891317421823</t>
  </si>
  <si>
    <t xml:space="preserve">GLIMEPIRIDA 4 MG C/30 CPR</t>
  </si>
  <si>
    <t xml:space="preserve">7891317010034</t>
  </si>
  <si>
    <t xml:space="preserve">HIDROXICLOROQUINA 400MG C/30 CRP</t>
  </si>
  <si>
    <t xml:space="preserve">7891317001872</t>
  </si>
  <si>
    <t xml:space="preserve">HIDROXIZINA 2MG/ML SOL ORAL 120ML</t>
  </si>
  <si>
    <t xml:space="preserve">7891317013547</t>
  </si>
  <si>
    <t xml:space="preserve">7891317007607</t>
  </si>
  <si>
    <t xml:space="preserve">IBANDRONATO DE SODIO 150 MG C/1 CPR</t>
  </si>
  <si>
    <t xml:space="preserve">7891317127404</t>
  </si>
  <si>
    <t xml:space="preserve">INDAPAMIDA 1,5 MG  C/30 CPR</t>
  </si>
  <si>
    <t xml:space="preserve">7891317127428</t>
  </si>
  <si>
    <t xml:space="preserve">INDAPAMIDA 1,5 MG  C/60 CPR</t>
  </si>
  <si>
    <t xml:space="preserve">7891317488352</t>
  </si>
  <si>
    <t xml:space="preserve">IRBESARTANA + HIDRO 150MG+12,5MG C/30 CPR</t>
  </si>
  <si>
    <t xml:space="preserve">7891317488390</t>
  </si>
  <si>
    <t xml:space="preserve">IRBESARTANA + HIDRO 300MG+12,5MG C/30 CPR</t>
  </si>
  <si>
    <t xml:space="preserve">7891317018542</t>
  </si>
  <si>
    <t xml:space="preserve">ISOTRETINOINA (C2) 20MG 30 CAP GEL MOLE</t>
  </si>
  <si>
    <t xml:space="preserve">7891317193164</t>
  </si>
  <si>
    <t xml:space="preserve">ITRACONAZOL 100 MG C/15 CAPS</t>
  </si>
  <si>
    <t xml:space="preserve">7891317191757</t>
  </si>
  <si>
    <t xml:space="preserve">ITRACONAZOL 100 MG C/4 CAPS</t>
  </si>
  <si>
    <t xml:space="preserve">7891317473709</t>
  </si>
  <si>
    <t xml:space="preserve">LAMOTRIGINA (C1) 100 MG C/30 CPR</t>
  </si>
  <si>
    <t xml:space="preserve">7891317473648</t>
  </si>
  <si>
    <t xml:space="preserve">LAMOTRIGINA (C1) 25 MG C/30 CPR</t>
  </si>
  <si>
    <t xml:space="preserve">7891317473679</t>
  </si>
  <si>
    <t xml:space="preserve">LAMOTRIGINA (C1) 50 MG C/30 CPR</t>
  </si>
  <si>
    <t xml:space="preserve">7891317029272</t>
  </si>
  <si>
    <t xml:space="preserve">LEVETIRACETAM (C1)  250 MG C/30 CPR</t>
  </si>
  <si>
    <t xml:space="preserve">7891317002596</t>
  </si>
  <si>
    <t xml:space="preserve">LEVETIRACETAM (C1) 250MG C/30 CPR</t>
  </si>
  <si>
    <t xml:space="preserve">7891317457266</t>
  </si>
  <si>
    <t xml:space="preserve">LEVOCETIRIZINA 5 MG C/10 CPR</t>
  </si>
  <si>
    <t xml:space="preserve">7891317414221</t>
  </si>
  <si>
    <t xml:space="preserve">LEVOFLOXACINO 500 MG C/10 CPR</t>
  </si>
  <si>
    <t xml:space="preserve">7891317414139</t>
  </si>
  <si>
    <t xml:space="preserve">LEVOFLOXACINO 500 MG C/7 CPR</t>
  </si>
  <si>
    <t xml:space="preserve">7891317003630</t>
  </si>
  <si>
    <t xml:space="preserve">LEVOFLOXACINO 750 MG C/ 5 CPR</t>
  </si>
  <si>
    <t xml:space="preserve">7891317003647</t>
  </si>
  <si>
    <t xml:space="preserve">LEVOFLOXACINO 750 MG C/ 7 CPR</t>
  </si>
  <si>
    <t xml:space="preserve">7891317427542</t>
  </si>
  <si>
    <t xml:space="preserve">LOSARTANA 50 MG C/30 CPR</t>
  </si>
  <si>
    <t xml:space="preserve">7891317445294</t>
  </si>
  <si>
    <t xml:space="preserve">LOSARTANA+HCTZ 100+25 MG C/30 CPR</t>
  </si>
  <si>
    <t xml:space="preserve">7891317445287</t>
  </si>
  <si>
    <t xml:space="preserve">LOSARTANA+HCTZ 50+12,5 MG C/30 CPR</t>
  </si>
  <si>
    <t xml:space="preserve">7891317421854</t>
  </si>
  <si>
    <t xml:space="preserve">MELOXICAM 15 MG C/10 CPR</t>
  </si>
  <si>
    <t xml:space="preserve">7891317424565</t>
  </si>
  <si>
    <t xml:space="preserve">MELOXICAM 15 MG C/5 AMP</t>
  </si>
  <si>
    <t xml:space="preserve">7891317421861</t>
  </si>
  <si>
    <t xml:space="preserve">MELOXICAM 7,5 MG C/10 CPR</t>
  </si>
  <si>
    <t xml:space="preserve">7891317472122</t>
  </si>
  <si>
    <t xml:space="preserve">MEMANTINA (C1) 10 MG C/30 CPR</t>
  </si>
  <si>
    <t xml:space="preserve">7891317472139</t>
  </si>
  <si>
    <t xml:space="preserve">MEMANTINA (C1) 10MG C/60 CPR</t>
  </si>
  <si>
    <t xml:space="preserve">7891317010263</t>
  </si>
  <si>
    <t xml:space="preserve">METILFENIDATO 10MG C/30 CPR (A3)</t>
  </si>
  <si>
    <t xml:space="preserve">7891317010270</t>
  </si>
  <si>
    <t xml:space="preserve">METILFENIDATO 10MG C/60 CPR (A3)</t>
  </si>
  <si>
    <t xml:space="preserve">7891317010362</t>
  </si>
  <si>
    <t xml:space="preserve">MOMETASONA 0,5MG/G SPRAY NASAL C/17,5 ML 120 AC</t>
  </si>
  <si>
    <t xml:space="preserve">7891317010355</t>
  </si>
  <si>
    <t xml:space="preserve">MOMETASONA 0,5MG/G SPRAY NASAL C/9 ML 60 ACIONAMENTOS</t>
  </si>
  <si>
    <t xml:space="preserve">7891317140854</t>
  </si>
  <si>
    <t xml:space="preserve">MONTELUCASTE 10 MG 30 CPR REV</t>
  </si>
  <si>
    <t xml:space="preserve">7891317016395</t>
  </si>
  <si>
    <t xml:space="preserve">MONTELUCASTE 10MG C/60 COMP MAST</t>
  </si>
  <si>
    <t xml:space="preserve">7891317016371</t>
  </si>
  <si>
    <t xml:space="preserve">MONTELUCASTE 4MG C/60 COMP MAST</t>
  </si>
  <si>
    <t xml:space="preserve">7891317016388</t>
  </si>
  <si>
    <t xml:space="preserve">MONTELUCASTE 5MG C/60 COMP MAST</t>
  </si>
  <si>
    <t xml:space="preserve">7891317477301</t>
  </si>
  <si>
    <t xml:space="preserve">MONTELUCASTE DE SODIO 4 MG C/30 CPR</t>
  </si>
  <si>
    <t xml:space="preserve">7891317154332</t>
  </si>
  <si>
    <t xml:space="preserve">MONTELUCASTE DE SODIO 4MG GRAN C/30 ENV</t>
  </si>
  <si>
    <t xml:space="preserve">7891317477271</t>
  </si>
  <si>
    <t xml:space="preserve">MONTELUCASTE DE SODIO 5 MG C/30 CPR</t>
  </si>
  <si>
    <t xml:space="preserve">7891317124472</t>
  </si>
  <si>
    <t xml:space="preserve">MOXIFLOXACINO 400 MG C/5 CPR</t>
  </si>
  <si>
    <t xml:space="preserve">7891317124489</t>
  </si>
  <si>
    <t xml:space="preserve">MOXIFLOXACINO 400 MG C/7 CPR</t>
  </si>
  <si>
    <t xml:space="preserve">7891317422028</t>
  </si>
  <si>
    <t xml:space="preserve">NIMESULIDA 100 MG C/12 CPR</t>
  </si>
  <si>
    <t xml:space="preserve">7891317172664</t>
  </si>
  <si>
    <t xml:space="preserve">NITAZOXANIDA 20 MG C/ 100 ML</t>
  </si>
  <si>
    <t xml:space="preserve">7891317172657</t>
  </si>
  <si>
    <t xml:space="preserve">NITAZOXANIDA 20 MG C/ 45 ML</t>
  </si>
  <si>
    <t xml:space="preserve">7891317430146</t>
  </si>
  <si>
    <t xml:space="preserve">NORTRIPTILINA (C1) 25 MG C/30 CAPS</t>
  </si>
  <si>
    <t xml:space="preserve">7891317484408</t>
  </si>
  <si>
    <t xml:space="preserve">OLANZAPINA (C1) 10 MG C/30 CPR</t>
  </si>
  <si>
    <t xml:space="preserve">7891317484262</t>
  </si>
  <si>
    <t xml:space="preserve">OLANZAPINA (C1) 2,5 MG C/30 CPR</t>
  </si>
  <si>
    <t xml:space="preserve">7891317484330</t>
  </si>
  <si>
    <t xml:space="preserve">OLANZAPINA (C1) 5 MG C/30 CPR</t>
  </si>
  <si>
    <t xml:space="preserve">7891317123956</t>
  </si>
  <si>
    <t xml:space="preserve">OLMESAR+MEDOXO+HIDRO 20/12,5 MG C/30 CPR</t>
  </si>
  <si>
    <t xml:space="preserve">7891317123994</t>
  </si>
  <si>
    <t xml:space="preserve">OLMESAR+MEDOXO+HIDRO 40/12,5 MG C/30 CPR</t>
  </si>
  <si>
    <t xml:space="preserve">7891317124038</t>
  </si>
  <si>
    <t xml:space="preserve">OLMESAR+MEDOXO+HIDRO 40/25 MG C/30 CPR</t>
  </si>
  <si>
    <t xml:space="preserve">7891317121198</t>
  </si>
  <si>
    <t xml:space="preserve">OLMESARTANA MEDOXOMILA 20MG C/30 CPR</t>
  </si>
  <si>
    <t xml:space="preserve">7891317121235</t>
  </si>
  <si>
    <t xml:space="preserve">OLMESARTANA MEDOXOMILA 40MG C/30 CPR</t>
  </si>
  <si>
    <t xml:space="preserve">7891317476465</t>
  </si>
  <si>
    <t xml:space="preserve">OXALATO DE ESCITALOPRAM (C1) 10MG C/30 CPR</t>
  </si>
  <si>
    <t xml:space="preserve">7891317476526</t>
  </si>
  <si>
    <t xml:space="preserve">OXALATO DE ESCITALOPRAM (C1)20 MG C/30 CPR</t>
  </si>
  <si>
    <t xml:space="preserve">7891317025830</t>
  </si>
  <si>
    <t xml:space="preserve">PANTOPRAZOL 20MG C/28 CPR REV</t>
  </si>
  <si>
    <t xml:space="preserve">7891317017422</t>
  </si>
  <si>
    <t xml:space="preserve">PANTOPRAZOL 40MG 28CPR</t>
  </si>
  <si>
    <t xml:space="preserve">7891317000110</t>
  </si>
  <si>
    <t xml:space="preserve">PARACETAMOL+COD (A2) 500+30 MG C/12 CPR</t>
  </si>
  <si>
    <t xml:space="preserve">7891317000127</t>
  </si>
  <si>
    <t xml:space="preserve">PARACETAMOL+COD (C1) 500+30 MG C/24 CPR</t>
  </si>
  <si>
    <t xml:space="preserve">7891317192822</t>
  </si>
  <si>
    <t xml:space="preserve">PARACETAMOL+COD (C1) 500+30 MG C/36 CPR</t>
  </si>
  <si>
    <t xml:space="preserve">7891317420338</t>
  </si>
  <si>
    <t xml:space="preserve">PAROXETINA 20 MG (C1) C/30 CPR</t>
  </si>
  <si>
    <t xml:space="preserve">7891317140779</t>
  </si>
  <si>
    <t xml:space="preserve">PITAVASTATINA CALCICA 2MG C/30 COMP REV</t>
  </si>
  <si>
    <t xml:space="preserve">7891317133634</t>
  </si>
  <si>
    <t xml:space="preserve">PRAMIPEXOL (C1) 0,375 MG C/30 CPR</t>
  </si>
  <si>
    <t xml:space="preserve">7891317133733</t>
  </si>
  <si>
    <t xml:space="preserve">PRAMIPEXOL (C1) 1,50 MG C/30 CPR</t>
  </si>
  <si>
    <t xml:space="preserve">7891317004347</t>
  </si>
  <si>
    <t xml:space="preserve">PREDNISOLONA 11 MG/ML GOTAS 20ML SAB CEREJA</t>
  </si>
  <si>
    <t xml:space="preserve">7891317004323</t>
  </si>
  <si>
    <t xml:space="preserve">PREDNISOLONA 20 MG C/10 CPR</t>
  </si>
  <si>
    <t xml:space="preserve">7891317004361</t>
  </si>
  <si>
    <t xml:space="preserve">PREDNISOLONA 3MG/ML C/120 ML SAB CEREJA</t>
  </si>
  <si>
    <t xml:space="preserve">7891317004354</t>
  </si>
  <si>
    <t xml:space="preserve">PREDNISOLONA 3MG/ML C/60 ML SAB CEREJA</t>
  </si>
  <si>
    <t xml:space="preserve">CE - EURO 6%</t>
  </si>
  <si>
    <t xml:space="preserve">7891317004330</t>
  </si>
  <si>
    <t xml:space="preserve">PREDNISOLONA 40 MG C/7 CPR</t>
  </si>
  <si>
    <t xml:space="preserve">7891317004316</t>
  </si>
  <si>
    <t xml:space="preserve">PREDNISOLONA 5 MG C/20 CPR</t>
  </si>
  <si>
    <t xml:space="preserve">7891317004293</t>
  </si>
  <si>
    <t xml:space="preserve">PREDNISOLONA 5MG C/10 CPR</t>
  </si>
  <si>
    <t xml:space="preserve">7891317139469</t>
  </si>
  <si>
    <t xml:space="preserve">PREGABALINA (C1) 150 MG C/30 CAPS</t>
  </si>
  <si>
    <t xml:space="preserve">7891317139384</t>
  </si>
  <si>
    <t xml:space="preserve">PREGABALINA (C1) 75 MG C/30 CAPS</t>
  </si>
  <si>
    <t xml:space="preserve">7891317490003</t>
  </si>
  <si>
    <t xml:space="preserve">PROMESTRIENO 30G C/20 APLIC</t>
  </si>
  <si>
    <t xml:space="preserve">7891317143046</t>
  </si>
  <si>
    <t xml:space="preserve">PROPAFENONA 300 MG C/30 CPR</t>
  </si>
  <si>
    <t xml:space="preserve">7891317143053</t>
  </si>
  <si>
    <t xml:space="preserve">PROPAFENONA 300 MG C/60 CPR</t>
  </si>
  <si>
    <t xml:space="preserve">7891317191788</t>
  </si>
  <si>
    <t xml:space="preserve">QUETIAPINA (C1) 100 MG C/30 CPR</t>
  </si>
  <si>
    <t xml:space="preserve">7891317191795</t>
  </si>
  <si>
    <t xml:space="preserve">QUETIAPINA (C1) 200 MG C/30 CPR</t>
  </si>
  <si>
    <t xml:space="preserve">7891317191771</t>
  </si>
  <si>
    <t xml:space="preserve">QUETIAPINA (C1) 25 MG C/30 CPR</t>
  </si>
  <si>
    <t xml:space="preserve">7891317134303</t>
  </si>
  <si>
    <t xml:space="preserve">QUETIAPINA (C1) 50 MG C/30 CPR</t>
  </si>
  <si>
    <t xml:space="preserve">7891317002022</t>
  </si>
  <si>
    <t xml:space="preserve">RISEDRONATO SODICO 150MG 1CPR REV</t>
  </si>
  <si>
    <t xml:space="preserve">7891317448653</t>
  </si>
  <si>
    <t xml:space="preserve">RISPERIDONA (C1) 1 MG C/30 CPR</t>
  </si>
  <si>
    <t xml:space="preserve">7891317448677</t>
  </si>
  <si>
    <t xml:space="preserve">RISPERIDONA (C1) 2 MG C/30 CPR</t>
  </si>
  <si>
    <t xml:space="preserve">7891317446659</t>
  </si>
  <si>
    <t xml:space="preserve">RISPERIDONA (C1) 3 MG C/30 CPR</t>
  </si>
  <si>
    <t xml:space="preserve">7891317017651</t>
  </si>
  <si>
    <t xml:space="preserve">RIVAROXABANA 10 MG 30 CPR</t>
  </si>
  <si>
    <t xml:space="preserve">7891317017668</t>
  </si>
  <si>
    <t xml:space="preserve">RIVAROXABANA 15 MG 30 CPR</t>
  </si>
  <si>
    <t xml:space="preserve">7891317017675</t>
  </si>
  <si>
    <t xml:space="preserve">RIVAROXABANA 20 MG 30 CPR</t>
  </si>
  <si>
    <t xml:space="preserve">7891317155131</t>
  </si>
  <si>
    <t xml:space="preserve">ROSUVASTATINA CAL 10 MG C/30 CPR</t>
  </si>
  <si>
    <t xml:space="preserve">7891317155216</t>
  </si>
  <si>
    <t xml:space="preserve">ROSUVASTATINA CAL 20 MG C/30 CPR</t>
  </si>
  <si>
    <t xml:space="preserve">7891317155056</t>
  </si>
  <si>
    <t xml:space="preserve">ROSUVASTATINA CAL 5 MG C/30 CPR</t>
  </si>
  <si>
    <t xml:space="preserve">7891317446963</t>
  </si>
  <si>
    <t xml:space="preserve">SERTRALINA (C1) 100 MG C/30 CPR</t>
  </si>
  <si>
    <t xml:space="preserve">7891317456559</t>
  </si>
  <si>
    <t xml:space="preserve">SERTRALINA (C1) 25 MG C/30 CPR</t>
  </si>
  <si>
    <t xml:space="preserve">7891317446031</t>
  </si>
  <si>
    <t xml:space="preserve">SERTRALINA (C1) 50 MG C/30 CPR</t>
  </si>
  <si>
    <t xml:space="preserve">7891317481629</t>
  </si>
  <si>
    <t xml:space="preserve">SIBUTRAMINA (B2) 15 MG C/30 CAPS</t>
  </si>
  <si>
    <t xml:space="preserve">7891317025854</t>
  </si>
  <si>
    <t xml:space="preserve">SIBUTRAMINA (B2) 15 MG C/60 CAPS</t>
  </si>
  <si>
    <t xml:space="preserve">7891317481636</t>
  </si>
  <si>
    <t xml:space="preserve">SIBUTRAMINA 10 MG C/30 CAPS (B2)</t>
  </si>
  <si>
    <t xml:space="preserve">7891317477592</t>
  </si>
  <si>
    <t xml:space="preserve">SILDENAFILA 50 MG C/4 CPR</t>
  </si>
  <si>
    <t xml:space="preserve">7891317127800</t>
  </si>
  <si>
    <t xml:space="preserve">TADALAFILA 20 MG C/4 CPR</t>
  </si>
  <si>
    <t xml:space="preserve">7891317127725</t>
  </si>
  <si>
    <t xml:space="preserve">TADALAFILA 5 MG C/30 CPR</t>
  </si>
  <si>
    <t xml:space="preserve">7891317025601</t>
  </si>
  <si>
    <t xml:space="preserve">TANSULOSINA 0,4 MG C/30 CPR</t>
  </si>
  <si>
    <t xml:space="preserve">7898146826768</t>
  </si>
  <si>
    <t xml:space="preserve">7891317001414</t>
  </si>
  <si>
    <t xml:space="preserve">TESTOSTERONA 250MG/ML INJ AMP 4ML (C5)</t>
  </si>
  <si>
    <t xml:space="preserve">7891317009168</t>
  </si>
  <si>
    <t xml:space="preserve">TINIDAZOL+MICONAZOL CR VAG 40G C/7 APLIC</t>
  </si>
  <si>
    <t xml:space="preserve">7891317434342</t>
  </si>
  <si>
    <t xml:space="preserve">TOPIRAMATO (C1) 100 MG C/60 CPR</t>
  </si>
  <si>
    <t xml:space="preserve">7891317434328</t>
  </si>
  <si>
    <t xml:space="preserve">TOPIRAMATO (C1) 25 MG C/60 CPR</t>
  </si>
  <si>
    <t xml:space="preserve">7891317434335</t>
  </si>
  <si>
    <t xml:space="preserve">TOPIRAMATO (C1) 50 MG C/60 CPR</t>
  </si>
  <si>
    <t xml:space="preserve">7891317009083</t>
  </si>
  <si>
    <t xml:space="preserve">TRAMADOL (A2) 50MG C/ 10 CAPS</t>
  </si>
  <si>
    <t xml:space="preserve">7891317009052</t>
  </si>
  <si>
    <t xml:space="preserve">TRAMADOL (C1) 100MG/ML C/ 10 ML</t>
  </si>
  <si>
    <t xml:space="preserve">7891317454371</t>
  </si>
  <si>
    <t xml:space="preserve">TRIANC+NEOM+GRAM+NIST CRM 30G</t>
  </si>
  <si>
    <t xml:space="preserve">7891317465643</t>
  </si>
  <si>
    <t xml:space="preserve">TRIANCINOLONA ORABASE POM 10G</t>
  </si>
  <si>
    <t xml:space="preserve">7891317009915</t>
  </si>
  <si>
    <t xml:space="preserve">TRIMEBUTINA 200 MG C/30 CAPS</t>
  </si>
  <si>
    <t xml:space="preserve">7891317009922</t>
  </si>
  <si>
    <t xml:space="preserve">TRIMEBUTINA 200MG C/60 CAPS MOLE</t>
  </si>
  <si>
    <t xml:space="preserve">7891317028237</t>
  </si>
  <si>
    <t xml:space="preserve">TROMETAMOL CETOROLACO 10MG C/10 CPR SUBL</t>
  </si>
  <si>
    <t xml:space="preserve">7891317028244</t>
  </si>
  <si>
    <t xml:space="preserve">TROMETAMOL CETOROLACO 10MG C/20 CPR SUBL</t>
  </si>
  <si>
    <t xml:space="preserve">7891317017033</t>
  </si>
  <si>
    <t xml:space="preserve">VALSARTANA 160 MG C/30 CPR</t>
  </si>
  <si>
    <t xml:space="preserve">7891317017040</t>
  </si>
  <si>
    <t xml:space="preserve">VALSARTANA 320 MG C/30 CPR</t>
  </si>
  <si>
    <t xml:space="preserve">7891317017026</t>
  </si>
  <si>
    <t xml:space="preserve">VALSARTANA 80 MG C/30 CPR</t>
  </si>
  <si>
    <t xml:space="preserve">7891317463076</t>
  </si>
  <si>
    <t xml:space="preserve">VENLAFAXINA (C1) 150 MG C/30 CAPS</t>
  </si>
  <si>
    <t xml:space="preserve">7891317464523</t>
  </si>
  <si>
    <t xml:space="preserve">VENLAFAXINA (C1) 37,5 MG C/30 CAPS</t>
  </si>
  <si>
    <t xml:space="preserve">7891317430368</t>
  </si>
  <si>
    <t xml:space="preserve">VENLAFAXINA (C1) 75 MG C/30 CAPS</t>
  </si>
  <si>
    <t xml:space="preserve">7891317018849</t>
  </si>
  <si>
    <t xml:space="preserve">ZOLPIDEM (C1) 10 MG C/30 CPR</t>
  </si>
  <si>
    <t xml:space="preserve">7891317004606</t>
  </si>
  <si>
    <t xml:space="preserve">ZOLPIDEM (C1) 5 MG C/30 CPR SUBL</t>
  </si>
  <si>
    <t xml:space="preserve">Auxilixar</t>
  </si>
  <si>
    <t xml:space="preserve">CE – 0000</t>
  </si>
  <si>
    <t xml:space="preserve">DEZEMBRO</t>
  </si>
  <si>
    <t xml:space="preserve">P COMPRA</t>
  </si>
  <si>
    <t xml:space="preserve">P FABRICA</t>
  </si>
  <si>
    <t xml:space="preserve">P ULT COMPRA</t>
  </si>
  <si>
    <t xml:space="preserve">PR ULT  ENT</t>
  </si>
  <si>
    <t xml:space="preserve">QTD COMPRA</t>
  </si>
  <si>
    <t xml:space="preserve">QTD_BON</t>
  </si>
  <si>
    <t xml:space="preserve">QTD_ENTR</t>
  </si>
  <si>
    <t xml:space="preserve">P COMPRA X TOTAL</t>
  </si>
  <si>
    <t xml:space="preserve">Qtd_Saída</t>
  </si>
  <si>
    <t xml:space="preserve">QtdxCusto</t>
  </si>
  <si>
    <t xml:space="preserve">Vlr_Saída</t>
  </si>
  <si>
    <t xml:space="preserve">DESOGESTREL 0,075 MG C/84 CPR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</si>
</sst>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$R$-416]\ #,##0.00;[RED]\-[$R$-416]\ #,##0.00"/>
    <numFmt numFmtId="167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8.08"/>
    <col collapsed="false" customWidth="true" hidden="false" outlineLevel="0" max="2" min="2" style="0" width="9.52"/>
    <col collapsed="false" customWidth="true" hidden="false" outlineLevel="0" max="3" min="3" style="0" width="13.93"/>
    <col collapsed="false" customWidth="true" hidden="false" outlineLevel="0" max="4" min="4" style="0" width="10.73"/>
    <col collapsed="false" customWidth="true" hidden="false" outlineLevel="0" max="9" min="6" style="0" width="8.5"/>
    <col collapsed="false" customWidth="true" hidden="false" outlineLevel="0" max="11" min="11" style="0" width="5.11"/>
    <col collapsed="false" customWidth="true" hidden="false" outlineLevel="0" max="12" min="12" style="0" width="5.54"/>
    <col collapsed="false" customWidth="true" hidden="false" outlineLevel="0" max="13" min="13" style="0" width="20.7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0" t="s">
        <v>0</v>
      </c>
      <c r="G1" s="0" t="s">
        <v>1</v>
      </c>
      <c r="H1" s="0" t="s">
        <v>2</v>
      </c>
      <c r="I1" s="0" t="s">
        <v>4</v>
      </c>
      <c r="M1" s="1"/>
    </row>
    <row r="2" customFormat="false" ht="13.8" hidden="false" customHeight="false" outlineLevel="0" collapsed="false">
      <c r="A2" s="0" t="n">
        <v>26</v>
      </c>
      <c r="B2" s="0" t="n">
        <v>161.05</v>
      </c>
      <c r="C2" s="0" t="n">
        <v>44.604</v>
      </c>
      <c r="D2" s="0" t="n">
        <v>100</v>
      </c>
      <c r="F2" s="0" t="n">
        <v>26</v>
      </c>
      <c r="G2" s="0" t="n">
        <v>161.05</v>
      </c>
      <c r="H2" s="0" t="n">
        <v>44.604</v>
      </c>
      <c r="I2" s="0" t="n">
        <v>200</v>
      </c>
      <c r="K2" s="0" t="n">
        <v>26</v>
      </c>
      <c r="L2" s="0" t="n">
        <v>47.1</v>
      </c>
      <c r="M2" s="1" t="s">
        <v>5</v>
      </c>
    </row>
    <row r="3" customFormat="false" ht="13.8" hidden="false" customHeight="false" outlineLevel="0" collapsed="false">
      <c r="A3" s="0" t="n">
        <v>27</v>
      </c>
      <c r="B3" s="0" t="n">
        <v>206.46</v>
      </c>
      <c r="C3" s="0" t="n">
        <v>31.844367</v>
      </c>
      <c r="D3" s="0" t="n">
        <v>2027</v>
      </c>
      <c r="F3" s="0" t="n">
        <v>27</v>
      </c>
      <c r="G3" s="0" t="n">
        <v>206.46</v>
      </c>
      <c r="H3" s="0" t="n">
        <v>31.844367</v>
      </c>
      <c r="I3" s="0" t="n">
        <v>0</v>
      </c>
      <c r="K3" s="0" t="n">
        <v>27</v>
      </c>
      <c r="L3" s="0" t="n">
        <v>51.3</v>
      </c>
      <c r="M3" s="1" t="s">
        <v>6</v>
      </c>
    </row>
    <row r="4" customFormat="false" ht="13.8" hidden="false" customHeight="false" outlineLevel="0" collapsed="false">
      <c r="A4" s="0" t="n">
        <v>35</v>
      </c>
      <c r="B4" s="0" t="n">
        <v>58.76</v>
      </c>
      <c r="C4" s="0" t="n">
        <v>19.634583</v>
      </c>
      <c r="D4" s="0" t="n">
        <v>120</v>
      </c>
      <c r="F4" s="0" t="n">
        <v>35</v>
      </c>
      <c r="G4" s="0" t="n">
        <v>58.76</v>
      </c>
      <c r="H4" s="0" t="n">
        <v>19.634583</v>
      </c>
      <c r="I4" s="0" t="n">
        <v>60</v>
      </c>
      <c r="K4" s="0" t="n">
        <v>35</v>
      </c>
      <c r="L4" s="0" t="n">
        <v>19.63</v>
      </c>
      <c r="M4" s="1" t="s">
        <v>7</v>
      </c>
    </row>
    <row r="5" customFormat="false" ht="13.8" hidden="false" customHeight="false" outlineLevel="0" collapsed="false">
      <c r="A5" s="0" t="n">
        <v>36</v>
      </c>
      <c r="B5" s="0" t="n">
        <v>49.57</v>
      </c>
      <c r="C5" s="0" t="n">
        <v>2.753725</v>
      </c>
      <c r="D5" s="0" t="n">
        <v>0</v>
      </c>
      <c r="F5" s="0" t="n">
        <v>36</v>
      </c>
      <c r="G5" s="0" t="n">
        <v>49.57</v>
      </c>
      <c r="H5" s="0" t="n">
        <v>2.753725</v>
      </c>
      <c r="I5" s="0" t="n">
        <v>0</v>
      </c>
      <c r="K5" s="0" t="n">
        <v>38</v>
      </c>
      <c r="L5" s="0" t="n">
        <v>10.96</v>
      </c>
      <c r="M5" s="1" t="s">
        <v>8</v>
      </c>
    </row>
    <row r="6" customFormat="false" ht="13.8" hidden="false" customHeight="false" outlineLevel="0" collapsed="false">
      <c r="A6" s="0" t="n">
        <v>38</v>
      </c>
      <c r="B6" s="0" t="n">
        <v>29.16</v>
      </c>
      <c r="C6" s="0" t="n">
        <v>6.088125</v>
      </c>
      <c r="D6" s="0" t="n">
        <v>240</v>
      </c>
      <c r="F6" s="0" t="n">
        <v>38</v>
      </c>
      <c r="G6" s="0" t="n">
        <v>29.16</v>
      </c>
      <c r="H6" s="0" t="n">
        <v>6.088125</v>
      </c>
      <c r="I6" s="0" t="n">
        <v>240</v>
      </c>
      <c r="K6" s="0" t="n">
        <v>39</v>
      </c>
      <c r="L6" s="0" t="n">
        <v>12.78</v>
      </c>
      <c r="M6" s="1" t="s">
        <v>9</v>
      </c>
    </row>
    <row r="7" customFormat="false" ht="13.8" hidden="false" customHeight="false" outlineLevel="0" collapsed="false">
      <c r="A7" s="0" t="n">
        <v>39</v>
      </c>
      <c r="B7" s="0" t="n">
        <v>78.18</v>
      </c>
      <c r="C7" s="0" t="n">
        <v>12.777</v>
      </c>
      <c r="D7" s="0" t="n">
        <v>200</v>
      </c>
      <c r="F7" s="0" t="n">
        <v>39</v>
      </c>
      <c r="G7" s="0" t="n">
        <v>78.18</v>
      </c>
      <c r="H7" s="0" t="n">
        <v>12.777</v>
      </c>
      <c r="I7" s="0" t="n">
        <v>0</v>
      </c>
      <c r="K7" s="0" t="n">
        <v>42</v>
      </c>
      <c r="L7" s="0" t="n">
        <v>17.68</v>
      </c>
      <c r="M7" s="1" t="s">
        <v>10</v>
      </c>
    </row>
    <row r="8" customFormat="false" ht="13.8" hidden="false" customHeight="false" outlineLevel="0" collapsed="false">
      <c r="A8" s="0" t="n">
        <v>42</v>
      </c>
      <c r="B8" s="0" t="n">
        <v>85.63</v>
      </c>
      <c r="C8" s="0" t="n">
        <v>13.2527</v>
      </c>
      <c r="D8" s="0" t="n">
        <v>100</v>
      </c>
      <c r="F8" s="0" t="n">
        <v>42</v>
      </c>
      <c r="G8" s="0" t="n">
        <v>85.63</v>
      </c>
      <c r="H8" s="0" t="n">
        <v>13.2527</v>
      </c>
      <c r="I8" s="0" t="n">
        <v>880</v>
      </c>
      <c r="K8" s="0" t="n">
        <v>43</v>
      </c>
      <c r="L8" s="0" t="n">
        <v>200.55</v>
      </c>
      <c r="M8" s="1" t="s">
        <v>6</v>
      </c>
    </row>
    <row r="9" customFormat="false" ht="13.8" hidden="false" customHeight="false" outlineLevel="0" collapsed="false">
      <c r="A9" s="0" t="n">
        <v>43</v>
      </c>
      <c r="B9" s="0" t="n">
        <v>388.56</v>
      </c>
      <c r="C9" s="0" t="n">
        <v>200.5462</v>
      </c>
      <c r="D9" s="0" t="n">
        <v>150</v>
      </c>
      <c r="F9" s="0" t="n">
        <v>43</v>
      </c>
      <c r="G9" s="0" t="n">
        <v>388.56</v>
      </c>
      <c r="H9" s="0" t="n">
        <v>200.5462</v>
      </c>
      <c r="I9" s="0" t="n">
        <v>0</v>
      </c>
      <c r="K9" s="0" t="n">
        <v>44</v>
      </c>
      <c r="L9" s="0" t="n">
        <v>6.78</v>
      </c>
      <c r="M9" s="1" t="s">
        <v>11</v>
      </c>
    </row>
    <row r="10" customFormat="false" ht="13.8" hidden="false" customHeight="false" outlineLevel="0" collapsed="false">
      <c r="A10" s="0" t="n">
        <v>44</v>
      </c>
      <c r="B10" s="0" t="n">
        <v>59.65</v>
      </c>
      <c r="C10" s="0" t="n">
        <v>10.2224</v>
      </c>
      <c r="D10" s="0" t="n">
        <v>300</v>
      </c>
      <c r="F10" s="0" t="n">
        <v>44</v>
      </c>
      <c r="G10" s="0" t="n">
        <v>59.65</v>
      </c>
      <c r="H10" s="0" t="n">
        <v>10.2224</v>
      </c>
      <c r="I10" s="0" t="n">
        <v>100</v>
      </c>
      <c r="K10" s="0" t="n">
        <v>47</v>
      </c>
      <c r="L10" s="0" t="n">
        <v>41.3</v>
      </c>
      <c r="M10" s="1" t="s">
        <v>9</v>
      </c>
    </row>
    <row r="11" customFormat="false" ht="13.8" hidden="false" customHeight="false" outlineLevel="0" collapsed="false">
      <c r="A11" s="0" t="n">
        <v>45</v>
      </c>
      <c r="B11" s="0" t="n">
        <v>50.83</v>
      </c>
      <c r="C11" s="0" t="n">
        <v>15.94272</v>
      </c>
      <c r="D11" s="0" t="n">
        <v>0</v>
      </c>
      <c r="F11" s="0" t="n">
        <v>45</v>
      </c>
      <c r="G11" s="0" t="n">
        <v>50.83</v>
      </c>
      <c r="H11" s="0" t="n">
        <v>15.94272</v>
      </c>
      <c r="I11" s="0" t="n">
        <v>0</v>
      </c>
      <c r="K11" s="0" t="n">
        <v>129</v>
      </c>
      <c r="L11" s="0" t="n">
        <v>13.97</v>
      </c>
      <c r="M11" s="1" t="s">
        <v>7</v>
      </c>
    </row>
    <row r="12" customFormat="false" ht="13.8" hidden="false" customHeight="false" outlineLevel="0" collapsed="false">
      <c r="A12" s="0" t="n">
        <v>47</v>
      </c>
      <c r="B12" s="0" t="n">
        <v>150.05</v>
      </c>
      <c r="C12" s="0" t="n">
        <v>41.303063</v>
      </c>
      <c r="D12" s="0" t="n">
        <v>320</v>
      </c>
      <c r="F12" s="0" t="n">
        <v>47</v>
      </c>
      <c r="G12" s="0" t="n">
        <v>150.05</v>
      </c>
      <c r="H12" s="0" t="n">
        <v>41.303063</v>
      </c>
      <c r="I12" s="0" t="n">
        <v>0</v>
      </c>
      <c r="K12" s="0" t="n">
        <v>255</v>
      </c>
      <c r="L12" s="0" t="n">
        <v>20.2</v>
      </c>
      <c r="M12" s="1" t="s">
        <v>12</v>
      </c>
    </row>
    <row r="13" customFormat="false" ht="13.8" hidden="false" customHeight="false" outlineLevel="0" collapsed="false">
      <c r="A13" s="0" t="n">
        <v>129</v>
      </c>
      <c r="B13" s="0" t="n">
        <v>116.04</v>
      </c>
      <c r="C13" s="0" t="n">
        <v>13.974428</v>
      </c>
      <c r="D13" s="0" t="n">
        <v>490</v>
      </c>
      <c r="F13" s="0" t="n">
        <v>129</v>
      </c>
      <c r="G13" s="0" t="n">
        <v>116.04</v>
      </c>
      <c r="H13" s="0" t="n">
        <v>13.974428</v>
      </c>
      <c r="I13" s="0" t="n">
        <v>980</v>
      </c>
      <c r="K13" s="0" t="n">
        <v>257</v>
      </c>
      <c r="L13" s="0" t="n">
        <v>65.73</v>
      </c>
      <c r="M13" s="1" t="s">
        <v>13</v>
      </c>
    </row>
    <row r="14" customFormat="false" ht="13.8" hidden="false" customHeight="false" outlineLevel="0" collapsed="false">
      <c r="A14" s="0" t="n">
        <v>255</v>
      </c>
      <c r="B14" s="0" t="n">
        <v>69.06</v>
      </c>
      <c r="C14" s="0" t="n">
        <v>11.8818</v>
      </c>
      <c r="D14" s="0" t="n">
        <v>250</v>
      </c>
      <c r="F14" s="0" t="n">
        <v>255</v>
      </c>
      <c r="G14" s="0" t="n">
        <v>69.06</v>
      </c>
      <c r="H14" s="0" t="n">
        <v>11.8818</v>
      </c>
      <c r="I14" s="0" t="n">
        <v>400</v>
      </c>
      <c r="K14" s="0" t="n">
        <v>457</v>
      </c>
      <c r="L14" s="0" t="n">
        <v>9.71</v>
      </c>
      <c r="M14" s="1" t="s">
        <v>12</v>
      </c>
    </row>
    <row r="15" customFormat="false" ht="13.8" hidden="false" customHeight="false" outlineLevel="0" collapsed="false">
      <c r="A15" s="0" t="n">
        <v>257</v>
      </c>
      <c r="B15" s="0" t="n">
        <v>238.78</v>
      </c>
      <c r="C15" s="0" t="n">
        <v>58.350906</v>
      </c>
      <c r="D15" s="0" t="n">
        <v>0</v>
      </c>
      <c r="F15" s="0" t="n">
        <v>257</v>
      </c>
      <c r="G15" s="0" t="n">
        <v>238.78</v>
      </c>
      <c r="H15" s="0" t="n">
        <v>58.350906</v>
      </c>
      <c r="I15" s="0" t="n">
        <v>50</v>
      </c>
      <c r="K15" s="0" t="n">
        <v>458</v>
      </c>
      <c r="L15" s="0" t="n">
        <v>4.31</v>
      </c>
      <c r="M15" s="1" t="s">
        <v>12</v>
      </c>
    </row>
    <row r="16" customFormat="false" ht="13.8" hidden="false" customHeight="false" outlineLevel="0" collapsed="false">
      <c r="A16" s="0" t="n">
        <v>457</v>
      </c>
      <c r="B16" s="0" t="n">
        <v>31.36</v>
      </c>
      <c r="C16" s="0" t="n">
        <v>7.824202</v>
      </c>
      <c r="D16" s="0" t="n">
        <v>2190</v>
      </c>
      <c r="F16" s="0" t="n">
        <v>457</v>
      </c>
      <c r="G16" s="0" t="n">
        <v>31.36</v>
      </c>
      <c r="H16" s="0" t="n">
        <v>7.824202</v>
      </c>
      <c r="I16" s="0" t="n">
        <v>3740</v>
      </c>
      <c r="K16" s="0" t="n">
        <v>459</v>
      </c>
      <c r="L16" s="0" t="n">
        <v>3.83</v>
      </c>
      <c r="M16" s="1" t="s">
        <v>13</v>
      </c>
    </row>
    <row r="17" customFormat="false" ht="13.8" hidden="false" customHeight="false" outlineLevel="0" collapsed="false">
      <c r="A17" s="0" t="n">
        <v>458</v>
      </c>
      <c r="B17" s="0" t="n">
        <v>16.16</v>
      </c>
      <c r="C17" s="0" t="n">
        <v>4.3103666</v>
      </c>
      <c r="D17" s="0" t="n">
        <v>1800</v>
      </c>
      <c r="F17" s="0" t="n">
        <v>458</v>
      </c>
      <c r="G17" s="0" t="n">
        <v>16.16</v>
      </c>
      <c r="H17" s="0" t="n">
        <v>4.3103666</v>
      </c>
      <c r="I17" s="0" t="n">
        <v>4770</v>
      </c>
      <c r="K17" s="0" t="n">
        <v>460</v>
      </c>
      <c r="L17" s="0" t="n">
        <v>2.07</v>
      </c>
      <c r="M17" s="1" t="s">
        <v>7</v>
      </c>
    </row>
    <row r="18" customFormat="false" ht="13.8" hidden="false" customHeight="false" outlineLevel="0" collapsed="false">
      <c r="A18" s="0" t="n">
        <v>459</v>
      </c>
      <c r="B18" s="0" t="n">
        <v>12.06</v>
      </c>
      <c r="C18" s="0" t="n">
        <v>3.40266667</v>
      </c>
      <c r="D18" s="0" t="n">
        <v>670</v>
      </c>
      <c r="F18" s="0" t="n">
        <v>459</v>
      </c>
      <c r="G18" s="0" t="n">
        <v>12.06</v>
      </c>
      <c r="H18" s="0" t="n">
        <v>3.40266667</v>
      </c>
      <c r="I18" s="0" t="n">
        <v>500</v>
      </c>
      <c r="K18" s="0" t="n">
        <v>687</v>
      </c>
      <c r="L18" s="0" t="n">
        <v>4.3</v>
      </c>
      <c r="M18" s="1" t="s">
        <v>12</v>
      </c>
    </row>
    <row r="19" customFormat="false" ht="13.8" hidden="false" customHeight="false" outlineLevel="0" collapsed="false">
      <c r="A19" s="0" t="n">
        <v>460</v>
      </c>
      <c r="B19" s="0" t="n">
        <v>6.16</v>
      </c>
      <c r="C19" s="0" t="n">
        <v>1.60539936</v>
      </c>
      <c r="D19" s="0" t="n">
        <v>1000</v>
      </c>
      <c r="F19" s="0" t="n">
        <v>460</v>
      </c>
      <c r="G19" s="0" t="n">
        <v>6.16</v>
      </c>
      <c r="H19" s="0" t="n">
        <v>1.60539936</v>
      </c>
      <c r="I19" s="0" t="n">
        <v>2400</v>
      </c>
      <c r="K19" s="0" t="n">
        <v>691</v>
      </c>
      <c r="L19" s="0" t="n">
        <v>10.77</v>
      </c>
      <c r="M19" s="1" t="s">
        <v>12</v>
      </c>
    </row>
    <row r="20" customFormat="false" ht="13.8" hidden="false" customHeight="false" outlineLevel="0" collapsed="false">
      <c r="A20" s="0" t="n">
        <v>687</v>
      </c>
      <c r="B20" s="0" t="n">
        <v>26.28</v>
      </c>
      <c r="C20" s="0" t="n">
        <v>4.06746</v>
      </c>
      <c r="D20" s="0" t="n">
        <v>500</v>
      </c>
      <c r="F20" s="0" t="n">
        <v>687</v>
      </c>
      <c r="G20" s="0" t="n">
        <v>26.28</v>
      </c>
      <c r="H20" s="0" t="n">
        <v>4.06746</v>
      </c>
      <c r="I20" s="0" t="n">
        <v>14600</v>
      </c>
      <c r="K20" s="0" t="n">
        <v>873</v>
      </c>
      <c r="L20" s="0" t="n">
        <v>31.15</v>
      </c>
      <c r="M20" s="1" t="s">
        <v>14</v>
      </c>
    </row>
    <row r="21" customFormat="false" ht="13.8" hidden="false" customHeight="false" outlineLevel="0" collapsed="false">
      <c r="A21" s="0" t="n">
        <v>691</v>
      </c>
      <c r="B21" s="0" t="n">
        <v>65.88</v>
      </c>
      <c r="C21" s="0" t="n">
        <v>10.7320524</v>
      </c>
      <c r="D21" s="0" t="n">
        <v>560</v>
      </c>
      <c r="F21" s="0" t="n">
        <v>691</v>
      </c>
      <c r="G21" s="0" t="n">
        <v>65.88</v>
      </c>
      <c r="H21" s="0" t="n">
        <v>10.7320524</v>
      </c>
      <c r="I21" s="0" t="n">
        <v>2660</v>
      </c>
      <c r="K21" s="0" t="n">
        <v>1044</v>
      </c>
      <c r="L21" s="0" t="n">
        <v>4.76</v>
      </c>
      <c r="M21" s="1" t="s">
        <v>12</v>
      </c>
    </row>
    <row r="22" customFormat="false" ht="13.8" hidden="false" customHeight="false" outlineLevel="0" collapsed="false">
      <c r="A22" s="0" t="n">
        <v>873</v>
      </c>
      <c r="B22" s="0" t="n">
        <v>79.03</v>
      </c>
      <c r="C22" s="0" t="n">
        <v>31.14866667</v>
      </c>
      <c r="D22" s="0" t="n">
        <v>360</v>
      </c>
      <c r="F22" s="0" t="n">
        <v>873</v>
      </c>
      <c r="G22" s="0" t="n">
        <v>79.03</v>
      </c>
      <c r="H22" s="0" t="n">
        <v>31.14866667</v>
      </c>
      <c r="I22" s="0" t="n">
        <v>0</v>
      </c>
      <c r="K22" s="0" t="n">
        <v>1045</v>
      </c>
      <c r="L22" s="0" t="n">
        <v>6.26</v>
      </c>
      <c r="M22" s="1" t="s">
        <v>12</v>
      </c>
    </row>
    <row r="23" customFormat="false" ht="13.8" hidden="false" customHeight="false" outlineLevel="0" collapsed="false">
      <c r="A23" s="0" t="n">
        <v>1040</v>
      </c>
      <c r="B23" s="0" t="n">
        <v>29.06</v>
      </c>
      <c r="C23" s="0" t="n">
        <v>5.46875</v>
      </c>
      <c r="D23" s="0" t="n">
        <v>0</v>
      </c>
      <c r="F23" s="0" t="n">
        <v>1040</v>
      </c>
      <c r="G23" s="0" t="n">
        <v>29.06</v>
      </c>
      <c r="H23" s="0" t="n">
        <v>5.46875</v>
      </c>
      <c r="I23" s="0" t="n">
        <v>0</v>
      </c>
      <c r="K23" s="0" t="n">
        <v>1046</v>
      </c>
      <c r="L23" s="0" t="n">
        <v>5.17</v>
      </c>
      <c r="M23" s="1" t="s">
        <v>12</v>
      </c>
    </row>
    <row r="24" customFormat="false" ht="13.8" hidden="false" customHeight="false" outlineLevel="0" collapsed="false">
      <c r="A24" s="0" t="n">
        <v>1041</v>
      </c>
      <c r="B24" s="0" t="n">
        <v>32.82</v>
      </c>
      <c r="C24" s="0" t="n">
        <v>6.17633333</v>
      </c>
      <c r="D24" s="0" t="n">
        <v>0</v>
      </c>
      <c r="F24" s="0" t="n">
        <v>1041</v>
      </c>
      <c r="G24" s="0" t="n">
        <v>32.82</v>
      </c>
      <c r="H24" s="0" t="n">
        <v>6.17633333</v>
      </c>
      <c r="I24" s="0" t="n">
        <v>0</v>
      </c>
      <c r="K24" s="0" t="n">
        <v>1047</v>
      </c>
      <c r="L24" s="0" t="n">
        <v>6.49</v>
      </c>
      <c r="M24" s="1" t="s">
        <v>12</v>
      </c>
    </row>
    <row r="25" customFormat="false" ht="13.8" hidden="false" customHeight="false" outlineLevel="0" collapsed="false">
      <c r="A25" s="0" t="n">
        <v>1042</v>
      </c>
      <c r="B25" s="0" t="n">
        <v>35.52</v>
      </c>
      <c r="C25" s="0" t="n">
        <v>5.188125</v>
      </c>
      <c r="D25" s="0" t="n">
        <v>0</v>
      </c>
      <c r="F25" s="0" t="n">
        <v>1042</v>
      </c>
      <c r="G25" s="0" t="n">
        <v>35.52</v>
      </c>
      <c r="H25" s="0" t="n">
        <v>5.188125</v>
      </c>
      <c r="I25" s="0" t="n">
        <v>0</v>
      </c>
      <c r="K25" s="0" t="n">
        <v>1049</v>
      </c>
      <c r="L25" s="0" t="n">
        <v>6.98</v>
      </c>
      <c r="M25" s="1" t="s">
        <v>15</v>
      </c>
    </row>
    <row r="26" customFormat="false" ht="13.8" hidden="false" customHeight="false" outlineLevel="0" collapsed="false">
      <c r="A26" s="0" t="n">
        <v>1043</v>
      </c>
      <c r="B26" s="0" t="n">
        <v>31.64</v>
      </c>
      <c r="C26" s="0" t="n">
        <v>4.687125</v>
      </c>
      <c r="D26" s="0" t="n">
        <v>0</v>
      </c>
      <c r="F26" s="0" t="n">
        <v>1043</v>
      </c>
      <c r="G26" s="0" t="n">
        <v>31.64</v>
      </c>
      <c r="H26" s="0" t="n">
        <v>4.687125</v>
      </c>
      <c r="I26" s="0" t="n">
        <v>0</v>
      </c>
      <c r="K26" s="0" t="n">
        <v>1050</v>
      </c>
      <c r="L26" s="0" t="n">
        <v>8.29</v>
      </c>
      <c r="M26" s="1" t="s">
        <v>9</v>
      </c>
    </row>
    <row r="27" customFormat="false" ht="13.8" hidden="false" customHeight="false" outlineLevel="0" collapsed="false">
      <c r="A27" s="0" t="n">
        <v>1044</v>
      </c>
      <c r="B27" s="0" t="n">
        <v>21.38</v>
      </c>
      <c r="C27" s="0" t="n">
        <v>4.39725</v>
      </c>
      <c r="D27" s="0" t="n">
        <v>320</v>
      </c>
      <c r="F27" s="0" t="n">
        <v>1044</v>
      </c>
      <c r="G27" s="0" t="n">
        <v>21.38</v>
      </c>
      <c r="H27" s="0" t="n">
        <v>4.39725</v>
      </c>
      <c r="I27" s="0" t="n">
        <v>1040</v>
      </c>
      <c r="K27" s="0" t="n">
        <v>1052</v>
      </c>
      <c r="L27" s="0" t="n">
        <v>12.59</v>
      </c>
      <c r="M27" s="1" t="s">
        <v>9</v>
      </c>
    </row>
    <row r="28" customFormat="false" ht="13.8" hidden="false" customHeight="false" outlineLevel="0" collapsed="false">
      <c r="A28" s="0" t="n">
        <v>1045</v>
      </c>
      <c r="B28" s="0" t="n">
        <v>20.89</v>
      </c>
      <c r="C28" s="0" t="n">
        <v>5.9311875</v>
      </c>
      <c r="D28" s="0" t="n">
        <v>320</v>
      </c>
      <c r="F28" s="0" t="n">
        <v>1045</v>
      </c>
      <c r="G28" s="0" t="n">
        <v>20.89</v>
      </c>
      <c r="H28" s="0" t="n">
        <v>5.9311875</v>
      </c>
      <c r="I28" s="0" t="n">
        <v>800</v>
      </c>
      <c r="K28" s="0" t="n">
        <v>1056</v>
      </c>
      <c r="L28" s="0" t="n">
        <v>8.17</v>
      </c>
      <c r="M28" s="1" t="s">
        <v>9</v>
      </c>
    </row>
    <row r="29" customFormat="false" ht="13.8" hidden="false" customHeight="false" outlineLevel="0" collapsed="false">
      <c r="A29" s="0" t="n">
        <v>1046</v>
      </c>
      <c r="B29" s="0" t="n">
        <v>23.2</v>
      </c>
      <c r="C29" s="0" t="n">
        <v>4.3295625</v>
      </c>
      <c r="D29" s="0" t="n">
        <v>480</v>
      </c>
      <c r="F29" s="0" t="n">
        <v>1046</v>
      </c>
      <c r="G29" s="0" t="n">
        <v>23.2</v>
      </c>
      <c r="H29" s="0" t="n">
        <v>4.3295625</v>
      </c>
      <c r="I29" s="0" t="n">
        <v>1360</v>
      </c>
      <c r="K29" s="0" t="n">
        <v>1057</v>
      </c>
      <c r="L29" s="0" t="n">
        <v>10.02</v>
      </c>
      <c r="M29" s="1" t="s">
        <v>16</v>
      </c>
    </row>
    <row r="30" customFormat="false" ht="13.8" hidden="false" customHeight="false" outlineLevel="0" collapsed="false">
      <c r="A30" s="0" t="n">
        <v>1047</v>
      </c>
      <c r="B30" s="0" t="n">
        <v>21.65</v>
      </c>
      <c r="C30" s="0" t="n">
        <v>6.1471875</v>
      </c>
      <c r="D30" s="0" t="n">
        <v>320</v>
      </c>
      <c r="F30" s="0" t="n">
        <v>1047</v>
      </c>
      <c r="G30" s="0" t="n">
        <v>21.65</v>
      </c>
      <c r="H30" s="0" t="n">
        <v>6.1471875</v>
      </c>
      <c r="I30" s="0" t="n">
        <v>880</v>
      </c>
      <c r="K30" s="0" t="n">
        <v>1063</v>
      </c>
      <c r="L30" s="0" t="n">
        <v>9.86</v>
      </c>
      <c r="M30" s="1" t="s">
        <v>17</v>
      </c>
    </row>
    <row r="31" customFormat="false" ht="13.8" hidden="false" customHeight="false" outlineLevel="0" collapsed="false">
      <c r="A31" s="0" t="n">
        <v>1048</v>
      </c>
      <c r="B31" s="0" t="n">
        <v>12.05</v>
      </c>
      <c r="C31" s="0" t="n">
        <v>2.129</v>
      </c>
      <c r="D31" s="0" t="n">
        <v>0</v>
      </c>
      <c r="F31" s="0" t="n">
        <v>1048</v>
      </c>
      <c r="G31" s="0" t="n">
        <v>12.05</v>
      </c>
      <c r="H31" s="0" t="n">
        <v>2.129</v>
      </c>
      <c r="I31" s="0" t="n">
        <v>0</v>
      </c>
      <c r="K31" s="0" t="n">
        <v>1064</v>
      </c>
      <c r="L31" s="0" t="n">
        <v>32.82</v>
      </c>
      <c r="M31" s="1" t="s">
        <v>18</v>
      </c>
    </row>
    <row r="32" customFormat="false" ht="13.8" hidden="false" customHeight="false" outlineLevel="0" collapsed="false">
      <c r="A32" s="0" t="n">
        <v>1049</v>
      </c>
      <c r="B32" s="0" t="n">
        <v>21.36</v>
      </c>
      <c r="C32" s="0" t="n">
        <v>6.98235833</v>
      </c>
      <c r="D32" s="0" t="n">
        <v>7071</v>
      </c>
      <c r="F32" s="0" t="n">
        <v>1049</v>
      </c>
      <c r="G32" s="0" t="n">
        <v>21.36</v>
      </c>
      <c r="H32" s="0" t="n">
        <v>6.98235833</v>
      </c>
      <c r="I32" s="0" t="n">
        <v>0</v>
      </c>
      <c r="K32" s="0" t="n">
        <v>1066</v>
      </c>
      <c r="L32" s="0" t="n">
        <v>17.31</v>
      </c>
      <c r="M32" s="1" t="s">
        <v>19</v>
      </c>
    </row>
    <row r="33" customFormat="false" ht="13.8" hidden="false" customHeight="false" outlineLevel="0" collapsed="false">
      <c r="A33" s="0" t="n">
        <v>1050</v>
      </c>
      <c r="B33" s="0" t="n">
        <v>30.11</v>
      </c>
      <c r="C33" s="0" t="n">
        <v>8.2894</v>
      </c>
      <c r="D33" s="0" t="n">
        <v>8000</v>
      </c>
      <c r="F33" s="0" t="n">
        <v>1050</v>
      </c>
      <c r="G33" s="0" t="n">
        <v>30.11</v>
      </c>
      <c r="H33" s="0" t="n">
        <v>8.2894</v>
      </c>
      <c r="I33" s="0" t="n">
        <v>0</v>
      </c>
      <c r="K33" s="0" t="n">
        <v>1067</v>
      </c>
      <c r="L33" s="0" t="n">
        <v>6.1</v>
      </c>
      <c r="M33" s="1" t="s">
        <v>9</v>
      </c>
    </row>
    <row r="34" customFormat="false" ht="13.8" hidden="false" customHeight="false" outlineLevel="0" collapsed="false">
      <c r="A34" s="0" t="n">
        <v>1051</v>
      </c>
      <c r="B34" s="0" t="n">
        <v>14.75</v>
      </c>
      <c r="C34" s="0" t="n">
        <v>3.11107143</v>
      </c>
      <c r="D34" s="0" t="n">
        <v>0</v>
      </c>
      <c r="F34" s="0" t="n">
        <v>1051</v>
      </c>
      <c r="G34" s="0" t="n">
        <v>14.75</v>
      </c>
      <c r="H34" s="0" t="n">
        <v>3.11107143</v>
      </c>
      <c r="I34" s="0" t="n">
        <v>0</v>
      </c>
      <c r="K34" s="0" t="n">
        <v>1068</v>
      </c>
      <c r="L34" s="0" t="n">
        <v>6.25</v>
      </c>
      <c r="M34" s="1" t="s">
        <v>20</v>
      </c>
    </row>
    <row r="35" customFormat="false" ht="13.8" hidden="false" customHeight="false" outlineLevel="0" collapsed="false">
      <c r="A35" s="0" t="n">
        <v>1052</v>
      </c>
      <c r="B35" s="0" t="n">
        <v>29.26</v>
      </c>
      <c r="C35" s="0" t="n">
        <v>12.586264</v>
      </c>
      <c r="D35" s="0" t="n">
        <v>3240</v>
      </c>
      <c r="F35" s="0" t="n">
        <v>1052</v>
      </c>
      <c r="G35" s="0" t="n">
        <v>29.26</v>
      </c>
      <c r="H35" s="0" t="n">
        <v>12.586264</v>
      </c>
      <c r="I35" s="0" t="n">
        <v>0</v>
      </c>
      <c r="K35" s="0" t="n">
        <v>1097</v>
      </c>
      <c r="L35" s="0" t="n">
        <v>12.52</v>
      </c>
      <c r="M35" s="1" t="s">
        <v>9</v>
      </c>
    </row>
    <row r="36" customFormat="false" ht="13.8" hidden="false" customHeight="false" outlineLevel="0" collapsed="false">
      <c r="A36" s="0" t="n">
        <v>1053</v>
      </c>
      <c r="B36" s="0" t="n">
        <v>35.91</v>
      </c>
      <c r="C36" s="0" t="n">
        <v>13.25047619</v>
      </c>
      <c r="D36" s="0" t="n">
        <v>0</v>
      </c>
      <c r="F36" s="0" t="n">
        <v>1053</v>
      </c>
      <c r="G36" s="0" t="n">
        <v>35.91</v>
      </c>
      <c r="H36" s="0" t="n">
        <v>13.25047619</v>
      </c>
      <c r="I36" s="0" t="n">
        <v>0</v>
      </c>
      <c r="K36" s="0" t="n">
        <v>1419</v>
      </c>
      <c r="L36" s="0" t="n">
        <v>8.18</v>
      </c>
      <c r="M36" s="1" t="s">
        <v>7</v>
      </c>
    </row>
    <row r="37" customFormat="false" ht="13.8" hidden="false" customHeight="false" outlineLevel="0" collapsed="false">
      <c r="A37" s="0" t="n">
        <v>1054</v>
      </c>
      <c r="B37" s="0" t="n">
        <v>37.38</v>
      </c>
      <c r="C37" s="0" t="n">
        <v>9.36104167</v>
      </c>
      <c r="D37" s="0" t="n">
        <v>0</v>
      </c>
      <c r="F37" s="0" t="n">
        <v>1054</v>
      </c>
      <c r="G37" s="0" t="n">
        <v>37.38</v>
      </c>
      <c r="H37" s="0" t="n">
        <v>9.36104167</v>
      </c>
      <c r="I37" s="0" t="n">
        <v>0</v>
      </c>
      <c r="K37" s="0" t="n">
        <v>1420</v>
      </c>
      <c r="L37" s="0" t="n">
        <v>13.95</v>
      </c>
      <c r="M37" s="1" t="s">
        <v>17</v>
      </c>
    </row>
    <row r="38" customFormat="false" ht="13.8" hidden="false" customHeight="false" outlineLevel="0" collapsed="false">
      <c r="A38" s="0" t="n">
        <v>1055</v>
      </c>
      <c r="B38" s="0" t="n">
        <v>11.75</v>
      </c>
      <c r="C38" s="0" t="n">
        <v>3.7271</v>
      </c>
      <c r="D38" s="0" t="n">
        <v>0</v>
      </c>
      <c r="F38" s="0" t="n">
        <v>1055</v>
      </c>
      <c r="G38" s="0" t="n">
        <v>11.75</v>
      </c>
      <c r="H38" s="0" t="n">
        <v>3.7271</v>
      </c>
      <c r="I38" s="0" t="n">
        <v>0</v>
      </c>
      <c r="K38" s="0" t="n">
        <v>1490</v>
      </c>
      <c r="L38" s="0" t="n">
        <v>8.05</v>
      </c>
      <c r="M38" s="1" t="s">
        <v>21</v>
      </c>
    </row>
    <row r="39" customFormat="false" ht="13.8" hidden="false" customHeight="false" outlineLevel="0" collapsed="false">
      <c r="A39" s="0" t="n">
        <v>1056</v>
      </c>
      <c r="B39" s="0" t="n">
        <v>24.35</v>
      </c>
      <c r="C39" s="0" t="n">
        <v>8.17018786</v>
      </c>
      <c r="D39" s="0" t="n">
        <v>87600</v>
      </c>
      <c r="F39" s="0" t="n">
        <v>1056</v>
      </c>
      <c r="G39" s="0" t="n">
        <v>24.35</v>
      </c>
      <c r="H39" s="0" t="n">
        <v>8.17018786</v>
      </c>
      <c r="I39" s="0" t="n">
        <v>0</v>
      </c>
      <c r="K39" s="0" t="n">
        <v>1491</v>
      </c>
      <c r="L39" s="0" t="n">
        <v>20.16</v>
      </c>
      <c r="M39" s="1" t="s">
        <v>22</v>
      </c>
    </row>
    <row r="40" customFormat="false" ht="13.8" hidden="false" customHeight="false" outlineLevel="0" collapsed="false">
      <c r="A40" s="0" t="n">
        <v>1057</v>
      </c>
      <c r="B40" s="0" t="n">
        <v>55.41</v>
      </c>
      <c r="C40" s="0" t="n">
        <v>10.015267</v>
      </c>
      <c r="D40" s="0" t="n">
        <v>504</v>
      </c>
      <c r="F40" s="0" t="n">
        <v>1057</v>
      </c>
      <c r="G40" s="0" t="n">
        <v>55.41</v>
      </c>
      <c r="H40" s="0" t="n">
        <v>10.015267</v>
      </c>
      <c r="I40" s="0" t="n">
        <v>0</v>
      </c>
      <c r="K40" s="0" t="n">
        <v>1574</v>
      </c>
      <c r="L40" s="0" t="n">
        <v>9.78</v>
      </c>
      <c r="M40" s="1" t="s">
        <v>9</v>
      </c>
    </row>
    <row r="41" customFormat="false" ht="13.8" hidden="false" customHeight="false" outlineLevel="0" collapsed="false">
      <c r="A41" s="0" t="n">
        <v>1060</v>
      </c>
      <c r="B41" s="0" t="n">
        <v>25.67</v>
      </c>
      <c r="C41" s="0" t="n">
        <v>7.07037679</v>
      </c>
      <c r="D41" s="0" t="n">
        <v>0</v>
      </c>
      <c r="F41" s="0" t="n">
        <v>1060</v>
      </c>
      <c r="G41" s="0" t="n">
        <v>25.67</v>
      </c>
      <c r="H41" s="0" t="n">
        <v>7.07037679</v>
      </c>
      <c r="I41" s="0" t="n">
        <v>0</v>
      </c>
      <c r="K41" s="0" t="n">
        <v>1575</v>
      </c>
      <c r="L41" s="0" t="n">
        <v>11.5</v>
      </c>
      <c r="M41" s="1" t="s">
        <v>9</v>
      </c>
    </row>
    <row r="42" customFormat="false" ht="13.8" hidden="false" customHeight="false" outlineLevel="0" collapsed="false">
      <c r="A42" s="0" t="n">
        <v>1061</v>
      </c>
      <c r="B42" s="0" t="n">
        <v>10.56</v>
      </c>
      <c r="C42" s="0" t="n">
        <v>5.3204</v>
      </c>
      <c r="D42" s="0" t="n">
        <v>0</v>
      </c>
      <c r="F42" s="0" t="n">
        <v>1061</v>
      </c>
      <c r="G42" s="0" t="n">
        <v>10.56</v>
      </c>
      <c r="H42" s="0" t="n">
        <v>5.3204</v>
      </c>
      <c r="I42" s="0" t="n">
        <v>0</v>
      </c>
      <c r="K42" s="0" t="n">
        <v>1938</v>
      </c>
      <c r="L42" s="0" t="n">
        <v>9.1</v>
      </c>
      <c r="M42" s="1" t="s">
        <v>12</v>
      </c>
    </row>
    <row r="43" customFormat="false" ht="13.8" hidden="false" customHeight="false" outlineLevel="0" collapsed="false">
      <c r="A43" s="0" t="n">
        <v>1063</v>
      </c>
      <c r="B43" s="0" t="n">
        <v>45.83</v>
      </c>
      <c r="C43" s="0" t="n">
        <v>6.7015142</v>
      </c>
      <c r="D43" s="0" t="n">
        <v>1253</v>
      </c>
      <c r="F43" s="0" t="n">
        <v>1063</v>
      </c>
      <c r="G43" s="0" t="n">
        <v>45.83</v>
      </c>
      <c r="H43" s="0" t="n">
        <v>6.7015142</v>
      </c>
      <c r="I43" s="0" t="n">
        <v>3080</v>
      </c>
      <c r="K43" s="0" t="n">
        <v>1946</v>
      </c>
      <c r="L43" s="0" t="n">
        <v>13.52</v>
      </c>
      <c r="M43" s="1" t="s">
        <v>9</v>
      </c>
    </row>
    <row r="44" customFormat="false" ht="13.8" hidden="false" customHeight="false" outlineLevel="0" collapsed="false">
      <c r="A44" s="0" t="n">
        <v>1064</v>
      </c>
      <c r="B44" s="0" t="n">
        <v>61.54</v>
      </c>
      <c r="C44" s="0" t="n">
        <v>10.0249375</v>
      </c>
      <c r="D44" s="0" t="n">
        <v>0</v>
      </c>
      <c r="F44" s="0" t="n">
        <v>1064</v>
      </c>
      <c r="G44" s="0" t="n">
        <v>61.54</v>
      </c>
      <c r="H44" s="0" t="n">
        <v>10.0249375</v>
      </c>
      <c r="I44" s="0" t="n">
        <v>704</v>
      </c>
      <c r="K44" s="0" t="n">
        <v>1947</v>
      </c>
      <c r="L44" s="0" t="n">
        <v>5.94</v>
      </c>
      <c r="M44" s="1" t="s">
        <v>9</v>
      </c>
    </row>
    <row r="45" customFormat="false" ht="13.8" hidden="false" customHeight="false" outlineLevel="0" collapsed="false">
      <c r="A45" s="0" t="n">
        <v>1065</v>
      </c>
      <c r="B45" s="0" t="n">
        <v>15.54</v>
      </c>
      <c r="C45" s="0" t="n">
        <v>3.8899</v>
      </c>
      <c r="D45" s="0" t="n">
        <v>0</v>
      </c>
      <c r="F45" s="0" t="n">
        <v>1065</v>
      </c>
      <c r="G45" s="0" t="n">
        <v>15.54</v>
      </c>
      <c r="H45" s="0" t="n">
        <v>3.8899</v>
      </c>
      <c r="I45" s="0" t="n">
        <v>0</v>
      </c>
      <c r="K45" s="0" t="n">
        <v>1957</v>
      </c>
      <c r="L45" s="0" t="n">
        <v>7.09</v>
      </c>
      <c r="M45" s="1" t="s">
        <v>7</v>
      </c>
    </row>
    <row r="46" customFormat="false" ht="13.8" hidden="false" customHeight="false" outlineLevel="0" collapsed="false">
      <c r="A46" s="0" t="n">
        <v>1066</v>
      </c>
      <c r="B46" s="0" t="n">
        <v>45.73</v>
      </c>
      <c r="C46" s="0" t="n">
        <v>17.306375</v>
      </c>
      <c r="D46" s="0" t="n">
        <v>320</v>
      </c>
      <c r="F46" s="0" t="n">
        <v>1066</v>
      </c>
      <c r="G46" s="0" t="n">
        <v>45.73</v>
      </c>
      <c r="H46" s="0" t="n">
        <v>17.306375</v>
      </c>
      <c r="I46" s="0" t="n">
        <v>0</v>
      </c>
      <c r="K46" s="0" t="n">
        <v>1958</v>
      </c>
      <c r="L46" s="0" t="n">
        <v>9.17</v>
      </c>
      <c r="M46" s="1" t="s">
        <v>10</v>
      </c>
    </row>
    <row r="47" customFormat="false" ht="13.8" hidden="false" customHeight="false" outlineLevel="0" collapsed="false">
      <c r="A47" s="0" t="n">
        <v>1067</v>
      </c>
      <c r="B47" s="0" t="n">
        <v>22.18</v>
      </c>
      <c r="C47" s="0" t="n">
        <v>6.102767</v>
      </c>
      <c r="D47" s="0" t="n">
        <v>2940</v>
      </c>
      <c r="F47" s="0" t="n">
        <v>1067</v>
      </c>
      <c r="G47" s="0" t="n">
        <v>22.18</v>
      </c>
      <c r="H47" s="0" t="n">
        <v>6.102767</v>
      </c>
      <c r="I47" s="0" t="n">
        <v>0</v>
      </c>
      <c r="K47" s="0" t="n">
        <v>1961</v>
      </c>
      <c r="L47" s="0" t="n">
        <v>9.37</v>
      </c>
      <c r="M47" s="1" t="s">
        <v>10</v>
      </c>
    </row>
    <row r="48" customFormat="false" ht="13.8" hidden="false" customHeight="false" outlineLevel="0" collapsed="false">
      <c r="A48" s="0" t="n">
        <v>1068</v>
      </c>
      <c r="B48" s="0" t="n">
        <v>33.34</v>
      </c>
      <c r="C48" s="0" t="n">
        <v>6.2459666</v>
      </c>
      <c r="D48" s="0" t="n">
        <v>3600</v>
      </c>
      <c r="F48" s="0" t="n">
        <v>1068</v>
      </c>
      <c r="G48" s="0" t="n">
        <v>33.34</v>
      </c>
      <c r="H48" s="0" t="n">
        <v>6.2459666</v>
      </c>
      <c r="I48" s="0" t="n">
        <v>0</v>
      </c>
      <c r="K48" s="0" t="n">
        <v>2007</v>
      </c>
      <c r="L48" s="0" t="n">
        <v>14.04</v>
      </c>
      <c r="M48" s="1" t="s">
        <v>13</v>
      </c>
    </row>
    <row r="49" customFormat="false" ht="13.8" hidden="false" customHeight="false" outlineLevel="0" collapsed="false">
      <c r="A49" s="0" t="n">
        <v>1069</v>
      </c>
      <c r="B49" s="0" t="n">
        <v>8.55</v>
      </c>
      <c r="C49" s="0" t="n">
        <v>4.0698</v>
      </c>
      <c r="D49" s="0" t="n">
        <v>0</v>
      </c>
      <c r="F49" s="0" t="n">
        <v>1069</v>
      </c>
      <c r="G49" s="0" t="n">
        <v>8.55</v>
      </c>
      <c r="H49" s="0" t="n">
        <v>4.0698</v>
      </c>
      <c r="I49" s="0" t="n">
        <v>0</v>
      </c>
      <c r="K49" s="0" t="n">
        <v>2149</v>
      </c>
      <c r="L49" s="0" t="n">
        <v>9.41</v>
      </c>
      <c r="M49" s="1" t="s">
        <v>12</v>
      </c>
    </row>
    <row r="50" customFormat="false" ht="13.8" hidden="false" customHeight="false" outlineLevel="0" collapsed="false">
      <c r="A50" s="0" t="n">
        <v>1070</v>
      </c>
      <c r="B50" s="0" t="n">
        <v>12.87</v>
      </c>
      <c r="C50" s="0" t="n">
        <v>2.6007</v>
      </c>
      <c r="D50" s="0" t="n">
        <v>0</v>
      </c>
      <c r="F50" s="0" t="n">
        <v>1070</v>
      </c>
      <c r="G50" s="0" t="n">
        <v>12.87</v>
      </c>
      <c r="H50" s="0" t="n">
        <v>2.6007</v>
      </c>
      <c r="I50" s="0" t="n">
        <v>0</v>
      </c>
      <c r="K50" s="0" t="n">
        <v>3000</v>
      </c>
      <c r="L50" s="0" t="n">
        <v>7.62</v>
      </c>
      <c r="M50" s="1" t="s">
        <v>9</v>
      </c>
    </row>
    <row r="51" customFormat="false" ht="13.8" hidden="false" customHeight="false" outlineLevel="0" collapsed="false">
      <c r="A51" s="0" t="n">
        <v>1071</v>
      </c>
      <c r="B51" s="0" t="n">
        <v>16.38</v>
      </c>
      <c r="C51" s="0" t="n">
        <v>5.1179</v>
      </c>
      <c r="D51" s="0" t="n">
        <v>0</v>
      </c>
      <c r="F51" s="0" t="n">
        <v>1071</v>
      </c>
      <c r="G51" s="0" t="n">
        <v>16.38</v>
      </c>
      <c r="H51" s="0" t="n">
        <v>5.1179</v>
      </c>
      <c r="I51" s="0" t="n">
        <v>0</v>
      </c>
      <c r="K51" s="0" t="n">
        <v>3156</v>
      </c>
      <c r="L51" s="0" t="n">
        <v>11.91</v>
      </c>
      <c r="M51" s="1" t="s">
        <v>12</v>
      </c>
    </row>
    <row r="52" customFormat="false" ht="13.8" hidden="false" customHeight="false" outlineLevel="0" collapsed="false">
      <c r="A52" s="0" t="n">
        <v>1072</v>
      </c>
      <c r="B52" s="0" t="n">
        <v>11.74</v>
      </c>
      <c r="C52" s="0" t="n">
        <v>2.2341</v>
      </c>
      <c r="D52" s="0" t="n">
        <v>0</v>
      </c>
      <c r="F52" s="0" t="n">
        <v>1072</v>
      </c>
      <c r="G52" s="0" t="n">
        <v>11.74</v>
      </c>
      <c r="H52" s="0" t="n">
        <v>2.2341</v>
      </c>
      <c r="I52" s="0" t="n">
        <v>0</v>
      </c>
      <c r="K52" s="0" t="n">
        <v>3283</v>
      </c>
      <c r="L52" s="0" t="n">
        <v>5.27</v>
      </c>
      <c r="M52" s="1" t="s">
        <v>13</v>
      </c>
    </row>
    <row r="53" customFormat="false" ht="13.8" hidden="false" customHeight="false" outlineLevel="0" collapsed="false">
      <c r="A53" s="0" t="n">
        <v>1076</v>
      </c>
      <c r="B53" s="0" t="n">
        <v>18.43</v>
      </c>
      <c r="C53" s="0" t="n">
        <v>2.77765</v>
      </c>
      <c r="D53" s="0" t="n">
        <v>0</v>
      </c>
      <c r="F53" s="0" t="n">
        <v>1076</v>
      </c>
      <c r="G53" s="0" t="n">
        <v>18.43</v>
      </c>
      <c r="H53" s="0" t="n">
        <v>2.77765</v>
      </c>
      <c r="I53" s="0" t="n">
        <v>0</v>
      </c>
      <c r="K53" s="0" t="n">
        <v>3284</v>
      </c>
      <c r="L53" s="0" t="n">
        <v>1.84</v>
      </c>
      <c r="M53" s="1" t="s">
        <v>12</v>
      </c>
    </row>
    <row r="54" customFormat="false" ht="13.8" hidden="false" customHeight="false" outlineLevel="0" collapsed="false">
      <c r="A54" s="0" t="n">
        <v>1097</v>
      </c>
      <c r="B54" s="0" t="n">
        <v>35.64</v>
      </c>
      <c r="C54" s="0" t="n">
        <v>12.522258</v>
      </c>
      <c r="D54" s="0" t="n">
        <v>5400</v>
      </c>
      <c r="F54" s="0" t="n">
        <v>1097</v>
      </c>
      <c r="G54" s="0" t="n">
        <v>35.64</v>
      </c>
      <c r="H54" s="0" t="n">
        <v>12.522258</v>
      </c>
      <c r="I54" s="0" t="n">
        <v>0</v>
      </c>
      <c r="K54" s="0" t="n">
        <v>3285</v>
      </c>
      <c r="L54" s="0" t="n">
        <v>3.97</v>
      </c>
      <c r="M54" s="1" t="s">
        <v>12</v>
      </c>
    </row>
    <row r="55" customFormat="false" ht="13.8" hidden="false" customHeight="false" outlineLevel="0" collapsed="false">
      <c r="A55" s="0" t="n">
        <v>1419</v>
      </c>
      <c r="B55" s="0" t="n">
        <v>14.41</v>
      </c>
      <c r="C55" s="0" t="n">
        <v>7.438025</v>
      </c>
      <c r="D55" s="0" t="n">
        <v>1200</v>
      </c>
      <c r="F55" s="0" t="n">
        <v>1419</v>
      </c>
      <c r="G55" s="0" t="n">
        <v>14.41</v>
      </c>
      <c r="H55" s="0" t="n">
        <v>7.438025</v>
      </c>
      <c r="I55" s="0" t="n">
        <v>1200</v>
      </c>
      <c r="K55" s="0" t="n">
        <v>3287</v>
      </c>
      <c r="L55" s="0" t="n">
        <v>17.1</v>
      </c>
      <c r="M55" s="1" t="s">
        <v>9</v>
      </c>
    </row>
    <row r="56" customFormat="false" ht="13.8" hidden="false" customHeight="false" outlineLevel="0" collapsed="false">
      <c r="A56" s="0" t="n">
        <v>1420</v>
      </c>
      <c r="B56" s="0" t="n">
        <v>28.45</v>
      </c>
      <c r="C56" s="0" t="n">
        <v>13.2075</v>
      </c>
      <c r="D56" s="0" t="n">
        <v>320</v>
      </c>
      <c r="F56" s="0" t="n">
        <v>1420</v>
      </c>
      <c r="G56" s="0" t="n">
        <v>28.45</v>
      </c>
      <c r="H56" s="0" t="n">
        <v>13.2075</v>
      </c>
      <c r="I56" s="0" t="n">
        <v>736</v>
      </c>
      <c r="K56" s="0" t="n">
        <v>3322</v>
      </c>
      <c r="L56" s="0" t="n">
        <v>2.83</v>
      </c>
      <c r="M56" s="1" t="s">
        <v>14</v>
      </c>
    </row>
    <row r="57" customFormat="false" ht="13.8" hidden="false" customHeight="false" outlineLevel="0" collapsed="false">
      <c r="A57" s="0" t="n">
        <v>1490</v>
      </c>
      <c r="B57" s="0" t="n">
        <v>104</v>
      </c>
      <c r="C57" s="0" t="n">
        <v>6.2620083</v>
      </c>
      <c r="D57" s="0" t="n">
        <v>300</v>
      </c>
      <c r="F57" s="0" t="n">
        <v>1490</v>
      </c>
      <c r="G57" s="0" t="n">
        <v>104</v>
      </c>
      <c r="H57" s="0" t="n">
        <v>6.2620083</v>
      </c>
      <c r="I57" s="0" t="n">
        <v>13500</v>
      </c>
      <c r="K57" s="0" t="n">
        <v>3323</v>
      </c>
      <c r="L57" s="0" t="n">
        <v>9.41</v>
      </c>
      <c r="M57" s="1" t="s">
        <v>14</v>
      </c>
    </row>
    <row r="58" customFormat="false" ht="13.8" hidden="false" customHeight="false" outlineLevel="0" collapsed="false">
      <c r="A58" s="0" t="n">
        <v>1491</v>
      </c>
      <c r="B58" s="0" t="n">
        <v>146.46</v>
      </c>
      <c r="C58" s="0" t="n">
        <v>10.0789</v>
      </c>
      <c r="D58" s="0" t="n">
        <v>400</v>
      </c>
      <c r="F58" s="0" t="n">
        <v>1491</v>
      </c>
      <c r="G58" s="0" t="n">
        <v>146.46</v>
      </c>
      <c r="H58" s="0" t="n">
        <v>10.0789</v>
      </c>
      <c r="I58" s="0" t="n">
        <v>500</v>
      </c>
      <c r="K58" s="0" t="n">
        <v>3822</v>
      </c>
      <c r="L58" s="0" t="n">
        <v>6.29</v>
      </c>
      <c r="M58" s="1" t="s">
        <v>12</v>
      </c>
    </row>
    <row r="59" customFormat="false" ht="13.8" hidden="false" customHeight="false" outlineLevel="0" collapsed="false">
      <c r="A59" s="0" t="n">
        <v>1574</v>
      </c>
      <c r="B59" s="0" t="n">
        <v>40.76</v>
      </c>
      <c r="C59" s="0" t="n">
        <v>9.77876</v>
      </c>
      <c r="D59" s="0" t="n">
        <v>1700</v>
      </c>
      <c r="F59" s="0" t="n">
        <v>1574</v>
      </c>
      <c r="G59" s="0" t="n">
        <v>40.76</v>
      </c>
      <c r="H59" s="0" t="n">
        <v>9.77876</v>
      </c>
      <c r="I59" s="0" t="n">
        <v>0</v>
      </c>
      <c r="K59" s="0" t="n">
        <v>3823</v>
      </c>
      <c r="L59" s="0" t="n">
        <v>7.01</v>
      </c>
      <c r="M59" s="1" t="s">
        <v>12</v>
      </c>
    </row>
    <row r="60" customFormat="false" ht="13.8" hidden="false" customHeight="false" outlineLevel="0" collapsed="false">
      <c r="A60" s="0" t="n">
        <v>1575</v>
      </c>
      <c r="B60" s="0" t="n">
        <v>61.03</v>
      </c>
      <c r="C60" s="0" t="n">
        <v>11.5046</v>
      </c>
      <c r="D60" s="0" t="n">
        <v>1100</v>
      </c>
      <c r="F60" s="0" t="n">
        <v>1575</v>
      </c>
      <c r="G60" s="0" t="n">
        <v>61.03</v>
      </c>
      <c r="H60" s="0" t="n">
        <v>11.5046</v>
      </c>
      <c r="I60" s="0" t="n">
        <v>0</v>
      </c>
      <c r="K60" s="0" t="n">
        <v>4087</v>
      </c>
      <c r="L60" s="0" t="n">
        <v>15.77</v>
      </c>
      <c r="M60" s="1" t="s">
        <v>6</v>
      </c>
    </row>
    <row r="61" customFormat="false" ht="13.8" hidden="false" customHeight="false" outlineLevel="0" collapsed="false">
      <c r="A61" s="0" t="n">
        <v>1797</v>
      </c>
      <c r="B61" s="0" t="n">
        <v>10.28</v>
      </c>
      <c r="C61" s="0" t="n">
        <v>0.61930608</v>
      </c>
      <c r="D61" s="0" t="n">
        <v>0</v>
      </c>
      <c r="F61" s="0" t="n">
        <v>1797</v>
      </c>
      <c r="G61" s="0" t="n">
        <v>10.28</v>
      </c>
      <c r="H61" s="0" t="n">
        <v>0.61930608</v>
      </c>
      <c r="I61" s="0" t="n">
        <v>0</v>
      </c>
      <c r="K61" s="0" t="n">
        <v>4123</v>
      </c>
      <c r="L61" s="0" t="n">
        <v>3.16</v>
      </c>
      <c r="M61" s="1" t="s">
        <v>7</v>
      </c>
    </row>
    <row r="62" customFormat="false" ht="13.8" hidden="false" customHeight="false" outlineLevel="0" collapsed="false">
      <c r="A62" s="0" t="n">
        <v>1798</v>
      </c>
      <c r="B62" s="0" t="n">
        <v>16.17</v>
      </c>
      <c r="C62" s="0" t="n">
        <v>1.0806125</v>
      </c>
      <c r="D62" s="0" t="n">
        <v>0</v>
      </c>
      <c r="F62" s="0" t="n">
        <v>1798</v>
      </c>
      <c r="G62" s="0" t="n">
        <v>16.17</v>
      </c>
      <c r="H62" s="0" t="n">
        <v>1.0806125</v>
      </c>
      <c r="I62" s="0" t="n">
        <v>0</v>
      </c>
      <c r="K62" s="0" t="n">
        <v>4242</v>
      </c>
      <c r="L62" s="0" t="n">
        <v>11.53</v>
      </c>
      <c r="M62" s="1" t="s">
        <v>9</v>
      </c>
    </row>
    <row r="63" customFormat="false" ht="13.8" hidden="false" customHeight="false" outlineLevel="0" collapsed="false">
      <c r="A63" s="0" t="n">
        <v>1938</v>
      </c>
      <c r="B63" s="0" t="n">
        <v>30.21</v>
      </c>
      <c r="C63" s="0" t="n">
        <v>3.6912</v>
      </c>
      <c r="D63" s="0" t="n">
        <v>100</v>
      </c>
      <c r="F63" s="0" t="n">
        <v>1938</v>
      </c>
      <c r="G63" s="0" t="n">
        <v>30.21</v>
      </c>
      <c r="H63" s="0" t="n">
        <v>3.6912</v>
      </c>
      <c r="I63" s="0" t="n">
        <v>400</v>
      </c>
      <c r="K63" s="0" t="n">
        <v>4266</v>
      </c>
      <c r="L63" s="0" t="n">
        <v>2.08</v>
      </c>
      <c r="M63" s="1" t="s">
        <v>9</v>
      </c>
    </row>
    <row r="64" customFormat="false" ht="13.8" hidden="false" customHeight="false" outlineLevel="0" collapsed="false">
      <c r="A64" s="0" t="n">
        <v>1946</v>
      </c>
      <c r="B64" s="0" t="n">
        <v>46.41</v>
      </c>
      <c r="C64" s="0" t="n">
        <v>13.52</v>
      </c>
      <c r="D64" s="0" t="n">
        <v>4160</v>
      </c>
      <c r="F64" s="0" t="n">
        <v>1946</v>
      </c>
      <c r="G64" s="0" t="n">
        <v>46.41</v>
      </c>
      <c r="H64" s="0" t="n">
        <v>13.52</v>
      </c>
      <c r="I64" s="0" t="n">
        <v>0</v>
      </c>
      <c r="K64" s="0" t="n">
        <v>4546</v>
      </c>
      <c r="L64" s="0" t="n">
        <v>4.76</v>
      </c>
      <c r="M64" s="1" t="s">
        <v>17</v>
      </c>
    </row>
    <row r="65" customFormat="false" ht="13.8" hidden="false" customHeight="false" outlineLevel="0" collapsed="false">
      <c r="A65" s="0" t="n">
        <v>1947</v>
      </c>
      <c r="B65" s="0" t="n">
        <v>22.37</v>
      </c>
      <c r="C65" s="0" t="n">
        <v>5.942125</v>
      </c>
      <c r="D65" s="0" t="n">
        <v>13500</v>
      </c>
      <c r="F65" s="0" t="n">
        <v>1947</v>
      </c>
      <c r="G65" s="0" t="n">
        <v>22.37</v>
      </c>
      <c r="H65" s="0" t="n">
        <v>5.942125</v>
      </c>
      <c r="I65" s="0" t="n">
        <v>0</v>
      </c>
      <c r="K65" s="0" t="n">
        <v>4547</v>
      </c>
      <c r="L65" s="0" t="n">
        <v>4.4</v>
      </c>
      <c r="M65" s="1" t="s">
        <v>12</v>
      </c>
    </row>
    <row r="66" customFormat="false" ht="13.8" hidden="false" customHeight="false" outlineLevel="0" collapsed="false">
      <c r="A66" s="0" t="n">
        <v>1957</v>
      </c>
      <c r="B66" s="0" t="n">
        <v>50.27</v>
      </c>
      <c r="C66" s="0" t="n">
        <v>6.6485</v>
      </c>
      <c r="D66" s="0" t="n">
        <v>200</v>
      </c>
      <c r="F66" s="0" t="n">
        <v>1957</v>
      </c>
      <c r="G66" s="0" t="n">
        <v>50.27</v>
      </c>
      <c r="H66" s="0" t="n">
        <v>6.6485</v>
      </c>
      <c r="I66" s="0" t="n">
        <v>300</v>
      </c>
      <c r="K66" s="0" t="n">
        <v>4633</v>
      </c>
      <c r="L66" s="0" t="n">
        <v>10.32</v>
      </c>
      <c r="M66" s="1" t="s">
        <v>9</v>
      </c>
    </row>
    <row r="67" customFormat="false" ht="13.8" hidden="false" customHeight="false" outlineLevel="0" collapsed="false">
      <c r="A67" s="0" t="n">
        <v>1958</v>
      </c>
      <c r="B67" s="0" t="n">
        <v>88.83</v>
      </c>
      <c r="C67" s="0" t="n">
        <v>10.6971</v>
      </c>
      <c r="D67" s="0" t="n">
        <v>160</v>
      </c>
      <c r="F67" s="0" t="n">
        <v>1958</v>
      </c>
      <c r="G67" s="0" t="n">
        <v>88.83</v>
      </c>
      <c r="H67" s="0" t="n">
        <v>10.6971</v>
      </c>
      <c r="I67" s="0" t="n">
        <v>300</v>
      </c>
      <c r="K67" s="0" t="n">
        <v>5196</v>
      </c>
      <c r="L67" s="0" t="n">
        <v>5.48</v>
      </c>
      <c r="M67" s="1" t="s">
        <v>14</v>
      </c>
    </row>
    <row r="68" customFormat="false" ht="13.8" hidden="false" customHeight="false" outlineLevel="0" collapsed="false">
      <c r="A68" s="0" t="n">
        <v>1961</v>
      </c>
      <c r="B68" s="0" t="n">
        <v>151.8</v>
      </c>
      <c r="C68" s="0" t="n">
        <v>12.6744</v>
      </c>
      <c r="D68" s="0" t="n">
        <v>100</v>
      </c>
      <c r="F68" s="0" t="n">
        <v>1961</v>
      </c>
      <c r="G68" s="0" t="n">
        <v>151.8</v>
      </c>
      <c r="H68" s="0" t="n">
        <v>12.6744</v>
      </c>
      <c r="I68" s="0" t="n">
        <v>500</v>
      </c>
      <c r="K68" s="0" t="n">
        <v>5197</v>
      </c>
      <c r="L68" s="0" t="n">
        <v>8.27</v>
      </c>
      <c r="M68" s="1" t="s">
        <v>23</v>
      </c>
    </row>
    <row r="69" customFormat="false" ht="13.8" hidden="false" customHeight="false" outlineLevel="0" collapsed="false">
      <c r="A69" s="0" t="n">
        <v>2002</v>
      </c>
      <c r="B69" s="0" t="n">
        <v>38.26</v>
      </c>
      <c r="C69" s="0" t="n">
        <v>8.2866</v>
      </c>
      <c r="D69" s="0" t="n">
        <v>0</v>
      </c>
      <c r="F69" s="0" t="n">
        <v>2002</v>
      </c>
      <c r="G69" s="0" t="n">
        <v>38.26</v>
      </c>
      <c r="H69" s="0" t="n">
        <v>8.2866</v>
      </c>
      <c r="I69" s="0" t="n">
        <v>0</v>
      </c>
      <c r="K69" s="0" t="n">
        <v>5198</v>
      </c>
      <c r="L69" s="0" t="n">
        <v>6.62</v>
      </c>
      <c r="M69" s="1" t="s">
        <v>23</v>
      </c>
    </row>
    <row r="70" customFormat="false" ht="13.8" hidden="false" customHeight="false" outlineLevel="0" collapsed="false">
      <c r="A70" s="0" t="n">
        <v>2007</v>
      </c>
      <c r="B70" s="0" t="n">
        <v>95.99</v>
      </c>
      <c r="C70" s="0" t="n">
        <v>9.08285</v>
      </c>
      <c r="D70" s="0" t="n">
        <v>628</v>
      </c>
      <c r="F70" s="0" t="n">
        <v>2007</v>
      </c>
      <c r="G70" s="0" t="n">
        <v>95.99</v>
      </c>
      <c r="H70" s="0" t="n">
        <v>9.08285</v>
      </c>
      <c r="I70" s="0" t="n">
        <v>500</v>
      </c>
      <c r="K70" s="0" t="n">
        <v>5356</v>
      </c>
      <c r="L70" s="0" t="n">
        <v>8.66</v>
      </c>
      <c r="M70" s="1" t="s">
        <v>9</v>
      </c>
    </row>
    <row r="71" customFormat="false" ht="13.8" hidden="false" customHeight="false" outlineLevel="0" collapsed="false">
      <c r="A71" s="0" t="n">
        <v>2008</v>
      </c>
      <c r="B71" s="0" t="n">
        <v>11.33</v>
      </c>
      <c r="C71" s="0" t="n">
        <v>3.5421</v>
      </c>
      <c r="D71" s="0" t="n">
        <v>0</v>
      </c>
      <c r="F71" s="0" t="n">
        <v>2008</v>
      </c>
      <c r="G71" s="0" t="n">
        <v>11.33</v>
      </c>
      <c r="H71" s="0" t="n">
        <v>3.5421</v>
      </c>
      <c r="I71" s="0" t="n">
        <v>0</v>
      </c>
      <c r="K71" s="0" t="n">
        <v>5478</v>
      </c>
      <c r="L71" s="0" t="n">
        <v>7.52</v>
      </c>
      <c r="M71" s="1" t="s">
        <v>7</v>
      </c>
    </row>
    <row r="72" customFormat="false" ht="13.8" hidden="false" customHeight="false" outlineLevel="0" collapsed="false">
      <c r="A72" s="0" t="n">
        <v>2149</v>
      </c>
      <c r="B72" s="0" t="n">
        <v>66.45</v>
      </c>
      <c r="C72" s="0" t="n">
        <v>5.5377142</v>
      </c>
      <c r="D72" s="0" t="n">
        <v>70</v>
      </c>
      <c r="F72" s="0" t="n">
        <v>2149</v>
      </c>
      <c r="G72" s="0" t="n">
        <v>66.45</v>
      </c>
      <c r="H72" s="0" t="n">
        <v>5.5377142</v>
      </c>
      <c r="I72" s="0" t="n">
        <v>560</v>
      </c>
      <c r="K72" s="0" t="n">
        <v>5479</v>
      </c>
      <c r="L72" s="0" t="n">
        <v>5.25</v>
      </c>
      <c r="M72" s="1" t="s">
        <v>7</v>
      </c>
    </row>
    <row r="73" customFormat="false" ht="13.8" hidden="false" customHeight="false" outlineLevel="0" collapsed="false">
      <c r="A73" s="0" t="n">
        <v>3000</v>
      </c>
      <c r="B73" s="0" t="n">
        <v>23.37</v>
      </c>
      <c r="C73" s="0" t="n">
        <v>7.624</v>
      </c>
      <c r="D73" s="0" t="n">
        <v>1260</v>
      </c>
      <c r="F73" s="0" t="n">
        <v>3000</v>
      </c>
      <c r="G73" s="0" t="n">
        <v>23.37</v>
      </c>
      <c r="H73" s="0" t="n">
        <v>7.624</v>
      </c>
      <c r="I73" s="0" t="n">
        <v>360</v>
      </c>
      <c r="K73" s="0" t="n">
        <v>5573</v>
      </c>
      <c r="L73" s="0" t="n">
        <v>3.85</v>
      </c>
      <c r="M73" s="1" t="s">
        <v>10</v>
      </c>
    </row>
    <row r="74" customFormat="false" ht="13.8" hidden="false" customHeight="false" outlineLevel="0" collapsed="false">
      <c r="A74" s="0" t="n">
        <v>3156</v>
      </c>
      <c r="B74" s="0" t="n">
        <v>20.66</v>
      </c>
      <c r="C74" s="0" t="n">
        <v>7.99875</v>
      </c>
      <c r="D74" s="0" t="n">
        <v>288</v>
      </c>
      <c r="F74" s="0" t="n">
        <v>3156</v>
      </c>
      <c r="G74" s="0" t="n">
        <v>20.66</v>
      </c>
      <c r="H74" s="0" t="n">
        <v>7.99875</v>
      </c>
      <c r="I74" s="0" t="n">
        <v>192</v>
      </c>
      <c r="K74" s="0" t="n">
        <v>5609</v>
      </c>
      <c r="L74" s="0" t="n">
        <v>3.93</v>
      </c>
      <c r="M74" s="1" t="s">
        <v>13</v>
      </c>
    </row>
    <row r="75" customFormat="false" ht="13.8" hidden="false" customHeight="false" outlineLevel="0" collapsed="false">
      <c r="A75" s="0" t="n">
        <v>3250</v>
      </c>
      <c r="B75" s="0" t="n">
        <v>25.42</v>
      </c>
      <c r="C75" s="0" t="n">
        <v>0</v>
      </c>
      <c r="D75" s="0" t="n">
        <v>0</v>
      </c>
      <c r="F75" s="0" t="n">
        <v>3250</v>
      </c>
      <c r="G75" s="0" t="n">
        <v>25.42</v>
      </c>
      <c r="H75" s="0" t="n">
        <v>0</v>
      </c>
      <c r="I75" s="0" t="n">
        <v>0</v>
      </c>
      <c r="K75" s="0" t="n">
        <v>5768</v>
      </c>
      <c r="L75" s="0" t="n">
        <v>6.58</v>
      </c>
      <c r="M75" s="1" t="s">
        <v>24</v>
      </c>
    </row>
    <row r="76" customFormat="false" ht="13.8" hidden="false" customHeight="false" outlineLevel="0" collapsed="false">
      <c r="A76" s="0" t="n">
        <v>3280</v>
      </c>
      <c r="B76" s="0" t="n">
        <v>17.24</v>
      </c>
      <c r="C76" s="0" t="n">
        <v>0</v>
      </c>
      <c r="D76" s="0" t="n">
        <v>0</v>
      </c>
      <c r="F76" s="0" t="n">
        <v>3280</v>
      </c>
      <c r="G76" s="0" t="n">
        <v>17.24</v>
      </c>
      <c r="H76" s="0" t="n">
        <v>0</v>
      </c>
      <c r="I76" s="0" t="n">
        <v>0</v>
      </c>
      <c r="K76" s="0" t="n">
        <v>5777</v>
      </c>
      <c r="L76" s="0" t="n">
        <v>5.94</v>
      </c>
      <c r="M76" s="1" t="s">
        <v>12</v>
      </c>
    </row>
    <row r="77" customFormat="false" ht="13.8" hidden="false" customHeight="false" outlineLevel="0" collapsed="false">
      <c r="A77" s="0" t="n">
        <v>3281</v>
      </c>
      <c r="B77" s="0" t="n">
        <v>15.31</v>
      </c>
      <c r="C77" s="0" t="n">
        <v>0</v>
      </c>
      <c r="D77" s="0" t="n">
        <v>0</v>
      </c>
      <c r="F77" s="0" t="n">
        <v>3281</v>
      </c>
      <c r="G77" s="0" t="n">
        <v>15.31</v>
      </c>
      <c r="H77" s="0" t="n">
        <v>0</v>
      </c>
      <c r="I77" s="0" t="n">
        <v>0</v>
      </c>
      <c r="K77" s="0" t="n">
        <v>5858</v>
      </c>
      <c r="L77" s="0" t="n">
        <v>10.66</v>
      </c>
      <c r="M77" s="1" t="s">
        <v>7</v>
      </c>
    </row>
    <row r="78" customFormat="false" ht="13.8" hidden="false" customHeight="false" outlineLevel="0" collapsed="false">
      <c r="A78" s="0" t="n">
        <v>3282</v>
      </c>
      <c r="B78" s="0" t="n">
        <v>5.5</v>
      </c>
      <c r="C78" s="0" t="n">
        <v>2.952</v>
      </c>
      <c r="D78" s="0" t="n">
        <v>0</v>
      </c>
      <c r="F78" s="0" t="n">
        <v>3282</v>
      </c>
      <c r="G78" s="0" t="n">
        <v>5.5</v>
      </c>
      <c r="H78" s="0" t="n">
        <v>2.952</v>
      </c>
      <c r="I78" s="0" t="n">
        <v>0</v>
      </c>
      <c r="K78" s="0" t="n">
        <v>5859</v>
      </c>
      <c r="L78" s="0" t="n">
        <v>3.51</v>
      </c>
      <c r="M78" s="1" t="s">
        <v>14</v>
      </c>
    </row>
    <row r="79" customFormat="false" ht="13.8" hidden="false" customHeight="false" outlineLevel="0" collapsed="false">
      <c r="A79" s="0" t="n">
        <v>3283</v>
      </c>
      <c r="B79" s="0" t="n">
        <v>87.49</v>
      </c>
      <c r="C79" s="0" t="n">
        <v>5.2677166</v>
      </c>
      <c r="D79" s="0" t="n">
        <v>5700</v>
      </c>
      <c r="F79" s="0" t="n">
        <v>3283</v>
      </c>
      <c r="G79" s="0" t="n">
        <v>87.49</v>
      </c>
      <c r="H79" s="0" t="n">
        <v>5.2677166</v>
      </c>
      <c r="I79" s="0" t="n">
        <v>5500</v>
      </c>
      <c r="K79" s="0" t="n">
        <v>6055</v>
      </c>
      <c r="L79" s="0" t="n">
        <v>8.16</v>
      </c>
      <c r="M79" s="1" t="s">
        <v>14</v>
      </c>
    </row>
    <row r="80" customFormat="false" ht="13.8" hidden="false" customHeight="false" outlineLevel="0" collapsed="false">
      <c r="A80" s="0" t="n">
        <v>3284</v>
      </c>
      <c r="B80" s="0" t="n">
        <v>23.71</v>
      </c>
      <c r="C80" s="0" t="n">
        <v>1.930923</v>
      </c>
      <c r="D80" s="0" t="n">
        <v>3000</v>
      </c>
      <c r="F80" s="0" t="n">
        <v>3284</v>
      </c>
      <c r="G80" s="0" t="n">
        <v>23.71</v>
      </c>
      <c r="H80" s="0" t="n">
        <v>1.930923</v>
      </c>
      <c r="I80" s="0" t="n">
        <v>5850</v>
      </c>
      <c r="K80" s="0" t="n">
        <v>6056</v>
      </c>
      <c r="L80" s="0" t="n">
        <v>51.31</v>
      </c>
      <c r="M80" s="1" t="s">
        <v>9</v>
      </c>
    </row>
    <row r="81" customFormat="false" ht="13.8" hidden="false" customHeight="false" outlineLevel="0" collapsed="false">
      <c r="A81" s="0" t="n">
        <v>3285</v>
      </c>
      <c r="B81" s="0" t="n">
        <v>38.41</v>
      </c>
      <c r="C81" s="0" t="n">
        <v>3.754984</v>
      </c>
      <c r="D81" s="0" t="n">
        <v>2000</v>
      </c>
      <c r="F81" s="0" t="n">
        <v>3285</v>
      </c>
      <c r="G81" s="0" t="n">
        <v>38.41</v>
      </c>
      <c r="H81" s="0" t="n">
        <v>3.754984</v>
      </c>
      <c r="I81" s="0" t="n">
        <v>43000</v>
      </c>
      <c r="K81" s="0" t="n">
        <v>6529</v>
      </c>
      <c r="L81" s="0" t="n">
        <v>7.74</v>
      </c>
      <c r="M81" s="1" t="s">
        <v>25</v>
      </c>
    </row>
    <row r="82" customFormat="false" ht="13.8" hidden="false" customHeight="false" outlineLevel="0" collapsed="false">
      <c r="A82" s="0" t="n">
        <v>3286</v>
      </c>
      <c r="B82" s="0" t="n">
        <v>13.98</v>
      </c>
      <c r="C82" s="0" t="n">
        <v>3.2171875</v>
      </c>
      <c r="D82" s="0" t="n">
        <v>0</v>
      </c>
      <c r="F82" s="0" t="n">
        <v>3286</v>
      </c>
      <c r="G82" s="0" t="n">
        <v>13.98</v>
      </c>
      <c r="H82" s="0" t="n">
        <v>3.2171875</v>
      </c>
      <c r="I82" s="0" t="n">
        <v>0</v>
      </c>
      <c r="K82" s="0" t="n">
        <v>6662</v>
      </c>
      <c r="L82" s="0" t="n">
        <v>1.53</v>
      </c>
      <c r="M82" s="1" t="s">
        <v>26</v>
      </c>
    </row>
    <row r="83" customFormat="false" ht="13.8" hidden="false" customHeight="false" outlineLevel="0" collapsed="false">
      <c r="A83" s="0" t="n">
        <v>3287</v>
      </c>
      <c r="B83" s="0" t="n">
        <v>66.52</v>
      </c>
      <c r="C83" s="0" t="n">
        <v>17.100567</v>
      </c>
      <c r="D83" s="0" t="n">
        <v>1500</v>
      </c>
      <c r="F83" s="0" t="n">
        <v>3287</v>
      </c>
      <c r="G83" s="0" t="n">
        <v>66.52</v>
      </c>
      <c r="H83" s="0" t="n">
        <v>17.100567</v>
      </c>
      <c r="I83" s="0" t="n">
        <v>0</v>
      </c>
      <c r="K83" s="0" t="n">
        <v>6678</v>
      </c>
      <c r="L83" s="0" t="n">
        <v>3.36</v>
      </c>
      <c r="M83" s="1" t="s">
        <v>27</v>
      </c>
    </row>
    <row r="84" customFormat="false" ht="13.8" hidden="false" customHeight="false" outlineLevel="0" collapsed="false">
      <c r="A84" s="0" t="n">
        <v>3288</v>
      </c>
      <c r="B84" s="0" t="n">
        <v>14.19</v>
      </c>
      <c r="C84" s="0" t="n">
        <v>0</v>
      </c>
      <c r="D84" s="0" t="n">
        <v>0</v>
      </c>
      <c r="F84" s="0" t="n">
        <v>3288</v>
      </c>
      <c r="G84" s="0" t="n">
        <v>14.19</v>
      </c>
      <c r="H84" s="0" t="n">
        <v>0</v>
      </c>
      <c r="I84" s="0" t="n">
        <v>0</v>
      </c>
      <c r="K84" s="0" t="n">
        <v>6943</v>
      </c>
      <c r="L84" s="0" t="n">
        <v>8.21</v>
      </c>
      <c r="M84" s="1" t="s">
        <v>6</v>
      </c>
    </row>
    <row r="85" customFormat="false" ht="13.8" hidden="false" customHeight="false" outlineLevel="0" collapsed="false">
      <c r="A85" s="0" t="n">
        <v>3322</v>
      </c>
      <c r="B85" s="0" t="n">
        <v>25.29</v>
      </c>
      <c r="C85" s="0" t="n">
        <v>2.8277</v>
      </c>
      <c r="D85" s="0" t="n">
        <v>5200</v>
      </c>
      <c r="F85" s="0" t="n">
        <v>3322</v>
      </c>
      <c r="G85" s="0" t="n">
        <v>25.29</v>
      </c>
      <c r="H85" s="0" t="n">
        <v>2.8277</v>
      </c>
      <c r="I85" s="0" t="n">
        <v>0</v>
      </c>
      <c r="K85" s="0" t="n">
        <v>6944</v>
      </c>
      <c r="L85" s="0" t="n">
        <v>1.76</v>
      </c>
      <c r="M85" s="1" t="s">
        <v>28</v>
      </c>
    </row>
    <row r="86" customFormat="false" ht="13.8" hidden="false" customHeight="false" outlineLevel="0" collapsed="false">
      <c r="A86" s="0" t="n">
        <v>3323</v>
      </c>
      <c r="B86" s="0" t="n">
        <v>37.73</v>
      </c>
      <c r="C86" s="0" t="n">
        <v>9.40951389</v>
      </c>
      <c r="D86" s="0" t="n">
        <v>936</v>
      </c>
      <c r="F86" s="0" t="n">
        <v>3323</v>
      </c>
      <c r="G86" s="0" t="n">
        <v>37.73</v>
      </c>
      <c r="H86" s="0" t="n">
        <v>9.40951389</v>
      </c>
      <c r="I86" s="0" t="n">
        <v>0</v>
      </c>
      <c r="K86" s="0" t="n">
        <v>7580</v>
      </c>
      <c r="L86" s="0" t="n">
        <v>4.44</v>
      </c>
      <c r="M86" s="1" t="s">
        <v>12</v>
      </c>
    </row>
    <row r="87" customFormat="false" ht="13.8" hidden="false" customHeight="false" outlineLevel="0" collapsed="false">
      <c r="A87" s="0" t="n">
        <v>3822</v>
      </c>
      <c r="B87" s="0" t="n">
        <v>30.31</v>
      </c>
      <c r="C87" s="0" t="n">
        <v>6.03955</v>
      </c>
      <c r="D87" s="0" t="n">
        <v>300</v>
      </c>
      <c r="F87" s="0" t="n">
        <v>3822</v>
      </c>
      <c r="G87" s="0" t="n">
        <v>30.31</v>
      </c>
      <c r="H87" s="0" t="n">
        <v>6.03955</v>
      </c>
      <c r="I87" s="0" t="n">
        <v>500</v>
      </c>
      <c r="K87" s="0" t="n">
        <v>7617</v>
      </c>
      <c r="L87" s="0" t="n">
        <v>12.45</v>
      </c>
      <c r="M87" s="1" t="s">
        <v>6</v>
      </c>
    </row>
    <row r="88" customFormat="false" ht="13.8" hidden="false" customHeight="false" outlineLevel="0" collapsed="false">
      <c r="A88" s="0" t="n">
        <v>3823</v>
      </c>
      <c r="B88" s="0" t="n">
        <v>33.77</v>
      </c>
      <c r="C88" s="0" t="n">
        <v>6.72836667</v>
      </c>
      <c r="D88" s="0" t="n">
        <v>1000</v>
      </c>
      <c r="F88" s="0" t="n">
        <v>3823</v>
      </c>
      <c r="G88" s="0" t="n">
        <v>33.77</v>
      </c>
      <c r="H88" s="0" t="n">
        <v>6.72836667</v>
      </c>
      <c r="I88" s="0" t="n">
        <v>1000</v>
      </c>
      <c r="K88" s="0" t="n">
        <v>8416</v>
      </c>
      <c r="L88" s="0" t="n">
        <v>13.36</v>
      </c>
      <c r="M88" s="1" t="s">
        <v>29</v>
      </c>
    </row>
    <row r="89" customFormat="false" ht="13.8" hidden="false" customHeight="false" outlineLevel="0" collapsed="false">
      <c r="A89" s="0" t="n">
        <v>4087</v>
      </c>
      <c r="B89" s="0" t="n">
        <v>67.89</v>
      </c>
      <c r="C89" s="0" t="n">
        <v>15.76665625</v>
      </c>
      <c r="D89" s="0" t="n">
        <v>4049</v>
      </c>
      <c r="F89" s="0" t="n">
        <v>4087</v>
      </c>
      <c r="G89" s="0" t="n">
        <v>67.89</v>
      </c>
      <c r="H89" s="0" t="n">
        <v>15.76665625</v>
      </c>
      <c r="I89" s="0" t="n">
        <v>0</v>
      </c>
      <c r="K89" s="0" t="n">
        <v>8417</v>
      </c>
      <c r="L89" s="0" t="n">
        <v>7.06</v>
      </c>
      <c r="M89" s="1" t="s">
        <v>12</v>
      </c>
    </row>
    <row r="90" customFormat="false" ht="13.8" hidden="false" customHeight="false" outlineLevel="0" collapsed="false">
      <c r="A90" s="0" t="n">
        <v>4123</v>
      </c>
      <c r="B90" s="0" t="n">
        <v>18.8</v>
      </c>
      <c r="C90" s="0" t="n">
        <v>2.04827727</v>
      </c>
      <c r="D90" s="0" t="n">
        <v>100</v>
      </c>
      <c r="F90" s="0" t="n">
        <v>4123</v>
      </c>
      <c r="G90" s="0" t="n">
        <v>18.8</v>
      </c>
      <c r="H90" s="0" t="n">
        <v>2.04827727</v>
      </c>
      <c r="I90" s="0" t="n">
        <v>400</v>
      </c>
      <c r="K90" s="0" t="n">
        <v>8418</v>
      </c>
      <c r="L90" s="0" t="n">
        <v>13.48</v>
      </c>
      <c r="M90" s="1" t="s">
        <v>10</v>
      </c>
    </row>
    <row r="91" customFormat="false" ht="13.8" hidden="false" customHeight="false" outlineLevel="0" collapsed="false">
      <c r="A91" s="0" t="n">
        <v>4240</v>
      </c>
      <c r="B91" s="0" t="n">
        <v>2.43</v>
      </c>
      <c r="C91" s="0" t="n">
        <v>1.62</v>
      </c>
      <c r="D91" s="0" t="n">
        <v>0</v>
      </c>
      <c r="F91" s="0" t="n">
        <v>4240</v>
      </c>
      <c r="G91" s="0" t="n">
        <v>2.43</v>
      </c>
      <c r="H91" s="0" t="n">
        <v>1.62</v>
      </c>
      <c r="I91" s="0" t="n">
        <v>0</v>
      </c>
      <c r="K91" s="0" t="n">
        <v>8541</v>
      </c>
      <c r="L91" s="0" t="n">
        <v>2.45</v>
      </c>
      <c r="M91" s="1" t="s">
        <v>12</v>
      </c>
    </row>
    <row r="92" customFormat="false" ht="13.8" hidden="false" customHeight="false" outlineLevel="0" collapsed="false">
      <c r="A92" s="0" t="n">
        <v>4241</v>
      </c>
      <c r="B92" s="0" t="n">
        <v>10.27</v>
      </c>
      <c r="C92" s="0" t="n">
        <v>4.889166</v>
      </c>
      <c r="D92" s="0" t="n">
        <v>0</v>
      </c>
      <c r="F92" s="0" t="n">
        <v>4241</v>
      </c>
      <c r="G92" s="0" t="n">
        <v>10.27</v>
      </c>
      <c r="H92" s="0" t="n">
        <v>4.889166</v>
      </c>
      <c r="I92" s="0" t="n">
        <v>0</v>
      </c>
      <c r="K92" s="0" t="n">
        <v>8847</v>
      </c>
      <c r="L92" s="0" t="n">
        <v>5.39</v>
      </c>
      <c r="M92" s="1" t="s">
        <v>13</v>
      </c>
    </row>
    <row r="93" customFormat="false" ht="13.8" hidden="false" customHeight="false" outlineLevel="0" collapsed="false">
      <c r="A93" s="0" t="n">
        <v>4242</v>
      </c>
      <c r="B93" s="0" t="n">
        <v>29.89</v>
      </c>
      <c r="C93" s="0" t="n">
        <v>11.526</v>
      </c>
      <c r="D93" s="0" t="n">
        <v>250</v>
      </c>
      <c r="F93" s="0" t="n">
        <v>4242</v>
      </c>
      <c r="G93" s="0" t="n">
        <v>29.89</v>
      </c>
      <c r="H93" s="0" t="n">
        <v>11.526</v>
      </c>
      <c r="I93" s="0" t="n">
        <v>0</v>
      </c>
      <c r="K93" s="0" t="n">
        <v>8850</v>
      </c>
      <c r="L93" s="0" t="n">
        <v>5.04</v>
      </c>
      <c r="M93" s="1" t="s">
        <v>30</v>
      </c>
    </row>
    <row r="94" customFormat="false" ht="13.8" hidden="false" customHeight="false" outlineLevel="0" collapsed="false">
      <c r="A94" s="0" t="n">
        <v>4262</v>
      </c>
      <c r="B94" s="0" t="n">
        <v>7.07</v>
      </c>
      <c r="C94" s="0" t="n">
        <v>5.06</v>
      </c>
      <c r="D94" s="0" t="n">
        <v>0</v>
      </c>
      <c r="F94" s="0" t="n">
        <v>4262</v>
      </c>
      <c r="G94" s="0" t="n">
        <v>7.07</v>
      </c>
      <c r="H94" s="0" t="n">
        <v>5.06</v>
      </c>
      <c r="I94" s="0" t="n">
        <v>0</v>
      </c>
      <c r="K94" s="0" t="n">
        <v>8851</v>
      </c>
      <c r="L94" s="0" t="n">
        <v>12.58</v>
      </c>
      <c r="M94" s="1" t="s">
        <v>31</v>
      </c>
    </row>
    <row r="95" customFormat="false" ht="13.8" hidden="false" customHeight="false" outlineLevel="0" collapsed="false">
      <c r="A95" s="0" t="n">
        <v>4264</v>
      </c>
      <c r="B95" s="0" t="n">
        <v>16.08</v>
      </c>
      <c r="C95" s="0" t="n">
        <v>4.5892</v>
      </c>
      <c r="D95" s="0" t="n">
        <v>0</v>
      </c>
      <c r="F95" s="0" t="n">
        <v>4264</v>
      </c>
      <c r="G95" s="0" t="n">
        <v>16.08</v>
      </c>
      <c r="H95" s="0" t="n">
        <v>4.5892</v>
      </c>
      <c r="I95" s="0" t="n">
        <v>0</v>
      </c>
      <c r="K95" s="0" t="n">
        <v>8880</v>
      </c>
      <c r="L95" s="0" t="n">
        <v>7.14</v>
      </c>
      <c r="M95" s="1" t="s">
        <v>12</v>
      </c>
    </row>
    <row r="96" customFormat="false" ht="13.8" hidden="false" customHeight="false" outlineLevel="0" collapsed="false">
      <c r="A96" s="0" t="n">
        <v>4266</v>
      </c>
      <c r="B96" s="0" t="n">
        <v>16.88</v>
      </c>
      <c r="C96" s="0" t="n">
        <v>2.08363298</v>
      </c>
      <c r="D96" s="0" t="n">
        <v>170000</v>
      </c>
      <c r="F96" s="0" t="n">
        <v>4266</v>
      </c>
      <c r="G96" s="0" t="n">
        <v>16.88</v>
      </c>
      <c r="H96" s="0" t="n">
        <v>2.08363298</v>
      </c>
      <c r="I96" s="0" t="n">
        <v>0</v>
      </c>
      <c r="K96" s="0" t="n">
        <v>8882</v>
      </c>
      <c r="L96" s="0" t="n">
        <v>26.59</v>
      </c>
      <c r="M96" s="1" t="s">
        <v>9</v>
      </c>
    </row>
    <row r="97" customFormat="false" ht="13.8" hidden="false" customHeight="false" outlineLevel="0" collapsed="false">
      <c r="A97" s="0" t="n">
        <v>4354</v>
      </c>
      <c r="B97" s="0" t="n">
        <v>5.58</v>
      </c>
      <c r="C97" s="0" t="n">
        <v>2.75</v>
      </c>
      <c r="D97" s="0" t="n">
        <v>0</v>
      </c>
      <c r="F97" s="0" t="n">
        <v>4354</v>
      </c>
      <c r="G97" s="0" t="n">
        <v>5.58</v>
      </c>
      <c r="H97" s="0" t="n">
        <v>2.75</v>
      </c>
      <c r="I97" s="0" t="n">
        <v>0</v>
      </c>
      <c r="K97" s="0" t="n">
        <v>8883</v>
      </c>
      <c r="L97" s="0" t="n">
        <v>9.2</v>
      </c>
      <c r="M97" s="1" t="s">
        <v>32</v>
      </c>
    </row>
    <row r="98" customFormat="false" ht="13.8" hidden="false" customHeight="false" outlineLevel="0" collapsed="false">
      <c r="A98" s="0" t="n">
        <v>4478</v>
      </c>
      <c r="B98" s="0" t="n">
        <v>23.75</v>
      </c>
      <c r="C98" s="0" t="n">
        <v>5.574</v>
      </c>
      <c r="D98" s="0" t="n">
        <v>0</v>
      </c>
      <c r="F98" s="0" t="n">
        <v>4478</v>
      </c>
      <c r="G98" s="0" t="n">
        <v>23.75</v>
      </c>
      <c r="H98" s="0" t="n">
        <v>5.574</v>
      </c>
      <c r="I98" s="0" t="n">
        <v>0</v>
      </c>
      <c r="K98" s="0" t="n">
        <v>8884</v>
      </c>
      <c r="L98" s="0" t="n">
        <v>10.81</v>
      </c>
      <c r="M98" s="1" t="s">
        <v>14</v>
      </c>
    </row>
    <row r="99" customFormat="false" ht="13.8" hidden="false" customHeight="false" outlineLevel="0" collapsed="false">
      <c r="A99" s="0" t="n">
        <v>4546</v>
      </c>
      <c r="B99" s="0" t="n">
        <v>16.88</v>
      </c>
      <c r="C99" s="0" t="n">
        <v>4.3427666</v>
      </c>
      <c r="D99" s="0" t="n">
        <v>1600</v>
      </c>
      <c r="F99" s="0" t="n">
        <v>4546</v>
      </c>
      <c r="G99" s="0" t="n">
        <v>16.88</v>
      </c>
      <c r="H99" s="0" t="n">
        <v>4.3427666</v>
      </c>
      <c r="I99" s="0" t="n">
        <v>2600</v>
      </c>
      <c r="K99" s="0" t="n">
        <v>9378</v>
      </c>
      <c r="L99" s="0" t="n">
        <v>11.02</v>
      </c>
      <c r="M99" s="1" t="s">
        <v>12</v>
      </c>
    </row>
    <row r="100" customFormat="false" ht="13.8" hidden="false" customHeight="false" outlineLevel="0" collapsed="false">
      <c r="A100" s="0" t="n">
        <v>4547</v>
      </c>
      <c r="B100" s="0" t="n">
        <v>15.15</v>
      </c>
      <c r="C100" s="0" t="n">
        <v>3.8979</v>
      </c>
      <c r="D100" s="0" t="n">
        <v>700</v>
      </c>
      <c r="F100" s="0" t="n">
        <v>4547</v>
      </c>
      <c r="G100" s="0" t="n">
        <v>15.15</v>
      </c>
      <c r="H100" s="0" t="n">
        <v>3.8979</v>
      </c>
      <c r="I100" s="0" t="n">
        <v>3600</v>
      </c>
      <c r="K100" s="0" t="n">
        <v>9523</v>
      </c>
      <c r="L100" s="0" t="n">
        <v>6.7</v>
      </c>
      <c r="M100" s="1" t="s">
        <v>10</v>
      </c>
    </row>
    <row r="101" customFormat="false" ht="13.8" hidden="false" customHeight="false" outlineLevel="0" collapsed="false">
      <c r="A101" s="0" t="n">
        <v>4632</v>
      </c>
      <c r="B101" s="0" t="n">
        <v>401.01</v>
      </c>
      <c r="C101" s="0" t="n">
        <v>120.53393939</v>
      </c>
      <c r="D101" s="0" t="n">
        <v>0</v>
      </c>
      <c r="F101" s="0" t="n">
        <v>4632</v>
      </c>
      <c r="G101" s="0" t="n">
        <v>401.01</v>
      </c>
      <c r="H101" s="0" t="n">
        <v>120.53393939</v>
      </c>
      <c r="I101" s="0" t="n">
        <v>0</v>
      </c>
      <c r="K101" s="0" t="n">
        <v>9616</v>
      </c>
      <c r="L101" s="0" t="n">
        <v>3.81</v>
      </c>
      <c r="M101" s="1" t="s">
        <v>10</v>
      </c>
    </row>
    <row r="102" customFormat="false" ht="13.8" hidden="false" customHeight="false" outlineLevel="0" collapsed="false">
      <c r="A102" s="0" t="n">
        <v>4633</v>
      </c>
      <c r="B102" s="0" t="n">
        <v>26.77</v>
      </c>
      <c r="C102" s="0" t="n">
        <v>10.3199</v>
      </c>
      <c r="D102" s="0" t="n">
        <v>350</v>
      </c>
      <c r="F102" s="0" t="n">
        <v>4633</v>
      </c>
      <c r="G102" s="0" t="n">
        <v>26.77</v>
      </c>
      <c r="H102" s="0" t="n">
        <v>10.3199</v>
      </c>
      <c r="I102" s="0" t="n">
        <v>0</v>
      </c>
      <c r="K102" s="0" t="n">
        <v>9690</v>
      </c>
      <c r="L102" s="0" t="n">
        <v>5.03</v>
      </c>
      <c r="M102" s="1" t="s">
        <v>9</v>
      </c>
    </row>
    <row r="103" customFormat="false" ht="13.8" hidden="false" customHeight="false" outlineLevel="0" collapsed="false">
      <c r="A103" s="0" t="n">
        <v>4866</v>
      </c>
      <c r="B103" s="0" t="n">
        <v>19.13</v>
      </c>
      <c r="C103" s="0" t="n">
        <v>5.1586495</v>
      </c>
      <c r="D103" s="0" t="n">
        <v>0</v>
      </c>
      <c r="F103" s="0" t="n">
        <v>4866</v>
      </c>
      <c r="G103" s="0" t="n">
        <v>19.13</v>
      </c>
      <c r="H103" s="0" t="n">
        <v>5.1586495</v>
      </c>
      <c r="I103" s="0" t="n">
        <v>0</v>
      </c>
      <c r="K103" s="0" t="n">
        <v>9817</v>
      </c>
      <c r="L103" s="0" t="n">
        <v>15.83</v>
      </c>
      <c r="M103" s="1" t="s">
        <v>33</v>
      </c>
    </row>
    <row r="104" customFormat="false" ht="13.8" hidden="false" customHeight="false" outlineLevel="0" collapsed="false">
      <c r="A104" s="0" t="n">
        <v>5087</v>
      </c>
      <c r="B104" s="0" t="n">
        <v>12.89</v>
      </c>
      <c r="C104" s="0" t="n">
        <v>2.9661</v>
      </c>
      <c r="D104" s="0" t="n">
        <v>0</v>
      </c>
      <c r="F104" s="0" t="n">
        <v>5087</v>
      </c>
      <c r="G104" s="0" t="n">
        <v>12.89</v>
      </c>
      <c r="H104" s="0" t="n">
        <v>2.9661</v>
      </c>
      <c r="I104" s="0" t="n">
        <v>0</v>
      </c>
      <c r="K104" s="0" t="n">
        <v>9855</v>
      </c>
      <c r="L104" s="0" t="n">
        <v>3.24</v>
      </c>
      <c r="M104" s="1" t="s">
        <v>10</v>
      </c>
    </row>
    <row r="105" customFormat="false" ht="13.8" hidden="false" customHeight="false" outlineLevel="0" collapsed="false">
      <c r="A105" s="0" t="n">
        <v>5195</v>
      </c>
      <c r="B105" s="0" t="n">
        <v>14.88</v>
      </c>
      <c r="C105" s="0" t="n">
        <v>4.7034</v>
      </c>
      <c r="D105" s="0" t="n">
        <v>0</v>
      </c>
      <c r="F105" s="0" t="n">
        <v>5195</v>
      </c>
      <c r="G105" s="0" t="n">
        <v>14.88</v>
      </c>
      <c r="H105" s="0" t="n">
        <v>4.7034</v>
      </c>
      <c r="I105" s="0" t="n">
        <v>0</v>
      </c>
      <c r="K105" s="0" t="n">
        <v>10279</v>
      </c>
      <c r="L105" s="0" t="n">
        <v>13.35</v>
      </c>
      <c r="M105" s="1" t="s">
        <v>9</v>
      </c>
    </row>
    <row r="106" customFormat="false" ht="13.8" hidden="false" customHeight="false" outlineLevel="0" collapsed="false">
      <c r="A106" s="0" t="n">
        <v>5196</v>
      </c>
      <c r="B106" s="0" t="n">
        <v>21.2</v>
      </c>
      <c r="C106" s="0" t="n">
        <v>5.47611</v>
      </c>
      <c r="D106" s="0" t="n">
        <v>15400</v>
      </c>
      <c r="F106" s="0" t="n">
        <v>5196</v>
      </c>
      <c r="G106" s="0" t="n">
        <v>21.2</v>
      </c>
      <c r="H106" s="0" t="n">
        <v>5.47611</v>
      </c>
      <c r="I106" s="0" t="n">
        <v>0</v>
      </c>
      <c r="K106" s="0" t="n">
        <v>10367</v>
      </c>
      <c r="L106" s="0" t="n">
        <v>12.69</v>
      </c>
      <c r="M106" s="1" t="s">
        <v>14</v>
      </c>
    </row>
    <row r="107" customFormat="false" ht="13.8" hidden="false" customHeight="false" outlineLevel="0" collapsed="false">
      <c r="A107" s="0" t="n">
        <v>5197</v>
      </c>
      <c r="B107" s="0" t="n">
        <v>29.13</v>
      </c>
      <c r="C107" s="0" t="n">
        <v>8.2662</v>
      </c>
      <c r="D107" s="0" t="n">
        <v>300</v>
      </c>
      <c r="F107" s="0" t="n">
        <v>5197</v>
      </c>
      <c r="G107" s="0" t="n">
        <v>29.13</v>
      </c>
      <c r="H107" s="0" t="n">
        <v>8.2662</v>
      </c>
      <c r="I107" s="0" t="n">
        <v>0</v>
      </c>
      <c r="K107" s="0" t="n">
        <v>10514</v>
      </c>
      <c r="L107" s="0" t="n">
        <v>16.58</v>
      </c>
      <c r="M107" s="1" t="s">
        <v>9</v>
      </c>
    </row>
    <row r="108" customFormat="false" ht="13.8" hidden="false" customHeight="false" outlineLevel="0" collapsed="false">
      <c r="A108" s="0" t="n">
        <v>5198</v>
      </c>
      <c r="B108" s="0" t="n">
        <v>23.31</v>
      </c>
      <c r="C108" s="0" t="n">
        <v>6.6164666</v>
      </c>
      <c r="D108" s="0" t="n">
        <v>300</v>
      </c>
      <c r="F108" s="0" t="n">
        <v>5198</v>
      </c>
      <c r="G108" s="0" t="n">
        <v>23.31</v>
      </c>
      <c r="H108" s="0" t="n">
        <v>6.6164666</v>
      </c>
      <c r="I108" s="0" t="n">
        <v>0</v>
      </c>
      <c r="K108" s="0" t="n">
        <v>10521</v>
      </c>
      <c r="L108" s="0" t="n">
        <v>17.01</v>
      </c>
      <c r="M108" s="1" t="s">
        <v>14</v>
      </c>
    </row>
    <row r="109" customFormat="false" ht="13.8" hidden="false" customHeight="false" outlineLevel="0" collapsed="false">
      <c r="A109" s="0" t="n">
        <v>5356</v>
      </c>
      <c r="B109" s="0" t="n">
        <v>33.34</v>
      </c>
      <c r="C109" s="0" t="n">
        <v>8.659222</v>
      </c>
      <c r="D109" s="0" t="n">
        <v>1245</v>
      </c>
      <c r="F109" s="0" t="n">
        <v>5356</v>
      </c>
      <c r="G109" s="0" t="n">
        <v>33.34</v>
      </c>
      <c r="H109" s="0" t="n">
        <v>8.659222</v>
      </c>
      <c r="I109" s="0" t="n">
        <v>0</v>
      </c>
      <c r="K109" s="0" t="n">
        <v>10527</v>
      </c>
      <c r="L109" s="0" t="n">
        <v>10.76</v>
      </c>
      <c r="M109" s="1" t="s">
        <v>12</v>
      </c>
    </row>
    <row r="110" customFormat="false" ht="13.8" hidden="false" customHeight="false" outlineLevel="0" collapsed="false">
      <c r="A110" s="0" t="n">
        <v>5478</v>
      </c>
      <c r="B110" s="0" t="n">
        <v>124.85</v>
      </c>
      <c r="C110" s="0" t="n">
        <v>6.1017166</v>
      </c>
      <c r="D110" s="0" t="n">
        <v>3200</v>
      </c>
      <c r="F110" s="0" t="n">
        <v>5478</v>
      </c>
      <c r="G110" s="0" t="n">
        <v>124.85</v>
      </c>
      <c r="H110" s="0" t="n">
        <v>6.1017166</v>
      </c>
      <c r="I110" s="0" t="n">
        <v>700</v>
      </c>
      <c r="K110" s="0" t="n">
        <v>10529</v>
      </c>
      <c r="L110" s="0" t="n">
        <v>30.27</v>
      </c>
      <c r="M110" s="1" t="s">
        <v>10</v>
      </c>
    </row>
    <row r="111" customFormat="false" ht="13.8" hidden="false" customHeight="false" outlineLevel="0" collapsed="false">
      <c r="A111" s="0" t="n">
        <v>5479</v>
      </c>
      <c r="B111" s="0" t="n">
        <v>46.96</v>
      </c>
      <c r="C111" s="0" t="n">
        <v>3.838</v>
      </c>
      <c r="D111" s="0" t="n">
        <v>400</v>
      </c>
      <c r="F111" s="0" t="n">
        <v>5479</v>
      </c>
      <c r="G111" s="0" t="n">
        <v>46.96</v>
      </c>
      <c r="H111" s="0" t="n">
        <v>3.838</v>
      </c>
      <c r="I111" s="0" t="n">
        <v>400</v>
      </c>
      <c r="K111" s="0" t="n">
        <v>10530</v>
      </c>
      <c r="L111" s="0" t="n">
        <v>25.84</v>
      </c>
      <c r="M111" s="1" t="s">
        <v>7</v>
      </c>
    </row>
    <row r="112" customFormat="false" ht="13.8" hidden="false" customHeight="false" outlineLevel="0" collapsed="false">
      <c r="A112" s="0" t="n">
        <v>5572</v>
      </c>
      <c r="B112" s="0" t="n">
        <v>8.85</v>
      </c>
      <c r="C112" s="0" t="n">
        <v>2.4818</v>
      </c>
      <c r="D112" s="0" t="n">
        <v>0</v>
      </c>
      <c r="F112" s="0" t="n">
        <v>5572</v>
      </c>
      <c r="G112" s="0" t="n">
        <v>8.85</v>
      </c>
      <c r="H112" s="0" t="n">
        <v>2.4818</v>
      </c>
      <c r="I112" s="0" t="n">
        <v>0</v>
      </c>
      <c r="K112" s="0" t="n">
        <v>10674</v>
      </c>
      <c r="L112" s="0" t="n">
        <v>22.11</v>
      </c>
      <c r="M112" s="1" t="s">
        <v>13</v>
      </c>
    </row>
    <row r="113" customFormat="false" ht="13.8" hidden="false" customHeight="false" outlineLevel="0" collapsed="false">
      <c r="A113" s="0" t="n">
        <v>5573</v>
      </c>
      <c r="B113" s="0" t="n">
        <v>46.19</v>
      </c>
      <c r="C113" s="0" t="n">
        <v>3.849</v>
      </c>
      <c r="D113" s="0" t="n">
        <v>100</v>
      </c>
      <c r="F113" s="0" t="n">
        <v>5573</v>
      </c>
      <c r="G113" s="0" t="n">
        <v>46.19</v>
      </c>
      <c r="H113" s="0" t="n">
        <v>3.849</v>
      </c>
      <c r="I113" s="0" t="n">
        <v>400</v>
      </c>
      <c r="K113" s="0" t="n">
        <v>10675</v>
      </c>
      <c r="L113" s="0" t="n">
        <v>26.48</v>
      </c>
      <c r="M113" s="1" t="s">
        <v>10</v>
      </c>
    </row>
    <row r="114" customFormat="false" ht="13.8" hidden="false" customHeight="false" outlineLevel="0" collapsed="false">
      <c r="A114" s="0" t="n">
        <v>5609</v>
      </c>
      <c r="B114" s="0" t="n">
        <v>27.75</v>
      </c>
      <c r="C114" s="0" t="n">
        <v>3.46848</v>
      </c>
      <c r="D114" s="0" t="n">
        <v>700</v>
      </c>
      <c r="F114" s="0" t="n">
        <v>5609</v>
      </c>
      <c r="G114" s="0" t="n">
        <v>27.75</v>
      </c>
      <c r="H114" s="0" t="n">
        <v>3.46848</v>
      </c>
      <c r="I114" s="0" t="n">
        <v>1000</v>
      </c>
      <c r="K114" s="0" t="n">
        <v>10676</v>
      </c>
      <c r="L114" s="0" t="n">
        <v>33.48</v>
      </c>
      <c r="M114" s="1" t="s">
        <v>10</v>
      </c>
    </row>
    <row r="115" customFormat="false" ht="13.8" hidden="false" customHeight="false" outlineLevel="0" collapsed="false">
      <c r="A115" s="0" t="n">
        <v>5768</v>
      </c>
      <c r="B115" s="0" t="n">
        <v>29.87</v>
      </c>
      <c r="C115" s="0" t="n">
        <v>6.5841</v>
      </c>
      <c r="D115" s="0" t="n">
        <v>700</v>
      </c>
      <c r="F115" s="0" t="n">
        <v>5768</v>
      </c>
      <c r="G115" s="0" t="n">
        <v>29.87</v>
      </c>
      <c r="H115" s="0" t="n">
        <v>6.5841</v>
      </c>
      <c r="I115" s="0" t="n">
        <v>0</v>
      </c>
      <c r="K115" s="0" t="n">
        <v>10753</v>
      </c>
      <c r="L115" s="0" t="n">
        <v>6.55</v>
      </c>
      <c r="M115" s="1" t="s">
        <v>10</v>
      </c>
    </row>
    <row r="116" customFormat="false" ht="13.8" hidden="false" customHeight="false" outlineLevel="0" collapsed="false">
      <c r="A116" s="0" t="n">
        <v>5775</v>
      </c>
      <c r="B116" s="0" t="n">
        <v>37.91</v>
      </c>
      <c r="C116" s="0" t="n">
        <v>1.281633</v>
      </c>
      <c r="D116" s="0" t="n">
        <v>0</v>
      </c>
      <c r="F116" s="0" t="n">
        <v>5775</v>
      </c>
      <c r="G116" s="0" t="n">
        <v>37.91</v>
      </c>
      <c r="H116" s="0" t="n">
        <v>1.281633</v>
      </c>
      <c r="I116" s="0" t="n">
        <v>0</v>
      </c>
      <c r="K116" s="0" t="n">
        <v>10789</v>
      </c>
      <c r="L116" s="0" t="n">
        <v>3.61</v>
      </c>
      <c r="M116" s="1" t="s">
        <v>34</v>
      </c>
    </row>
    <row r="117" customFormat="false" ht="13.8" hidden="false" customHeight="false" outlineLevel="0" collapsed="false">
      <c r="A117" s="0" t="n">
        <v>5776</v>
      </c>
      <c r="B117" s="0" t="n">
        <v>75.8</v>
      </c>
      <c r="C117" s="0" t="n">
        <v>2.5622</v>
      </c>
      <c r="D117" s="0" t="n">
        <v>0</v>
      </c>
      <c r="F117" s="0" t="n">
        <v>5776</v>
      </c>
      <c r="G117" s="0" t="n">
        <v>75.8</v>
      </c>
      <c r="H117" s="0" t="n">
        <v>2.5622</v>
      </c>
      <c r="I117" s="0" t="n">
        <v>0</v>
      </c>
      <c r="K117" s="0" t="n">
        <v>10791</v>
      </c>
      <c r="L117" s="0" t="n">
        <v>18.67</v>
      </c>
      <c r="M117" s="1" t="s">
        <v>35</v>
      </c>
    </row>
    <row r="118" customFormat="false" ht="13.8" hidden="false" customHeight="false" outlineLevel="0" collapsed="false">
      <c r="A118" s="0" t="n">
        <v>5777</v>
      </c>
      <c r="B118" s="0" t="n">
        <v>41.9</v>
      </c>
      <c r="C118" s="0" t="n">
        <v>5.23795</v>
      </c>
      <c r="D118" s="0" t="n">
        <v>400</v>
      </c>
      <c r="F118" s="0" t="n">
        <v>5777</v>
      </c>
      <c r="G118" s="0" t="n">
        <v>41.9</v>
      </c>
      <c r="H118" s="0" t="n">
        <v>5.23795</v>
      </c>
      <c r="I118" s="0" t="n">
        <v>600</v>
      </c>
      <c r="K118" s="0" t="n">
        <v>10794</v>
      </c>
      <c r="L118" s="0" t="n">
        <v>4.51</v>
      </c>
      <c r="M118" s="1" t="s">
        <v>7</v>
      </c>
    </row>
    <row r="119" customFormat="false" ht="13.8" hidden="false" customHeight="false" outlineLevel="0" collapsed="false">
      <c r="A119" s="0" t="n">
        <v>5834</v>
      </c>
      <c r="B119" s="0" t="n">
        <v>12.78</v>
      </c>
      <c r="C119" s="0" t="n">
        <v>0.84643226</v>
      </c>
      <c r="D119" s="0" t="n">
        <v>0</v>
      </c>
      <c r="F119" s="0" t="n">
        <v>5834</v>
      </c>
      <c r="G119" s="0" t="n">
        <v>12.78</v>
      </c>
      <c r="H119" s="0" t="n">
        <v>0.84643226</v>
      </c>
      <c r="I119" s="0" t="n">
        <v>0</v>
      </c>
      <c r="K119" s="0" t="n">
        <v>10795</v>
      </c>
      <c r="L119" s="0" t="n">
        <v>16.44</v>
      </c>
      <c r="M119" s="1" t="s">
        <v>7</v>
      </c>
    </row>
    <row r="120" customFormat="false" ht="13.8" hidden="false" customHeight="false" outlineLevel="0" collapsed="false">
      <c r="A120" s="0" t="n">
        <v>5858</v>
      </c>
      <c r="B120" s="0" t="n">
        <v>77.46</v>
      </c>
      <c r="C120" s="0" t="n">
        <v>8.83322328</v>
      </c>
      <c r="D120" s="0" t="n">
        <v>300</v>
      </c>
      <c r="F120" s="0" t="n">
        <v>5858</v>
      </c>
      <c r="G120" s="0" t="n">
        <v>77.46</v>
      </c>
      <c r="H120" s="0" t="n">
        <v>8.83322328</v>
      </c>
      <c r="I120" s="0" t="n">
        <v>600</v>
      </c>
      <c r="K120" s="0" t="n">
        <v>10796</v>
      </c>
      <c r="L120" s="0" t="n">
        <v>5.56</v>
      </c>
      <c r="M120" s="1" t="s">
        <v>35</v>
      </c>
    </row>
    <row r="121" customFormat="false" ht="13.8" hidden="false" customHeight="false" outlineLevel="0" collapsed="false">
      <c r="A121" s="0" t="n">
        <v>5859</v>
      </c>
      <c r="B121" s="0" t="n">
        <v>34.17</v>
      </c>
      <c r="C121" s="0" t="n">
        <v>3.51375556</v>
      </c>
      <c r="D121" s="0" t="n">
        <v>4460</v>
      </c>
      <c r="F121" s="0" t="n">
        <v>5859</v>
      </c>
      <c r="G121" s="0" t="n">
        <v>34.17</v>
      </c>
      <c r="H121" s="0" t="n">
        <v>3.51375556</v>
      </c>
      <c r="I121" s="0" t="n">
        <v>0</v>
      </c>
      <c r="K121" s="0" t="n">
        <v>10797</v>
      </c>
      <c r="L121" s="0" t="n">
        <v>5.15</v>
      </c>
      <c r="M121" s="1" t="s">
        <v>17</v>
      </c>
    </row>
    <row r="122" customFormat="false" ht="13.8" hidden="false" customHeight="false" outlineLevel="0" collapsed="false">
      <c r="A122" s="0" t="n">
        <v>6055</v>
      </c>
      <c r="B122" s="0" t="n">
        <v>11.8</v>
      </c>
      <c r="C122" s="0" t="n">
        <v>8.16042917</v>
      </c>
      <c r="D122" s="0" t="n">
        <v>31316</v>
      </c>
      <c r="F122" s="0" t="n">
        <v>6055</v>
      </c>
      <c r="G122" s="0" t="n">
        <v>11.8</v>
      </c>
      <c r="H122" s="0" t="n">
        <v>8.16042917</v>
      </c>
      <c r="I122" s="0" t="n">
        <v>0</v>
      </c>
      <c r="K122" s="0" t="n">
        <v>10798</v>
      </c>
      <c r="L122" s="0" t="n">
        <v>4.8</v>
      </c>
      <c r="M122" s="1" t="s">
        <v>22</v>
      </c>
    </row>
    <row r="123" customFormat="false" ht="13.8" hidden="false" customHeight="false" outlineLevel="0" collapsed="false">
      <c r="A123" s="0" t="n">
        <v>6056</v>
      </c>
      <c r="B123" s="0" t="n">
        <v>135.56</v>
      </c>
      <c r="C123" s="0" t="n">
        <v>51.31</v>
      </c>
      <c r="D123" s="0" t="n">
        <v>15225</v>
      </c>
      <c r="F123" s="0" t="n">
        <v>6056</v>
      </c>
      <c r="G123" s="0" t="n">
        <v>135.56</v>
      </c>
      <c r="H123" s="0" t="n">
        <v>51.31</v>
      </c>
      <c r="I123" s="0" t="n">
        <v>0</v>
      </c>
      <c r="K123" s="0" t="n">
        <v>10799</v>
      </c>
      <c r="L123" s="0" t="n">
        <v>14.65</v>
      </c>
      <c r="M123" s="1" t="s">
        <v>35</v>
      </c>
    </row>
    <row r="124" customFormat="false" ht="13.8" hidden="false" customHeight="false" outlineLevel="0" collapsed="false">
      <c r="A124" s="0" t="n">
        <v>6144</v>
      </c>
      <c r="B124" s="0" t="n">
        <v>21.52</v>
      </c>
      <c r="C124" s="0" t="n">
        <v>6.3372</v>
      </c>
      <c r="D124" s="0" t="n">
        <v>0</v>
      </c>
      <c r="F124" s="0" t="n">
        <v>6144</v>
      </c>
      <c r="G124" s="0" t="n">
        <v>21.52</v>
      </c>
      <c r="H124" s="0" t="n">
        <v>6.3372</v>
      </c>
      <c r="I124" s="0" t="n">
        <v>0</v>
      </c>
      <c r="K124" s="0" t="n">
        <v>10800</v>
      </c>
      <c r="L124" s="0" t="n">
        <v>12.05</v>
      </c>
      <c r="M124" s="1" t="s">
        <v>35</v>
      </c>
    </row>
    <row r="125" customFormat="false" ht="13.8" hidden="false" customHeight="false" outlineLevel="0" collapsed="false">
      <c r="A125" s="0" t="n">
        <v>6431</v>
      </c>
      <c r="B125" s="0" t="n">
        <v>12.22</v>
      </c>
      <c r="C125" s="0" t="n">
        <v>0.8307</v>
      </c>
      <c r="D125" s="0" t="n">
        <v>0</v>
      </c>
      <c r="F125" s="0" t="n">
        <v>6431</v>
      </c>
      <c r="G125" s="0" t="n">
        <v>12.22</v>
      </c>
      <c r="H125" s="0" t="n">
        <v>0.8307</v>
      </c>
      <c r="I125" s="0" t="n">
        <v>0</v>
      </c>
      <c r="K125" s="0" t="n">
        <v>10801</v>
      </c>
      <c r="L125" s="0" t="n">
        <v>48.54</v>
      </c>
      <c r="M125" s="1" t="s">
        <v>30</v>
      </c>
    </row>
    <row r="126" customFormat="false" ht="13.8" hidden="false" customHeight="false" outlineLevel="0" collapsed="false">
      <c r="A126" s="0" t="n">
        <v>6432</v>
      </c>
      <c r="B126" s="0" t="n">
        <v>11.49</v>
      </c>
      <c r="C126" s="0" t="n">
        <v>1.163</v>
      </c>
      <c r="D126" s="0" t="n">
        <v>0</v>
      </c>
      <c r="F126" s="0" t="n">
        <v>6432</v>
      </c>
      <c r="G126" s="0" t="n">
        <v>11.49</v>
      </c>
      <c r="H126" s="0" t="n">
        <v>1.163</v>
      </c>
      <c r="I126" s="0" t="n">
        <v>0</v>
      </c>
      <c r="K126" s="0" t="n">
        <v>10802</v>
      </c>
      <c r="L126" s="0" t="n">
        <v>7.15</v>
      </c>
      <c r="M126" s="1" t="s">
        <v>35</v>
      </c>
    </row>
    <row r="127" customFormat="false" ht="13.8" hidden="false" customHeight="false" outlineLevel="0" collapsed="false">
      <c r="A127" s="0" t="n">
        <v>6529</v>
      </c>
      <c r="B127" s="0" t="n">
        <v>54.87</v>
      </c>
      <c r="C127" s="0" t="n">
        <v>7.32868333</v>
      </c>
      <c r="D127" s="0" t="n">
        <v>1000</v>
      </c>
      <c r="F127" s="0" t="n">
        <v>6529</v>
      </c>
      <c r="G127" s="0" t="n">
        <v>54.87</v>
      </c>
      <c r="H127" s="0" t="n">
        <v>7.32868333</v>
      </c>
      <c r="I127" s="0" t="n">
        <v>1500</v>
      </c>
      <c r="K127" s="0" t="n">
        <v>10803</v>
      </c>
      <c r="L127" s="0" t="n">
        <v>11.48</v>
      </c>
      <c r="M127" s="1" t="s">
        <v>35</v>
      </c>
    </row>
    <row r="128" customFormat="false" ht="13.8" hidden="false" customHeight="false" outlineLevel="0" collapsed="false">
      <c r="A128" s="0" t="n">
        <v>6662</v>
      </c>
      <c r="B128" s="0" t="n">
        <v>25.51</v>
      </c>
      <c r="C128" s="0" t="n">
        <v>1.306591</v>
      </c>
      <c r="D128" s="0" t="n">
        <v>0</v>
      </c>
      <c r="F128" s="0" t="n">
        <v>6662</v>
      </c>
      <c r="G128" s="0" t="n">
        <v>25.51</v>
      </c>
      <c r="H128" s="0" t="n">
        <v>1.306591</v>
      </c>
      <c r="I128" s="0" t="n">
        <v>149000</v>
      </c>
      <c r="K128" s="0" t="n">
        <v>10804</v>
      </c>
      <c r="L128" s="0" t="n">
        <v>7.84</v>
      </c>
      <c r="M128" s="1" t="s">
        <v>35</v>
      </c>
    </row>
    <row r="129" customFormat="false" ht="13.8" hidden="false" customHeight="false" outlineLevel="0" collapsed="false">
      <c r="A129" s="0" t="n">
        <v>6678</v>
      </c>
      <c r="B129" s="0" t="n">
        <v>17.6</v>
      </c>
      <c r="C129" s="0" t="n">
        <v>2.6292276</v>
      </c>
      <c r="D129" s="0" t="n">
        <v>2800</v>
      </c>
      <c r="F129" s="0" t="n">
        <v>6678</v>
      </c>
      <c r="G129" s="0" t="n">
        <v>17.6</v>
      </c>
      <c r="H129" s="0" t="n">
        <v>2.6292276</v>
      </c>
      <c r="I129" s="0" t="n">
        <v>9700</v>
      </c>
      <c r="K129" s="0" t="n">
        <v>10805</v>
      </c>
      <c r="L129" s="0" t="n">
        <v>5.99</v>
      </c>
      <c r="M129" s="1" t="s">
        <v>7</v>
      </c>
    </row>
    <row r="130" customFormat="false" ht="13.8" hidden="false" customHeight="false" outlineLevel="0" collapsed="false">
      <c r="A130" s="0" t="n">
        <v>6807</v>
      </c>
      <c r="B130" s="0" t="n">
        <v>36.63</v>
      </c>
      <c r="C130" s="0" t="n">
        <v>2.5889</v>
      </c>
      <c r="D130" s="0" t="n">
        <v>0</v>
      </c>
      <c r="F130" s="0" t="n">
        <v>6807</v>
      </c>
      <c r="G130" s="0" t="n">
        <v>36.63</v>
      </c>
      <c r="H130" s="0" t="n">
        <v>2.5889</v>
      </c>
      <c r="I130" s="0" t="n">
        <v>0</v>
      </c>
      <c r="K130" s="0" t="n">
        <v>10806</v>
      </c>
      <c r="L130" s="0" t="n">
        <v>8.82</v>
      </c>
      <c r="M130" s="1" t="s">
        <v>7</v>
      </c>
    </row>
    <row r="131" customFormat="false" ht="13.8" hidden="false" customHeight="false" outlineLevel="0" collapsed="false">
      <c r="A131" s="0" t="n">
        <v>6943</v>
      </c>
      <c r="B131" s="0" t="n">
        <v>36.73</v>
      </c>
      <c r="C131" s="0" t="n">
        <v>8.21375</v>
      </c>
      <c r="D131" s="0" t="n">
        <v>2880</v>
      </c>
      <c r="F131" s="0" t="n">
        <v>6943</v>
      </c>
      <c r="G131" s="0" t="n">
        <v>36.73</v>
      </c>
      <c r="H131" s="0" t="n">
        <v>8.21375</v>
      </c>
      <c r="I131" s="0" t="n">
        <v>0</v>
      </c>
      <c r="K131" s="0" t="n">
        <v>10807</v>
      </c>
      <c r="L131" s="0" t="n">
        <v>22.3</v>
      </c>
      <c r="M131" s="1" t="s">
        <v>7</v>
      </c>
    </row>
    <row r="132" customFormat="false" ht="13.8" hidden="false" customHeight="false" outlineLevel="0" collapsed="false">
      <c r="A132" s="0" t="n">
        <v>6944</v>
      </c>
      <c r="B132" s="0" t="n">
        <v>42.09</v>
      </c>
      <c r="C132" s="0" t="n">
        <v>1.75722873</v>
      </c>
      <c r="D132" s="0" t="n">
        <v>5500</v>
      </c>
      <c r="F132" s="0" t="n">
        <v>6944</v>
      </c>
      <c r="G132" s="0" t="n">
        <v>42.09</v>
      </c>
      <c r="H132" s="0" t="n">
        <v>1.75722873</v>
      </c>
      <c r="I132" s="0" t="n">
        <v>0</v>
      </c>
      <c r="K132" s="0" t="n">
        <v>10808</v>
      </c>
      <c r="L132" s="0" t="n">
        <v>8.11</v>
      </c>
      <c r="M132" s="1" t="s">
        <v>7</v>
      </c>
    </row>
    <row r="133" customFormat="false" ht="13.8" hidden="false" customHeight="false" outlineLevel="0" collapsed="false">
      <c r="A133" s="0" t="n">
        <v>6945</v>
      </c>
      <c r="B133" s="0" t="n">
        <v>12.27</v>
      </c>
      <c r="C133" s="0" t="n">
        <v>5.4521</v>
      </c>
      <c r="D133" s="0" t="n">
        <v>0</v>
      </c>
      <c r="F133" s="0" t="n">
        <v>6945</v>
      </c>
      <c r="G133" s="0" t="n">
        <v>12.27</v>
      </c>
      <c r="H133" s="0" t="n">
        <v>5.4521</v>
      </c>
      <c r="I133" s="0" t="n">
        <v>0</v>
      </c>
      <c r="K133" s="0" t="n">
        <v>10809</v>
      </c>
      <c r="L133" s="0" t="n">
        <v>16.64</v>
      </c>
      <c r="M133" s="1" t="s">
        <v>35</v>
      </c>
    </row>
    <row r="134" customFormat="false" ht="13.8" hidden="false" customHeight="false" outlineLevel="0" collapsed="false">
      <c r="A134" s="0" t="n">
        <v>7579</v>
      </c>
      <c r="B134" s="0" t="n">
        <v>44.81</v>
      </c>
      <c r="C134" s="0" t="n">
        <v>5.2791</v>
      </c>
      <c r="D134" s="0" t="n">
        <v>0</v>
      </c>
      <c r="F134" s="0" t="n">
        <v>7579</v>
      </c>
      <c r="G134" s="0" t="n">
        <v>44.81</v>
      </c>
      <c r="H134" s="0" t="n">
        <v>5.2791</v>
      </c>
      <c r="I134" s="0" t="n">
        <v>0</v>
      </c>
      <c r="K134" s="0" t="n">
        <v>10810</v>
      </c>
      <c r="L134" s="0" t="n">
        <v>7.62</v>
      </c>
      <c r="M134" s="1" t="s">
        <v>35</v>
      </c>
    </row>
    <row r="135" customFormat="false" ht="13.8" hidden="false" customHeight="false" outlineLevel="0" collapsed="false">
      <c r="A135" s="0" t="n">
        <v>7580</v>
      </c>
      <c r="B135" s="0" t="n">
        <v>11.99</v>
      </c>
      <c r="C135" s="0" t="n">
        <v>3.9041676</v>
      </c>
      <c r="D135" s="0" t="n">
        <v>0</v>
      </c>
      <c r="F135" s="0" t="n">
        <v>7580</v>
      </c>
      <c r="G135" s="0" t="n">
        <v>11.99</v>
      </c>
      <c r="H135" s="0" t="n">
        <v>3.9041676</v>
      </c>
      <c r="I135" s="0" t="n">
        <v>2800</v>
      </c>
      <c r="K135" s="0" t="n">
        <v>10811</v>
      </c>
      <c r="L135" s="0" t="n">
        <v>11.91</v>
      </c>
      <c r="M135" s="1" t="s">
        <v>7</v>
      </c>
    </row>
    <row r="136" customFormat="false" ht="13.8" hidden="false" customHeight="false" outlineLevel="0" collapsed="false">
      <c r="A136" s="0" t="n">
        <v>7617</v>
      </c>
      <c r="B136" s="0" t="n">
        <v>60.31</v>
      </c>
      <c r="C136" s="0" t="n">
        <v>12.451</v>
      </c>
      <c r="D136" s="0" t="n">
        <v>2600</v>
      </c>
      <c r="F136" s="0" t="n">
        <v>7617</v>
      </c>
      <c r="G136" s="0" t="n">
        <v>60.31</v>
      </c>
      <c r="H136" s="0" t="n">
        <v>12.451</v>
      </c>
      <c r="I136" s="0" t="n">
        <v>0</v>
      </c>
      <c r="K136" s="0" t="n">
        <v>10812</v>
      </c>
      <c r="L136" s="0" t="n">
        <v>20.29</v>
      </c>
      <c r="M136" s="1" t="s">
        <v>35</v>
      </c>
    </row>
    <row r="137" customFormat="false" ht="13.8" hidden="false" customHeight="false" outlineLevel="0" collapsed="false">
      <c r="A137" s="0" t="n">
        <v>8415</v>
      </c>
      <c r="B137" s="0" t="n">
        <v>16.72</v>
      </c>
      <c r="C137" s="0" t="n">
        <v>1.130666</v>
      </c>
      <c r="D137" s="0" t="n">
        <v>0</v>
      </c>
      <c r="F137" s="0" t="n">
        <v>8415</v>
      </c>
      <c r="G137" s="0" t="n">
        <v>16.72</v>
      </c>
      <c r="H137" s="0" t="n">
        <v>1.130666</v>
      </c>
      <c r="I137" s="0" t="n">
        <v>0</v>
      </c>
      <c r="K137" s="0" t="n">
        <v>10813</v>
      </c>
      <c r="L137" s="0" t="n">
        <v>38.38</v>
      </c>
      <c r="M137" s="1" t="s">
        <v>35</v>
      </c>
    </row>
    <row r="138" customFormat="false" ht="13.8" hidden="false" customHeight="false" outlineLevel="0" collapsed="false">
      <c r="A138" s="0" t="n">
        <v>8416</v>
      </c>
      <c r="B138" s="0" t="n">
        <v>84.2</v>
      </c>
      <c r="C138" s="0" t="n">
        <v>13.356609</v>
      </c>
      <c r="D138" s="0" t="n">
        <v>16000</v>
      </c>
      <c r="F138" s="0" t="n">
        <v>8416</v>
      </c>
      <c r="G138" s="0" t="n">
        <v>84.2</v>
      </c>
      <c r="H138" s="0" t="n">
        <v>13.356609</v>
      </c>
      <c r="I138" s="0" t="n">
        <v>0</v>
      </c>
      <c r="K138" s="0" t="n">
        <v>10814</v>
      </c>
      <c r="L138" s="0" t="n">
        <v>6.97</v>
      </c>
      <c r="M138" s="1" t="s">
        <v>7</v>
      </c>
    </row>
    <row r="139" customFormat="false" ht="13.8" hidden="false" customHeight="false" outlineLevel="0" collapsed="false">
      <c r="A139" s="0" t="n">
        <v>8417</v>
      </c>
      <c r="B139" s="0" t="n">
        <v>54.74</v>
      </c>
      <c r="C139" s="0" t="n">
        <v>10.25514167</v>
      </c>
      <c r="D139" s="0" t="n">
        <v>0</v>
      </c>
      <c r="F139" s="0" t="n">
        <v>8417</v>
      </c>
      <c r="G139" s="0" t="n">
        <v>54.74</v>
      </c>
      <c r="H139" s="0" t="n">
        <v>10.25514167</v>
      </c>
      <c r="I139" s="0" t="n">
        <v>10500</v>
      </c>
      <c r="K139" s="0" t="n">
        <v>10815</v>
      </c>
      <c r="L139" s="0" t="n">
        <v>11.37</v>
      </c>
      <c r="M139" s="1" t="s">
        <v>7</v>
      </c>
    </row>
    <row r="140" customFormat="false" ht="13.8" hidden="false" customHeight="false" outlineLevel="0" collapsed="false">
      <c r="A140" s="0" t="n">
        <v>8418</v>
      </c>
      <c r="B140" s="0" t="n">
        <v>42.52</v>
      </c>
      <c r="C140" s="0" t="n">
        <v>10.56775</v>
      </c>
      <c r="D140" s="0" t="n">
        <v>480</v>
      </c>
      <c r="F140" s="0" t="n">
        <v>8418</v>
      </c>
      <c r="G140" s="0" t="n">
        <v>42.52</v>
      </c>
      <c r="H140" s="0" t="n">
        <v>10.56775</v>
      </c>
      <c r="I140" s="0" t="n">
        <v>630</v>
      </c>
      <c r="K140" s="0" t="n">
        <v>10816</v>
      </c>
      <c r="L140" s="0" t="n">
        <v>6.9</v>
      </c>
      <c r="M140" s="1" t="s">
        <v>6</v>
      </c>
    </row>
    <row r="141" customFormat="false" ht="13.8" hidden="false" customHeight="false" outlineLevel="0" collapsed="false">
      <c r="A141" s="0" t="n">
        <v>8419</v>
      </c>
      <c r="B141" s="0" t="n">
        <v>39.3</v>
      </c>
      <c r="C141" s="0" t="n">
        <v>0</v>
      </c>
      <c r="D141" s="0" t="n">
        <v>0</v>
      </c>
      <c r="F141" s="0" t="n">
        <v>8419</v>
      </c>
      <c r="G141" s="0" t="n">
        <v>39.3</v>
      </c>
      <c r="H141" s="0" t="n">
        <v>0</v>
      </c>
      <c r="I141" s="0" t="n">
        <v>0</v>
      </c>
      <c r="K141" s="0" t="n">
        <v>10817</v>
      </c>
      <c r="L141" s="0" t="n">
        <v>8.39</v>
      </c>
      <c r="M141" s="1" t="s">
        <v>13</v>
      </c>
    </row>
    <row r="142" customFormat="false" ht="13.8" hidden="false" customHeight="false" outlineLevel="0" collapsed="false">
      <c r="A142" s="0" t="n">
        <v>8420</v>
      </c>
      <c r="B142" s="0" t="n">
        <v>15.92</v>
      </c>
      <c r="C142" s="0" t="n">
        <v>0.9826</v>
      </c>
      <c r="D142" s="0" t="n">
        <v>0</v>
      </c>
      <c r="F142" s="0" t="n">
        <v>8420</v>
      </c>
      <c r="G142" s="0" t="n">
        <v>15.92</v>
      </c>
      <c r="H142" s="0" t="n">
        <v>0.9826</v>
      </c>
      <c r="I142" s="0" t="n">
        <v>0</v>
      </c>
      <c r="K142" s="0" t="n">
        <v>10818</v>
      </c>
      <c r="L142" s="0" t="n">
        <v>19.83</v>
      </c>
      <c r="M142" s="1" t="s">
        <v>35</v>
      </c>
    </row>
    <row r="143" customFormat="false" ht="13.8" hidden="false" customHeight="false" outlineLevel="0" collapsed="false">
      <c r="A143" s="0" t="n">
        <v>8421</v>
      </c>
      <c r="B143" s="0" t="n">
        <v>32.6</v>
      </c>
      <c r="C143" s="0" t="n">
        <v>1.92875</v>
      </c>
      <c r="D143" s="0" t="n">
        <v>0</v>
      </c>
      <c r="F143" s="0" t="n">
        <v>8421</v>
      </c>
      <c r="G143" s="0" t="n">
        <v>32.6</v>
      </c>
      <c r="H143" s="0" t="n">
        <v>1.92875</v>
      </c>
      <c r="I143" s="0" t="n">
        <v>0</v>
      </c>
      <c r="K143" s="0" t="n">
        <v>10819</v>
      </c>
      <c r="L143" s="0" t="n">
        <v>39.67</v>
      </c>
      <c r="M143" s="1" t="s">
        <v>7</v>
      </c>
    </row>
    <row r="144" customFormat="false" ht="13.8" hidden="false" customHeight="false" outlineLevel="0" collapsed="false">
      <c r="A144" s="0" t="n">
        <v>8422</v>
      </c>
      <c r="B144" s="0" t="n">
        <v>42.74</v>
      </c>
      <c r="C144" s="0" t="n">
        <v>7.5555</v>
      </c>
      <c r="D144" s="0" t="n">
        <v>0</v>
      </c>
      <c r="F144" s="0" t="n">
        <v>8422</v>
      </c>
      <c r="G144" s="0" t="n">
        <v>42.74</v>
      </c>
      <c r="H144" s="0" t="n">
        <v>7.5555</v>
      </c>
      <c r="I144" s="0" t="n">
        <v>0</v>
      </c>
      <c r="K144" s="0" t="n">
        <v>10820</v>
      </c>
      <c r="L144" s="0" t="n">
        <v>13.48</v>
      </c>
      <c r="M144" s="1" t="s">
        <v>7</v>
      </c>
    </row>
    <row r="145" customFormat="false" ht="13.8" hidden="false" customHeight="false" outlineLevel="0" collapsed="false">
      <c r="A145" s="0" t="n">
        <v>8423</v>
      </c>
      <c r="B145" s="0" t="n">
        <v>35.55</v>
      </c>
      <c r="C145" s="0" t="n">
        <v>5.3692</v>
      </c>
      <c r="D145" s="0" t="n">
        <v>0</v>
      </c>
      <c r="F145" s="0" t="n">
        <v>8423</v>
      </c>
      <c r="G145" s="0" t="n">
        <v>35.55</v>
      </c>
      <c r="H145" s="0" t="n">
        <v>5.3692</v>
      </c>
      <c r="I145" s="0" t="n">
        <v>0</v>
      </c>
      <c r="K145" s="0" t="n">
        <v>10833</v>
      </c>
      <c r="L145" s="0" t="n">
        <v>16.9</v>
      </c>
      <c r="M145" s="1" t="s">
        <v>36</v>
      </c>
    </row>
    <row r="146" customFormat="false" ht="13.8" hidden="false" customHeight="false" outlineLevel="0" collapsed="false">
      <c r="A146" s="0" t="n">
        <v>8541</v>
      </c>
      <c r="B146" s="0" t="n">
        <v>20.35</v>
      </c>
      <c r="C146" s="0" t="n">
        <v>2.73002379</v>
      </c>
      <c r="D146" s="0" t="n">
        <v>8000</v>
      </c>
      <c r="F146" s="0" t="n">
        <v>8541</v>
      </c>
      <c r="G146" s="0" t="n">
        <v>20.35</v>
      </c>
      <c r="H146" s="0" t="n">
        <v>2.73002379</v>
      </c>
      <c r="I146" s="0" t="n">
        <v>41669</v>
      </c>
      <c r="K146" s="0" t="n">
        <v>10834</v>
      </c>
      <c r="L146" s="0" t="n">
        <v>36.13</v>
      </c>
      <c r="M146" s="1" t="s">
        <v>25</v>
      </c>
    </row>
    <row r="147" customFormat="false" ht="13.8" hidden="false" customHeight="false" outlineLevel="0" collapsed="false">
      <c r="A147" s="0" t="n">
        <v>8847</v>
      </c>
      <c r="B147" s="0" t="n">
        <v>22.45</v>
      </c>
      <c r="C147" s="0" t="n">
        <v>4.80967407</v>
      </c>
      <c r="D147" s="0" t="n">
        <v>2295</v>
      </c>
      <c r="F147" s="0" t="n">
        <v>8847</v>
      </c>
      <c r="G147" s="0" t="n">
        <v>22.45</v>
      </c>
      <c r="H147" s="0" t="n">
        <v>4.80967407</v>
      </c>
      <c r="I147" s="0" t="n">
        <v>2025</v>
      </c>
      <c r="K147" s="0" t="n">
        <v>10845</v>
      </c>
      <c r="L147" s="0" t="n">
        <v>8.53</v>
      </c>
      <c r="M147" s="1" t="s">
        <v>15</v>
      </c>
    </row>
    <row r="148" customFormat="false" ht="13.8" hidden="false" customHeight="false" outlineLevel="0" collapsed="false">
      <c r="A148" s="0" t="n">
        <v>8848</v>
      </c>
      <c r="B148" s="0" t="n">
        <v>13.43</v>
      </c>
      <c r="C148" s="0" t="n">
        <v>3.45025</v>
      </c>
      <c r="D148" s="0" t="n">
        <v>0</v>
      </c>
      <c r="F148" s="0" t="n">
        <v>8848</v>
      </c>
      <c r="G148" s="0" t="n">
        <v>13.43</v>
      </c>
      <c r="H148" s="0" t="n">
        <v>3.45025</v>
      </c>
      <c r="I148" s="0" t="n">
        <v>0</v>
      </c>
      <c r="K148" s="0" t="n">
        <v>10846</v>
      </c>
      <c r="L148" s="0" t="n">
        <v>14.19</v>
      </c>
      <c r="M148" s="1" t="s">
        <v>31</v>
      </c>
    </row>
    <row r="149" customFormat="false" ht="13.8" hidden="false" customHeight="false" outlineLevel="0" collapsed="false">
      <c r="A149" s="0" t="n">
        <v>8849</v>
      </c>
      <c r="B149" s="0" t="n">
        <v>30.66</v>
      </c>
      <c r="C149" s="0" t="n">
        <v>3.64794117</v>
      </c>
      <c r="D149" s="0" t="n">
        <v>0</v>
      </c>
      <c r="F149" s="0" t="n">
        <v>8849</v>
      </c>
      <c r="G149" s="0" t="n">
        <v>30.66</v>
      </c>
      <c r="H149" s="0" t="n">
        <v>3.64794117</v>
      </c>
      <c r="I149" s="0" t="n">
        <v>0</v>
      </c>
      <c r="K149" s="0" t="n">
        <v>11392</v>
      </c>
      <c r="L149" s="0" t="n">
        <v>8.92</v>
      </c>
      <c r="M149" s="1" t="s">
        <v>9</v>
      </c>
    </row>
    <row r="150" customFormat="false" ht="13.8" hidden="false" customHeight="false" outlineLevel="0" collapsed="false">
      <c r="A150" s="0" t="n">
        <v>8850</v>
      </c>
      <c r="B150" s="0" t="n">
        <v>56.24</v>
      </c>
      <c r="C150" s="0" t="n">
        <v>4.5804315</v>
      </c>
      <c r="D150" s="0" t="n">
        <v>900</v>
      </c>
      <c r="F150" s="0" t="n">
        <v>8850</v>
      </c>
      <c r="G150" s="0" t="n">
        <v>56.24</v>
      </c>
      <c r="H150" s="0" t="n">
        <v>4.5804315</v>
      </c>
      <c r="I150" s="0" t="n">
        <v>500</v>
      </c>
      <c r="K150" s="0" t="n">
        <v>11414</v>
      </c>
      <c r="L150" s="0" t="n">
        <v>18.32</v>
      </c>
      <c r="M150" s="1" t="s">
        <v>11</v>
      </c>
    </row>
    <row r="151" customFormat="false" ht="13.8" hidden="false" customHeight="false" outlineLevel="0" collapsed="false">
      <c r="A151" s="0" t="n">
        <v>8851</v>
      </c>
      <c r="B151" s="0" t="n">
        <v>109.74</v>
      </c>
      <c r="C151" s="0" t="n">
        <v>12.5785</v>
      </c>
      <c r="D151" s="0" t="n">
        <v>2600</v>
      </c>
      <c r="F151" s="0" t="n">
        <v>8851</v>
      </c>
      <c r="G151" s="0" t="n">
        <v>109.74</v>
      </c>
      <c r="H151" s="0" t="n">
        <v>12.5785</v>
      </c>
      <c r="I151" s="0" t="n">
        <v>400</v>
      </c>
      <c r="K151" s="0" t="n">
        <v>11415</v>
      </c>
      <c r="L151" s="0" t="n">
        <v>29.82</v>
      </c>
      <c r="M151" s="1" t="s">
        <v>22</v>
      </c>
    </row>
    <row r="152" customFormat="false" ht="13.8" hidden="false" customHeight="false" outlineLevel="0" collapsed="false">
      <c r="A152" s="0" t="n">
        <v>8855</v>
      </c>
      <c r="B152" s="0" t="n">
        <v>55.98</v>
      </c>
      <c r="C152" s="0" t="n">
        <v>6.6616129</v>
      </c>
      <c r="D152" s="0" t="n">
        <v>0</v>
      </c>
      <c r="F152" s="0" t="n">
        <v>8855</v>
      </c>
      <c r="G152" s="0" t="n">
        <v>55.98</v>
      </c>
      <c r="H152" s="0" t="n">
        <v>6.6616129</v>
      </c>
      <c r="I152" s="0" t="n">
        <v>0</v>
      </c>
      <c r="K152" s="0" t="n">
        <v>11528</v>
      </c>
      <c r="L152" s="0" t="n">
        <v>3.05</v>
      </c>
      <c r="M152" s="1" t="s">
        <v>14</v>
      </c>
    </row>
    <row r="153" customFormat="false" ht="13.8" hidden="false" customHeight="false" outlineLevel="0" collapsed="false">
      <c r="A153" s="0" t="n">
        <v>8880</v>
      </c>
      <c r="B153" s="0" t="n">
        <v>276.6</v>
      </c>
      <c r="C153" s="0" t="n">
        <v>7.1378</v>
      </c>
      <c r="D153" s="0" t="n">
        <v>7466</v>
      </c>
      <c r="F153" s="0" t="n">
        <v>8880</v>
      </c>
      <c r="G153" s="0" t="n">
        <v>276.6</v>
      </c>
      <c r="H153" s="0" t="n">
        <v>7.1378</v>
      </c>
      <c r="I153" s="0" t="n">
        <v>11920</v>
      </c>
      <c r="K153" s="0" t="n">
        <v>11697</v>
      </c>
      <c r="L153" s="0" t="n">
        <v>13.4</v>
      </c>
      <c r="M153" s="1" t="s">
        <v>9</v>
      </c>
    </row>
    <row r="154" customFormat="false" ht="13.8" hidden="false" customHeight="false" outlineLevel="0" collapsed="false">
      <c r="A154" s="0" t="n">
        <v>8881</v>
      </c>
      <c r="B154" s="0" t="n">
        <v>71.96</v>
      </c>
      <c r="C154" s="0" t="n">
        <v>0.85</v>
      </c>
      <c r="D154" s="0" t="n">
        <v>0</v>
      </c>
      <c r="F154" s="0" t="n">
        <v>8881</v>
      </c>
      <c r="G154" s="0" t="n">
        <v>71.96</v>
      </c>
      <c r="H154" s="0" t="n">
        <v>0.85</v>
      </c>
      <c r="I154" s="0" t="n">
        <v>0</v>
      </c>
      <c r="K154" s="0" t="n">
        <v>11901</v>
      </c>
      <c r="L154" s="0" t="n">
        <v>51.37</v>
      </c>
      <c r="M154" s="1" t="s">
        <v>37</v>
      </c>
    </row>
    <row r="155" customFormat="false" ht="13.8" hidden="false" customHeight="false" outlineLevel="0" collapsed="false">
      <c r="A155" s="0" t="n">
        <v>8882</v>
      </c>
      <c r="B155" s="0" t="n">
        <v>54.23</v>
      </c>
      <c r="C155" s="0" t="n">
        <v>26.585916</v>
      </c>
      <c r="D155" s="0" t="n">
        <v>4080</v>
      </c>
      <c r="F155" s="0" t="n">
        <v>8882</v>
      </c>
      <c r="G155" s="0" t="n">
        <v>54.23</v>
      </c>
      <c r="H155" s="0" t="n">
        <v>26.585916</v>
      </c>
      <c r="I155" s="0" t="n">
        <v>0</v>
      </c>
      <c r="K155" s="0" t="n">
        <v>11952</v>
      </c>
      <c r="L155" s="0" t="n">
        <v>4.51</v>
      </c>
      <c r="M155" s="1" t="s">
        <v>9</v>
      </c>
    </row>
    <row r="156" customFormat="false" ht="13.8" hidden="false" customHeight="false" outlineLevel="0" collapsed="false">
      <c r="A156" s="0" t="n">
        <v>8883</v>
      </c>
      <c r="B156" s="0" t="n">
        <v>48.6</v>
      </c>
      <c r="C156" s="0" t="n">
        <v>9.19630433</v>
      </c>
      <c r="D156" s="0" t="n">
        <v>6900</v>
      </c>
      <c r="F156" s="0" t="n">
        <v>8883</v>
      </c>
      <c r="G156" s="0" t="n">
        <v>48.6</v>
      </c>
      <c r="H156" s="0" t="n">
        <v>9.19630433</v>
      </c>
      <c r="I156" s="0" t="n">
        <v>0</v>
      </c>
      <c r="K156" s="0" t="n">
        <v>12134</v>
      </c>
      <c r="L156" s="0" t="n">
        <v>17.17</v>
      </c>
      <c r="M156" s="1" t="s">
        <v>9</v>
      </c>
    </row>
    <row r="157" customFormat="false" ht="13.8" hidden="false" customHeight="false" outlineLevel="0" collapsed="false">
      <c r="A157" s="0" t="n">
        <v>8884</v>
      </c>
      <c r="B157" s="0" t="n">
        <v>58.37</v>
      </c>
      <c r="C157" s="0" t="n">
        <v>10.8076</v>
      </c>
      <c r="D157" s="0" t="n">
        <v>3300</v>
      </c>
      <c r="F157" s="0" t="n">
        <v>8884</v>
      </c>
      <c r="G157" s="0" t="n">
        <v>58.37</v>
      </c>
      <c r="H157" s="0" t="n">
        <v>10.8076</v>
      </c>
      <c r="I157" s="0" t="n">
        <v>0</v>
      </c>
      <c r="K157" s="0" t="n">
        <v>12135</v>
      </c>
      <c r="L157" s="0" t="n">
        <v>15.56</v>
      </c>
      <c r="M157" s="1" t="s">
        <v>14</v>
      </c>
    </row>
    <row r="158" customFormat="false" ht="13.8" hidden="false" customHeight="false" outlineLevel="0" collapsed="false">
      <c r="A158" s="0" t="n">
        <v>8885</v>
      </c>
      <c r="B158" s="0" t="n">
        <v>56.88</v>
      </c>
      <c r="C158" s="0" t="n">
        <v>0</v>
      </c>
      <c r="D158" s="0" t="n">
        <v>0</v>
      </c>
      <c r="F158" s="0" t="n">
        <v>8885</v>
      </c>
      <c r="G158" s="0" t="n">
        <v>56.88</v>
      </c>
      <c r="H158" s="0" t="n">
        <v>0</v>
      </c>
      <c r="I158" s="0" t="n">
        <v>0</v>
      </c>
      <c r="K158" s="0" t="n">
        <v>12235</v>
      </c>
      <c r="L158" s="0" t="n">
        <v>19.94</v>
      </c>
      <c r="M158" s="1" t="s">
        <v>35</v>
      </c>
    </row>
    <row r="159" customFormat="false" ht="13.8" hidden="false" customHeight="false" outlineLevel="0" collapsed="false">
      <c r="A159" s="0" t="n">
        <v>9339</v>
      </c>
      <c r="B159" s="0" t="n">
        <v>124.44</v>
      </c>
      <c r="C159" s="0" t="n">
        <v>6.23398</v>
      </c>
      <c r="D159" s="0" t="n">
        <v>0</v>
      </c>
      <c r="F159" s="0" t="n">
        <v>9339</v>
      </c>
      <c r="G159" s="0" t="n">
        <v>124.44</v>
      </c>
      <c r="H159" s="0" t="n">
        <v>6.23398</v>
      </c>
      <c r="I159" s="0" t="n">
        <v>0</v>
      </c>
      <c r="K159" s="0" t="n">
        <v>12236</v>
      </c>
      <c r="L159" s="0" t="n">
        <v>30.36</v>
      </c>
      <c r="M159" s="1" t="s">
        <v>13</v>
      </c>
    </row>
    <row r="160" customFormat="false" ht="13.8" hidden="false" customHeight="false" outlineLevel="0" collapsed="false">
      <c r="A160" s="0" t="n">
        <v>9378</v>
      </c>
      <c r="B160" s="0" t="n">
        <v>106.76</v>
      </c>
      <c r="C160" s="0" t="n">
        <v>13.91393136</v>
      </c>
      <c r="D160" s="0" t="n">
        <v>100</v>
      </c>
      <c r="F160" s="0" t="n">
        <v>9378</v>
      </c>
      <c r="G160" s="0" t="n">
        <v>106.76</v>
      </c>
      <c r="H160" s="0" t="n">
        <v>13.91393136</v>
      </c>
      <c r="I160" s="0" t="n">
        <v>700</v>
      </c>
      <c r="K160" s="0" t="n">
        <v>12237</v>
      </c>
      <c r="L160" s="0" t="n">
        <v>16.09</v>
      </c>
      <c r="M160" s="1" t="s">
        <v>7</v>
      </c>
    </row>
    <row r="161" customFormat="false" ht="13.8" hidden="false" customHeight="false" outlineLevel="0" collapsed="false">
      <c r="A161" s="0" t="n">
        <v>9523</v>
      </c>
      <c r="B161" s="0" t="n">
        <v>29.34</v>
      </c>
      <c r="C161" s="0" t="n">
        <v>6.101364</v>
      </c>
      <c r="D161" s="0" t="n">
        <v>2769</v>
      </c>
      <c r="F161" s="0" t="n">
        <v>9523</v>
      </c>
      <c r="G161" s="0" t="n">
        <v>29.34</v>
      </c>
      <c r="H161" s="0" t="n">
        <v>6.101364</v>
      </c>
      <c r="I161" s="0" t="n">
        <v>9700</v>
      </c>
      <c r="K161" s="0" t="n">
        <v>12239</v>
      </c>
      <c r="L161" s="0" t="n">
        <v>7.08</v>
      </c>
      <c r="M161" s="1" t="s">
        <v>12</v>
      </c>
    </row>
    <row r="162" customFormat="false" ht="13.8" hidden="false" customHeight="false" outlineLevel="0" collapsed="false">
      <c r="A162" s="0" t="n">
        <v>9615</v>
      </c>
      <c r="B162" s="0" t="n">
        <v>35.98</v>
      </c>
      <c r="C162" s="0" t="n">
        <v>1.3547</v>
      </c>
      <c r="D162" s="0" t="n">
        <v>0</v>
      </c>
      <c r="F162" s="0" t="n">
        <v>9615</v>
      </c>
      <c r="G162" s="0" t="n">
        <v>35.98</v>
      </c>
      <c r="H162" s="0" t="n">
        <v>1.3547</v>
      </c>
      <c r="I162" s="0" t="n">
        <v>0</v>
      </c>
      <c r="K162" s="0" t="n">
        <v>12389</v>
      </c>
      <c r="L162" s="0" t="n">
        <v>2.89</v>
      </c>
      <c r="M162" s="1" t="s">
        <v>21</v>
      </c>
    </row>
    <row r="163" customFormat="false" ht="13.8" hidden="false" customHeight="false" outlineLevel="0" collapsed="false">
      <c r="A163" s="0" t="n">
        <v>9616</v>
      </c>
      <c r="B163" s="0" t="n">
        <v>147.5</v>
      </c>
      <c r="C163" s="0" t="n">
        <v>3.8063</v>
      </c>
      <c r="D163" s="0" t="n">
        <v>4200</v>
      </c>
      <c r="F163" s="0" t="n">
        <v>9616</v>
      </c>
      <c r="G163" s="0" t="n">
        <v>147.5</v>
      </c>
      <c r="H163" s="0" t="n">
        <v>3.8063</v>
      </c>
      <c r="I163" s="0" t="n">
        <v>20300</v>
      </c>
      <c r="K163" s="0" t="n">
        <v>12390</v>
      </c>
      <c r="L163" s="0" t="n">
        <v>7.44</v>
      </c>
      <c r="M163" s="1" t="s">
        <v>38</v>
      </c>
    </row>
    <row r="164" customFormat="false" ht="13.8" hidden="false" customHeight="false" outlineLevel="0" collapsed="false">
      <c r="A164" s="0" t="n">
        <v>9690</v>
      </c>
      <c r="B164" s="0" t="n">
        <v>26.6</v>
      </c>
      <c r="C164" s="0" t="n">
        <v>5.033633</v>
      </c>
      <c r="D164" s="0" t="n">
        <v>6780</v>
      </c>
      <c r="F164" s="0" t="n">
        <v>9690</v>
      </c>
      <c r="G164" s="0" t="n">
        <v>26.6</v>
      </c>
      <c r="H164" s="0" t="n">
        <v>5.033633</v>
      </c>
      <c r="I164" s="0" t="n">
        <v>2700</v>
      </c>
      <c r="K164" s="0" t="n">
        <v>12407</v>
      </c>
      <c r="L164" s="0" t="n">
        <v>13.73</v>
      </c>
      <c r="M164" s="1" t="s">
        <v>35</v>
      </c>
    </row>
    <row r="165" customFormat="false" ht="13.8" hidden="false" customHeight="false" outlineLevel="0" collapsed="false">
      <c r="A165" s="0" t="n">
        <v>9817</v>
      </c>
      <c r="B165" s="0" t="n">
        <v>21.59</v>
      </c>
      <c r="C165" s="0" t="n">
        <v>15.83072</v>
      </c>
      <c r="D165" s="0" t="n">
        <v>750</v>
      </c>
      <c r="F165" s="0" t="n">
        <v>9817</v>
      </c>
      <c r="G165" s="0" t="n">
        <v>21.59</v>
      </c>
      <c r="H165" s="0" t="n">
        <v>15.83072</v>
      </c>
      <c r="I165" s="0" t="n">
        <v>0</v>
      </c>
      <c r="K165" s="0" t="n">
        <v>12409</v>
      </c>
      <c r="L165" s="0" t="n">
        <v>5.92</v>
      </c>
      <c r="M165" s="1" t="s">
        <v>7</v>
      </c>
    </row>
    <row r="166" customFormat="false" ht="13.8" hidden="false" customHeight="false" outlineLevel="0" collapsed="false">
      <c r="A166" s="0" t="n">
        <v>9855</v>
      </c>
      <c r="B166" s="0" t="n">
        <v>25.9</v>
      </c>
      <c r="C166" s="0" t="n">
        <v>3.2378</v>
      </c>
      <c r="D166" s="0" t="n">
        <v>200</v>
      </c>
      <c r="F166" s="0" t="n">
        <v>9855</v>
      </c>
      <c r="G166" s="0" t="n">
        <v>25.9</v>
      </c>
      <c r="H166" s="0" t="n">
        <v>3.2378</v>
      </c>
      <c r="I166" s="0" t="n">
        <v>400</v>
      </c>
      <c r="K166" s="0" t="n">
        <v>12513</v>
      </c>
      <c r="L166" s="0" t="n">
        <v>78.67</v>
      </c>
      <c r="M166" s="1" t="s">
        <v>9</v>
      </c>
    </row>
    <row r="167" customFormat="false" ht="13.8" hidden="false" customHeight="false" outlineLevel="0" collapsed="false">
      <c r="A167" s="0" t="n">
        <v>10279</v>
      </c>
      <c r="B167" s="0" t="n">
        <v>36.94</v>
      </c>
      <c r="C167" s="0" t="n">
        <v>13.346166</v>
      </c>
      <c r="D167" s="0" t="n">
        <v>60</v>
      </c>
      <c r="F167" s="0" t="n">
        <v>10279</v>
      </c>
      <c r="G167" s="0" t="n">
        <v>36.94</v>
      </c>
      <c r="H167" s="0" t="n">
        <v>13.346166</v>
      </c>
      <c r="I167" s="0" t="n">
        <v>0</v>
      </c>
      <c r="K167" s="0" t="n">
        <v>12514</v>
      </c>
      <c r="L167" s="0" t="n">
        <v>17.15</v>
      </c>
      <c r="M167" s="1" t="s">
        <v>9</v>
      </c>
    </row>
    <row r="168" customFormat="false" ht="13.8" hidden="false" customHeight="false" outlineLevel="0" collapsed="false">
      <c r="A168" s="0" t="n">
        <v>10367</v>
      </c>
      <c r="B168" s="0" t="n">
        <v>43.39</v>
      </c>
      <c r="C168" s="0" t="n">
        <v>12.6896</v>
      </c>
      <c r="D168" s="0" t="n">
        <v>4800</v>
      </c>
      <c r="F168" s="0" t="n">
        <v>10367</v>
      </c>
      <c r="G168" s="0" t="n">
        <v>43.39</v>
      </c>
      <c r="H168" s="0" t="n">
        <v>12.6896</v>
      </c>
      <c r="I168" s="0" t="n">
        <v>0</v>
      </c>
      <c r="K168" s="0" t="n">
        <v>12515</v>
      </c>
      <c r="L168" s="0" t="n">
        <v>4.7</v>
      </c>
      <c r="M168" s="1" t="s">
        <v>35</v>
      </c>
    </row>
    <row r="169" customFormat="false" ht="13.8" hidden="false" customHeight="false" outlineLevel="0" collapsed="false">
      <c r="A169" s="0" t="n">
        <v>10514</v>
      </c>
      <c r="B169" s="0" t="n">
        <v>49.43</v>
      </c>
      <c r="C169" s="0" t="n">
        <v>16.581067</v>
      </c>
      <c r="D169" s="0" t="n">
        <v>6000</v>
      </c>
      <c r="F169" s="0" t="n">
        <v>10514</v>
      </c>
      <c r="G169" s="0" t="n">
        <v>49.43</v>
      </c>
      <c r="H169" s="0" t="n">
        <v>16.581067</v>
      </c>
      <c r="I169" s="0" t="n">
        <v>0</v>
      </c>
      <c r="K169" s="0" t="n">
        <v>12516</v>
      </c>
      <c r="L169" s="0" t="n">
        <v>34.1</v>
      </c>
      <c r="M169" s="1" t="s">
        <v>39</v>
      </c>
    </row>
    <row r="170" customFormat="false" ht="13.8" hidden="false" customHeight="false" outlineLevel="0" collapsed="false">
      <c r="A170" s="0" t="n">
        <v>10521</v>
      </c>
      <c r="B170" s="0" t="n">
        <v>49.43</v>
      </c>
      <c r="C170" s="0" t="n">
        <v>17.00625</v>
      </c>
      <c r="D170" s="0" t="n">
        <v>8740</v>
      </c>
      <c r="F170" s="0" t="n">
        <v>10521</v>
      </c>
      <c r="G170" s="0" t="n">
        <v>49.43</v>
      </c>
      <c r="H170" s="0" t="n">
        <v>17.00625</v>
      </c>
      <c r="I170" s="0" t="n">
        <v>0</v>
      </c>
      <c r="K170" s="0" t="n">
        <v>12518</v>
      </c>
      <c r="L170" s="0" t="n">
        <v>12.32</v>
      </c>
      <c r="M170" s="1" t="s">
        <v>12</v>
      </c>
    </row>
    <row r="171" customFormat="false" ht="13.8" hidden="false" customHeight="false" outlineLevel="0" collapsed="false">
      <c r="A171" s="0" t="n">
        <v>10527</v>
      </c>
      <c r="B171" s="0" t="n">
        <v>59.77</v>
      </c>
      <c r="C171" s="0" t="n">
        <v>10.670508</v>
      </c>
      <c r="D171" s="0" t="n">
        <v>1700</v>
      </c>
      <c r="F171" s="0" t="n">
        <v>10527</v>
      </c>
      <c r="G171" s="0" t="n">
        <v>59.77</v>
      </c>
      <c r="H171" s="0" t="n">
        <v>10.670508</v>
      </c>
      <c r="I171" s="0" t="n">
        <v>4400</v>
      </c>
      <c r="K171" s="0" t="n">
        <v>12520</v>
      </c>
      <c r="L171" s="0" t="n">
        <v>7.74</v>
      </c>
      <c r="M171" s="1" t="s">
        <v>40</v>
      </c>
    </row>
    <row r="172" customFormat="false" ht="13.8" hidden="false" customHeight="false" outlineLevel="0" collapsed="false">
      <c r="A172" s="0" t="n">
        <v>10528</v>
      </c>
      <c r="B172" s="0" t="n">
        <v>109.36</v>
      </c>
      <c r="C172" s="0" t="n">
        <v>42.650833</v>
      </c>
      <c r="D172" s="0" t="n">
        <v>0</v>
      </c>
      <c r="F172" s="0" t="n">
        <v>10528</v>
      </c>
      <c r="G172" s="0" t="n">
        <v>109.36</v>
      </c>
      <c r="H172" s="0" t="n">
        <v>42.650833</v>
      </c>
      <c r="I172" s="0" t="n">
        <v>0</v>
      </c>
      <c r="K172" s="0" t="n">
        <v>12521</v>
      </c>
      <c r="L172" s="0" t="n">
        <v>9.03</v>
      </c>
      <c r="M172" s="1" t="s">
        <v>13</v>
      </c>
    </row>
    <row r="173" customFormat="false" ht="13.8" hidden="false" customHeight="false" outlineLevel="0" collapsed="false">
      <c r="A173" s="0" t="n">
        <v>10529</v>
      </c>
      <c r="B173" s="0" t="n">
        <v>85.84</v>
      </c>
      <c r="C173" s="0" t="n">
        <v>25.1034</v>
      </c>
      <c r="D173" s="0" t="n">
        <v>800</v>
      </c>
      <c r="F173" s="0" t="n">
        <v>10529</v>
      </c>
      <c r="G173" s="0" t="n">
        <v>85.84</v>
      </c>
      <c r="H173" s="0" t="n">
        <v>25.1034</v>
      </c>
      <c r="I173" s="0" t="n">
        <v>200</v>
      </c>
      <c r="K173" s="0" t="n">
        <v>12585</v>
      </c>
      <c r="L173" s="0" t="n">
        <v>28.61</v>
      </c>
      <c r="M173" s="1" t="s">
        <v>41</v>
      </c>
    </row>
    <row r="174" customFormat="false" ht="13.8" hidden="false" customHeight="false" outlineLevel="0" collapsed="false">
      <c r="A174" s="0" t="n">
        <v>10530</v>
      </c>
      <c r="B174" s="0" t="n">
        <v>85.84</v>
      </c>
      <c r="C174" s="0" t="n">
        <v>23.7723954</v>
      </c>
      <c r="D174" s="0" t="n">
        <v>400</v>
      </c>
      <c r="F174" s="0" t="n">
        <v>10530</v>
      </c>
      <c r="G174" s="0" t="n">
        <v>85.84</v>
      </c>
      <c r="H174" s="0" t="n">
        <v>23.7723954</v>
      </c>
      <c r="I174" s="0" t="n">
        <v>1100</v>
      </c>
      <c r="K174" s="0" t="n">
        <v>12732</v>
      </c>
      <c r="L174" s="0" t="n">
        <v>6.76</v>
      </c>
      <c r="M174" s="1" t="s">
        <v>9</v>
      </c>
    </row>
    <row r="175" customFormat="false" ht="13.8" hidden="false" customHeight="false" outlineLevel="0" collapsed="false">
      <c r="A175" s="0" t="n">
        <v>10674</v>
      </c>
      <c r="B175" s="0" t="n">
        <v>125.4</v>
      </c>
      <c r="C175" s="0" t="n">
        <v>17.6905</v>
      </c>
      <c r="D175" s="0" t="n">
        <v>120</v>
      </c>
      <c r="F175" s="0" t="n">
        <v>10674</v>
      </c>
      <c r="G175" s="0" t="n">
        <v>125.4</v>
      </c>
      <c r="H175" s="0" t="n">
        <v>17.6905</v>
      </c>
      <c r="I175" s="0" t="n">
        <v>180</v>
      </c>
      <c r="K175" s="0" t="n">
        <v>12733</v>
      </c>
      <c r="L175" s="0" t="n">
        <v>17.67</v>
      </c>
      <c r="M175" s="1" t="s">
        <v>7</v>
      </c>
    </row>
    <row r="176" customFormat="false" ht="13.8" hidden="false" customHeight="false" outlineLevel="0" collapsed="false">
      <c r="A176" s="0" t="n">
        <v>10675</v>
      </c>
      <c r="B176" s="0" t="n">
        <v>120.12</v>
      </c>
      <c r="C176" s="0" t="n">
        <v>26.4774</v>
      </c>
      <c r="D176" s="0" t="n">
        <v>50</v>
      </c>
      <c r="F176" s="0" t="n">
        <v>10675</v>
      </c>
      <c r="G176" s="0" t="n">
        <v>120.12</v>
      </c>
      <c r="H176" s="0" t="n">
        <v>26.4774</v>
      </c>
      <c r="I176" s="0" t="n">
        <v>100</v>
      </c>
      <c r="K176" s="0" t="n">
        <v>12805</v>
      </c>
      <c r="L176" s="0" t="n">
        <v>4.05</v>
      </c>
      <c r="M176" s="1" t="s">
        <v>12</v>
      </c>
    </row>
    <row r="177" customFormat="false" ht="13.8" hidden="false" customHeight="false" outlineLevel="0" collapsed="false">
      <c r="A177" s="0" t="n">
        <v>10676</v>
      </c>
      <c r="B177" s="0" t="n">
        <v>155.71</v>
      </c>
      <c r="C177" s="0" t="n">
        <v>33.4846</v>
      </c>
      <c r="D177" s="0" t="n">
        <v>50</v>
      </c>
      <c r="F177" s="0" t="n">
        <v>10676</v>
      </c>
      <c r="G177" s="0" t="n">
        <v>155.71</v>
      </c>
      <c r="H177" s="0" t="n">
        <v>33.4846</v>
      </c>
      <c r="I177" s="0" t="n">
        <v>200</v>
      </c>
      <c r="K177" s="0" t="n">
        <v>12815</v>
      </c>
      <c r="L177" s="0" t="n">
        <v>4.14</v>
      </c>
      <c r="M177" s="1" t="s">
        <v>42</v>
      </c>
    </row>
    <row r="178" customFormat="false" ht="13.8" hidden="false" customHeight="false" outlineLevel="0" collapsed="false">
      <c r="A178" s="0" t="n">
        <v>10753</v>
      </c>
      <c r="B178" s="0" t="n">
        <v>42.3</v>
      </c>
      <c r="C178" s="0" t="n">
        <v>5.59277005</v>
      </c>
      <c r="D178" s="0" t="n">
        <v>0</v>
      </c>
      <c r="F178" s="0" t="n">
        <v>10753</v>
      </c>
      <c r="G178" s="0" t="n">
        <v>42.3</v>
      </c>
      <c r="H178" s="0" t="n">
        <v>5.59277005</v>
      </c>
      <c r="I178" s="0" t="n">
        <v>600</v>
      </c>
      <c r="K178" s="0" t="n">
        <v>13184</v>
      </c>
      <c r="L178" s="0" t="n">
        <v>3.82</v>
      </c>
      <c r="M178" s="1" t="s">
        <v>12</v>
      </c>
    </row>
    <row r="179" customFormat="false" ht="13.8" hidden="false" customHeight="false" outlineLevel="0" collapsed="false">
      <c r="A179" s="0" t="n">
        <v>10789</v>
      </c>
      <c r="B179" s="0" t="n">
        <v>39.34</v>
      </c>
      <c r="C179" s="0" t="n">
        <v>2.79245</v>
      </c>
      <c r="D179" s="0" t="n">
        <v>200</v>
      </c>
      <c r="F179" s="0" t="n">
        <v>10789</v>
      </c>
      <c r="G179" s="0" t="n">
        <v>39.34</v>
      </c>
      <c r="H179" s="0" t="n">
        <v>2.79245</v>
      </c>
      <c r="I179" s="0" t="n">
        <v>400</v>
      </c>
      <c r="K179" s="0" t="n">
        <v>13185</v>
      </c>
      <c r="L179" s="0" t="n">
        <v>6.28</v>
      </c>
      <c r="M179" s="1" t="s">
        <v>12</v>
      </c>
    </row>
    <row r="180" customFormat="false" ht="13.8" hidden="false" customHeight="false" outlineLevel="0" collapsed="false">
      <c r="A180" s="0" t="n">
        <v>10790</v>
      </c>
      <c r="B180" s="0" t="n">
        <v>15.78</v>
      </c>
      <c r="C180" s="0" t="n">
        <v>2.495915</v>
      </c>
      <c r="D180" s="0" t="n">
        <v>0</v>
      </c>
      <c r="F180" s="0" t="n">
        <v>10790</v>
      </c>
      <c r="G180" s="0" t="n">
        <v>15.78</v>
      </c>
      <c r="H180" s="0" t="n">
        <v>2.495915</v>
      </c>
      <c r="I180" s="0" t="n">
        <v>0</v>
      </c>
      <c r="K180" s="0" t="n">
        <v>13449</v>
      </c>
      <c r="L180" s="0" t="n">
        <v>11.22</v>
      </c>
      <c r="M180" s="1" t="s">
        <v>7</v>
      </c>
    </row>
    <row r="181" customFormat="false" ht="13.8" hidden="false" customHeight="false" outlineLevel="0" collapsed="false">
      <c r="A181" s="0" t="n">
        <v>10791</v>
      </c>
      <c r="B181" s="0" t="n">
        <v>98.66</v>
      </c>
      <c r="C181" s="0" t="n">
        <v>17.8232</v>
      </c>
      <c r="D181" s="0" t="n">
        <v>700</v>
      </c>
      <c r="F181" s="0" t="n">
        <v>10791</v>
      </c>
      <c r="G181" s="0" t="n">
        <v>98.66</v>
      </c>
      <c r="H181" s="0" t="n">
        <v>17.8232</v>
      </c>
      <c r="I181" s="0" t="n">
        <v>900</v>
      </c>
      <c r="K181" s="0" t="n">
        <v>14000</v>
      </c>
      <c r="L181" s="0" t="n">
        <v>4.46</v>
      </c>
      <c r="M181" s="1" t="s">
        <v>35</v>
      </c>
    </row>
    <row r="182" customFormat="false" ht="13.8" hidden="false" customHeight="false" outlineLevel="0" collapsed="false">
      <c r="A182" s="0" t="n">
        <v>10792</v>
      </c>
      <c r="B182" s="0" t="n">
        <v>83.06</v>
      </c>
      <c r="C182" s="0" t="n">
        <v>5.6972</v>
      </c>
      <c r="D182" s="0" t="n">
        <v>0</v>
      </c>
      <c r="F182" s="0" t="n">
        <v>10792</v>
      </c>
      <c r="G182" s="0" t="n">
        <v>83.06</v>
      </c>
      <c r="H182" s="0" t="n">
        <v>5.6972</v>
      </c>
      <c r="I182" s="0" t="n">
        <v>0</v>
      </c>
      <c r="K182" s="0" t="n">
        <v>14252</v>
      </c>
      <c r="L182" s="0" t="n">
        <v>47.62</v>
      </c>
      <c r="M182" s="1" t="s">
        <v>7</v>
      </c>
    </row>
    <row r="183" customFormat="false" ht="13.8" hidden="false" customHeight="false" outlineLevel="0" collapsed="false">
      <c r="A183" s="0" t="n">
        <v>10793</v>
      </c>
      <c r="B183" s="0" t="n">
        <v>11.89</v>
      </c>
      <c r="C183" s="0" t="n">
        <v>2.51601998</v>
      </c>
      <c r="D183" s="0" t="n">
        <v>0</v>
      </c>
      <c r="F183" s="0" t="n">
        <v>10793</v>
      </c>
      <c r="G183" s="0" t="n">
        <v>11.89</v>
      </c>
      <c r="H183" s="0" t="n">
        <v>2.51601998</v>
      </c>
      <c r="I183" s="0" t="n">
        <v>0</v>
      </c>
      <c r="K183" s="0" t="n">
        <v>14253</v>
      </c>
      <c r="L183" s="0" t="n">
        <v>45.09</v>
      </c>
      <c r="M183" s="1" t="s">
        <v>11</v>
      </c>
    </row>
    <row r="184" customFormat="false" ht="13.8" hidden="false" customHeight="false" outlineLevel="0" collapsed="false">
      <c r="A184" s="0" t="n">
        <v>10794</v>
      </c>
      <c r="B184" s="0" t="n">
        <v>47.65</v>
      </c>
      <c r="C184" s="0" t="n">
        <v>4.508926</v>
      </c>
      <c r="D184" s="0" t="n">
        <v>2605</v>
      </c>
      <c r="F184" s="0" t="n">
        <v>10794</v>
      </c>
      <c r="G184" s="0" t="n">
        <v>47.65</v>
      </c>
      <c r="H184" s="0" t="n">
        <v>4.508926</v>
      </c>
      <c r="I184" s="0" t="n">
        <v>5400</v>
      </c>
      <c r="K184" s="0" t="n">
        <v>14254</v>
      </c>
      <c r="L184" s="0" t="n">
        <v>2.65</v>
      </c>
      <c r="M184" s="1" t="s">
        <v>9</v>
      </c>
    </row>
    <row r="185" customFormat="false" ht="13.8" hidden="false" customHeight="false" outlineLevel="0" collapsed="false">
      <c r="A185" s="0" t="n">
        <v>10795</v>
      </c>
      <c r="B185" s="0" t="n">
        <v>106.19</v>
      </c>
      <c r="C185" s="0" t="n">
        <v>9.134415</v>
      </c>
      <c r="D185" s="0" t="n">
        <v>200</v>
      </c>
      <c r="F185" s="0" t="n">
        <v>10795</v>
      </c>
      <c r="G185" s="0" t="n">
        <v>106.19</v>
      </c>
      <c r="H185" s="0" t="n">
        <v>9.134415</v>
      </c>
      <c r="I185" s="0" t="n">
        <v>2255</v>
      </c>
      <c r="K185" s="0" t="n">
        <v>14291</v>
      </c>
      <c r="L185" s="0" t="n">
        <v>23.55</v>
      </c>
      <c r="M185" s="1" t="s">
        <v>5</v>
      </c>
    </row>
    <row r="186" customFormat="false" ht="13.8" hidden="false" customHeight="false" outlineLevel="0" collapsed="false">
      <c r="A186" s="0" t="n">
        <v>10796</v>
      </c>
      <c r="B186" s="0" t="n">
        <v>42.01</v>
      </c>
      <c r="C186" s="0" t="n">
        <v>5.55604</v>
      </c>
      <c r="D186" s="0" t="n">
        <v>800</v>
      </c>
      <c r="F186" s="0" t="n">
        <v>10796</v>
      </c>
      <c r="G186" s="0" t="n">
        <v>42.01</v>
      </c>
      <c r="H186" s="0" t="n">
        <v>5.55604</v>
      </c>
      <c r="I186" s="0" t="n">
        <v>1400</v>
      </c>
      <c r="K186" s="0" t="n">
        <v>14292</v>
      </c>
      <c r="L186" s="0" t="n">
        <v>89.21</v>
      </c>
      <c r="M186" s="1" t="s">
        <v>43</v>
      </c>
    </row>
    <row r="187" customFormat="false" ht="13.8" hidden="false" customHeight="false" outlineLevel="0" collapsed="false">
      <c r="A187" s="0" t="n">
        <v>10797</v>
      </c>
      <c r="B187" s="0" t="n">
        <v>41.7</v>
      </c>
      <c r="C187" s="0" t="n">
        <v>5.14735</v>
      </c>
      <c r="D187" s="0" t="n">
        <v>396</v>
      </c>
      <c r="F187" s="0" t="n">
        <v>10797</v>
      </c>
      <c r="G187" s="0" t="n">
        <v>41.7</v>
      </c>
      <c r="H187" s="0" t="n">
        <v>5.14735</v>
      </c>
      <c r="I187" s="0" t="n">
        <v>700</v>
      </c>
      <c r="K187" s="0" t="n">
        <v>14294</v>
      </c>
      <c r="L187" s="0" t="n">
        <v>55.72</v>
      </c>
      <c r="M187" s="1" t="s">
        <v>44</v>
      </c>
    </row>
    <row r="188" customFormat="false" ht="13.8" hidden="false" customHeight="false" outlineLevel="0" collapsed="false">
      <c r="A188" s="0" t="n">
        <v>10798</v>
      </c>
      <c r="B188" s="0" t="n">
        <v>69.76</v>
      </c>
      <c r="C188" s="0" t="n">
        <v>8.4012</v>
      </c>
      <c r="D188" s="0" t="n">
        <v>300</v>
      </c>
      <c r="F188" s="0" t="n">
        <v>10798</v>
      </c>
      <c r="G188" s="0" t="n">
        <v>69.76</v>
      </c>
      <c r="H188" s="0" t="n">
        <v>8.4012</v>
      </c>
      <c r="I188" s="0" t="n">
        <v>500</v>
      </c>
      <c r="K188" s="0" t="n">
        <v>14509</v>
      </c>
      <c r="L188" s="0" t="n">
        <v>22.23</v>
      </c>
      <c r="M188" s="1" t="s">
        <v>45</v>
      </c>
    </row>
    <row r="189" customFormat="false" ht="13.8" hidden="false" customHeight="false" outlineLevel="0" collapsed="false">
      <c r="A189" s="0" t="n">
        <v>10799</v>
      </c>
      <c r="B189" s="0" t="n">
        <v>118.65</v>
      </c>
      <c r="C189" s="0" t="n">
        <v>8.3691</v>
      </c>
      <c r="D189" s="0" t="n">
        <v>400</v>
      </c>
      <c r="F189" s="0" t="n">
        <v>10799</v>
      </c>
      <c r="G189" s="0" t="n">
        <v>118.65</v>
      </c>
      <c r="H189" s="0" t="n">
        <v>8.3691</v>
      </c>
      <c r="I189" s="0" t="n">
        <v>200</v>
      </c>
      <c r="K189" s="0" t="n">
        <v>14724</v>
      </c>
      <c r="L189" s="0" t="n">
        <v>14.38</v>
      </c>
      <c r="M189" s="1" t="s">
        <v>46</v>
      </c>
    </row>
    <row r="190" customFormat="false" ht="13.8" hidden="false" customHeight="false" outlineLevel="0" collapsed="false">
      <c r="A190" s="0" t="n">
        <v>10800</v>
      </c>
      <c r="B190" s="0" t="n">
        <v>80.36</v>
      </c>
      <c r="C190" s="0" t="n">
        <v>12.045083</v>
      </c>
      <c r="D190" s="0" t="n">
        <v>240</v>
      </c>
      <c r="F190" s="0" t="n">
        <v>10800</v>
      </c>
      <c r="G190" s="0" t="n">
        <v>80.36</v>
      </c>
      <c r="H190" s="0" t="n">
        <v>12.045083</v>
      </c>
      <c r="I190" s="0" t="n">
        <v>660</v>
      </c>
      <c r="K190" s="0" t="n">
        <v>14725</v>
      </c>
      <c r="L190" s="0" t="n">
        <v>7.58</v>
      </c>
      <c r="M190" s="1" t="s">
        <v>12</v>
      </c>
    </row>
    <row r="191" customFormat="false" ht="13.8" hidden="false" customHeight="false" outlineLevel="0" collapsed="false">
      <c r="A191" s="0" t="n">
        <v>10801</v>
      </c>
      <c r="B191" s="0" t="n">
        <v>598.16</v>
      </c>
      <c r="C191" s="0" t="n">
        <v>51.255833</v>
      </c>
      <c r="D191" s="0" t="n">
        <v>0</v>
      </c>
      <c r="F191" s="0" t="n">
        <v>10801</v>
      </c>
      <c r="G191" s="0" t="n">
        <v>598.16</v>
      </c>
      <c r="H191" s="0" t="n">
        <v>51.255833</v>
      </c>
      <c r="I191" s="0" t="n">
        <v>24</v>
      </c>
      <c r="K191" s="0" t="n">
        <v>14726</v>
      </c>
      <c r="L191" s="0" t="n">
        <v>7.36</v>
      </c>
      <c r="M191" s="1" t="s">
        <v>12</v>
      </c>
    </row>
    <row r="192" customFormat="false" ht="13.8" hidden="false" customHeight="false" outlineLevel="0" collapsed="false">
      <c r="A192" s="0" t="n">
        <v>10802</v>
      </c>
      <c r="B192" s="0" t="n">
        <v>46.19</v>
      </c>
      <c r="C192" s="0" t="n">
        <v>4.7675333</v>
      </c>
      <c r="D192" s="0" t="n">
        <v>700</v>
      </c>
      <c r="F192" s="0" t="n">
        <v>10802</v>
      </c>
      <c r="G192" s="0" t="n">
        <v>46.19</v>
      </c>
      <c r="H192" s="0" t="n">
        <v>4.7675333</v>
      </c>
      <c r="I192" s="0" t="n">
        <v>400</v>
      </c>
      <c r="K192" s="0" t="n">
        <v>15268</v>
      </c>
      <c r="L192" s="0" t="n">
        <v>7.29</v>
      </c>
      <c r="M192" s="1" t="s">
        <v>47</v>
      </c>
    </row>
    <row r="193" customFormat="false" ht="13.8" hidden="false" customHeight="false" outlineLevel="0" collapsed="false">
      <c r="A193" s="0" t="n">
        <v>10803</v>
      </c>
      <c r="B193" s="0" t="n">
        <v>55.61</v>
      </c>
      <c r="C193" s="0" t="n">
        <v>5.4362</v>
      </c>
      <c r="D193" s="0" t="n">
        <v>200</v>
      </c>
      <c r="F193" s="0" t="n">
        <v>10803</v>
      </c>
      <c r="G193" s="0" t="n">
        <v>55.61</v>
      </c>
      <c r="H193" s="0" t="n">
        <v>5.4362</v>
      </c>
      <c r="I193" s="0" t="n">
        <v>1500</v>
      </c>
      <c r="K193" s="0" t="n">
        <v>15567</v>
      </c>
      <c r="L193" s="0" t="n">
        <v>11.35</v>
      </c>
      <c r="M193" s="1" t="s">
        <v>21</v>
      </c>
    </row>
    <row r="194" customFormat="false" ht="13.8" hidden="false" customHeight="false" outlineLevel="0" collapsed="false">
      <c r="A194" s="0" t="n">
        <v>10804</v>
      </c>
      <c r="B194" s="0" t="n">
        <v>53.61</v>
      </c>
      <c r="C194" s="0" t="n">
        <v>3.2279</v>
      </c>
      <c r="D194" s="0" t="n">
        <v>1648</v>
      </c>
      <c r="F194" s="0" t="n">
        <v>10804</v>
      </c>
      <c r="G194" s="0" t="n">
        <v>53.61</v>
      </c>
      <c r="H194" s="0" t="n">
        <v>3.2279</v>
      </c>
      <c r="I194" s="0" t="n">
        <v>1040</v>
      </c>
      <c r="K194" s="0" t="n">
        <v>15568</v>
      </c>
      <c r="L194" s="0" t="n">
        <v>19.64</v>
      </c>
      <c r="M194" s="1" t="s">
        <v>13</v>
      </c>
    </row>
    <row r="195" customFormat="false" ht="13.8" hidden="false" customHeight="false" outlineLevel="0" collapsed="false">
      <c r="A195" s="0" t="n">
        <v>10805</v>
      </c>
      <c r="B195" s="0" t="n">
        <v>53.61</v>
      </c>
      <c r="C195" s="0" t="n">
        <v>5.533542</v>
      </c>
      <c r="D195" s="0" t="n">
        <v>183</v>
      </c>
      <c r="F195" s="0" t="n">
        <v>10805</v>
      </c>
      <c r="G195" s="0" t="n">
        <v>53.61</v>
      </c>
      <c r="H195" s="0" t="n">
        <v>5.533542</v>
      </c>
      <c r="I195" s="0" t="n">
        <v>720</v>
      </c>
      <c r="K195" s="0" t="n">
        <v>15569</v>
      </c>
      <c r="L195" s="0" t="n">
        <v>30.87</v>
      </c>
      <c r="M195" s="1" t="s">
        <v>12</v>
      </c>
    </row>
    <row r="196" customFormat="false" ht="13.8" hidden="false" customHeight="false" outlineLevel="0" collapsed="false">
      <c r="A196" s="0" t="n">
        <v>10806</v>
      </c>
      <c r="B196" s="0" t="n">
        <v>53.94</v>
      </c>
      <c r="C196" s="0" t="n">
        <v>7.42325</v>
      </c>
      <c r="D196" s="0" t="n">
        <v>480</v>
      </c>
      <c r="F196" s="0" t="n">
        <v>10806</v>
      </c>
      <c r="G196" s="0" t="n">
        <v>53.94</v>
      </c>
      <c r="H196" s="0" t="n">
        <v>7.42325</v>
      </c>
      <c r="I196" s="0" t="n">
        <v>720</v>
      </c>
      <c r="K196" s="0" t="n">
        <v>15724</v>
      </c>
      <c r="L196" s="0" t="n">
        <v>66.61</v>
      </c>
      <c r="M196" s="1" t="s">
        <v>13</v>
      </c>
    </row>
    <row r="197" customFormat="false" ht="13.8" hidden="false" customHeight="false" outlineLevel="0" collapsed="false">
      <c r="A197" s="0" t="n">
        <v>10807</v>
      </c>
      <c r="B197" s="0" t="n">
        <v>55.16</v>
      </c>
      <c r="C197" s="0" t="n">
        <v>5.694375</v>
      </c>
      <c r="D197" s="0" t="n">
        <v>1377</v>
      </c>
      <c r="F197" s="0" t="n">
        <v>10807</v>
      </c>
      <c r="G197" s="0" t="n">
        <v>55.16</v>
      </c>
      <c r="H197" s="0" t="n">
        <v>5.694375</v>
      </c>
      <c r="I197" s="0" t="n">
        <v>4700</v>
      </c>
      <c r="K197" s="0" t="n">
        <v>15726</v>
      </c>
      <c r="L197" s="0" t="n">
        <v>46.06</v>
      </c>
      <c r="M197" s="1" t="s">
        <v>43</v>
      </c>
    </row>
    <row r="198" customFormat="false" ht="13.8" hidden="false" customHeight="false" outlineLevel="0" collapsed="false">
      <c r="A198" s="0" t="n">
        <v>10808</v>
      </c>
      <c r="B198" s="0" t="n">
        <v>70.75</v>
      </c>
      <c r="C198" s="0" t="n">
        <v>7.6796</v>
      </c>
      <c r="D198" s="0" t="n">
        <v>1300</v>
      </c>
      <c r="F198" s="0" t="n">
        <v>10808</v>
      </c>
      <c r="G198" s="0" t="n">
        <v>70.75</v>
      </c>
      <c r="H198" s="0" t="n">
        <v>7.6796</v>
      </c>
      <c r="I198" s="0" t="n">
        <v>6200</v>
      </c>
      <c r="K198" s="0" t="n">
        <v>15836</v>
      </c>
      <c r="L198" s="0" t="n">
        <v>11.33</v>
      </c>
      <c r="M198" s="1" t="s">
        <v>12</v>
      </c>
    </row>
    <row r="199" customFormat="false" ht="13.8" hidden="false" customHeight="false" outlineLevel="0" collapsed="false">
      <c r="A199" s="0" t="n">
        <v>10809</v>
      </c>
      <c r="B199" s="0" t="n">
        <v>148.78</v>
      </c>
      <c r="C199" s="0" t="n">
        <v>16.63724</v>
      </c>
      <c r="D199" s="0" t="n">
        <v>500</v>
      </c>
      <c r="F199" s="0" t="n">
        <v>10809</v>
      </c>
      <c r="G199" s="0" t="n">
        <v>148.78</v>
      </c>
      <c r="H199" s="0" t="n">
        <v>16.63724</v>
      </c>
      <c r="I199" s="0" t="n">
        <v>2200</v>
      </c>
      <c r="K199" s="0" t="n">
        <v>15837</v>
      </c>
      <c r="L199" s="0" t="n">
        <v>12.08</v>
      </c>
      <c r="M199" s="1" t="s">
        <v>7</v>
      </c>
    </row>
    <row r="200" customFormat="false" ht="13.8" hidden="false" customHeight="false" outlineLevel="0" collapsed="false">
      <c r="A200" s="0" t="n">
        <v>10810</v>
      </c>
      <c r="B200" s="0" t="n">
        <v>72.02</v>
      </c>
      <c r="C200" s="0" t="n">
        <v>7.62</v>
      </c>
      <c r="D200" s="0" t="n">
        <v>240</v>
      </c>
      <c r="F200" s="0" t="n">
        <v>10810</v>
      </c>
      <c r="G200" s="0" t="n">
        <v>72.02</v>
      </c>
      <c r="H200" s="0" t="n">
        <v>7.62</v>
      </c>
      <c r="I200" s="0" t="n">
        <v>1320</v>
      </c>
      <c r="K200" s="0" t="n">
        <v>15838</v>
      </c>
      <c r="L200" s="0" t="n">
        <v>12.08</v>
      </c>
      <c r="M200" s="1" t="s">
        <v>12</v>
      </c>
    </row>
    <row r="201" customFormat="false" ht="13.8" hidden="false" customHeight="false" outlineLevel="0" collapsed="false">
      <c r="A201" s="0" t="n">
        <v>10811</v>
      </c>
      <c r="B201" s="0" t="n">
        <v>41.98</v>
      </c>
      <c r="C201" s="0" t="n">
        <v>11.2872</v>
      </c>
      <c r="D201" s="0" t="n">
        <v>400</v>
      </c>
      <c r="F201" s="0" t="n">
        <v>10811</v>
      </c>
      <c r="G201" s="0" t="n">
        <v>41.98</v>
      </c>
      <c r="H201" s="0" t="n">
        <v>11.2872</v>
      </c>
      <c r="I201" s="0" t="n">
        <v>700</v>
      </c>
      <c r="K201" s="0" t="n">
        <v>15839</v>
      </c>
      <c r="L201" s="0" t="n">
        <v>8.87</v>
      </c>
      <c r="M201" s="1" t="s">
        <v>48</v>
      </c>
    </row>
    <row r="202" customFormat="false" ht="13.8" hidden="false" customHeight="false" outlineLevel="0" collapsed="false">
      <c r="A202" s="0" t="n">
        <v>10812</v>
      </c>
      <c r="B202" s="0" t="n">
        <v>76.1</v>
      </c>
      <c r="C202" s="0" t="n">
        <v>15.8429</v>
      </c>
      <c r="D202" s="0" t="n">
        <v>1000</v>
      </c>
      <c r="F202" s="0" t="n">
        <v>10812</v>
      </c>
      <c r="G202" s="0" t="n">
        <v>76.1</v>
      </c>
      <c r="H202" s="0" t="n">
        <v>15.8429</v>
      </c>
      <c r="I202" s="0" t="n">
        <v>1462</v>
      </c>
      <c r="K202" s="0" t="n">
        <v>15841</v>
      </c>
      <c r="L202" s="0" t="n">
        <v>11.48</v>
      </c>
      <c r="M202" s="1" t="s">
        <v>40</v>
      </c>
    </row>
    <row r="203" customFormat="false" ht="13.8" hidden="false" customHeight="false" outlineLevel="0" collapsed="false">
      <c r="A203" s="0" t="n">
        <v>10813</v>
      </c>
      <c r="B203" s="0" t="n">
        <v>128.38</v>
      </c>
      <c r="C203" s="0" t="n">
        <v>29.17765725</v>
      </c>
      <c r="D203" s="0" t="n">
        <v>240</v>
      </c>
      <c r="F203" s="0" t="n">
        <v>10813</v>
      </c>
      <c r="G203" s="0" t="n">
        <v>128.38</v>
      </c>
      <c r="H203" s="0" t="n">
        <v>29.17765725</v>
      </c>
      <c r="I203" s="0" t="n">
        <v>420</v>
      </c>
      <c r="K203" s="0" t="n">
        <v>15856</v>
      </c>
      <c r="L203" s="0" t="n">
        <v>14.25</v>
      </c>
      <c r="M203" s="1" t="s">
        <v>9</v>
      </c>
    </row>
    <row r="204" customFormat="false" ht="13.8" hidden="false" customHeight="false" outlineLevel="0" collapsed="false">
      <c r="A204" s="0" t="n">
        <v>10814</v>
      </c>
      <c r="B204" s="0" t="n">
        <v>19.84</v>
      </c>
      <c r="C204" s="0" t="n">
        <v>5.9528</v>
      </c>
      <c r="D204" s="0" t="n">
        <v>400</v>
      </c>
      <c r="F204" s="0" t="n">
        <v>10814</v>
      </c>
      <c r="G204" s="0" t="n">
        <v>19.84</v>
      </c>
      <c r="H204" s="0" t="n">
        <v>5.9528</v>
      </c>
      <c r="I204" s="0" t="n">
        <v>1100</v>
      </c>
      <c r="K204" s="0" t="n">
        <v>15857</v>
      </c>
      <c r="L204" s="0" t="n">
        <v>20.19</v>
      </c>
      <c r="M204" s="1" t="s">
        <v>15</v>
      </c>
    </row>
    <row r="205" customFormat="false" ht="13.8" hidden="false" customHeight="false" outlineLevel="0" collapsed="false">
      <c r="A205" s="0" t="n">
        <v>10815</v>
      </c>
      <c r="B205" s="0" t="n">
        <v>73.7</v>
      </c>
      <c r="C205" s="0" t="n">
        <v>11.36811</v>
      </c>
      <c r="D205" s="0" t="n">
        <v>0</v>
      </c>
      <c r="F205" s="0" t="n">
        <v>10815</v>
      </c>
      <c r="G205" s="0" t="n">
        <v>73.7</v>
      </c>
      <c r="H205" s="0" t="n">
        <v>11.36811</v>
      </c>
      <c r="I205" s="0" t="n">
        <v>1400</v>
      </c>
      <c r="K205" s="0" t="n">
        <v>16080</v>
      </c>
      <c r="L205" s="0" t="n">
        <v>18.62</v>
      </c>
      <c r="M205" s="1" t="s">
        <v>14</v>
      </c>
    </row>
    <row r="206" customFormat="false" ht="13.8" hidden="false" customHeight="false" outlineLevel="0" collapsed="false">
      <c r="A206" s="0" t="n">
        <v>10816</v>
      </c>
      <c r="B206" s="0" t="n">
        <v>29.46</v>
      </c>
      <c r="C206" s="0" t="n">
        <v>9.375825</v>
      </c>
      <c r="D206" s="0" t="n">
        <v>4197</v>
      </c>
      <c r="F206" s="0" t="n">
        <v>10816</v>
      </c>
      <c r="G206" s="0" t="n">
        <v>29.46</v>
      </c>
      <c r="H206" s="0" t="n">
        <v>9.375825</v>
      </c>
      <c r="I206" s="0" t="n">
        <v>0</v>
      </c>
      <c r="K206" s="0" t="n">
        <v>16091</v>
      </c>
      <c r="L206" s="0" t="n">
        <v>15.95</v>
      </c>
      <c r="M206" s="1" t="s">
        <v>9</v>
      </c>
    </row>
    <row r="207" customFormat="false" ht="13.8" hidden="false" customHeight="false" outlineLevel="0" collapsed="false">
      <c r="A207" s="0" t="n">
        <v>10817</v>
      </c>
      <c r="B207" s="0" t="n">
        <v>195.16</v>
      </c>
      <c r="C207" s="0" t="n">
        <v>8.3938</v>
      </c>
      <c r="D207" s="0" t="n">
        <v>500</v>
      </c>
      <c r="F207" s="0" t="n">
        <v>10817</v>
      </c>
      <c r="G207" s="0" t="n">
        <v>195.16</v>
      </c>
      <c r="H207" s="0" t="n">
        <v>8.3938</v>
      </c>
      <c r="I207" s="0" t="n">
        <v>700</v>
      </c>
      <c r="K207" s="0" t="n">
        <v>16092</v>
      </c>
      <c r="L207" s="0" t="n">
        <v>31.94</v>
      </c>
      <c r="M207" s="1" t="s">
        <v>9</v>
      </c>
    </row>
    <row r="208" customFormat="false" ht="13.8" hidden="false" customHeight="false" outlineLevel="0" collapsed="false">
      <c r="A208" s="0" t="n">
        <v>10818</v>
      </c>
      <c r="B208" s="0" t="n">
        <v>288.23</v>
      </c>
      <c r="C208" s="0" t="n">
        <v>19.83475</v>
      </c>
      <c r="D208" s="0" t="n">
        <v>700</v>
      </c>
      <c r="F208" s="0" t="n">
        <v>10818</v>
      </c>
      <c r="G208" s="0" t="n">
        <v>288.23</v>
      </c>
      <c r="H208" s="0" t="n">
        <v>19.83475</v>
      </c>
      <c r="I208" s="0" t="n">
        <v>1080</v>
      </c>
      <c r="K208" s="0" t="n">
        <v>16186</v>
      </c>
      <c r="L208" s="0" t="n">
        <v>7.23</v>
      </c>
      <c r="M208" s="1" t="s">
        <v>12</v>
      </c>
    </row>
    <row r="209" customFormat="false" ht="13.8" hidden="false" customHeight="false" outlineLevel="0" collapsed="false">
      <c r="A209" s="0" t="n">
        <v>10819</v>
      </c>
      <c r="B209" s="0" t="n">
        <v>576.53</v>
      </c>
      <c r="C209" s="0" t="n">
        <v>39.6737</v>
      </c>
      <c r="D209" s="0" t="n">
        <v>500</v>
      </c>
      <c r="F209" s="0" t="n">
        <v>10819</v>
      </c>
      <c r="G209" s="0" t="n">
        <v>576.53</v>
      </c>
      <c r="H209" s="0" t="n">
        <v>39.6737</v>
      </c>
      <c r="I209" s="0" t="n">
        <v>237</v>
      </c>
      <c r="K209" s="0" t="n">
        <v>16187</v>
      </c>
      <c r="L209" s="0" t="n">
        <v>33.51</v>
      </c>
      <c r="M209" s="1" t="s">
        <v>35</v>
      </c>
    </row>
    <row r="210" customFormat="false" ht="13.8" hidden="false" customHeight="false" outlineLevel="0" collapsed="false">
      <c r="A210" s="0" t="n">
        <v>10820</v>
      </c>
      <c r="B210" s="0" t="n">
        <v>38.22</v>
      </c>
      <c r="C210" s="0" t="n">
        <v>12.1315</v>
      </c>
      <c r="D210" s="0" t="n">
        <v>1192</v>
      </c>
      <c r="F210" s="0" t="n">
        <v>10820</v>
      </c>
      <c r="G210" s="0" t="n">
        <v>38.22</v>
      </c>
      <c r="H210" s="0" t="n">
        <v>12.1315</v>
      </c>
      <c r="I210" s="0" t="n">
        <v>100</v>
      </c>
      <c r="K210" s="0" t="n">
        <v>16402</v>
      </c>
      <c r="L210" s="0" t="n">
        <v>29.51</v>
      </c>
      <c r="M210" s="1" t="s">
        <v>13</v>
      </c>
    </row>
    <row r="211" customFormat="false" ht="13.8" hidden="false" customHeight="false" outlineLevel="0" collapsed="false">
      <c r="A211" s="0" t="n">
        <v>10833</v>
      </c>
      <c r="B211" s="0" t="n">
        <v>66.1</v>
      </c>
      <c r="C211" s="0" t="n">
        <v>16.901285</v>
      </c>
      <c r="D211" s="0" t="n">
        <v>140</v>
      </c>
      <c r="F211" s="0" t="n">
        <v>10833</v>
      </c>
      <c r="G211" s="0" t="n">
        <v>66.1</v>
      </c>
      <c r="H211" s="0" t="n">
        <v>16.901285</v>
      </c>
      <c r="I211" s="0" t="n">
        <v>0</v>
      </c>
      <c r="K211" s="0" t="n">
        <v>16639</v>
      </c>
      <c r="L211" s="0" t="n">
        <v>4.3</v>
      </c>
      <c r="M211" s="1" t="s">
        <v>7</v>
      </c>
    </row>
    <row r="212" customFormat="false" ht="13.8" hidden="false" customHeight="false" outlineLevel="0" collapsed="false">
      <c r="A212" s="0" t="n">
        <v>10834</v>
      </c>
      <c r="B212" s="0" t="n">
        <v>135.48</v>
      </c>
      <c r="C212" s="0" t="n">
        <v>36.12551</v>
      </c>
      <c r="D212" s="0" t="n">
        <v>49</v>
      </c>
      <c r="F212" s="0" t="n">
        <v>10834</v>
      </c>
      <c r="G212" s="0" t="n">
        <v>135.48</v>
      </c>
      <c r="H212" s="0" t="n">
        <v>36.12551</v>
      </c>
      <c r="I212" s="0" t="n">
        <v>0</v>
      </c>
      <c r="K212" s="0" t="n">
        <v>16798</v>
      </c>
      <c r="L212" s="0" t="n">
        <v>32.04</v>
      </c>
      <c r="M212" s="1" t="s">
        <v>22</v>
      </c>
    </row>
    <row r="213" customFormat="false" ht="13.8" hidden="false" customHeight="false" outlineLevel="0" collapsed="false">
      <c r="A213" s="0" t="n">
        <v>10845</v>
      </c>
      <c r="B213" s="0" t="n">
        <v>41.49</v>
      </c>
      <c r="C213" s="0" t="n">
        <v>8.53415241</v>
      </c>
      <c r="D213" s="0" t="n">
        <v>30365</v>
      </c>
      <c r="F213" s="0" t="n">
        <v>10845</v>
      </c>
      <c r="G213" s="0" t="n">
        <v>41.49</v>
      </c>
      <c r="H213" s="0" t="n">
        <v>8.53415241</v>
      </c>
      <c r="I213" s="0" t="n">
        <v>0</v>
      </c>
      <c r="K213" s="0" t="n">
        <v>16807</v>
      </c>
      <c r="L213" s="0" t="n">
        <v>6.87</v>
      </c>
      <c r="M213" s="1" t="s">
        <v>9</v>
      </c>
    </row>
    <row r="214" customFormat="false" ht="13.8" hidden="false" customHeight="false" outlineLevel="0" collapsed="false">
      <c r="A214" s="0" t="n">
        <v>10846</v>
      </c>
      <c r="B214" s="0" t="n">
        <v>107.26</v>
      </c>
      <c r="C214" s="0" t="n">
        <v>14.185666</v>
      </c>
      <c r="D214" s="0" t="n">
        <v>5040</v>
      </c>
      <c r="F214" s="0" t="n">
        <v>10846</v>
      </c>
      <c r="G214" s="0" t="n">
        <v>107.26</v>
      </c>
      <c r="H214" s="0" t="n">
        <v>14.185666</v>
      </c>
      <c r="I214" s="0" t="n">
        <v>0</v>
      </c>
      <c r="K214" s="0" t="n">
        <v>16833</v>
      </c>
      <c r="L214" s="0" t="n">
        <v>11.35</v>
      </c>
      <c r="M214" s="1" t="s">
        <v>12</v>
      </c>
    </row>
    <row r="215" customFormat="false" ht="13.8" hidden="false" customHeight="false" outlineLevel="0" collapsed="false">
      <c r="A215" s="0" t="n">
        <v>10847</v>
      </c>
      <c r="B215" s="0" t="n">
        <v>165.83</v>
      </c>
      <c r="C215" s="0" t="n">
        <v>9.69233333</v>
      </c>
      <c r="D215" s="0" t="n">
        <v>0</v>
      </c>
      <c r="F215" s="0" t="n">
        <v>10847</v>
      </c>
      <c r="G215" s="0" t="n">
        <v>165.83</v>
      </c>
      <c r="H215" s="0" t="n">
        <v>9.69233333</v>
      </c>
      <c r="I215" s="0" t="n">
        <v>0</v>
      </c>
      <c r="K215" s="0" t="n">
        <v>19768</v>
      </c>
      <c r="L215" s="0" t="n">
        <v>23.5</v>
      </c>
      <c r="M215" s="1" t="s">
        <v>49</v>
      </c>
    </row>
    <row r="216" customFormat="false" ht="13.8" hidden="false" customHeight="false" outlineLevel="0" collapsed="false">
      <c r="A216" s="0" t="n">
        <v>11392</v>
      </c>
      <c r="B216" s="0" t="n">
        <v>37.04</v>
      </c>
      <c r="C216" s="0" t="n">
        <v>8.919633</v>
      </c>
      <c r="D216" s="0" t="n">
        <v>4860</v>
      </c>
      <c r="F216" s="0" t="n">
        <v>11392</v>
      </c>
      <c r="G216" s="0" t="n">
        <v>37.04</v>
      </c>
      <c r="H216" s="0" t="n">
        <v>8.919633</v>
      </c>
      <c r="I216" s="0" t="n">
        <v>0</v>
      </c>
      <c r="K216" s="0" t="n">
        <v>21063</v>
      </c>
      <c r="L216" s="0" t="n">
        <v>15</v>
      </c>
      <c r="M216" s="1" t="s">
        <v>36</v>
      </c>
    </row>
    <row r="217" customFormat="false" ht="13.8" hidden="false" customHeight="false" outlineLevel="0" collapsed="false">
      <c r="A217" s="0" t="n">
        <v>11414</v>
      </c>
      <c r="B217" s="0" t="n">
        <v>112.48</v>
      </c>
      <c r="C217" s="0" t="n">
        <v>19.3498</v>
      </c>
      <c r="D217" s="0" t="n">
        <v>700</v>
      </c>
      <c r="F217" s="0" t="n">
        <v>11414</v>
      </c>
      <c r="G217" s="0" t="n">
        <v>112.48</v>
      </c>
      <c r="H217" s="0" t="n">
        <v>19.3498</v>
      </c>
      <c r="I217" s="0" t="n">
        <v>0</v>
      </c>
      <c r="K217" s="0" t="n">
        <v>21064</v>
      </c>
      <c r="L217" s="0" t="n">
        <v>57.22</v>
      </c>
      <c r="M217" s="1" t="s">
        <v>8</v>
      </c>
    </row>
    <row r="218" customFormat="false" ht="13.8" hidden="false" customHeight="false" outlineLevel="0" collapsed="false">
      <c r="A218" s="0" t="n">
        <v>11415</v>
      </c>
      <c r="B218" s="0" t="n">
        <v>123.79</v>
      </c>
      <c r="C218" s="0" t="n">
        <v>21.2966</v>
      </c>
      <c r="D218" s="0" t="n">
        <v>800</v>
      </c>
      <c r="F218" s="0" t="n">
        <v>11415</v>
      </c>
      <c r="G218" s="0" t="n">
        <v>123.79</v>
      </c>
      <c r="H218" s="0" t="n">
        <v>21.2966</v>
      </c>
      <c r="I218" s="0" t="n">
        <v>0</v>
      </c>
      <c r="K218" s="0" t="n">
        <v>21165</v>
      </c>
      <c r="L218" s="0" t="n">
        <v>6.01</v>
      </c>
      <c r="M218" s="1" t="s">
        <v>13</v>
      </c>
    </row>
    <row r="219" customFormat="false" ht="13.8" hidden="false" customHeight="false" outlineLevel="0" collapsed="false">
      <c r="A219" s="0" t="n">
        <v>11528</v>
      </c>
      <c r="B219" s="0" t="n">
        <v>17.73</v>
      </c>
      <c r="C219" s="0" t="n">
        <v>3.04892</v>
      </c>
      <c r="D219" s="0" t="n">
        <v>1500</v>
      </c>
      <c r="F219" s="0" t="n">
        <v>11528</v>
      </c>
      <c r="G219" s="0" t="n">
        <v>17.73</v>
      </c>
      <c r="H219" s="0" t="n">
        <v>3.04892</v>
      </c>
      <c r="I219" s="0" t="n">
        <v>0</v>
      </c>
      <c r="K219" s="0" t="n">
        <v>21791</v>
      </c>
      <c r="L219" s="0" t="n">
        <v>7.61</v>
      </c>
      <c r="M219" s="1" t="s">
        <v>50</v>
      </c>
    </row>
    <row r="220" customFormat="false" ht="13.8" hidden="false" customHeight="false" outlineLevel="0" collapsed="false">
      <c r="A220" s="0" t="n">
        <v>11538</v>
      </c>
      <c r="B220" s="0" t="n">
        <v>78.84</v>
      </c>
      <c r="C220" s="0" t="n">
        <v>10.030208</v>
      </c>
      <c r="D220" s="0" t="n">
        <v>0</v>
      </c>
      <c r="F220" s="0" t="n">
        <v>11538</v>
      </c>
      <c r="G220" s="0" t="n">
        <v>78.84</v>
      </c>
      <c r="H220" s="0" t="n">
        <v>10.030208</v>
      </c>
      <c r="I220" s="0" t="n">
        <v>0</v>
      </c>
      <c r="K220" s="0" t="n">
        <v>21798</v>
      </c>
      <c r="L220" s="0" t="n">
        <v>21.6</v>
      </c>
      <c r="M220" s="1" t="s">
        <v>12</v>
      </c>
    </row>
    <row r="221" customFormat="false" ht="13.8" hidden="false" customHeight="false" outlineLevel="0" collapsed="false">
      <c r="A221" s="0" t="n">
        <v>11539</v>
      </c>
      <c r="B221" s="0" t="n">
        <v>20.64</v>
      </c>
      <c r="C221" s="0" t="n">
        <v>2.940825</v>
      </c>
      <c r="D221" s="0" t="n">
        <v>0</v>
      </c>
      <c r="F221" s="0" t="n">
        <v>11539</v>
      </c>
      <c r="G221" s="0" t="n">
        <v>20.64</v>
      </c>
      <c r="H221" s="0" t="n">
        <v>2.940825</v>
      </c>
      <c r="I221" s="0" t="n">
        <v>0</v>
      </c>
      <c r="K221" s="0" t="n">
        <v>21957</v>
      </c>
      <c r="L221" s="0" t="n">
        <v>5</v>
      </c>
      <c r="M221" s="1" t="s">
        <v>12</v>
      </c>
    </row>
    <row r="222" customFormat="false" ht="13.8" hidden="false" customHeight="false" outlineLevel="0" collapsed="false">
      <c r="A222" s="0" t="n">
        <v>11697</v>
      </c>
      <c r="B222" s="0" t="n">
        <v>38.94</v>
      </c>
      <c r="C222" s="0" t="n">
        <v>13.398317</v>
      </c>
      <c r="D222" s="0" t="n">
        <v>6120</v>
      </c>
      <c r="F222" s="0" t="n">
        <v>11697</v>
      </c>
      <c r="G222" s="0" t="n">
        <v>38.94</v>
      </c>
      <c r="H222" s="0" t="n">
        <v>13.398317</v>
      </c>
      <c r="I222" s="0" t="n">
        <v>0</v>
      </c>
      <c r="K222" s="0" t="n">
        <v>21968</v>
      </c>
      <c r="L222" s="0" t="n">
        <v>2.9</v>
      </c>
      <c r="M222" s="1" t="s">
        <v>13</v>
      </c>
    </row>
    <row r="223" customFormat="false" ht="13.8" hidden="false" customHeight="false" outlineLevel="0" collapsed="false">
      <c r="A223" s="0" t="n">
        <v>11785</v>
      </c>
      <c r="B223" s="0" t="n">
        <v>29.91</v>
      </c>
      <c r="C223" s="0" t="n">
        <v>5.56124988</v>
      </c>
      <c r="D223" s="0" t="n">
        <v>0</v>
      </c>
      <c r="F223" s="0" t="n">
        <v>11785</v>
      </c>
      <c r="G223" s="0" t="n">
        <v>29.91</v>
      </c>
      <c r="H223" s="0" t="n">
        <v>5.56124988</v>
      </c>
      <c r="I223" s="0" t="n">
        <v>0</v>
      </c>
      <c r="K223" s="0" t="n">
        <v>22019</v>
      </c>
      <c r="L223" s="0" t="n">
        <v>4.39</v>
      </c>
      <c r="M223" s="1" t="s">
        <v>12</v>
      </c>
    </row>
    <row r="224" customFormat="false" ht="13.8" hidden="false" customHeight="false" outlineLevel="0" collapsed="false">
      <c r="A224" s="0" t="n">
        <v>11871</v>
      </c>
      <c r="B224" s="0" t="n">
        <v>33.5</v>
      </c>
      <c r="C224" s="0" t="n">
        <v>0</v>
      </c>
      <c r="D224" s="0" t="n">
        <v>0</v>
      </c>
      <c r="F224" s="0" t="n">
        <v>11871</v>
      </c>
      <c r="G224" s="0" t="n">
        <v>33.5</v>
      </c>
      <c r="H224" s="0" t="n">
        <v>0</v>
      </c>
      <c r="I224" s="0" t="n">
        <v>0</v>
      </c>
      <c r="K224" s="0" t="n">
        <v>22093</v>
      </c>
      <c r="L224" s="0" t="n">
        <v>22.22</v>
      </c>
      <c r="M224" s="1" t="s">
        <v>23</v>
      </c>
    </row>
    <row r="225" customFormat="false" ht="13.8" hidden="false" customHeight="false" outlineLevel="0" collapsed="false">
      <c r="A225" s="0" t="n">
        <v>11901</v>
      </c>
      <c r="B225" s="0" t="n">
        <v>240.54</v>
      </c>
      <c r="C225" s="0" t="n">
        <v>51.36725</v>
      </c>
      <c r="D225" s="0" t="n">
        <v>230</v>
      </c>
      <c r="F225" s="0" t="n">
        <v>11901</v>
      </c>
      <c r="G225" s="0" t="n">
        <v>240.54</v>
      </c>
      <c r="H225" s="0" t="n">
        <v>51.36725</v>
      </c>
      <c r="I225" s="0" t="n">
        <v>0</v>
      </c>
      <c r="K225" s="0" t="n">
        <v>22094</v>
      </c>
      <c r="L225" s="0" t="n">
        <v>56.69</v>
      </c>
      <c r="M225" s="1" t="s">
        <v>23</v>
      </c>
    </row>
    <row r="226" customFormat="false" ht="13.8" hidden="false" customHeight="false" outlineLevel="0" collapsed="false">
      <c r="A226" s="0" t="n">
        <v>11902</v>
      </c>
      <c r="B226" s="0" t="n">
        <v>16.16</v>
      </c>
      <c r="C226" s="0" t="n">
        <v>0</v>
      </c>
      <c r="D226" s="0" t="n">
        <v>0</v>
      </c>
      <c r="F226" s="0" t="n">
        <v>11902</v>
      </c>
      <c r="G226" s="0" t="n">
        <v>16.16</v>
      </c>
      <c r="H226" s="0" t="n">
        <v>0</v>
      </c>
      <c r="I226" s="0" t="n">
        <v>0</v>
      </c>
      <c r="K226" s="0" t="n">
        <v>22197</v>
      </c>
      <c r="L226" s="0" t="n">
        <v>3.82</v>
      </c>
      <c r="M226" s="1" t="s">
        <v>21</v>
      </c>
    </row>
    <row r="227" customFormat="false" ht="13.8" hidden="false" customHeight="false" outlineLevel="0" collapsed="false">
      <c r="A227" s="0" t="n">
        <v>11952</v>
      </c>
      <c r="B227" s="0" t="n">
        <v>37.43</v>
      </c>
      <c r="C227" s="0" t="n">
        <v>4.5067214</v>
      </c>
      <c r="D227" s="0" t="n">
        <v>234950</v>
      </c>
      <c r="F227" s="0" t="n">
        <v>11952</v>
      </c>
      <c r="G227" s="0" t="n">
        <v>37.43</v>
      </c>
      <c r="H227" s="0" t="n">
        <v>4.5067214</v>
      </c>
      <c r="I227" s="0" t="n">
        <v>0</v>
      </c>
      <c r="K227" s="0" t="n">
        <v>22198</v>
      </c>
      <c r="L227" s="0" t="n">
        <v>5.4</v>
      </c>
      <c r="M227" s="1" t="s">
        <v>5</v>
      </c>
    </row>
    <row r="228" customFormat="false" ht="13.8" hidden="false" customHeight="false" outlineLevel="0" collapsed="false">
      <c r="A228" s="0" t="n">
        <v>12134</v>
      </c>
      <c r="B228" s="0" t="n">
        <v>58.73</v>
      </c>
      <c r="C228" s="0" t="n">
        <v>17.174259</v>
      </c>
      <c r="D228" s="0" t="n">
        <v>1485</v>
      </c>
      <c r="F228" s="0" t="n">
        <v>12134</v>
      </c>
      <c r="G228" s="0" t="n">
        <v>58.73</v>
      </c>
      <c r="H228" s="0" t="n">
        <v>17.174259</v>
      </c>
      <c r="I228" s="0" t="n">
        <v>0</v>
      </c>
      <c r="K228" s="0" t="n">
        <v>22219</v>
      </c>
      <c r="L228" s="0" t="n">
        <v>11.57</v>
      </c>
      <c r="M228" s="1" t="s">
        <v>24</v>
      </c>
    </row>
    <row r="229" customFormat="false" ht="13.8" hidden="false" customHeight="false" outlineLevel="0" collapsed="false">
      <c r="A229" s="0" t="n">
        <v>12135</v>
      </c>
      <c r="B229" s="0" t="n">
        <v>82.23</v>
      </c>
      <c r="C229" s="0" t="n">
        <v>15.56059259</v>
      </c>
      <c r="D229" s="0" t="n">
        <v>4995</v>
      </c>
      <c r="F229" s="0" t="n">
        <v>12135</v>
      </c>
      <c r="G229" s="0" t="n">
        <v>82.23</v>
      </c>
      <c r="H229" s="0" t="n">
        <v>15.56059259</v>
      </c>
      <c r="I229" s="0" t="n">
        <v>0</v>
      </c>
      <c r="K229" s="0" t="n">
        <v>22355</v>
      </c>
      <c r="L229" s="0" t="n">
        <v>23.12</v>
      </c>
      <c r="M229" s="1" t="s">
        <v>12</v>
      </c>
    </row>
    <row r="230" customFormat="false" ht="13.8" hidden="false" customHeight="false" outlineLevel="0" collapsed="false">
      <c r="A230" s="0" t="n">
        <v>12235</v>
      </c>
      <c r="B230" s="0" t="n">
        <v>323.13</v>
      </c>
      <c r="C230" s="0" t="n">
        <v>19.94325</v>
      </c>
      <c r="D230" s="0" t="n">
        <v>72</v>
      </c>
      <c r="F230" s="0" t="n">
        <v>12235</v>
      </c>
      <c r="G230" s="0" t="n">
        <v>323.13</v>
      </c>
      <c r="H230" s="0" t="n">
        <v>19.94325</v>
      </c>
      <c r="I230" s="0" t="n">
        <v>240</v>
      </c>
      <c r="K230" s="0" t="n">
        <v>22356</v>
      </c>
      <c r="L230" s="0" t="n">
        <v>7.46</v>
      </c>
      <c r="M230" s="1" t="s">
        <v>12</v>
      </c>
    </row>
    <row r="231" customFormat="false" ht="13.8" hidden="false" customHeight="false" outlineLevel="0" collapsed="false">
      <c r="A231" s="0" t="n">
        <v>12236</v>
      </c>
      <c r="B231" s="0" t="n">
        <v>191.27</v>
      </c>
      <c r="C231" s="0" t="n">
        <v>22.578</v>
      </c>
      <c r="D231" s="0" t="n">
        <v>120</v>
      </c>
      <c r="F231" s="0" t="n">
        <v>12236</v>
      </c>
      <c r="G231" s="0" t="n">
        <v>191.27</v>
      </c>
      <c r="H231" s="0" t="n">
        <v>22.578</v>
      </c>
      <c r="I231" s="0" t="n">
        <v>240</v>
      </c>
      <c r="K231" s="0" t="n">
        <v>22387</v>
      </c>
      <c r="L231" s="0" t="n">
        <v>9.81</v>
      </c>
      <c r="M231" s="1" t="s">
        <v>9</v>
      </c>
    </row>
    <row r="232" customFormat="false" ht="13.8" hidden="false" customHeight="false" outlineLevel="0" collapsed="false">
      <c r="A232" s="0" t="n">
        <v>12237</v>
      </c>
      <c r="B232" s="0" t="n">
        <v>133.6</v>
      </c>
      <c r="C232" s="0" t="n">
        <v>13.7905</v>
      </c>
      <c r="D232" s="0" t="n">
        <v>300</v>
      </c>
      <c r="F232" s="0" t="n">
        <v>12237</v>
      </c>
      <c r="G232" s="0" t="n">
        <v>133.6</v>
      </c>
      <c r="H232" s="0" t="n">
        <v>13.7905</v>
      </c>
      <c r="I232" s="0" t="n">
        <v>780</v>
      </c>
      <c r="K232" s="0" t="n">
        <v>22468</v>
      </c>
      <c r="L232" s="0" t="n">
        <v>19.18</v>
      </c>
      <c r="M232" s="1" t="s">
        <v>35</v>
      </c>
    </row>
    <row r="233" customFormat="false" ht="13.8" hidden="false" customHeight="false" outlineLevel="0" collapsed="false">
      <c r="A233" s="0" t="n">
        <v>12239</v>
      </c>
      <c r="B233" s="0" t="n">
        <v>39.2</v>
      </c>
      <c r="C233" s="0" t="n">
        <v>5.74833132</v>
      </c>
      <c r="D233" s="0" t="n">
        <v>840</v>
      </c>
      <c r="F233" s="0" t="n">
        <v>12239</v>
      </c>
      <c r="G233" s="0" t="n">
        <v>39.2</v>
      </c>
      <c r="H233" s="0" t="n">
        <v>5.74833132</v>
      </c>
      <c r="I233" s="0" t="n">
        <v>3840</v>
      </c>
      <c r="K233" s="0" t="n">
        <v>22502</v>
      </c>
      <c r="L233" s="0" t="n">
        <v>28.61</v>
      </c>
      <c r="M233" s="1" t="s">
        <v>51</v>
      </c>
    </row>
    <row r="234" customFormat="false" ht="13.8" hidden="false" customHeight="false" outlineLevel="0" collapsed="false">
      <c r="A234" s="0" t="n">
        <v>12389</v>
      </c>
      <c r="B234" s="0" t="n">
        <v>29.83</v>
      </c>
      <c r="C234" s="0" t="n">
        <v>2.6301</v>
      </c>
      <c r="D234" s="0" t="n">
        <v>1500</v>
      </c>
      <c r="F234" s="0" t="n">
        <v>12389</v>
      </c>
      <c r="G234" s="0" t="n">
        <v>29.83</v>
      </c>
      <c r="H234" s="0" t="n">
        <v>2.6301</v>
      </c>
      <c r="I234" s="0" t="n">
        <v>2000</v>
      </c>
      <c r="K234" s="0" t="n">
        <v>22569</v>
      </c>
      <c r="L234" s="0" t="n">
        <v>35.02</v>
      </c>
      <c r="M234" s="1" t="s">
        <v>9</v>
      </c>
    </row>
    <row r="235" customFormat="false" ht="13.8" hidden="false" customHeight="false" outlineLevel="0" collapsed="false">
      <c r="A235" s="0" t="n">
        <v>12390</v>
      </c>
      <c r="B235" s="0" t="n">
        <v>72.1</v>
      </c>
      <c r="C235" s="0" t="n">
        <v>8.682604</v>
      </c>
      <c r="D235" s="0" t="n">
        <v>480</v>
      </c>
      <c r="F235" s="0" t="n">
        <v>12390</v>
      </c>
      <c r="G235" s="0" t="n">
        <v>72.1</v>
      </c>
      <c r="H235" s="0" t="n">
        <v>8.682604</v>
      </c>
      <c r="I235" s="0" t="n">
        <v>0</v>
      </c>
      <c r="K235" s="0" t="n">
        <v>22606</v>
      </c>
      <c r="L235" s="0" t="n">
        <v>7.11</v>
      </c>
      <c r="M235" s="1" t="s">
        <v>6</v>
      </c>
    </row>
    <row r="236" customFormat="false" ht="13.8" hidden="false" customHeight="false" outlineLevel="0" collapsed="false">
      <c r="A236" s="0" t="n">
        <v>12407</v>
      </c>
      <c r="B236" s="0" t="n">
        <v>103.84</v>
      </c>
      <c r="C236" s="0" t="n">
        <v>13.733375</v>
      </c>
      <c r="D236" s="0" t="n">
        <v>0</v>
      </c>
      <c r="F236" s="0" t="n">
        <v>12407</v>
      </c>
      <c r="G236" s="0" t="n">
        <v>103.84</v>
      </c>
      <c r="H236" s="0" t="n">
        <v>13.733375</v>
      </c>
      <c r="I236" s="0" t="n">
        <v>320</v>
      </c>
      <c r="K236" s="0" t="n">
        <v>22715</v>
      </c>
      <c r="L236" s="0" t="n">
        <v>22.79</v>
      </c>
      <c r="M236" s="1" t="s">
        <v>13</v>
      </c>
    </row>
    <row r="237" customFormat="false" ht="13.8" hidden="false" customHeight="false" outlineLevel="0" collapsed="false">
      <c r="A237" s="0" t="n">
        <v>12409</v>
      </c>
      <c r="B237" s="0" t="n">
        <v>32.43</v>
      </c>
      <c r="C237" s="0" t="n">
        <v>4.58960662</v>
      </c>
      <c r="D237" s="0" t="n">
        <v>683</v>
      </c>
      <c r="F237" s="0" t="n">
        <v>12409</v>
      </c>
      <c r="G237" s="0" t="n">
        <v>32.43</v>
      </c>
      <c r="H237" s="0" t="n">
        <v>4.58960662</v>
      </c>
      <c r="I237" s="0" t="n">
        <v>1900</v>
      </c>
      <c r="K237" s="0" t="n">
        <v>22716</v>
      </c>
      <c r="L237" s="0" t="n">
        <v>22.79</v>
      </c>
      <c r="M237" s="1" t="s">
        <v>13</v>
      </c>
    </row>
    <row r="238" customFormat="false" ht="13.8" hidden="false" customHeight="false" outlineLevel="0" collapsed="false">
      <c r="A238" s="0" t="n">
        <v>12513</v>
      </c>
      <c r="B238" s="0" t="n">
        <v>202.79</v>
      </c>
      <c r="C238" s="0" t="n">
        <v>78.672</v>
      </c>
      <c r="D238" s="0" t="n">
        <v>735</v>
      </c>
      <c r="F238" s="0" t="n">
        <v>12513</v>
      </c>
      <c r="G238" s="0" t="n">
        <v>202.79</v>
      </c>
      <c r="H238" s="0" t="n">
        <v>78.672</v>
      </c>
      <c r="I238" s="0" t="n">
        <v>0</v>
      </c>
      <c r="K238" s="0" t="n">
        <v>22719</v>
      </c>
      <c r="L238" s="0" t="n">
        <v>19.63</v>
      </c>
      <c r="M238" s="1" t="s">
        <v>52</v>
      </c>
    </row>
    <row r="239" customFormat="false" ht="13.8" hidden="false" customHeight="false" outlineLevel="0" collapsed="false">
      <c r="A239" s="0" t="n">
        <v>12514</v>
      </c>
      <c r="B239" s="0" t="n">
        <v>99.7</v>
      </c>
      <c r="C239" s="0" t="n">
        <v>17.152583</v>
      </c>
      <c r="D239" s="0" t="n">
        <v>1230</v>
      </c>
      <c r="F239" s="0" t="n">
        <v>12514</v>
      </c>
      <c r="G239" s="0" t="n">
        <v>99.7</v>
      </c>
      <c r="H239" s="0" t="n">
        <v>17.152583</v>
      </c>
      <c r="I239" s="0" t="n">
        <v>0</v>
      </c>
      <c r="K239" s="0" t="n">
        <v>22850</v>
      </c>
      <c r="L239" s="0" t="n">
        <v>9.65</v>
      </c>
      <c r="M239" s="1" t="s">
        <v>22</v>
      </c>
    </row>
    <row r="240" customFormat="false" ht="13.8" hidden="false" customHeight="false" outlineLevel="0" collapsed="false">
      <c r="A240" s="0" t="n">
        <v>12515</v>
      </c>
      <c r="B240" s="0" t="n">
        <v>36.44</v>
      </c>
      <c r="C240" s="0" t="n">
        <v>4.701663</v>
      </c>
      <c r="D240" s="0" t="n">
        <v>1485</v>
      </c>
      <c r="F240" s="0" t="n">
        <v>12515</v>
      </c>
      <c r="G240" s="0" t="n">
        <v>36.44</v>
      </c>
      <c r="H240" s="0" t="n">
        <v>4.701663</v>
      </c>
      <c r="I240" s="0" t="n">
        <v>5130</v>
      </c>
      <c r="K240" s="0" t="n">
        <v>22856</v>
      </c>
      <c r="L240" s="0" t="n">
        <v>11.06</v>
      </c>
      <c r="M240" s="1" t="s">
        <v>53</v>
      </c>
    </row>
    <row r="241" customFormat="false" ht="13.8" hidden="false" customHeight="false" outlineLevel="0" collapsed="false">
      <c r="A241" s="0" t="n">
        <v>12516</v>
      </c>
      <c r="B241" s="0" t="n">
        <v>175.82</v>
      </c>
      <c r="C241" s="0" t="n">
        <v>30.82666667</v>
      </c>
      <c r="D241" s="0" t="n">
        <v>60</v>
      </c>
      <c r="F241" s="0" t="n">
        <v>12516</v>
      </c>
      <c r="G241" s="0" t="n">
        <v>175.82</v>
      </c>
      <c r="H241" s="0" t="n">
        <v>30.82666667</v>
      </c>
      <c r="I241" s="0" t="n">
        <v>60</v>
      </c>
      <c r="K241" s="0" t="n">
        <v>22857</v>
      </c>
      <c r="L241" s="0" t="n">
        <v>21.55</v>
      </c>
      <c r="M241" s="1" t="s">
        <v>9</v>
      </c>
    </row>
    <row r="242" customFormat="false" ht="13.8" hidden="false" customHeight="false" outlineLevel="0" collapsed="false">
      <c r="A242" s="0" t="n">
        <v>12518</v>
      </c>
      <c r="B242" s="0" t="n">
        <v>59.68</v>
      </c>
      <c r="C242" s="0" t="n">
        <v>7.6999</v>
      </c>
      <c r="D242" s="0" t="n">
        <v>400</v>
      </c>
      <c r="F242" s="0" t="n">
        <v>12518</v>
      </c>
      <c r="G242" s="0" t="n">
        <v>59.68</v>
      </c>
      <c r="H242" s="0" t="n">
        <v>7.6999</v>
      </c>
      <c r="I242" s="0" t="n">
        <v>600</v>
      </c>
      <c r="K242" s="0" t="n">
        <v>22866</v>
      </c>
      <c r="L242" s="0" t="n">
        <v>9.86</v>
      </c>
      <c r="M242" s="1" t="s">
        <v>54</v>
      </c>
    </row>
    <row r="243" customFormat="false" ht="13.8" hidden="false" customHeight="false" outlineLevel="0" collapsed="false">
      <c r="A243" s="0" t="n">
        <v>12520</v>
      </c>
      <c r="B243" s="0" t="n">
        <v>45.17</v>
      </c>
      <c r="C243" s="0" t="n">
        <v>7.74132499</v>
      </c>
      <c r="D243" s="0" t="n">
        <v>2880</v>
      </c>
      <c r="F243" s="0" t="n">
        <v>12520</v>
      </c>
      <c r="G243" s="0" t="n">
        <v>45.17</v>
      </c>
      <c r="H243" s="0" t="n">
        <v>7.74132499</v>
      </c>
      <c r="I243" s="0" t="n">
        <v>0</v>
      </c>
    </row>
    <row r="244" customFormat="false" ht="13.8" hidden="false" customHeight="false" outlineLevel="0" collapsed="false">
      <c r="A244" s="0" t="n">
        <v>12521</v>
      </c>
      <c r="B244" s="0" t="n">
        <v>49.98</v>
      </c>
      <c r="C244" s="0" t="n">
        <v>8.1683333</v>
      </c>
      <c r="D244" s="0" t="n">
        <v>60</v>
      </c>
      <c r="F244" s="0" t="n">
        <v>12521</v>
      </c>
      <c r="G244" s="0" t="n">
        <v>49.98</v>
      </c>
      <c r="H244" s="0" t="n">
        <v>8.1683333</v>
      </c>
      <c r="I244" s="0" t="n">
        <v>120</v>
      </c>
    </row>
    <row r="245" customFormat="false" ht="13.8" hidden="false" customHeight="false" outlineLevel="0" collapsed="false">
      <c r="A245" s="0" t="n">
        <v>12585</v>
      </c>
      <c r="B245" s="0" t="n">
        <v>104.66</v>
      </c>
      <c r="C245" s="0" t="n">
        <v>28.608125</v>
      </c>
      <c r="D245" s="0" t="n">
        <v>96</v>
      </c>
      <c r="F245" s="0" t="n">
        <v>12585</v>
      </c>
      <c r="G245" s="0" t="n">
        <v>104.66</v>
      </c>
      <c r="H245" s="0" t="n">
        <v>28.608125</v>
      </c>
      <c r="I245" s="0" t="n">
        <v>0</v>
      </c>
    </row>
    <row r="246" customFormat="false" ht="13.8" hidden="false" customHeight="false" outlineLevel="0" collapsed="false">
      <c r="A246" s="0" t="n">
        <v>12732</v>
      </c>
      <c r="B246" s="0" t="n">
        <v>31.54</v>
      </c>
      <c r="C246" s="0" t="n">
        <v>6.756025</v>
      </c>
      <c r="D246" s="0" t="n">
        <v>8000</v>
      </c>
      <c r="F246" s="0" t="n">
        <v>12732</v>
      </c>
      <c r="G246" s="0" t="n">
        <v>31.54</v>
      </c>
      <c r="H246" s="0" t="n">
        <v>6.756025</v>
      </c>
      <c r="I246" s="0" t="n">
        <v>0</v>
      </c>
    </row>
    <row r="247" customFormat="false" ht="13.8" hidden="false" customHeight="false" outlineLevel="0" collapsed="false">
      <c r="A247" s="0" t="n">
        <v>12733</v>
      </c>
      <c r="B247" s="0" t="n">
        <v>97.8</v>
      </c>
      <c r="C247" s="0" t="n">
        <v>17.665833</v>
      </c>
      <c r="D247" s="0" t="n">
        <v>0</v>
      </c>
      <c r="F247" s="0" t="n">
        <v>12733</v>
      </c>
      <c r="G247" s="0" t="n">
        <v>97.8</v>
      </c>
      <c r="H247" s="0" t="n">
        <v>17.665833</v>
      </c>
      <c r="I247" s="0" t="n">
        <v>384</v>
      </c>
    </row>
    <row r="248" customFormat="false" ht="13.8" hidden="false" customHeight="false" outlineLevel="0" collapsed="false">
      <c r="A248" s="0" t="n">
        <v>12805</v>
      </c>
      <c r="B248" s="0" t="n">
        <v>39.4</v>
      </c>
      <c r="C248" s="0" t="n">
        <v>3.19792</v>
      </c>
      <c r="D248" s="0" t="n">
        <v>1400</v>
      </c>
      <c r="F248" s="0" t="n">
        <v>12805</v>
      </c>
      <c r="G248" s="0" t="n">
        <v>39.4</v>
      </c>
      <c r="H248" s="0" t="n">
        <v>3.19792</v>
      </c>
      <c r="I248" s="0" t="n">
        <v>3400</v>
      </c>
    </row>
    <row r="249" customFormat="false" ht="13.8" hidden="false" customHeight="false" outlineLevel="0" collapsed="false">
      <c r="A249" s="0" t="n">
        <v>12815</v>
      </c>
      <c r="B249" s="0" t="n">
        <v>67</v>
      </c>
      <c r="C249" s="0" t="n">
        <v>4.13518</v>
      </c>
      <c r="D249" s="0" t="n">
        <v>400</v>
      </c>
      <c r="F249" s="0" t="n">
        <v>12815</v>
      </c>
      <c r="G249" s="0" t="n">
        <v>67</v>
      </c>
      <c r="H249" s="0" t="n">
        <v>4.13518</v>
      </c>
      <c r="I249" s="0" t="n">
        <v>1700</v>
      </c>
    </row>
    <row r="250" customFormat="false" ht="13.8" hidden="false" customHeight="false" outlineLevel="0" collapsed="false">
      <c r="A250" s="0" t="n">
        <v>12870</v>
      </c>
      <c r="B250" s="0" t="n">
        <v>45.23</v>
      </c>
      <c r="C250" s="0" t="n">
        <v>5.788728</v>
      </c>
      <c r="D250" s="0" t="n">
        <v>0</v>
      </c>
      <c r="F250" s="0" t="n">
        <v>12870</v>
      </c>
      <c r="G250" s="0" t="n">
        <v>45.23</v>
      </c>
      <c r="H250" s="0" t="n">
        <v>5.788728</v>
      </c>
      <c r="I250" s="0" t="n">
        <v>0</v>
      </c>
    </row>
    <row r="251" customFormat="false" ht="13.8" hidden="false" customHeight="false" outlineLevel="0" collapsed="false">
      <c r="A251" s="0" t="n">
        <v>13184</v>
      </c>
      <c r="B251" s="0" t="n">
        <v>12.74</v>
      </c>
      <c r="C251" s="0" t="n">
        <v>2.94719048</v>
      </c>
      <c r="D251" s="0" t="n">
        <v>210</v>
      </c>
      <c r="F251" s="0" t="n">
        <v>13184</v>
      </c>
      <c r="G251" s="0" t="n">
        <v>12.74</v>
      </c>
      <c r="H251" s="0" t="n">
        <v>2.94719048</v>
      </c>
      <c r="I251" s="0" t="n">
        <v>525</v>
      </c>
    </row>
    <row r="252" customFormat="false" ht="13.8" hidden="false" customHeight="false" outlineLevel="0" collapsed="false">
      <c r="A252" s="0" t="n">
        <v>13185</v>
      </c>
      <c r="B252" s="0" t="n">
        <v>24.45</v>
      </c>
      <c r="C252" s="0" t="n">
        <v>5.35395238</v>
      </c>
      <c r="D252" s="0" t="n">
        <v>210</v>
      </c>
      <c r="F252" s="0" t="n">
        <v>13185</v>
      </c>
      <c r="G252" s="0" t="n">
        <v>24.45</v>
      </c>
      <c r="H252" s="0" t="n">
        <v>5.35395238</v>
      </c>
      <c r="I252" s="0" t="n">
        <v>315</v>
      </c>
    </row>
    <row r="253" customFormat="false" ht="13.8" hidden="false" customHeight="false" outlineLevel="0" collapsed="false">
      <c r="A253" s="0" t="n">
        <v>13448</v>
      </c>
      <c r="B253" s="0" t="n">
        <v>128.8</v>
      </c>
      <c r="C253" s="0" t="n">
        <v>36.709333</v>
      </c>
      <c r="D253" s="0" t="n">
        <v>0</v>
      </c>
      <c r="F253" s="0" t="n">
        <v>13448</v>
      </c>
      <c r="G253" s="0" t="n">
        <v>128.8</v>
      </c>
      <c r="H253" s="0" t="n">
        <v>36.709333</v>
      </c>
      <c r="I253" s="0" t="n">
        <v>0</v>
      </c>
    </row>
    <row r="254" customFormat="false" ht="13.8" hidden="false" customHeight="false" outlineLevel="0" collapsed="false">
      <c r="A254" s="0" t="n">
        <v>13449</v>
      </c>
      <c r="B254" s="0" t="n">
        <v>130.39</v>
      </c>
      <c r="C254" s="0" t="n">
        <v>11.2161</v>
      </c>
      <c r="D254" s="0" t="n">
        <v>300</v>
      </c>
      <c r="F254" s="0" t="n">
        <v>13449</v>
      </c>
      <c r="G254" s="0" t="n">
        <v>130.39</v>
      </c>
      <c r="H254" s="0" t="n">
        <v>11.2161</v>
      </c>
      <c r="I254" s="0" t="n">
        <v>500</v>
      </c>
    </row>
    <row r="255" customFormat="false" ht="13.8" hidden="false" customHeight="false" outlineLevel="0" collapsed="false">
      <c r="A255" s="0" t="n">
        <v>14000</v>
      </c>
      <c r="B255" s="0" t="n">
        <v>15.71</v>
      </c>
      <c r="C255" s="0" t="n">
        <v>3.45423333</v>
      </c>
      <c r="D255" s="0" t="n">
        <v>1300</v>
      </c>
      <c r="F255" s="0" t="n">
        <v>14000</v>
      </c>
      <c r="G255" s="0" t="n">
        <v>15.71</v>
      </c>
      <c r="H255" s="0" t="n">
        <v>3.45423333</v>
      </c>
      <c r="I255" s="0" t="n">
        <v>1000</v>
      </c>
    </row>
    <row r="256" customFormat="false" ht="13.8" hidden="false" customHeight="false" outlineLevel="0" collapsed="false">
      <c r="A256" s="0" t="n">
        <v>14252</v>
      </c>
      <c r="B256" s="0" t="n">
        <v>102.51</v>
      </c>
      <c r="C256" s="0" t="n">
        <v>47.6166</v>
      </c>
      <c r="D256" s="0" t="n">
        <v>100</v>
      </c>
      <c r="F256" s="0" t="n">
        <v>14252</v>
      </c>
      <c r="G256" s="0" t="n">
        <v>102.51</v>
      </c>
      <c r="H256" s="0" t="n">
        <v>47.6166</v>
      </c>
      <c r="I256" s="0" t="n">
        <v>0</v>
      </c>
    </row>
    <row r="257" customFormat="false" ht="13.8" hidden="false" customHeight="false" outlineLevel="0" collapsed="false">
      <c r="A257" s="0" t="n">
        <v>14253</v>
      </c>
      <c r="B257" s="0" t="n">
        <v>102.51</v>
      </c>
      <c r="C257" s="0" t="n">
        <v>45.09322222</v>
      </c>
      <c r="D257" s="0" t="n">
        <v>180</v>
      </c>
      <c r="F257" s="0" t="n">
        <v>14253</v>
      </c>
      <c r="G257" s="0" t="n">
        <v>102.51</v>
      </c>
      <c r="H257" s="0" t="n">
        <v>45.09322222</v>
      </c>
      <c r="I257" s="0" t="n">
        <v>0</v>
      </c>
    </row>
    <row r="258" customFormat="false" ht="13.8" hidden="false" customHeight="false" outlineLevel="0" collapsed="false">
      <c r="A258" s="0" t="n">
        <v>14254</v>
      </c>
      <c r="B258" s="0" t="n">
        <v>28.01</v>
      </c>
      <c r="C258" s="0" t="n">
        <v>2.6507</v>
      </c>
      <c r="D258" s="0" t="n">
        <v>500</v>
      </c>
      <c r="F258" s="0" t="n">
        <v>14254</v>
      </c>
      <c r="G258" s="0" t="n">
        <v>28.01</v>
      </c>
      <c r="H258" s="0" t="n">
        <v>2.6507</v>
      </c>
      <c r="I258" s="0" t="n">
        <v>0</v>
      </c>
    </row>
    <row r="259" customFormat="false" ht="13.8" hidden="false" customHeight="false" outlineLevel="0" collapsed="false">
      <c r="A259" s="0" t="n">
        <v>14291</v>
      </c>
      <c r="B259" s="0" t="n">
        <v>80.54</v>
      </c>
      <c r="C259" s="0" t="n">
        <v>18.8351</v>
      </c>
      <c r="D259" s="0" t="n">
        <v>0</v>
      </c>
      <c r="F259" s="0" t="n">
        <v>14291</v>
      </c>
      <c r="G259" s="0" t="n">
        <v>80.54</v>
      </c>
      <c r="H259" s="0" t="n">
        <v>18.8351</v>
      </c>
      <c r="I259" s="0" t="n">
        <v>100</v>
      </c>
    </row>
    <row r="260" customFormat="false" ht="13.8" hidden="false" customHeight="false" outlineLevel="0" collapsed="false">
      <c r="A260" s="0" t="n">
        <v>14292</v>
      </c>
      <c r="B260" s="0" t="n">
        <v>322.09</v>
      </c>
      <c r="C260" s="0" t="n">
        <v>89.205</v>
      </c>
      <c r="D260" s="0" t="n">
        <v>50</v>
      </c>
      <c r="F260" s="0" t="n">
        <v>14292</v>
      </c>
      <c r="G260" s="0" t="n">
        <v>322.09</v>
      </c>
      <c r="H260" s="0" t="n">
        <v>89.205</v>
      </c>
      <c r="I260" s="0" t="n">
        <v>0</v>
      </c>
    </row>
    <row r="261" customFormat="false" ht="13.8" hidden="false" customHeight="false" outlineLevel="0" collapsed="false">
      <c r="A261" s="0" t="n">
        <v>14293</v>
      </c>
      <c r="B261" s="0" t="n">
        <v>217.4</v>
      </c>
      <c r="C261" s="0" t="n">
        <v>54.45733333</v>
      </c>
      <c r="D261" s="0" t="n">
        <v>0</v>
      </c>
      <c r="F261" s="0" t="n">
        <v>14293</v>
      </c>
      <c r="G261" s="0" t="n">
        <v>217.4</v>
      </c>
      <c r="H261" s="0" t="n">
        <v>54.45733333</v>
      </c>
      <c r="I261" s="0" t="n">
        <v>0</v>
      </c>
    </row>
    <row r="262" customFormat="false" ht="13.8" hidden="false" customHeight="false" outlineLevel="0" collapsed="false">
      <c r="A262" s="0" t="n">
        <v>14294</v>
      </c>
      <c r="B262" s="0" t="n">
        <v>202.43</v>
      </c>
      <c r="C262" s="0" t="n">
        <v>55.720666</v>
      </c>
      <c r="D262" s="0" t="n">
        <v>60</v>
      </c>
      <c r="F262" s="0" t="n">
        <v>14294</v>
      </c>
      <c r="G262" s="0" t="n">
        <v>202.43</v>
      </c>
      <c r="H262" s="0" t="n">
        <v>55.720666</v>
      </c>
      <c r="I262" s="0" t="n">
        <v>0</v>
      </c>
    </row>
    <row r="263" customFormat="false" ht="13.8" hidden="false" customHeight="false" outlineLevel="0" collapsed="false">
      <c r="A263" s="0" t="n">
        <v>14509</v>
      </c>
      <c r="B263" s="0" t="n">
        <v>71.79</v>
      </c>
      <c r="C263" s="0" t="n">
        <v>22.23154762</v>
      </c>
      <c r="D263" s="0" t="n">
        <v>252</v>
      </c>
      <c r="F263" s="0" t="n">
        <v>14509</v>
      </c>
      <c r="G263" s="0" t="n">
        <v>71.79</v>
      </c>
      <c r="H263" s="0" t="n">
        <v>22.23154762</v>
      </c>
      <c r="I263" s="0" t="n">
        <v>84</v>
      </c>
    </row>
    <row r="264" customFormat="false" ht="13.8" hidden="false" customHeight="false" outlineLevel="0" collapsed="false">
      <c r="A264" s="0" t="n">
        <v>14695</v>
      </c>
      <c r="B264" s="0" t="n">
        <v>38.46</v>
      </c>
      <c r="C264" s="0" t="n">
        <v>11.00626</v>
      </c>
      <c r="D264" s="0" t="n">
        <v>0</v>
      </c>
      <c r="F264" s="0" t="n">
        <v>14695</v>
      </c>
      <c r="G264" s="0" t="n">
        <v>38.46</v>
      </c>
      <c r="H264" s="0" t="n">
        <v>11.00626</v>
      </c>
      <c r="I264" s="0" t="n">
        <v>0</v>
      </c>
    </row>
    <row r="265" customFormat="false" ht="13.8" hidden="false" customHeight="false" outlineLevel="0" collapsed="false">
      <c r="A265" s="0" t="n">
        <v>14696</v>
      </c>
      <c r="B265" s="0" t="n">
        <v>90.73</v>
      </c>
      <c r="C265" s="0" t="n">
        <v>25.959357</v>
      </c>
      <c r="D265" s="0" t="n">
        <v>0</v>
      </c>
      <c r="F265" s="0" t="n">
        <v>14696</v>
      </c>
      <c r="G265" s="0" t="n">
        <v>90.73</v>
      </c>
      <c r="H265" s="0" t="n">
        <v>25.959357</v>
      </c>
      <c r="I265" s="0" t="n">
        <v>0</v>
      </c>
    </row>
    <row r="266" customFormat="false" ht="13.8" hidden="false" customHeight="false" outlineLevel="0" collapsed="false">
      <c r="A266" s="0" t="n">
        <v>14724</v>
      </c>
      <c r="B266" s="0" t="n">
        <v>36.25</v>
      </c>
      <c r="C266" s="0" t="n">
        <v>14.38275</v>
      </c>
      <c r="D266" s="0" t="n">
        <v>300</v>
      </c>
      <c r="F266" s="0" t="n">
        <v>14724</v>
      </c>
      <c r="G266" s="0" t="n">
        <v>36.25</v>
      </c>
      <c r="H266" s="0" t="n">
        <v>14.38275</v>
      </c>
      <c r="I266" s="0" t="n">
        <v>0</v>
      </c>
    </row>
    <row r="267" customFormat="false" ht="13.8" hidden="false" customHeight="false" outlineLevel="0" collapsed="false">
      <c r="A267" s="0" t="n">
        <v>14725</v>
      </c>
      <c r="B267" s="0" t="n">
        <v>25.26</v>
      </c>
      <c r="C267" s="0" t="n">
        <v>7.35958333</v>
      </c>
      <c r="D267" s="0" t="n">
        <v>240</v>
      </c>
      <c r="F267" s="0" t="n">
        <v>14725</v>
      </c>
      <c r="G267" s="0" t="n">
        <v>25.26</v>
      </c>
      <c r="H267" s="0" t="n">
        <v>7.35958333</v>
      </c>
      <c r="I267" s="0" t="n">
        <v>960</v>
      </c>
    </row>
    <row r="268" customFormat="false" ht="13.8" hidden="false" customHeight="false" outlineLevel="0" collapsed="false">
      <c r="A268" s="0" t="n">
        <v>14726</v>
      </c>
      <c r="B268" s="0" t="n">
        <v>25.26</v>
      </c>
      <c r="C268" s="0" t="n">
        <v>7.35958333</v>
      </c>
      <c r="D268" s="0" t="n">
        <v>240</v>
      </c>
      <c r="F268" s="0" t="n">
        <v>14726</v>
      </c>
      <c r="G268" s="0" t="n">
        <v>25.26</v>
      </c>
      <c r="H268" s="0" t="n">
        <v>7.35958333</v>
      </c>
      <c r="I268" s="0" t="n">
        <v>720</v>
      </c>
    </row>
    <row r="269" customFormat="false" ht="13.8" hidden="false" customHeight="false" outlineLevel="0" collapsed="false">
      <c r="A269" s="0" t="n">
        <v>15219</v>
      </c>
      <c r="B269" s="0" t="n">
        <v>59.47</v>
      </c>
      <c r="C269" s="0" t="n">
        <v>13.4371</v>
      </c>
      <c r="D269" s="0" t="n">
        <v>0</v>
      </c>
      <c r="F269" s="0" t="n">
        <v>15219</v>
      </c>
      <c r="G269" s="0" t="n">
        <v>59.47</v>
      </c>
      <c r="H269" s="0" t="n">
        <v>13.4371</v>
      </c>
      <c r="I269" s="0" t="n">
        <v>0</v>
      </c>
    </row>
    <row r="270" customFormat="false" ht="13.8" hidden="false" customHeight="false" outlineLevel="0" collapsed="false">
      <c r="A270" s="0" t="n">
        <v>15268</v>
      </c>
      <c r="B270" s="0" t="n">
        <v>25.07</v>
      </c>
      <c r="C270" s="0" t="n">
        <v>7.2943888</v>
      </c>
      <c r="D270" s="0" t="n">
        <v>2700</v>
      </c>
      <c r="F270" s="0" t="n">
        <v>15268</v>
      </c>
      <c r="G270" s="0" t="n">
        <v>25.07</v>
      </c>
      <c r="H270" s="0" t="n">
        <v>7.2943888</v>
      </c>
      <c r="I270" s="0" t="n">
        <v>450</v>
      </c>
    </row>
    <row r="271" customFormat="false" ht="13.8" hidden="false" customHeight="false" outlineLevel="0" collapsed="false">
      <c r="A271" s="0" t="n">
        <v>15269</v>
      </c>
      <c r="B271" s="0" t="n">
        <v>48.95</v>
      </c>
      <c r="C271" s="0" t="n">
        <v>15.93805</v>
      </c>
      <c r="D271" s="0" t="n">
        <v>0</v>
      </c>
      <c r="F271" s="0" t="n">
        <v>15269</v>
      </c>
      <c r="G271" s="0" t="n">
        <v>48.95</v>
      </c>
      <c r="H271" s="0" t="n">
        <v>15.93805</v>
      </c>
      <c r="I271" s="0" t="n">
        <v>0</v>
      </c>
    </row>
    <row r="272" customFormat="false" ht="13.8" hidden="false" customHeight="false" outlineLevel="0" collapsed="false">
      <c r="A272" s="0" t="n">
        <v>15567</v>
      </c>
      <c r="B272" s="0" t="n">
        <v>49.51</v>
      </c>
      <c r="C272" s="0" t="n">
        <v>11.3498</v>
      </c>
      <c r="D272" s="0" t="n">
        <v>200</v>
      </c>
      <c r="F272" s="0" t="n">
        <v>15567</v>
      </c>
      <c r="G272" s="0" t="n">
        <v>49.51</v>
      </c>
      <c r="H272" s="0" t="n">
        <v>11.3498</v>
      </c>
      <c r="I272" s="0" t="n">
        <v>0</v>
      </c>
    </row>
    <row r="273" customFormat="false" ht="13.8" hidden="false" customHeight="false" outlineLevel="0" collapsed="false">
      <c r="A273" s="0" t="n">
        <v>15568</v>
      </c>
      <c r="B273" s="0" t="n">
        <v>50.75</v>
      </c>
      <c r="C273" s="0" t="n">
        <v>19.2073</v>
      </c>
      <c r="D273" s="0" t="n">
        <v>600</v>
      </c>
      <c r="F273" s="0" t="n">
        <v>15568</v>
      </c>
      <c r="G273" s="0" t="n">
        <v>50.75</v>
      </c>
      <c r="H273" s="0" t="n">
        <v>19.2073</v>
      </c>
      <c r="I273" s="0" t="n">
        <v>200</v>
      </c>
    </row>
    <row r="274" customFormat="false" ht="13.8" hidden="false" customHeight="false" outlineLevel="0" collapsed="false">
      <c r="A274" s="0" t="n">
        <v>15569</v>
      </c>
      <c r="B274" s="0" t="n">
        <v>58.84</v>
      </c>
      <c r="C274" s="0" t="n">
        <v>32.89625</v>
      </c>
      <c r="D274" s="0" t="n">
        <v>120</v>
      </c>
      <c r="F274" s="0" t="n">
        <v>15569</v>
      </c>
      <c r="G274" s="0" t="n">
        <v>58.84</v>
      </c>
      <c r="H274" s="0" t="n">
        <v>32.89625</v>
      </c>
      <c r="I274" s="0" t="n">
        <v>80</v>
      </c>
    </row>
    <row r="275" customFormat="false" ht="13.8" hidden="false" customHeight="false" outlineLevel="0" collapsed="false">
      <c r="A275" s="0" t="n">
        <v>15622</v>
      </c>
      <c r="B275" s="0" t="n">
        <v>76.66</v>
      </c>
      <c r="C275" s="0" t="n">
        <v>17.892</v>
      </c>
      <c r="D275" s="0" t="n">
        <v>0</v>
      </c>
      <c r="F275" s="0" t="n">
        <v>15622</v>
      </c>
      <c r="G275" s="0" t="n">
        <v>76.66</v>
      </c>
      <c r="H275" s="0" t="n">
        <v>17.892</v>
      </c>
      <c r="I275" s="0" t="n">
        <v>0</v>
      </c>
    </row>
    <row r="276" customFormat="false" ht="13.8" hidden="false" customHeight="false" outlineLevel="0" collapsed="false">
      <c r="A276" s="0" t="n">
        <v>15623</v>
      </c>
      <c r="B276" s="0" t="n">
        <v>68.15</v>
      </c>
      <c r="C276" s="0" t="n">
        <v>0</v>
      </c>
      <c r="D276" s="0" t="n">
        <v>0</v>
      </c>
      <c r="F276" s="0" t="n">
        <v>15623</v>
      </c>
      <c r="G276" s="0" t="n">
        <v>68.15</v>
      </c>
      <c r="H276" s="0" t="n">
        <v>0</v>
      </c>
      <c r="I276" s="0" t="n">
        <v>0</v>
      </c>
    </row>
    <row r="277" customFormat="false" ht="13.8" hidden="false" customHeight="false" outlineLevel="0" collapsed="false">
      <c r="A277" s="0" t="n">
        <v>15724</v>
      </c>
      <c r="B277" s="0" t="n">
        <v>129.06</v>
      </c>
      <c r="C277" s="0" t="n">
        <v>66.60883333</v>
      </c>
      <c r="D277" s="0" t="n">
        <v>120</v>
      </c>
      <c r="F277" s="0" t="n">
        <v>15724</v>
      </c>
      <c r="G277" s="0" t="n">
        <v>129.06</v>
      </c>
      <c r="H277" s="0" t="n">
        <v>66.60883333</v>
      </c>
      <c r="I277" s="0" t="n">
        <v>60</v>
      </c>
    </row>
    <row r="278" customFormat="false" ht="13.8" hidden="false" customHeight="false" outlineLevel="0" collapsed="false">
      <c r="A278" s="0" t="n">
        <v>15725</v>
      </c>
      <c r="B278" s="0" t="n">
        <v>239.22</v>
      </c>
      <c r="C278" s="0" t="n">
        <v>108.0735</v>
      </c>
      <c r="D278" s="0" t="n">
        <v>0</v>
      </c>
      <c r="F278" s="0" t="n">
        <v>15725</v>
      </c>
      <c r="G278" s="0" t="n">
        <v>239.22</v>
      </c>
      <c r="H278" s="0" t="n">
        <v>108.0735</v>
      </c>
      <c r="I278" s="0" t="n">
        <v>0</v>
      </c>
    </row>
    <row r="279" customFormat="false" ht="13.8" hidden="false" customHeight="false" outlineLevel="0" collapsed="false">
      <c r="A279" s="0" t="n">
        <v>15726</v>
      </c>
      <c r="B279" s="0" t="n">
        <v>94.24</v>
      </c>
      <c r="C279" s="0" t="n">
        <v>46.0565</v>
      </c>
      <c r="D279" s="0" t="n">
        <v>60</v>
      </c>
      <c r="F279" s="0" t="n">
        <v>15726</v>
      </c>
      <c r="G279" s="0" t="n">
        <v>94.24</v>
      </c>
      <c r="H279" s="0" t="n">
        <v>46.0565</v>
      </c>
      <c r="I279" s="0" t="n">
        <v>0</v>
      </c>
    </row>
    <row r="280" customFormat="false" ht="13.8" hidden="false" customHeight="false" outlineLevel="0" collapsed="false">
      <c r="A280" s="0" t="n">
        <v>15836</v>
      </c>
      <c r="B280" s="0" t="n">
        <v>188.1</v>
      </c>
      <c r="C280" s="0" t="n">
        <v>33.1632</v>
      </c>
      <c r="D280" s="0" t="n">
        <v>0</v>
      </c>
      <c r="F280" s="0" t="n">
        <v>15836</v>
      </c>
      <c r="G280" s="0" t="n">
        <v>188.1</v>
      </c>
      <c r="H280" s="0" t="n">
        <v>33.1632</v>
      </c>
      <c r="I280" s="0" t="n">
        <v>1000</v>
      </c>
    </row>
    <row r="281" customFormat="false" ht="13.8" hidden="false" customHeight="false" outlineLevel="0" collapsed="false">
      <c r="A281" s="0" t="n">
        <v>15837</v>
      </c>
      <c r="B281" s="0" t="n">
        <v>175.58</v>
      </c>
      <c r="C281" s="0" t="n">
        <v>15.73226127</v>
      </c>
      <c r="D281" s="0" t="n">
        <v>200</v>
      </c>
      <c r="F281" s="0" t="n">
        <v>15837</v>
      </c>
      <c r="G281" s="0" t="n">
        <v>175.58</v>
      </c>
      <c r="H281" s="0" t="n">
        <v>15.73226127</v>
      </c>
      <c r="I281" s="0" t="n">
        <v>1000</v>
      </c>
    </row>
    <row r="282" customFormat="false" ht="13.8" hidden="false" customHeight="false" outlineLevel="0" collapsed="false">
      <c r="A282" s="0" t="n">
        <v>15838</v>
      </c>
      <c r="B282" s="0" t="n">
        <v>175.58</v>
      </c>
      <c r="C282" s="0" t="n">
        <v>12.0821</v>
      </c>
      <c r="D282" s="0" t="n">
        <v>600</v>
      </c>
      <c r="F282" s="0" t="n">
        <v>15838</v>
      </c>
      <c r="G282" s="0" t="n">
        <v>175.58</v>
      </c>
      <c r="H282" s="0" t="n">
        <v>12.0821</v>
      </c>
      <c r="I282" s="0" t="n">
        <v>2800</v>
      </c>
    </row>
    <row r="283" customFormat="false" ht="13.8" hidden="false" customHeight="false" outlineLevel="0" collapsed="false">
      <c r="A283" s="0" t="n">
        <v>15839</v>
      </c>
      <c r="B283" s="0" t="n">
        <v>50.57</v>
      </c>
      <c r="C283" s="0" t="n">
        <v>8.8672</v>
      </c>
      <c r="D283" s="0" t="n">
        <v>100</v>
      </c>
      <c r="F283" s="0" t="n">
        <v>15839</v>
      </c>
      <c r="G283" s="0" t="n">
        <v>50.57</v>
      </c>
      <c r="H283" s="0" t="n">
        <v>8.8672</v>
      </c>
      <c r="I283" s="0" t="n">
        <v>0</v>
      </c>
    </row>
    <row r="284" customFormat="false" ht="13.8" hidden="false" customHeight="false" outlineLevel="0" collapsed="false">
      <c r="A284" s="0" t="n">
        <v>15840</v>
      </c>
      <c r="B284" s="0" t="n">
        <v>119.21</v>
      </c>
      <c r="C284" s="0" t="n">
        <v>0</v>
      </c>
      <c r="D284" s="0" t="n">
        <v>0</v>
      </c>
      <c r="F284" s="0" t="n">
        <v>15840</v>
      </c>
      <c r="G284" s="0" t="n">
        <v>119.21</v>
      </c>
      <c r="H284" s="0" t="n">
        <v>0</v>
      </c>
      <c r="I284" s="0" t="n">
        <v>0</v>
      </c>
    </row>
    <row r="285" customFormat="false" ht="13.8" hidden="false" customHeight="false" outlineLevel="0" collapsed="false">
      <c r="A285" s="0" t="n">
        <v>15841</v>
      </c>
      <c r="B285" s="0" t="n">
        <v>25.27</v>
      </c>
      <c r="C285" s="0" t="n">
        <v>11.47691667</v>
      </c>
      <c r="D285" s="0" t="n">
        <v>3960</v>
      </c>
      <c r="F285" s="0" t="n">
        <v>15841</v>
      </c>
      <c r="G285" s="0" t="n">
        <v>25.27</v>
      </c>
      <c r="H285" s="0" t="n">
        <v>11.47691667</v>
      </c>
      <c r="I285" s="0" t="n">
        <v>0</v>
      </c>
    </row>
    <row r="286" customFormat="false" ht="13.8" hidden="false" customHeight="false" outlineLevel="0" collapsed="false">
      <c r="A286" s="0" t="n">
        <v>15855</v>
      </c>
      <c r="B286" s="0" t="n">
        <v>54.13</v>
      </c>
      <c r="C286" s="0" t="n">
        <v>7.337</v>
      </c>
      <c r="D286" s="0" t="n">
        <v>0</v>
      </c>
      <c r="F286" s="0" t="n">
        <v>15855</v>
      </c>
      <c r="G286" s="0" t="n">
        <v>54.13</v>
      </c>
      <c r="H286" s="0" t="n">
        <v>7.337</v>
      </c>
      <c r="I286" s="0" t="n">
        <v>0</v>
      </c>
    </row>
    <row r="287" customFormat="false" ht="13.8" hidden="false" customHeight="false" outlineLevel="0" collapsed="false">
      <c r="A287" s="0" t="n">
        <v>15856</v>
      </c>
      <c r="B287" s="0" t="n">
        <v>28.09</v>
      </c>
      <c r="C287" s="0" t="n">
        <v>14.253563</v>
      </c>
      <c r="D287" s="0" t="n">
        <v>2400</v>
      </c>
      <c r="F287" s="0" t="n">
        <v>15856</v>
      </c>
      <c r="G287" s="0" t="n">
        <v>28.09</v>
      </c>
      <c r="H287" s="0" t="n">
        <v>14.253563</v>
      </c>
      <c r="I287" s="0" t="n">
        <v>0</v>
      </c>
    </row>
    <row r="288" customFormat="false" ht="13.8" hidden="false" customHeight="false" outlineLevel="0" collapsed="false">
      <c r="A288" s="0" t="n">
        <v>15857</v>
      </c>
      <c r="B288" s="0" t="n">
        <v>38.82</v>
      </c>
      <c r="C288" s="0" t="n">
        <v>20.19427</v>
      </c>
      <c r="D288" s="0" t="n">
        <v>4512</v>
      </c>
      <c r="F288" s="0" t="n">
        <v>15857</v>
      </c>
      <c r="G288" s="0" t="n">
        <v>38.82</v>
      </c>
      <c r="H288" s="0" t="n">
        <v>20.19427</v>
      </c>
      <c r="I288" s="0" t="n">
        <v>0</v>
      </c>
    </row>
    <row r="289" customFormat="false" ht="13.8" hidden="false" customHeight="false" outlineLevel="0" collapsed="false">
      <c r="A289" s="0" t="n">
        <v>16080</v>
      </c>
      <c r="B289" s="0" t="n">
        <v>65.85</v>
      </c>
      <c r="C289" s="0" t="n">
        <v>18.6215</v>
      </c>
      <c r="D289" s="0" t="n">
        <v>1840</v>
      </c>
      <c r="F289" s="0" t="n">
        <v>16080</v>
      </c>
      <c r="G289" s="0" t="n">
        <v>65.85</v>
      </c>
      <c r="H289" s="0" t="n">
        <v>18.6215</v>
      </c>
      <c r="I289" s="0" t="n">
        <v>0</v>
      </c>
    </row>
    <row r="290" customFormat="false" ht="13.8" hidden="false" customHeight="false" outlineLevel="0" collapsed="false">
      <c r="A290" s="0" t="n">
        <v>16091</v>
      </c>
      <c r="B290" s="0" t="n">
        <v>33.85</v>
      </c>
      <c r="C290" s="0" t="n">
        <v>15.94952</v>
      </c>
      <c r="D290" s="0" t="n">
        <v>2800</v>
      </c>
      <c r="F290" s="0" t="n">
        <v>16091</v>
      </c>
      <c r="G290" s="0" t="n">
        <v>33.85</v>
      </c>
      <c r="H290" s="0" t="n">
        <v>15.94952</v>
      </c>
      <c r="I290" s="0" t="n">
        <v>0</v>
      </c>
    </row>
    <row r="291" customFormat="false" ht="13.8" hidden="false" customHeight="false" outlineLevel="0" collapsed="false">
      <c r="A291" s="0" t="n">
        <v>16092</v>
      </c>
      <c r="B291" s="0" t="n">
        <v>67.77</v>
      </c>
      <c r="C291" s="0" t="n">
        <v>31.9378</v>
      </c>
      <c r="D291" s="0" t="n">
        <v>900</v>
      </c>
      <c r="F291" s="0" t="n">
        <v>16092</v>
      </c>
      <c r="G291" s="0" t="n">
        <v>67.77</v>
      </c>
      <c r="H291" s="0" t="n">
        <v>31.9378</v>
      </c>
      <c r="I291" s="0" t="n">
        <v>0</v>
      </c>
    </row>
    <row r="292" customFormat="false" ht="13.8" hidden="false" customHeight="false" outlineLevel="0" collapsed="false">
      <c r="A292" s="0" t="n">
        <v>16186</v>
      </c>
      <c r="B292" s="0" t="n">
        <v>35.03</v>
      </c>
      <c r="C292" s="0" t="n">
        <v>7.23065</v>
      </c>
      <c r="D292" s="0" t="n">
        <v>300</v>
      </c>
      <c r="F292" s="0" t="n">
        <v>16186</v>
      </c>
      <c r="G292" s="0" t="n">
        <v>35.03</v>
      </c>
      <c r="H292" s="0" t="n">
        <v>7.23065</v>
      </c>
      <c r="I292" s="0" t="n">
        <v>200</v>
      </c>
    </row>
    <row r="293" customFormat="false" ht="13.8" hidden="false" customHeight="false" outlineLevel="0" collapsed="false">
      <c r="A293" s="0" t="n">
        <v>16187</v>
      </c>
      <c r="B293" s="0" t="n">
        <v>134.33</v>
      </c>
      <c r="C293" s="0" t="n">
        <v>30.042167</v>
      </c>
      <c r="D293" s="0" t="n">
        <v>0</v>
      </c>
      <c r="F293" s="0" t="n">
        <v>16187</v>
      </c>
      <c r="G293" s="0" t="n">
        <v>134.33</v>
      </c>
      <c r="H293" s="0" t="n">
        <v>30.042167</v>
      </c>
      <c r="I293" s="0" t="n">
        <v>504</v>
      </c>
    </row>
    <row r="294" customFormat="false" ht="13.8" hidden="false" customHeight="false" outlineLevel="0" collapsed="false">
      <c r="A294" s="0" t="n">
        <v>16215</v>
      </c>
      <c r="B294" s="0" t="n">
        <v>174.68</v>
      </c>
      <c r="C294" s="0" t="n">
        <v>0</v>
      </c>
      <c r="D294" s="0" t="n">
        <v>0</v>
      </c>
      <c r="F294" s="0" t="n">
        <v>16215</v>
      </c>
      <c r="G294" s="0" t="n">
        <v>174.68</v>
      </c>
      <c r="H294" s="0" t="n">
        <v>0</v>
      </c>
      <c r="I294" s="0" t="n">
        <v>0</v>
      </c>
    </row>
    <row r="295" customFormat="false" ht="13.8" hidden="false" customHeight="false" outlineLevel="0" collapsed="false">
      <c r="A295" s="0" t="n">
        <v>16401</v>
      </c>
      <c r="B295" s="0" t="n">
        <v>27.78</v>
      </c>
      <c r="C295" s="0" t="n">
        <v>19.23075833</v>
      </c>
      <c r="D295" s="0" t="n">
        <v>0</v>
      </c>
      <c r="F295" s="0" t="n">
        <v>16401</v>
      </c>
      <c r="G295" s="0" t="n">
        <v>27.78</v>
      </c>
      <c r="H295" s="0" t="n">
        <v>19.23075833</v>
      </c>
      <c r="I295" s="0" t="n">
        <v>0</v>
      </c>
    </row>
    <row r="296" customFormat="false" ht="13.8" hidden="false" customHeight="false" outlineLevel="0" collapsed="false">
      <c r="A296" s="0" t="n">
        <v>16402</v>
      </c>
      <c r="B296" s="0" t="n">
        <v>41.66</v>
      </c>
      <c r="C296" s="0" t="n">
        <v>29.514666</v>
      </c>
      <c r="D296" s="0" t="n">
        <v>60</v>
      </c>
      <c r="F296" s="0" t="n">
        <v>16402</v>
      </c>
      <c r="G296" s="0" t="n">
        <v>41.66</v>
      </c>
      <c r="H296" s="0" t="n">
        <v>29.514666</v>
      </c>
      <c r="I296" s="0" t="n">
        <v>0</v>
      </c>
    </row>
    <row r="297" customFormat="false" ht="13.8" hidden="false" customHeight="false" outlineLevel="0" collapsed="false">
      <c r="A297" s="0" t="n">
        <v>16639</v>
      </c>
      <c r="B297" s="0" t="n">
        <v>55.49</v>
      </c>
      <c r="C297" s="0" t="n">
        <v>4.29538</v>
      </c>
      <c r="D297" s="0" t="n">
        <v>1200</v>
      </c>
      <c r="F297" s="0" t="n">
        <v>16639</v>
      </c>
      <c r="G297" s="0" t="n">
        <v>55.49</v>
      </c>
      <c r="H297" s="0" t="n">
        <v>4.29538</v>
      </c>
      <c r="I297" s="0" t="n">
        <v>1200</v>
      </c>
    </row>
    <row r="298" customFormat="false" ht="13.8" hidden="false" customHeight="false" outlineLevel="0" collapsed="false">
      <c r="A298" s="0" t="n">
        <v>16798</v>
      </c>
      <c r="B298" s="0" t="n">
        <v>103.91</v>
      </c>
      <c r="C298" s="0" t="n">
        <v>32.0415</v>
      </c>
      <c r="D298" s="0" t="n">
        <v>320</v>
      </c>
      <c r="F298" s="0" t="n">
        <v>16798</v>
      </c>
      <c r="G298" s="0" t="n">
        <v>103.91</v>
      </c>
      <c r="H298" s="0" t="n">
        <v>32.0415</v>
      </c>
      <c r="I298" s="0" t="n">
        <v>0</v>
      </c>
    </row>
    <row r="299" customFormat="false" ht="13.8" hidden="false" customHeight="false" outlineLevel="0" collapsed="false">
      <c r="A299" s="0" t="n">
        <v>16807</v>
      </c>
      <c r="B299" s="0" t="n">
        <v>26.73</v>
      </c>
      <c r="C299" s="0" t="n">
        <v>6.871967</v>
      </c>
      <c r="D299" s="0" t="n">
        <v>3960</v>
      </c>
      <c r="F299" s="0" t="n">
        <v>16807</v>
      </c>
      <c r="G299" s="0" t="n">
        <v>26.73</v>
      </c>
      <c r="H299" s="0" t="n">
        <v>6.871967</v>
      </c>
      <c r="I299" s="0" t="n">
        <v>0</v>
      </c>
    </row>
    <row r="300" customFormat="false" ht="13.8" hidden="false" customHeight="false" outlineLevel="0" collapsed="false">
      <c r="A300" s="0" t="n">
        <v>16833</v>
      </c>
      <c r="B300" s="0" t="n">
        <v>43.99</v>
      </c>
      <c r="C300" s="0" t="n">
        <v>12.53821667</v>
      </c>
      <c r="D300" s="0" t="n">
        <v>0</v>
      </c>
      <c r="F300" s="0" t="n">
        <v>16833</v>
      </c>
      <c r="G300" s="0" t="n">
        <v>43.99</v>
      </c>
      <c r="H300" s="0" t="n">
        <v>12.53821667</v>
      </c>
      <c r="I300" s="0" t="n">
        <v>400</v>
      </c>
    </row>
    <row r="301" customFormat="false" ht="13.8" hidden="false" customHeight="false" outlineLevel="0" collapsed="false">
      <c r="A301" s="0" t="n">
        <v>17390</v>
      </c>
      <c r="B301" s="0" t="n">
        <v>8.17</v>
      </c>
      <c r="C301" s="0" t="n">
        <v>0</v>
      </c>
      <c r="D301" s="0" t="n">
        <v>0</v>
      </c>
      <c r="F301" s="0" t="n">
        <v>17390</v>
      </c>
      <c r="G301" s="0" t="n">
        <v>8.17</v>
      </c>
      <c r="H301" s="0" t="n">
        <v>0</v>
      </c>
      <c r="I301" s="0" t="n">
        <v>0</v>
      </c>
    </row>
    <row r="302" customFormat="false" ht="13.8" hidden="false" customHeight="false" outlineLevel="0" collapsed="false">
      <c r="A302" s="0" t="n">
        <v>17391</v>
      </c>
      <c r="B302" s="0" t="n">
        <v>7.35</v>
      </c>
      <c r="C302" s="0" t="n">
        <v>0</v>
      </c>
      <c r="D302" s="0" t="n">
        <v>0</v>
      </c>
      <c r="F302" s="0" t="n">
        <v>17391</v>
      </c>
      <c r="G302" s="0" t="n">
        <v>7.35</v>
      </c>
      <c r="H302" s="0" t="n">
        <v>0</v>
      </c>
      <c r="I302" s="0" t="n">
        <v>0</v>
      </c>
    </row>
    <row r="303" customFormat="false" ht="13.8" hidden="false" customHeight="false" outlineLevel="0" collapsed="false">
      <c r="A303" s="0" t="n">
        <v>17440</v>
      </c>
      <c r="B303" s="0" t="n">
        <v>12.26</v>
      </c>
      <c r="C303" s="0" t="n">
        <v>4.4028</v>
      </c>
      <c r="D303" s="0" t="n">
        <v>0</v>
      </c>
      <c r="F303" s="0" t="n">
        <v>17440</v>
      </c>
      <c r="G303" s="0" t="n">
        <v>12.26</v>
      </c>
      <c r="H303" s="0" t="n">
        <v>4.4028</v>
      </c>
      <c r="I303" s="0" t="n">
        <v>0</v>
      </c>
    </row>
    <row r="304" customFormat="false" ht="13.8" hidden="false" customHeight="false" outlineLevel="0" collapsed="false">
      <c r="A304" s="0" t="n">
        <v>17778</v>
      </c>
      <c r="B304" s="0" t="n">
        <v>14.88</v>
      </c>
      <c r="C304" s="0" t="n">
        <v>10.25</v>
      </c>
      <c r="D304" s="0" t="n">
        <v>0</v>
      </c>
      <c r="F304" s="0" t="n">
        <v>17778</v>
      </c>
      <c r="G304" s="0" t="n">
        <v>14.88</v>
      </c>
      <c r="H304" s="0" t="n">
        <v>10.25</v>
      </c>
      <c r="I304" s="0" t="n">
        <v>0</v>
      </c>
    </row>
    <row r="305" customFormat="false" ht="13.8" hidden="false" customHeight="false" outlineLevel="0" collapsed="false">
      <c r="A305" s="0" t="n">
        <v>18526</v>
      </c>
      <c r="B305" s="0" t="n">
        <v>4.23</v>
      </c>
      <c r="C305" s="0" t="n">
        <v>1.6</v>
      </c>
      <c r="D305" s="0" t="n">
        <v>0</v>
      </c>
      <c r="F305" s="0" t="n">
        <v>18526</v>
      </c>
      <c r="G305" s="0" t="n">
        <v>4.23</v>
      </c>
      <c r="H305" s="0" t="n">
        <v>1.6</v>
      </c>
      <c r="I305" s="0" t="n">
        <v>0</v>
      </c>
    </row>
    <row r="306" customFormat="false" ht="13.8" hidden="false" customHeight="false" outlineLevel="0" collapsed="false">
      <c r="A306" s="0" t="n">
        <v>18527</v>
      </c>
      <c r="B306" s="0" t="n">
        <v>16.7</v>
      </c>
      <c r="C306" s="0" t="n">
        <v>12.77</v>
      </c>
      <c r="D306" s="0" t="n">
        <v>0</v>
      </c>
      <c r="F306" s="0" t="n">
        <v>18527</v>
      </c>
      <c r="G306" s="0" t="n">
        <v>16.7</v>
      </c>
      <c r="H306" s="0" t="n">
        <v>12.77</v>
      </c>
      <c r="I306" s="0" t="n">
        <v>0</v>
      </c>
    </row>
    <row r="307" customFormat="false" ht="13.8" hidden="false" customHeight="false" outlineLevel="0" collapsed="false">
      <c r="A307" s="0" t="n">
        <v>18544</v>
      </c>
      <c r="B307" s="0" t="n">
        <v>14.88</v>
      </c>
      <c r="C307" s="0" t="n">
        <v>4.9878</v>
      </c>
      <c r="D307" s="0" t="n">
        <v>0</v>
      </c>
      <c r="F307" s="0" t="n">
        <v>18544</v>
      </c>
      <c r="G307" s="0" t="n">
        <v>14.88</v>
      </c>
      <c r="H307" s="0" t="n">
        <v>4.9878</v>
      </c>
      <c r="I307" s="0" t="n">
        <v>0</v>
      </c>
    </row>
    <row r="308" customFormat="false" ht="13.8" hidden="false" customHeight="false" outlineLevel="0" collapsed="false">
      <c r="A308" s="0" t="n">
        <v>18581</v>
      </c>
      <c r="B308" s="0" t="n">
        <v>56.52</v>
      </c>
      <c r="C308" s="0" t="n">
        <v>24.66</v>
      </c>
      <c r="D308" s="0" t="n">
        <v>0</v>
      </c>
      <c r="F308" s="0" t="n">
        <v>18581</v>
      </c>
      <c r="G308" s="0" t="n">
        <v>56.52</v>
      </c>
      <c r="H308" s="0" t="n">
        <v>24.66</v>
      </c>
      <c r="I308" s="0" t="n">
        <v>0</v>
      </c>
    </row>
    <row r="309" customFormat="false" ht="13.8" hidden="false" customHeight="false" outlineLevel="0" collapsed="false">
      <c r="A309" s="0" t="n">
        <v>18615</v>
      </c>
      <c r="B309" s="0" t="n">
        <v>50</v>
      </c>
      <c r="C309" s="0" t="n">
        <v>0</v>
      </c>
      <c r="D309" s="0" t="n">
        <v>0</v>
      </c>
      <c r="F309" s="0" t="n">
        <v>18615</v>
      </c>
      <c r="G309" s="0" t="n">
        <v>50</v>
      </c>
      <c r="H309" s="0" t="n">
        <v>0</v>
      </c>
      <c r="I309" s="0" t="n">
        <v>0</v>
      </c>
    </row>
    <row r="310" customFormat="false" ht="13.8" hidden="false" customHeight="false" outlineLevel="0" collapsed="false">
      <c r="A310" s="0" t="n">
        <v>18774</v>
      </c>
      <c r="B310" s="0" t="n">
        <v>26.74</v>
      </c>
      <c r="C310" s="0" t="n">
        <v>9.6238</v>
      </c>
      <c r="D310" s="0" t="n">
        <v>0</v>
      </c>
      <c r="F310" s="0" t="n">
        <v>18774</v>
      </c>
      <c r="G310" s="0" t="n">
        <v>26.74</v>
      </c>
      <c r="H310" s="0" t="n">
        <v>9.6238</v>
      </c>
      <c r="I310" s="0" t="n">
        <v>0</v>
      </c>
    </row>
    <row r="311" customFormat="false" ht="13.8" hidden="false" customHeight="false" outlineLevel="0" collapsed="false">
      <c r="A311" s="0" t="n">
        <v>18914</v>
      </c>
      <c r="B311" s="0" t="n">
        <v>42.56</v>
      </c>
      <c r="C311" s="0" t="n">
        <v>11.8279</v>
      </c>
      <c r="D311" s="0" t="n">
        <v>0</v>
      </c>
      <c r="F311" s="0" t="n">
        <v>18914</v>
      </c>
      <c r="G311" s="0" t="n">
        <v>42.56</v>
      </c>
      <c r="H311" s="0" t="n">
        <v>11.8279</v>
      </c>
      <c r="I311" s="0" t="n">
        <v>0</v>
      </c>
    </row>
    <row r="312" customFormat="false" ht="13.8" hidden="false" customHeight="false" outlineLevel="0" collapsed="false">
      <c r="A312" s="0" t="n">
        <v>18915</v>
      </c>
      <c r="B312" s="0" t="n">
        <v>42.56</v>
      </c>
      <c r="C312" s="0" t="n">
        <v>34.5519</v>
      </c>
      <c r="D312" s="0" t="n">
        <v>0</v>
      </c>
      <c r="F312" s="0" t="n">
        <v>18915</v>
      </c>
      <c r="G312" s="0" t="n">
        <v>42.56</v>
      </c>
      <c r="H312" s="0" t="n">
        <v>34.5519</v>
      </c>
      <c r="I312" s="0" t="n">
        <v>0</v>
      </c>
    </row>
    <row r="313" customFormat="false" ht="13.8" hidden="false" customHeight="false" outlineLevel="0" collapsed="false">
      <c r="A313" s="0" t="n">
        <v>19034</v>
      </c>
      <c r="B313" s="0" t="n">
        <v>4.37</v>
      </c>
      <c r="C313" s="0" t="n">
        <v>0.9888</v>
      </c>
      <c r="D313" s="0" t="n">
        <v>0</v>
      </c>
      <c r="F313" s="0" t="n">
        <v>19034</v>
      </c>
      <c r="G313" s="0" t="n">
        <v>4.37</v>
      </c>
      <c r="H313" s="0" t="n">
        <v>0.9888</v>
      </c>
      <c r="I313" s="0" t="n">
        <v>0</v>
      </c>
    </row>
    <row r="314" customFormat="false" ht="13.8" hidden="false" customHeight="false" outlineLevel="0" collapsed="false">
      <c r="A314" s="0" t="n">
        <v>19035</v>
      </c>
      <c r="B314" s="0" t="n">
        <v>8.49</v>
      </c>
      <c r="C314" s="0" t="n">
        <v>2.037</v>
      </c>
      <c r="D314" s="0" t="n">
        <v>0</v>
      </c>
      <c r="F314" s="0" t="n">
        <v>19035</v>
      </c>
      <c r="G314" s="0" t="n">
        <v>8.49</v>
      </c>
      <c r="H314" s="0" t="n">
        <v>2.037</v>
      </c>
      <c r="I314" s="0" t="n">
        <v>0</v>
      </c>
    </row>
    <row r="315" customFormat="false" ht="13.8" hidden="false" customHeight="false" outlineLevel="0" collapsed="false">
      <c r="A315" s="0" t="n">
        <v>19036</v>
      </c>
      <c r="B315" s="0" t="n">
        <v>15.1</v>
      </c>
      <c r="C315" s="0" t="n">
        <v>3.417</v>
      </c>
      <c r="D315" s="0" t="n">
        <v>0</v>
      </c>
      <c r="F315" s="0" t="n">
        <v>19036</v>
      </c>
      <c r="G315" s="0" t="n">
        <v>15.1</v>
      </c>
      <c r="H315" s="0" t="n">
        <v>3.417</v>
      </c>
      <c r="I315" s="0" t="n">
        <v>0</v>
      </c>
    </row>
    <row r="316" customFormat="false" ht="13.8" hidden="false" customHeight="false" outlineLevel="0" collapsed="false">
      <c r="A316" s="0" t="n">
        <v>19037</v>
      </c>
      <c r="B316" s="0" t="n">
        <v>18.32</v>
      </c>
      <c r="C316" s="0" t="n">
        <v>2.76068</v>
      </c>
      <c r="D316" s="0" t="n">
        <v>0</v>
      </c>
      <c r="F316" s="0" t="n">
        <v>19037</v>
      </c>
      <c r="G316" s="0" t="n">
        <v>18.32</v>
      </c>
      <c r="H316" s="0" t="n">
        <v>2.76068</v>
      </c>
      <c r="I316" s="0" t="n">
        <v>0</v>
      </c>
    </row>
    <row r="317" customFormat="false" ht="13.8" hidden="false" customHeight="false" outlineLevel="0" collapsed="false">
      <c r="A317" s="0" t="n">
        <v>19038</v>
      </c>
      <c r="B317" s="0" t="n">
        <v>17.39</v>
      </c>
      <c r="C317" s="0" t="n">
        <v>2.7596111</v>
      </c>
      <c r="D317" s="0" t="n">
        <v>0</v>
      </c>
      <c r="F317" s="0" t="n">
        <v>19038</v>
      </c>
      <c r="G317" s="0" t="n">
        <v>17.39</v>
      </c>
      <c r="H317" s="0" t="n">
        <v>2.7596111</v>
      </c>
      <c r="I317" s="0" t="n">
        <v>0</v>
      </c>
    </row>
    <row r="318" customFormat="false" ht="13.8" hidden="false" customHeight="false" outlineLevel="0" collapsed="false">
      <c r="A318" s="0" t="n">
        <v>19039</v>
      </c>
      <c r="B318" s="0" t="n">
        <v>13.51</v>
      </c>
      <c r="C318" s="0" t="n">
        <v>6.924</v>
      </c>
      <c r="D318" s="0" t="n">
        <v>0</v>
      </c>
      <c r="F318" s="0" t="n">
        <v>19039</v>
      </c>
      <c r="G318" s="0" t="n">
        <v>13.51</v>
      </c>
      <c r="H318" s="0" t="n">
        <v>6.924</v>
      </c>
      <c r="I318" s="0" t="n">
        <v>0</v>
      </c>
    </row>
    <row r="319" customFormat="false" ht="13.8" hidden="false" customHeight="false" outlineLevel="0" collapsed="false">
      <c r="A319" s="0" t="n">
        <v>19059</v>
      </c>
      <c r="B319" s="0" t="n">
        <v>11.04</v>
      </c>
      <c r="C319" s="0" t="n">
        <v>1.75108333</v>
      </c>
      <c r="D319" s="0" t="n">
        <v>0</v>
      </c>
      <c r="F319" s="0" t="n">
        <v>19059</v>
      </c>
      <c r="G319" s="0" t="n">
        <v>11.04</v>
      </c>
      <c r="H319" s="0" t="n">
        <v>1.75108333</v>
      </c>
      <c r="I319" s="0" t="n">
        <v>0</v>
      </c>
    </row>
    <row r="320" customFormat="false" ht="13.8" hidden="false" customHeight="false" outlineLevel="0" collapsed="false">
      <c r="A320" s="0" t="n">
        <v>19060</v>
      </c>
      <c r="B320" s="0" t="n">
        <v>11.99</v>
      </c>
      <c r="C320" s="0" t="n">
        <v>2.1166</v>
      </c>
      <c r="D320" s="0" t="n">
        <v>0</v>
      </c>
      <c r="F320" s="0" t="n">
        <v>19060</v>
      </c>
      <c r="G320" s="0" t="n">
        <v>11.99</v>
      </c>
      <c r="H320" s="0" t="n">
        <v>2.1166</v>
      </c>
      <c r="I320" s="0" t="n">
        <v>0</v>
      </c>
    </row>
    <row r="321" customFormat="false" ht="13.8" hidden="false" customHeight="false" outlineLevel="0" collapsed="false">
      <c r="A321" s="0" t="n">
        <v>19082</v>
      </c>
      <c r="B321" s="0" t="n">
        <v>90.08</v>
      </c>
      <c r="C321" s="0" t="n">
        <v>13.66585714</v>
      </c>
      <c r="D321" s="0" t="n">
        <v>0</v>
      </c>
      <c r="F321" s="0" t="n">
        <v>19082</v>
      </c>
      <c r="G321" s="0" t="n">
        <v>90.08</v>
      </c>
      <c r="H321" s="0" t="n">
        <v>13.66585714</v>
      </c>
      <c r="I321" s="0" t="n">
        <v>0</v>
      </c>
    </row>
    <row r="322" customFormat="false" ht="13.8" hidden="false" customHeight="false" outlineLevel="0" collapsed="false">
      <c r="A322" s="0" t="n">
        <v>19083</v>
      </c>
      <c r="B322" s="0" t="n">
        <v>46.34</v>
      </c>
      <c r="C322" s="0" t="n">
        <v>7.85642857</v>
      </c>
      <c r="D322" s="0" t="n">
        <v>0</v>
      </c>
      <c r="F322" s="0" t="n">
        <v>19083</v>
      </c>
      <c r="G322" s="0" t="n">
        <v>46.34</v>
      </c>
      <c r="H322" s="0" t="n">
        <v>7.85642857</v>
      </c>
      <c r="I322" s="0" t="n">
        <v>0</v>
      </c>
    </row>
    <row r="323" customFormat="false" ht="13.8" hidden="false" customHeight="false" outlineLevel="0" collapsed="false">
      <c r="A323" s="0" t="n">
        <v>19091</v>
      </c>
      <c r="B323" s="0" t="n">
        <v>5.86</v>
      </c>
      <c r="C323" s="0" t="n">
        <v>0.6392</v>
      </c>
      <c r="D323" s="0" t="n">
        <v>0</v>
      </c>
      <c r="F323" s="0" t="n">
        <v>19091</v>
      </c>
      <c r="G323" s="0" t="n">
        <v>5.86</v>
      </c>
      <c r="H323" s="0" t="n">
        <v>0.6392</v>
      </c>
      <c r="I323" s="0" t="n">
        <v>0</v>
      </c>
    </row>
    <row r="324" customFormat="false" ht="13.8" hidden="false" customHeight="false" outlineLevel="0" collapsed="false">
      <c r="A324" s="0" t="n">
        <v>19264</v>
      </c>
      <c r="B324" s="0" t="n">
        <v>25.25</v>
      </c>
      <c r="C324" s="0" t="n">
        <v>11.21225</v>
      </c>
      <c r="D324" s="0" t="n">
        <v>0</v>
      </c>
      <c r="F324" s="0" t="n">
        <v>19264</v>
      </c>
      <c r="G324" s="0" t="n">
        <v>25.25</v>
      </c>
      <c r="H324" s="0" t="n">
        <v>11.21225</v>
      </c>
      <c r="I324" s="0" t="n">
        <v>0</v>
      </c>
    </row>
    <row r="325" customFormat="false" ht="13.8" hidden="false" customHeight="false" outlineLevel="0" collapsed="false">
      <c r="A325" s="0" t="n">
        <v>19272</v>
      </c>
      <c r="B325" s="0" t="n">
        <v>15.11</v>
      </c>
      <c r="C325" s="0" t="n">
        <v>3.4205</v>
      </c>
      <c r="D325" s="0" t="n">
        <v>0</v>
      </c>
      <c r="F325" s="0" t="n">
        <v>19272</v>
      </c>
      <c r="G325" s="0" t="n">
        <v>15.11</v>
      </c>
      <c r="H325" s="0" t="n">
        <v>3.4205</v>
      </c>
      <c r="I325" s="0" t="n">
        <v>0</v>
      </c>
    </row>
    <row r="326" customFormat="false" ht="13.8" hidden="false" customHeight="false" outlineLevel="0" collapsed="false">
      <c r="A326" s="0" t="n">
        <v>19273</v>
      </c>
      <c r="B326" s="0" t="n">
        <v>89.65</v>
      </c>
      <c r="C326" s="0" t="n">
        <v>13.8953</v>
      </c>
      <c r="D326" s="0" t="n">
        <v>0</v>
      </c>
      <c r="F326" s="0" t="n">
        <v>19273</v>
      </c>
      <c r="G326" s="0" t="n">
        <v>89.65</v>
      </c>
      <c r="H326" s="0" t="n">
        <v>13.8953</v>
      </c>
      <c r="I326" s="0" t="n">
        <v>0</v>
      </c>
    </row>
    <row r="327" customFormat="false" ht="13.8" hidden="false" customHeight="false" outlineLevel="0" collapsed="false">
      <c r="A327" s="0" t="n">
        <v>19274</v>
      </c>
      <c r="B327" s="0" t="n">
        <v>11.63</v>
      </c>
      <c r="C327" s="0" t="n">
        <v>1.6283</v>
      </c>
      <c r="D327" s="0" t="n">
        <v>0</v>
      </c>
      <c r="F327" s="0" t="n">
        <v>19274</v>
      </c>
      <c r="G327" s="0" t="n">
        <v>11.63</v>
      </c>
      <c r="H327" s="0" t="n">
        <v>1.6283</v>
      </c>
      <c r="I327" s="0" t="n">
        <v>0</v>
      </c>
    </row>
    <row r="328" customFormat="false" ht="13.8" hidden="false" customHeight="false" outlineLevel="0" collapsed="false">
      <c r="A328" s="0" t="n">
        <v>19275</v>
      </c>
      <c r="B328" s="0" t="n">
        <v>34.87</v>
      </c>
      <c r="C328" s="0" t="n">
        <v>8.7091</v>
      </c>
      <c r="D328" s="0" t="n">
        <v>0</v>
      </c>
      <c r="F328" s="0" t="n">
        <v>19275</v>
      </c>
      <c r="G328" s="0" t="n">
        <v>34.87</v>
      </c>
      <c r="H328" s="0" t="n">
        <v>8.7091</v>
      </c>
      <c r="I328" s="0" t="n">
        <v>0</v>
      </c>
    </row>
    <row r="329" customFormat="false" ht="13.8" hidden="false" customHeight="false" outlineLevel="0" collapsed="false">
      <c r="A329" s="0" t="n">
        <v>19762</v>
      </c>
      <c r="B329" s="0" t="n">
        <v>153.72</v>
      </c>
      <c r="C329" s="0" t="n">
        <v>23.32314286</v>
      </c>
      <c r="D329" s="0" t="n">
        <v>0</v>
      </c>
      <c r="F329" s="0" t="n">
        <v>19762</v>
      </c>
      <c r="G329" s="0" t="n">
        <v>153.72</v>
      </c>
      <c r="H329" s="0" t="n">
        <v>23.32314286</v>
      </c>
      <c r="I329" s="0" t="n">
        <v>0</v>
      </c>
    </row>
    <row r="330" customFormat="false" ht="13.8" hidden="false" customHeight="false" outlineLevel="0" collapsed="false">
      <c r="A330" s="0" t="n">
        <v>19768</v>
      </c>
      <c r="B330" s="0" t="n">
        <v>72.04</v>
      </c>
      <c r="C330" s="0" t="n">
        <v>23.501556</v>
      </c>
      <c r="D330" s="0" t="n">
        <v>670</v>
      </c>
      <c r="F330" s="0" t="n">
        <v>19768</v>
      </c>
      <c r="G330" s="0" t="n">
        <v>72.04</v>
      </c>
      <c r="H330" s="0" t="n">
        <v>23.501556</v>
      </c>
      <c r="I330" s="0" t="n">
        <v>0</v>
      </c>
    </row>
    <row r="331" customFormat="false" ht="13.8" hidden="false" customHeight="false" outlineLevel="0" collapsed="false">
      <c r="A331" s="0" t="n">
        <v>19864</v>
      </c>
      <c r="B331" s="0" t="n">
        <v>606.62</v>
      </c>
      <c r="C331" s="0" t="n">
        <v>155.3217</v>
      </c>
      <c r="D331" s="0" t="n">
        <v>0</v>
      </c>
      <c r="F331" s="0" t="n">
        <v>19864</v>
      </c>
      <c r="G331" s="0" t="n">
        <v>606.62</v>
      </c>
      <c r="H331" s="0" t="n">
        <v>155.3217</v>
      </c>
      <c r="I331" s="0" t="n">
        <v>0</v>
      </c>
    </row>
    <row r="332" customFormat="false" ht="13.8" hidden="false" customHeight="false" outlineLevel="0" collapsed="false">
      <c r="A332" s="0" t="n">
        <v>19916</v>
      </c>
      <c r="B332" s="0" t="n">
        <v>103.25</v>
      </c>
      <c r="C332" s="0" t="n">
        <v>18.539</v>
      </c>
      <c r="D332" s="0" t="n">
        <v>0</v>
      </c>
      <c r="F332" s="0" t="n">
        <v>19916</v>
      </c>
      <c r="G332" s="0" t="n">
        <v>103.25</v>
      </c>
      <c r="H332" s="0" t="n">
        <v>18.539</v>
      </c>
      <c r="I332" s="0" t="n">
        <v>0</v>
      </c>
    </row>
    <row r="333" customFormat="false" ht="13.8" hidden="false" customHeight="false" outlineLevel="0" collapsed="false">
      <c r="A333" s="0" t="n">
        <v>20803</v>
      </c>
      <c r="B333" s="0" t="n">
        <v>17.41</v>
      </c>
      <c r="C333" s="0" t="n">
        <v>8.91927834</v>
      </c>
      <c r="D333" s="0" t="n">
        <v>0</v>
      </c>
      <c r="F333" s="0" t="n">
        <v>20803</v>
      </c>
      <c r="G333" s="0" t="n">
        <v>17.41</v>
      </c>
      <c r="H333" s="0" t="n">
        <v>8.91927834</v>
      </c>
      <c r="I333" s="0" t="n">
        <v>0</v>
      </c>
    </row>
    <row r="334" customFormat="false" ht="13.8" hidden="false" customHeight="false" outlineLevel="0" collapsed="false">
      <c r="A334" s="0" t="n">
        <v>20804</v>
      </c>
      <c r="B334" s="0" t="n">
        <v>36.07</v>
      </c>
      <c r="C334" s="0" t="n">
        <v>18.48395587</v>
      </c>
      <c r="D334" s="0" t="n">
        <v>0</v>
      </c>
      <c r="F334" s="0" t="n">
        <v>20804</v>
      </c>
      <c r="G334" s="0" t="n">
        <v>36.07</v>
      </c>
      <c r="H334" s="0" t="n">
        <v>18.48395587</v>
      </c>
      <c r="I334" s="0" t="n">
        <v>0</v>
      </c>
    </row>
    <row r="335" customFormat="false" ht="13.8" hidden="false" customHeight="false" outlineLevel="0" collapsed="false">
      <c r="A335" s="0" t="n">
        <v>21063</v>
      </c>
      <c r="B335" s="0" t="n">
        <v>102.6</v>
      </c>
      <c r="C335" s="0" t="n">
        <v>15.004</v>
      </c>
      <c r="D335" s="0" t="n">
        <v>80</v>
      </c>
      <c r="F335" s="0" t="n">
        <v>21063</v>
      </c>
      <c r="G335" s="0" t="n">
        <v>102.6</v>
      </c>
      <c r="H335" s="0" t="n">
        <v>15.004</v>
      </c>
      <c r="I335" s="0" t="n">
        <v>0</v>
      </c>
    </row>
    <row r="336" customFormat="false" ht="13.8" hidden="false" customHeight="false" outlineLevel="0" collapsed="false">
      <c r="A336" s="0" t="n">
        <v>21064</v>
      </c>
      <c r="B336" s="0" t="n">
        <v>117.09</v>
      </c>
      <c r="C336" s="0" t="n">
        <v>47.3055</v>
      </c>
      <c r="D336" s="0" t="n">
        <v>0</v>
      </c>
      <c r="F336" s="0" t="n">
        <v>21064</v>
      </c>
      <c r="G336" s="0" t="n">
        <v>117.09</v>
      </c>
      <c r="H336" s="0" t="n">
        <v>47.3055</v>
      </c>
      <c r="I336" s="0" t="n">
        <v>40</v>
      </c>
    </row>
    <row r="337" customFormat="false" ht="13.8" hidden="false" customHeight="false" outlineLevel="0" collapsed="false">
      <c r="A337" s="0" t="n">
        <v>21065</v>
      </c>
      <c r="B337" s="0" t="n">
        <v>125.09</v>
      </c>
      <c r="C337" s="0" t="n">
        <v>28.255</v>
      </c>
      <c r="D337" s="0" t="n">
        <v>0</v>
      </c>
      <c r="F337" s="0" t="n">
        <v>21065</v>
      </c>
      <c r="G337" s="0" t="n">
        <v>125.09</v>
      </c>
      <c r="H337" s="0" t="n">
        <v>28.255</v>
      </c>
      <c r="I337" s="0" t="n">
        <v>0</v>
      </c>
    </row>
    <row r="338" customFormat="false" ht="13.8" hidden="false" customHeight="false" outlineLevel="0" collapsed="false">
      <c r="A338" s="0" t="n">
        <v>21094</v>
      </c>
      <c r="B338" s="0" t="n">
        <v>115.49</v>
      </c>
      <c r="C338" s="0" t="n">
        <v>44.34615954</v>
      </c>
      <c r="D338" s="0" t="n">
        <v>0</v>
      </c>
      <c r="F338" s="0" t="n">
        <v>21094</v>
      </c>
      <c r="G338" s="0" t="n">
        <v>115.49</v>
      </c>
      <c r="H338" s="0" t="n">
        <v>44.34615954</v>
      </c>
      <c r="I338" s="0" t="n">
        <v>0</v>
      </c>
    </row>
    <row r="339" customFormat="false" ht="13.8" hidden="false" customHeight="false" outlineLevel="0" collapsed="false">
      <c r="A339" s="0" t="n">
        <v>21118</v>
      </c>
      <c r="B339" s="0" t="n">
        <v>758.02</v>
      </c>
      <c r="C339" s="0" t="n">
        <v>411.39666667</v>
      </c>
      <c r="D339" s="0" t="n">
        <v>0</v>
      </c>
      <c r="F339" s="0" t="n">
        <v>21118</v>
      </c>
      <c r="G339" s="0" t="n">
        <v>758.02</v>
      </c>
      <c r="H339" s="0" t="n">
        <v>411.39666667</v>
      </c>
      <c r="I339" s="0" t="n">
        <v>0</v>
      </c>
    </row>
    <row r="340" customFormat="false" ht="13.8" hidden="false" customHeight="false" outlineLevel="0" collapsed="false">
      <c r="A340" s="0" t="n">
        <v>21126</v>
      </c>
      <c r="B340" s="0" t="n">
        <v>63</v>
      </c>
      <c r="C340" s="0" t="n">
        <v>14.2026</v>
      </c>
      <c r="D340" s="0" t="n">
        <v>0</v>
      </c>
      <c r="F340" s="0" t="n">
        <v>21126</v>
      </c>
      <c r="G340" s="0" t="n">
        <v>63</v>
      </c>
      <c r="H340" s="0" t="n">
        <v>14.2026</v>
      </c>
      <c r="I340" s="0" t="n">
        <v>0</v>
      </c>
    </row>
    <row r="341" customFormat="false" ht="13.8" hidden="false" customHeight="false" outlineLevel="0" collapsed="false">
      <c r="A341" s="0" t="n">
        <v>21165</v>
      </c>
      <c r="B341" s="0" t="n">
        <v>34.96</v>
      </c>
      <c r="C341" s="0" t="n">
        <v>6.58312859</v>
      </c>
      <c r="D341" s="0" t="n">
        <v>7200</v>
      </c>
      <c r="F341" s="0" t="n">
        <v>21165</v>
      </c>
      <c r="G341" s="0" t="n">
        <v>34.96</v>
      </c>
      <c r="H341" s="0" t="n">
        <v>6.58312859</v>
      </c>
      <c r="I341" s="0" t="n">
        <v>25560</v>
      </c>
    </row>
    <row r="342" customFormat="false" ht="13.8" hidden="false" customHeight="false" outlineLevel="0" collapsed="false">
      <c r="A342" s="0" t="n">
        <v>21230</v>
      </c>
      <c r="B342" s="0" t="n">
        <v>70.34</v>
      </c>
      <c r="C342" s="0" t="n">
        <v>10.5928</v>
      </c>
      <c r="D342" s="0" t="n">
        <v>0</v>
      </c>
      <c r="F342" s="0" t="n">
        <v>21230</v>
      </c>
      <c r="G342" s="0" t="n">
        <v>70.34</v>
      </c>
      <c r="H342" s="0" t="n">
        <v>10.5928</v>
      </c>
      <c r="I342" s="0" t="n">
        <v>0</v>
      </c>
    </row>
    <row r="343" customFormat="false" ht="13.8" hidden="false" customHeight="false" outlineLevel="0" collapsed="false">
      <c r="A343" s="0" t="n">
        <v>21791</v>
      </c>
      <c r="B343" s="0" t="n">
        <v>20.75</v>
      </c>
      <c r="C343" s="0" t="n">
        <v>7.60716346</v>
      </c>
      <c r="D343" s="0" t="n">
        <v>122600</v>
      </c>
      <c r="F343" s="0" t="n">
        <v>21791</v>
      </c>
      <c r="G343" s="0" t="n">
        <v>20.75</v>
      </c>
      <c r="H343" s="0" t="n">
        <v>7.60716346</v>
      </c>
      <c r="I343" s="0" t="n">
        <v>0</v>
      </c>
    </row>
    <row r="344" customFormat="false" ht="13.8" hidden="false" customHeight="false" outlineLevel="0" collapsed="false">
      <c r="A344" s="0" t="n">
        <v>21798</v>
      </c>
      <c r="B344" s="0" t="n">
        <v>93</v>
      </c>
      <c r="C344" s="0" t="n">
        <v>23.999</v>
      </c>
      <c r="D344" s="0" t="n">
        <v>280</v>
      </c>
      <c r="F344" s="0" t="n">
        <v>21798</v>
      </c>
      <c r="G344" s="0" t="n">
        <v>93</v>
      </c>
      <c r="H344" s="0" t="n">
        <v>23.999</v>
      </c>
      <c r="I344" s="0" t="n">
        <v>210</v>
      </c>
    </row>
    <row r="345" customFormat="false" ht="13.8" hidden="false" customHeight="false" outlineLevel="0" collapsed="false">
      <c r="A345" s="0" t="n">
        <v>21957</v>
      </c>
      <c r="B345" s="0" t="n">
        <v>25.36</v>
      </c>
      <c r="C345" s="0" t="n">
        <v>4.9988135</v>
      </c>
      <c r="D345" s="0" t="n">
        <v>417</v>
      </c>
      <c r="F345" s="0" t="n">
        <v>21957</v>
      </c>
      <c r="G345" s="0" t="n">
        <v>25.36</v>
      </c>
      <c r="H345" s="0" t="n">
        <v>4.9988135</v>
      </c>
      <c r="I345" s="0" t="n">
        <v>480</v>
      </c>
    </row>
    <row r="346" customFormat="false" ht="13.8" hidden="false" customHeight="false" outlineLevel="0" collapsed="false">
      <c r="A346" s="0" t="n">
        <v>21968</v>
      </c>
      <c r="B346" s="0" t="n">
        <v>22.44</v>
      </c>
      <c r="C346" s="0" t="n">
        <v>4.9349666</v>
      </c>
      <c r="D346" s="0" t="n">
        <v>600</v>
      </c>
      <c r="F346" s="0" t="n">
        <v>21968</v>
      </c>
      <c r="G346" s="0" t="n">
        <v>22.44</v>
      </c>
      <c r="H346" s="0" t="n">
        <v>4.9349666</v>
      </c>
      <c r="I346" s="0" t="n">
        <v>10600</v>
      </c>
    </row>
    <row r="347" customFormat="false" ht="13.8" hidden="false" customHeight="false" outlineLevel="0" collapsed="false">
      <c r="A347" s="0" t="n">
        <v>22019</v>
      </c>
      <c r="B347" s="0" t="n">
        <v>24.41</v>
      </c>
      <c r="C347" s="0" t="n">
        <v>4.81020833</v>
      </c>
      <c r="D347" s="0" t="n">
        <v>480</v>
      </c>
      <c r="F347" s="0" t="n">
        <v>22019</v>
      </c>
      <c r="G347" s="0" t="n">
        <v>24.41</v>
      </c>
      <c r="H347" s="0" t="n">
        <v>4.81020833</v>
      </c>
      <c r="I347" s="0" t="n">
        <v>400</v>
      </c>
    </row>
    <row r="348" customFormat="false" ht="13.8" hidden="false" customHeight="false" outlineLevel="0" collapsed="false">
      <c r="A348" s="0" t="n">
        <v>22093</v>
      </c>
      <c r="B348" s="0" t="n">
        <v>43.06</v>
      </c>
      <c r="C348" s="0" t="n">
        <v>22.2241</v>
      </c>
      <c r="D348" s="0" t="n">
        <v>400</v>
      </c>
      <c r="F348" s="0" t="n">
        <v>22093</v>
      </c>
      <c r="G348" s="0" t="n">
        <v>43.06</v>
      </c>
      <c r="H348" s="0" t="n">
        <v>22.2241</v>
      </c>
      <c r="I348" s="0" t="n">
        <v>0</v>
      </c>
    </row>
    <row r="349" customFormat="false" ht="13.8" hidden="false" customHeight="false" outlineLevel="0" collapsed="false">
      <c r="A349" s="0" t="n">
        <v>22094</v>
      </c>
      <c r="B349" s="0" t="n">
        <v>109.84</v>
      </c>
      <c r="C349" s="0" t="n">
        <v>56.689714</v>
      </c>
      <c r="D349" s="0" t="n">
        <v>210</v>
      </c>
      <c r="F349" s="0" t="n">
        <v>22094</v>
      </c>
      <c r="G349" s="0" t="n">
        <v>109.84</v>
      </c>
      <c r="H349" s="0" t="n">
        <v>56.689714</v>
      </c>
      <c r="I349" s="0" t="n">
        <v>0</v>
      </c>
    </row>
    <row r="350" customFormat="false" ht="13.8" hidden="false" customHeight="false" outlineLevel="0" collapsed="false">
      <c r="A350" s="0" t="n">
        <v>22197</v>
      </c>
      <c r="B350" s="0" t="n">
        <v>40.33</v>
      </c>
      <c r="C350" s="0" t="n">
        <v>3.81546</v>
      </c>
      <c r="D350" s="0" t="n">
        <v>600</v>
      </c>
      <c r="F350" s="0" t="n">
        <v>22197</v>
      </c>
      <c r="G350" s="0" t="n">
        <v>40.33</v>
      </c>
      <c r="H350" s="0" t="n">
        <v>3.81546</v>
      </c>
      <c r="I350" s="0" t="n">
        <v>800</v>
      </c>
    </row>
    <row r="351" customFormat="false" ht="13.8" hidden="false" customHeight="false" outlineLevel="0" collapsed="false">
      <c r="A351" s="0" t="n">
        <v>22198</v>
      </c>
      <c r="B351" s="0" t="n">
        <v>51.04</v>
      </c>
      <c r="C351" s="0" t="n">
        <v>5.4002592</v>
      </c>
      <c r="D351" s="0" t="n">
        <v>270</v>
      </c>
      <c r="F351" s="0" t="n">
        <v>22198</v>
      </c>
      <c r="G351" s="0" t="n">
        <v>51.04</v>
      </c>
      <c r="H351" s="0" t="n">
        <v>5.4002592</v>
      </c>
      <c r="I351" s="0" t="n">
        <v>540</v>
      </c>
    </row>
    <row r="352" customFormat="false" ht="13.8" hidden="false" customHeight="false" outlineLevel="0" collapsed="false">
      <c r="A352" s="0" t="n">
        <v>22219</v>
      </c>
      <c r="B352" s="0" t="n">
        <v>27.62</v>
      </c>
      <c r="C352" s="0" t="n">
        <v>11.5697</v>
      </c>
      <c r="D352" s="0" t="n">
        <v>0</v>
      </c>
      <c r="F352" s="0" t="n">
        <v>22219</v>
      </c>
      <c r="G352" s="0" t="n">
        <v>27.62</v>
      </c>
      <c r="H352" s="0" t="n">
        <v>11.5697</v>
      </c>
      <c r="I352" s="0" t="n">
        <v>760</v>
      </c>
    </row>
    <row r="353" customFormat="false" ht="13.8" hidden="false" customHeight="false" outlineLevel="0" collapsed="false">
      <c r="A353" s="0" t="n">
        <v>22355</v>
      </c>
      <c r="B353" s="0" t="n">
        <v>112.89</v>
      </c>
      <c r="C353" s="0" t="n">
        <v>26.276857</v>
      </c>
      <c r="D353" s="0" t="n">
        <v>140</v>
      </c>
      <c r="F353" s="0" t="n">
        <v>22355</v>
      </c>
      <c r="G353" s="0" t="n">
        <v>112.89</v>
      </c>
      <c r="H353" s="0" t="n">
        <v>26.276857</v>
      </c>
      <c r="I353" s="0" t="n">
        <v>210</v>
      </c>
    </row>
    <row r="354" customFormat="false" ht="13.8" hidden="false" customHeight="false" outlineLevel="0" collapsed="false">
      <c r="A354" s="0" t="n">
        <v>22356</v>
      </c>
      <c r="B354" s="0" t="n">
        <v>39.43</v>
      </c>
      <c r="C354" s="0" t="n">
        <v>8.13845</v>
      </c>
      <c r="D354" s="0" t="n">
        <v>500</v>
      </c>
      <c r="F354" s="0" t="n">
        <v>22356</v>
      </c>
      <c r="G354" s="0" t="n">
        <v>39.43</v>
      </c>
      <c r="H354" s="0" t="n">
        <v>8.13845</v>
      </c>
      <c r="I354" s="0" t="n">
        <v>400</v>
      </c>
    </row>
    <row r="355" customFormat="false" ht="13.8" hidden="false" customHeight="false" outlineLevel="0" collapsed="false">
      <c r="A355" s="0" t="n">
        <v>22387</v>
      </c>
      <c r="B355" s="0" t="n">
        <v>51.84</v>
      </c>
      <c r="C355" s="0" t="n">
        <v>9.8093</v>
      </c>
      <c r="D355" s="0" t="n">
        <v>500</v>
      </c>
      <c r="F355" s="0" t="n">
        <v>22387</v>
      </c>
      <c r="G355" s="0" t="n">
        <v>51.84</v>
      </c>
      <c r="H355" s="0" t="n">
        <v>9.8093</v>
      </c>
      <c r="I355" s="0" t="n">
        <v>0</v>
      </c>
    </row>
    <row r="356" customFormat="false" ht="13.8" hidden="false" customHeight="false" outlineLevel="0" collapsed="false">
      <c r="A356" s="0" t="n">
        <v>22468</v>
      </c>
      <c r="B356" s="0" t="n">
        <v>37.3</v>
      </c>
      <c r="C356" s="0" t="n">
        <v>19.177</v>
      </c>
      <c r="D356" s="0" t="n">
        <v>0</v>
      </c>
      <c r="F356" s="0" t="n">
        <v>22468</v>
      </c>
      <c r="G356" s="0" t="n">
        <v>37.3</v>
      </c>
      <c r="H356" s="0" t="n">
        <v>19.177</v>
      </c>
      <c r="I356" s="0" t="n">
        <v>1100</v>
      </c>
    </row>
    <row r="357" customFormat="false" ht="13.8" hidden="false" customHeight="false" outlineLevel="0" collapsed="false">
      <c r="A357" s="0" t="n">
        <v>22502</v>
      </c>
      <c r="B357" s="0" t="n">
        <v>107.28</v>
      </c>
      <c r="C357" s="0" t="n">
        <v>28.608187</v>
      </c>
      <c r="D357" s="0" t="n">
        <v>480</v>
      </c>
      <c r="F357" s="0" t="n">
        <v>22502</v>
      </c>
      <c r="G357" s="0" t="n">
        <v>107.28</v>
      </c>
      <c r="H357" s="0" t="n">
        <v>28.608187</v>
      </c>
      <c r="I357" s="0" t="n">
        <v>0</v>
      </c>
    </row>
    <row r="358" customFormat="false" ht="13.8" hidden="false" customHeight="false" outlineLevel="0" collapsed="false">
      <c r="A358" s="0" t="n">
        <v>22569</v>
      </c>
      <c r="B358" s="0" t="n">
        <v>67.85</v>
      </c>
      <c r="C358" s="0" t="n">
        <v>35.021125</v>
      </c>
      <c r="D358" s="0" t="n">
        <v>240</v>
      </c>
      <c r="F358" s="0" t="n">
        <v>22569</v>
      </c>
      <c r="G358" s="0" t="n">
        <v>67.85</v>
      </c>
      <c r="H358" s="0" t="n">
        <v>35.021125</v>
      </c>
      <c r="I358" s="0" t="n">
        <v>0</v>
      </c>
    </row>
    <row r="359" customFormat="false" ht="13.8" hidden="false" customHeight="false" outlineLevel="0" collapsed="false">
      <c r="A359" s="0" t="n">
        <v>22606</v>
      </c>
      <c r="B359" s="0" t="n">
        <v>30.61</v>
      </c>
      <c r="C359" s="0" t="n">
        <v>7.11083333</v>
      </c>
      <c r="D359" s="0" t="n">
        <v>600</v>
      </c>
      <c r="F359" s="0" t="n">
        <v>22606</v>
      </c>
      <c r="G359" s="0" t="n">
        <v>30.61</v>
      </c>
      <c r="H359" s="0" t="n">
        <v>7.11083333</v>
      </c>
      <c r="I359" s="0" t="n">
        <v>0</v>
      </c>
    </row>
    <row r="360" customFormat="false" ht="13.8" hidden="false" customHeight="false" outlineLevel="0" collapsed="false">
      <c r="A360" s="0" t="n">
        <v>22715</v>
      </c>
      <c r="B360" s="0" t="n">
        <v>56.38</v>
      </c>
      <c r="C360" s="0" t="n">
        <v>20.852188</v>
      </c>
      <c r="D360" s="0" t="n">
        <v>240</v>
      </c>
      <c r="F360" s="0" t="n">
        <v>22715</v>
      </c>
      <c r="G360" s="0" t="n">
        <v>56.38</v>
      </c>
      <c r="H360" s="0" t="n">
        <v>20.852188</v>
      </c>
      <c r="I360" s="0" t="n">
        <v>0</v>
      </c>
    </row>
    <row r="361" customFormat="false" ht="13.8" hidden="false" customHeight="false" outlineLevel="0" collapsed="false">
      <c r="A361" s="0" t="n">
        <v>22716</v>
      </c>
      <c r="B361" s="0" t="n">
        <v>56.38</v>
      </c>
      <c r="C361" s="0" t="n">
        <v>22.79195</v>
      </c>
      <c r="D361" s="0" t="n">
        <v>200</v>
      </c>
      <c r="F361" s="0" t="n">
        <v>22716</v>
      </c>
      <c r="G361" s="0" t="n">
        <v>56.38</v>
      </c>
      <c r="H361" s="0" t="n">
        <v>22.79195</v>
      </c>
      <c r="I361" s="0" t="n">
        <v>0</v>
      </c>
    </row>
    <row r="362" customFormat="false" ht="13.8" hidden="false" customHeight="false" outlineLevel="0" collapsed="false">
      <c r="A362" s="0" t="n">
        <v>22719</v>
      </c>
      <c r="B362" s="0" t="n">
        <v>114.56</v>
      </c>
      <c r="C362" s="0" t="n">
        <v>19.633666</v>
      </c>
      <c r="D362" s="0" t="n">
        <v>120</v>
      </c>
      <c r="F362" s="0" t="n">
        <v>22719</v>
      </c>
      <c r="G362" s="0" t="n">
        <v>114.56</v>
      </c>
      <c r="H362" s="0" t="n">
        <v>19.633666</v>
      </c>
      <c r="I362" s="0" t="n">
        <v>0</v>
      </c>
    </row>
    <row r="363" customFormat="false" ht="13.8" hidden="false" customHeight="false" outlineLevel="0" collapsed="false">
      <c r="A363" s="0" t="n">
        <v>22850</v>
      </c>
      <c r="B363" s="0" t="n">
        <v>74.83</v>
      </c>
      <c r="C363" s="0" t="n">
        <v>9.6546</v>
      </c>
      <c r="D363" s="0" t="n">
        <v>300</v>
      </c>
      <c r="F363" s="0" t="n">
        <v>22850</v>
      </c>
      <c r="G363" s="0" t="n">
        <v>74.83</v>
      </c>
      <c r="H363" s="0" t="n">
        <v>9.6546</v>
      </c>
      <c r="I363" s="0" t="n">
        <v>0</v>
      </c>
    </row>
    <row r="364" customFormat="false" ht="13.8" hidden="false" customHeight="false" outlineLevel="0" collapsed="false">
      <c r="A364" s="0" t="n">
        <v>22856</v>
      </c>
      <c r="B364" s="0" t="n">
        <v>23.8</v>
      </c>
      <c r="C364" s="0" t="n">
        <v>11.055458</v>
      </c>
      <c r="D364" s="0" t="n">
        <v>3840</v>
      </c>
      <c r="F364" s="0" t="n">
        <v>22856</v>
      </c>
      <c r="G364" s="0" t="n">
        <v>23.8</v>
      </c>
      <c r="H364" s="0" t="n">
        <v>11.055458</v>
      </c>
      <c r="I364" s="0" t="n">
        <v>0</v>
      </c>
    </row>
    <row r="365" customFormat="false" ht="13.8" hidden="false" customHeight="false" outlineLevel="0" collapsed="false">
      <c r="A365" s="0" t="n">
        <v>22857</v>
      </c>
      <c r="B365" s="0" t="n">
        <v>46.39</v>
      </c>
      <c r="C365" s="0" t="n">
        <v>21.549093</v>
      </c>
      <c r="D365" s="0" t="n">
        <v>960</v>
      </c>
      <c r="F365" s="0" t="n">
        <v>22857</v>
      </c>
      <c r="G365" s="0" t="n">
        <v>46.39</v>
      </c>
      <c r="H365" s="0" t="n">
        <v>21.549093</v>
      </c>
      <c r="I365" s="0" t="n">
        <v>0</v>
      </c>
    </row>
    <row r="366" customFormat="false" ht="13.8" hidden="false" customHeight="false" outlineLevel="0" collapsed="false">
      <c r="A366" s="0" t="n">
        <v>22866</v>
      </c>
      <c r="B366" s="0" t="n">
        <v>45.83</v>
      </c>
      <c r="C366" s="0" t="n">
        <v>0</v>
      </c>
      <c r="D366" s="0" t="n">
        <v>0</v>
      </c>
      <c r="F366" s="0" t="n">
        <v>22866</v>
      </c>
      <c r="G366" s="0" t="n">
        <v>45.83</v>
      </c>
      <c r="H366" s="0" t="n">
        <v>0</v>
      </c>
      <c r="I366" s="0" t="n">
        <v>640</v>
      </c>
    </row>
    <row r="367" customFormat="false" ht="13.8" hidden="false" customHeight="false" outlineLevel="0" collapsed="false">
      <c r="A367" s="0" t="n">
        <v>22869</v>
      </c>
      <c r="B367" s="0" t="n">
        <v>67.73</v>
      </c>
      <c r="C367" s="0" t="n">
        <v>0</v>
      </c>
      <c r="D367" s="0" t="n">
        <v>0</v>
      </c>
      <c r="F367" s="0" t="n">
        <v>22869</v>
      </c>
      <c r="G367" s="0" t="n">
        <v>67.73</v>
      </c>
      <c r="H367" s="0" t="n">
        <v>0</v>
      </c>
      <c r="I367" s="0" t="n">
        <v>0</v>
      </c>
    </row>
    <row r="368" customFormat="false" ht="13.8" hidden="false" customHeight="false" outlineLevel="0" collapsed="false">
      <c r="A368" s="0" t="n">
        <v>22870</v>
      </c>
      <c r="B368" s="0" t="n">
        <v>121.71</v>
      </c>
      <c r="C368" s="0" t="n">
        <v>0</v>
      </c>
      <c r="D368" s="0" t="n">
        <v>0</v>
      </c>
      <c r="F368" s="0" t="n">
        <v>22870</v>
      </c>
      <c r="G368" s="0" t="n">
        <v>121.71</v>
      </c>
      <c r="H368" s="0" t="n">
        <v>0</v>
      </c>
      <c r="I368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99"/>
  <sheetViews>
    <sheetView showFormulas="false" showGridLines="true" showRowColHeaders="true" showZeros="true" rightToLeft="false" tabSelected="false" showOutlineSymbols="true" defaultGridColor="true" view="normal" topLeftCell="A1181" colorId="64" zoomScale="100" zoomScaleNormal="100" zoomScalePageLayoutView="100" workbookViewId="0">
      <selection pane="topLeft" activeCell="E459" activeCellId="0" sqref="E459"/>
    </sheetView>
  </sheetViews>
  <sheetFormatPr defaultColWidth="9.14453125" defaultRowHeight="13.8" zeroHeight="false" outlineLevelRow="0" outlineLevelCol="0"/>
  <cols>
    <col collapsed="false" customWidth="true" hidden="false" outlineLevel="0" max="1" min="1" style="2" width="15.58"/>
    <col collapsed="false" customWidth="true" hidden="false" outlineLevel="0" max="2" min="2" style="2" width="6.76"/>
    <col collapsed="false" customWidth="true" hidden="false" outlineLevel="0" max="3" min="3" style="2" width="61.01"/>
    <col collapsed="false" customWidth="true" hidden="false" outlineLevel="0" max="4" min="4" style="2" width="26.72"/>
    <col collapsed="false" customWidth="true" hidden="false" outlineLevel="0" max="5" min="5" style="2" width="31.68"/>
    <col collapsed="false" customWidth="true" hidden="false" outlineLevel="0" max="6" min="6" style="2" width="7.86"/>
    <col collapsed="false" customWidth="true" hidden="false" outlineLevel="0" max="7" min="7" style="2" width="10.62"/>
  </cols>
  <sheetData>
    <row r="1" customFormat="false" ht="13.8" hidden="false" customHeight="false" outlineLevel="0" collapsed="false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</row>
    <row r="2" customFormat="false" ht="13.8" hidden="false" customHeight="false" outlineLevel="0" collapsed="false">
      <c r="A2" s="2" t="s">
        <v>62</v>
      </c>
      <c r="B2" s="2" t="n">
        <v>1049</v>
      </c>
      <c r="C2" s="2" t="s">
        <v>63</v>
      </c>
      <c r="D2" s="2" t="s">
        <v>64</v>
      </c>
      <c r="E2" s="2" t="str">
        <f aca="false">_xlfn.CONCAT(D2,"-",B2)</f>
        <v>CE - 0000-1049</v>
      </c>
      <c r="F2" s="2" t="n">
        <v>4201</v>
      </c>
      <c r="G2" s="2" t="n">
        <v>40767.4</v>
      </c>
    </row>
    <row r="3" customFormat="false" ht="13.8" hidden="false" customHeight="false" outlineLevel="0" collapsed="false">
      <c r="A3" s="2" t="s">
        <v>62</v>
      </c>
      <c r="B3" s="2" t="n">
        <v>1049</v>
      </c>
      <c r="C3" s="2" t="s">
        <v>63</v>
      </c>
      <c r="D3" s="2" t="s">
        <v>65</v>
      </c>
      <c r="E3" s="2" t="str">
        <f aca="false">_xlfn.CONCAT(D3,"-",B3)</f>
        <v>CE - EURO X AUGEFARMA-1049</v>
      </c>
      <c r="F3" s="2" t="n">
        <v>176</v>
      </c>
      <c r="G3" s="2" t="n">
        <v>1529.57</v>
      </c>
    </row>
    <row r="4" customFormat="false" ht="13.8" hidden="false" customHeight="false" outlineLevel="0" collapsed="false">
      <c r="A4" s="2" t="s">
        <v>62</v>
      </c>
      <c r="B4" s="2" t="n">
        <v>1049</v>
      </c>
      <c r="C4" s="2" t="s">
        <v>63</v>
      </c>
      <c r="D4" s="2" t="s">
        <v>66</v>
      </c>
      <c r="E4" s="2" t="str">
        <f aca="false">_xlfn.CONCAT(D4,"-",B4)</f>
        <v>CE - OL 001-1049</v>
      </c>
      <c r="F4" s="2" t="n">
        <v>1232</v>
      </c>
      <c r="G4" s="2" t="n">
        <v>13105.76</v>
      </c>
    </row>
    <row r="5" customFormat="false" ht="13.8" hidden="false" customHeight="false" outlineLevel="0" collapsed="false">
      <c r="A5" s="2" t="s">
        <v>62</v>
      </c>
      <c r="B5" s="2" t="n">
        <v>1049</v>
      </c>
      <c r="C5" s="2" t="s">
        <v>63</v>
      </c>
      <c r="D5" s="2" t="s">
        <v>67</v>
      </c>
      <c r="E5" s="2" t="str">
        <f aca="false">_xlfn.CONCAT(D5,"-",B5)</f>
        <v>CE - EUROFARMA G7-1049</v>
      </c>
      <c r="F5" s="2" t="n">
        <v>403</v>
      </c>
      <c r="G5" s="2" t="n">
        <v>3928.56</v>
      </c>
    </row>
    <row r="6" customFormat="false" ht="13.8" hidden="false" customHeight="false" outlineLevel="0" collapsed="false">
      <c r="A6" s="2" t="s">
        <v>62</v>
      </c>
      <c r="B6" s="2" t="n">
        <v>1049</v>
      </c>
      <c r="C6" s="2" t="s">
        <v>63</v>
      </c>
      <c r="D6" s="2" t="s">
        <v>68</v>
      </c>
      <c r="E6" s="2" t="str">
        <f aca="false">_xlfn.CONCAT(D6,"-",B6)</f>
        <v>CE - OL 002-1049</v>
      </c>
      <c r="F6" s="2" t="n">
        <v>284</v>
      </c>
      <c r="G6" s="2" t="n">
        <v>3113.34</v>
      </c>
    </row>
    <row r="7" customFormat="false" ht="13.8" hidden="false" customHeight="false" outlineLevel="0" collapsed="false">
      <c r="A7" s="2" t="s">
        <v>62</v>
      </c>
      <c r="B7" s="2" t="n">
        <v>1049</v>
      </c>
      <c r="C7" s="2" t="s">
        <v>63</v>
      </c>
      <c r="D7" s="2" t="s">
        <v>69</v>
      </c>
      <c r="E7" s="2" t="str">
        <f aca="false">_xlfn.CONCAT(D7,"-",B7)</f>
        <v>CE - EUROFARMA 6%-1049</v>
      </c>
      <c r="F7" s="2" t="n">
        <v>51</v>
      </c>
      <c r="G7" s="2" t="n">
        <v>504.55</v>
      </c>
    </row>
    <row r="8" customFormat="false" ht="13.8" hidden="false" customHeight="false" outlineLevel="0" collapsed="false">
      <c r="A8" s="2" t="s">
        <v>70</v>
      </c>
      <c r="B8" s="2" t="n">
        <v>1050</v>
      </c>
      <c r="C8" s="2" t="s">
        <v>71</v>
      </c>
      <c r="D8" s="2" t="s">
        <v>67</v>
      </c>
      <c r="E8" s="2" t="str">
        <f aca="false">_xlfn.CONCAT(D8,"-",B8)</f>
        <v>CE - EUROFARMA G7-1050</v>
      </c>
      <c r="F8" s="2" t="n">
        <v>632</v>
      </c>
      <c r="G8" s="2" t="n">
        <v>7896.84</v>
      </c>
    </row>
    <row r="9" customFormat="false" ht="13.8" hidden="false" customHeight="false" outlineLevel="0" collapsed="false">
      <c r="A9" s="2" t="s">
        <v>70</v>
      </c>
      <c r="B9" s="2" t="n">
        <v>1050</v>
      </c>
      <c r="C9" s="2" t="s">
        <v>71</v>
      </c>
      <c r="D9" s="2" t="s">
        <v>69</v>
      </c>
      <c r="E9" s="2" t="str">
        <f aca="false">_xlfn.CONCAT(D9,"-",B9)</f>
        <v>CE - EUROFARMA 6%-1050</v>
      </c>
      <c r="F9" s="2" t="n">
        <v>29</v>
      </c>
      <c r="G9" s="2" t="n">
        <v>367.57</v>
      </c>
    </row>
    <row r="10" customFormat="false" ht="13.8" hidden="false" customHeight="false" outlineLevel="0" collapsed="false">
      <c r="A10" s="2" t="s">
        <v>70</v>
      </c>
      <c r="B10" s="2" t="n">
        <v>1050</v>
      </c>
      <c r="C10" s="2" t="s">
        <v>71</v>
      </c>
      <c r="D10" s="2" t="s">
        <v>64</v>
      </c>
      <c r="E10" s="2" t="str">
        <f aca="false">_xlfn.CONCAT(D10,"-",B10)</f>
        <v>CE - 0000-1050</v>
      </c>
      <c r="F10" s="2" t="n">
        <v>5716</v>
      </c>
      <c r="G10" s="2" t="n">
        <v>69497.44</v>
      </c>
    </row>
    <row r="11" customFormat="false" ht="13.8" hidden="false" customHeight="false" outlineLevel="0" collapsed="false">
      <c r="A11" s="2" t="s">
        <v>70</v>
      </c>
      <c r="B11" s="2" t="n">
        <v>1050</v>
      </c>
      <c r="C11" s="2" t="s">
        <v>71</v>
      </c>
      <c r="D11" s="2" t="s">
        <v>65</v>
      </c>
      <c r="E11" s="2" t="str">
        <f aca="false">_xlfn.CONCAT(D11,"-",B11)</f>
        <v>CE - EURO X AUGEFARMA-1050</v>
      </c>
      <c r="F11" s="2" t="n">
        <v>207</v>
      </c>
      <c r="G11" s="2" t="n">
        <v>2225.38</v>
      </c>
    </row>
    <row r="12" customFormat="false" ht="13.8" hidden="false" customHeight="false" outlineLevel="0" collapsed="false">
      <c r="A12" s="2" t="s">
        <v>70</v>
      </c>
      <c r="B12" s="2" t="n">
        <v>1050</v>
      </c>
      <c r="C12" s="2" t="s">
        <v>71</v>
      </c>
      <c r="D12" s="2" t="s">
        <v>68</v>
      </c>
      <c r="E12" s="2" t="str">
        <f aca="false">_xlfn.CONCAT(D12,"-",B12)</f>
        <v>CE - OL 002-1050</v>
      </c>
      <c r="F12" s="2" t="n">
        <v>37</v>
      </c>
      <c r="G12" s="2" t="n">
        <v>602.17</v>
      </c>
    </row>
    <row r="13" customFormat="false" ht="13.8" hidden="false" customHeight="false" outlineLevel="0" collapsed="false">
      <c r="A13" s="2" t="s">
        <v>70</v>
      </c>
      <c r="B13" s="2" t="n">
        <v>1050</v>
      </c>
      <c r="C13" s="2" t="s">
        <v>71</v>
      </c>
      <c r="D13" s="2" t="s">
        <v>66</v>
      </c>
      <c r="E13" s="2" t="str">
        <f aca="false">_xlfn.CONCAT(D13,"-",B13)</f>
        <v>CE - OL 001-1050</v>
      </c>
      <c r="F13" s="2" t="n">
        <v>762</v>
      </c>
      <c r="G13" s="2" t="n">
        <v>10069.6</v>
      </c>
    </row>
    <row r="14" customFormat="false" ht="13.8" hidden="false" customHeight="false" outlineLevel="0" collapsed="false">
      <c r="A14" s="2" t="s">
        <v>72</v>
      </c>
      <c r="B14" s="2" t="n">
        <v>16186</v>
      </c>
      <c r="C14" s="2" t="s">
        <v>73</v>
      </c>
      <c r="D14" s="2" t="s">
        <v>65</v>
      </c>
      <c r="E14" s="2" t="str">
        <f aca="false">_xlfn.CONCAT(D14,"-",B14)</f>
        <v>CE - EURO X AUGEFARMA-16186</v>
      </c>
      <c r="F14" s="2" t="n">
        <v>44</v>
      </c>
      <c r="G14" s="2" t="n">
        <v>366.67</v>
      </c>
    </row>
    <row r="15" customFormat="false" ht="13.8" hidden="false" customHeight="false" outlineLevel="0" collapsed="false">
      <c r="A15" s="2" t="s">
        <v>72</v>
      </c>
      <c r="B15" s="2" t="n">
        <v>16186</v>
      </c>
      <c r="C15" s="2" t="s">
        <v>73</v>
      </c>
      <c r="D15" s="2" t="s">
        <v>68</v>
      </c>
      <c r="E15" s="2" t="str">
        <f aca="false">_xlfn.CONCAT(D15,"-",B15)</f>
        <v>CE - OL 002-16186</v>
      </c>
      <c r="F15" s="2" t="n">
        <v>15</v>
      </c>
      <c r="G15" s="2" t="n">
        <v>177.85</v>
      </c>
    </row>
    <row r="16" customFormat="false" ht="13.8" hidden="false" customHeight="false" outlineLevel="0" collapsed="false">
      <c r="A16" s="2" t="s">
        <v>72</v>
      </c>
      <c r="B16" s="2" t="n">
        <v>16186</v>
      </c>
      <c r="C16" s="2" t="s">
        <v>73</v>
      </c>
      <c r="D16" s="2" t="s">
        <v>66</v>
      </c>
      <c r="E16" s="2" t="str">
        <f aca="false">_xlfn.CONCAT(D16,"-",B16)</f>
        <v>CE - OL 001-16186</v>
      </c>
      <c r="F16" s="2" t="n">
        <v>2</v>
      </c>
      <c r="G16" s="2" t="n">
        <v>22.21</v>
      </c>
    </row>
    <row r="17" customFormat="false" ht="13.8" hidden="false" customHeight="false" outlineLevel="0" collapsed="false">
      <c r="A17" s="2" t="s">
        <v>72</v>
      </c>
      <c r="B17" s="2" t="n">
        <v>16186</v>
      </c>
      <c r="C17" s="2" t="s">
        <v>73</v>
      </c>
      <c r="D17" s="2" t="s">
        <v>64</v>
      </c>
      <c r="E17" s="2" t="str">
        <f aca="false">_xlfn.CONCAT(D17,"-",B17)</f>
        <v>CE - 0000-16186</v>
      </c>
      <c r="F17" s="2" t="n">
        <v>304</v>
      </c>
      <c r="G17" s="2" t="n">
        <v>3037.5</v>
      </c>
    </row>
    <row r="18" customFormat="false" ht="13.8" hidden="false" customHeight="false" outlineLevel="0" collapsed="false">
      <c r="A18" s="2" t="s">
        <v>72</v>
      </c>
      <c r="B18" s="2" t="n">
        <v>16186</v>
      </c>
      <c r="C18" s="2" t="s">
        <v>73</v>
      </c>
      <c r="D18" s="2" t="s">
        <v>67</v>
      </c>
      <c r="E18" s="2" t="str">
        <f aca="false">_xlfn.CONCAT(D18,"-",B18)</f>
        <v>CE - EUROFARMA G7-16186</v>
      </c>
      <c r="F18" s="2" t="n">
        <v>18</v>
      </c>
      <c r="G18" s="2" t="n">
        <v>193.68</v>
      </c>
    </row>
    <row r="19" customFormat="false" ht="13.8" hidden="false" customHeight="false" outlineLevel="0" collapsed="false">
      <c r="A19" s="2" t="s">
        <v>74</v>
      </c>
      <c r="B19" s="2" t="n">
        <v>4633</v>
      </c>
      <c r="C19" s="2" t="s">
        <v>75</v>
      </c>
      <c r="D19" s="2" t="s">
        <v>66</v>
      </c>
      <c r="E19" s="2" t="str">
        <f aca="false">_xlfn.CONCAT(D19,"-",B19)</f>
        <v>CE - OL 001-4633</v>
      </c>
      <c r="F19" s="2" t="n">
        <v>31</v>
      </c>
      <c r="G19" s="2" t="n">
        <v>491.82</v>
      </c>
    </row>
    <row r="20" customFormat="false" ht="13.8" hidden="false" customHeight="false" outlineLevel="0" collapsed="false">
      <c r="A20" s="2" t="s">
        <v>74</v>
      </c>
      <c r="B20" s="2" t="n">
        <v>4633</v>
      </c>
      <c r="C20" s="2" t="s">
        <v>75</v>
      </c>
      <c r="D20" s="2" t="s">
        <v>65</v>
      </c>
      <c r="E20" s="2" t="str">
        <f aca="false">_xlfn.CONCAT(D20,"-",B20)</f>
        <v>CE - EURO X AUGEFARMA-4633</v>
      </c>
      <c r="F20" s="2" t="n">
        <v>8</v>
      </c>
      <c r="G20" s="2" t="n">
        <v>110.13</v>
      </c>
    </row>
    <row r="21" customFormat="false" ht="13.8" hidden="false" customHeight="false" outlineLevel="0" collapsed="false">
      <c r="A21" s="2" t="s">
        <v>74</v>
      </c>
      <c r="B21" s="2" t="n">
        <v>4633</v>
      </c>
      <c r="C21" s="2" t="s">
        <v>75</v>
      </c>
      <c r="D21" s="2" t="s">
        <v>64</v>
      </c>
      <c r="E21" s="2" t="str">
        <f aca="false">_xlfn.CONCAT(D21,"-",B21)</f>
        <v>CE - 0000-4633</v>
      </c>
      <c r="F21" s="2" t="n">
        <v>187</v>
      </c>
      <c r="G21" s="2" t="n">
        <v>2698.24</v>
      </c>
    </row>
    <row r="22" customFormat="false" ht="13.8" hidden="false" customHeight="false" outlineLevel="0" collapsed="false">
      <c r="A22" s="2" t="s">
        <v>74</v>
      </c>
      <c r="B22" s="2" t="n">
        <v>4633</v>
      </c>
      <c r="C22" s="2" t="s">
        <v>75</v>
      </c>
      <c r="D22" s="2" t="s">
        <v>67</v>
      </c>
      <c r="E22" s="2" t="str">
        <f aca="false">_xlfn.CONCAT(D22,"-",B22)</f>
        <v>CE - EUROFARMA G7-4633</v>
      </c>
      <c r="F22" s="2" t="n">
        <v>56</v>
      </c>
      <c r="G22" s="2" t="n">
        <v>872.1</v>
      </c>
    </row>
    <row r="23" customFormat="false" ht="13.8" hidden="false" customHeight="false" outlineLevel="0" collapsed="false">
      <c r="A23" s="2" t="s">
        <v>76</v>
      </c>
      <c r="B23" s="2" t="n">
        <v>16807</v>
      </c>
      <c r="C23" s="2" t="s">
        <v>77</v>
      </c>
      <c r="D23" s="2" t="s">
        <v>67</v>
      </c>
      <c r="E23" s="2" t="str">
        <f aca="false">_xlfn.CONCAT(D23,"-",B23)</f>
        <v>CE - EUROFARMA G7-16807</v>
      </c>
      <c r="F23" s="2" t="n">
        <v>875</v>
      </c>
      <c r="G23" s="2" t="n">
        <v>8640.83</v>
      </c>
    </row>
    <row r="24" customFormat="false" ht="13.8" hidden="false" customHeight="false" outlineLevel="0" collapsed="false">
      <c r="A24" s="2" t="s">
        <v>76</v>
      </c>
      <c r="B24" s="2" t="n">
        <v>16807</v>
      </c>
      <c r="C24" s="2" t="s">
        <v>77</v>
      </c>
      <c r="D24" s="2" t="s">
        <v>65</v>
      </c>
      <c r="E24" s="2" t="str">
        <f aca="false">_xlfn.CONCAT(D24,"-",B24)</f>
        <v>CE - EURO X AUGEFARMA-16807</v>
      </c>
      <c r="F24" s="2" t="n">
        <v>237</v>
      </c>
      <c r="G24" s="2" t="n">
        <v>1956.7</v>
      </c>
    </row>
    <row r="25" customFormat="false" ht="13.8" hidden="false" customHeight="false" outlineLevel="0" collapsed="false">
      <c r="A25" s="2" t="s">
        <v>76</v>
      </c>
      <c r="B25" s="2" t="n">
        <v>16807</v>
      </c>
      <c r="C25" s="2" t="s">
        <v>77</v>
      </c>
      <c r="D25" s="2" t="s">
        <v>64</v>
      </c>
      <c r="E25" s="2" t="str">
        <f aca="false">_xlfn.CONCAT(D25,"-",B25)</f>
        <v>CE - 0000-16807</v>
      </c>
      <c r="F25" s="2" t="n">
        <v>4774</v>
      </c>
      <c r="G25" s="2" t="n">
        <v>45520.31</v>
      </c>
    </row>
    <row r="26" customFormat="false" ht="13.8" hidden="false" customHeight="false" outlineLevel="0" collapsed="false">
      <c r="A26" s="2" t="s">
        <v>76</v>
      </c>
      <c r="B26" s="2" t="n">
        <v>16807</v>
      </c>
      <c r="C26" s="2" t="s">
        <v>77</v>
      </c>
      <c r="D26" s="2" t="s">
        <v>66</v>
      </c>
      <c r="E26" s="2" t="str">
        <f aca="false">_xlfn.CONCAT(D26,"-",B26)</f>
        <v>CE - OL 001-16807</v>
      </c>
      <c r="F26" s="2" t="n">
        <v>2193</v>
      </c>
      <c r="G26" s="2" t="n">
        <v>22610.59</v>
      </c>
    </row>
    <row r="27" customFormat="false" ht="13.8" hidden="false" customHeight="false" outlineLevel="0" collapsed="false">
      <c r="A27" s="2" t="s">
        <v>76</v>
      </c>
      <c r="B27" s="2" t="n">
        <v>16807</v>
      </c>
      <c r="C27" s="2" t="s">
        <v>77</v>
      </c>
      <c r="D27" s="2" t="s">
        <v>68</v>
      </c>
      <c r="E27" s="2" t="str">
        <f aca="false">_xlfn.CONCAT(D27,"-",B27)</f>
        <v>CE - OL 002-16807</v>
      </c>
      <c r="F27" s="2" t="n">
        <v>139</v>
      </c>
      <c r="G27" s="2" t="n">
        <v>1501.94</v>
      </c>
    </row>
    <row r="28" customFormat="false" ht="13.8" hidden="false" customHeight="false" outlineLevel="0" collapsed="false">
      <c r="A28" s="2" t="s">
        <v>78</v>
      </c>
      <c r="B28" s="2" t="n">
        <v>4242</v>
      </c>
      <c r="C28" s="2" t="s">
        <v>79</v>
      </c>
      <c r="D28" s="2" t="s">
        <v>64</v>
      </c>
      <c r="E28" s="2" t="str">
        <f aca="false">_xlfn.CONCAT(D28,"-",B28)</f>
        <v>CE - 0000-4242</v>
      </c>
      <c r="F28" s="2" t="n">
        <v>268</v>
      </c>
      <c r="G28" s="2" t="n">
        <v>4517.13</v>
      </c>
    </row>
    <row r="29" customFormat="false" ht="13.8" hidden="false" customHeight="false" outlineLevel="0" collapsed="false">
      <c r="A29" s="2" t="s">
        <v>78</v>
      </c>
      <c r="B29" s="2" t="n">
        <v>4242</v>
      </c>
      <c r="C29" s="2" t="s">
        <v>79</v>
      </c>
      <c r="D29" s="2" t="s">
        <v>65</v>
      </c>
      <c r="E29" s="2" t="str">
        <f aca="false">_xlfn.CONCAT(D29,"-",B29)</f>
        <v>CE - EURO X AUGEFARMA-4242</v>
      </c>
      <c r="F29" s="2" t="n">
        <v>9</v>
      </c>
      <c r="G29" s="2" t="n">
        <v>141.71</v>
      </c>
    </row>
    <row r="30" customFormat="false" ht="13.8" hidden="false" customHeight="false" outlineLevel="0" collapsed="false">
      <c r="A30" s="2" t="s">
        <v>78</v>
      </c>
      <c r="B30" s="2" t="n">
        <v>4242</v>
      </c>
      <c r="C30" s="2" t="s">
        <v>79</v>
      </c>
      <c r="D30" s="2" t="s">
        <v>67</v>
      </c>
      <c r="E30" s="2" t="str">
        <f aca="false">_xlfn.CONCAT(D30,"-",B30)</f>
        <v>CE - EUROFARMA G7-4242</v>
      </c>
      <c r="F30" s="2" t="n">
        <v>60</v>
      </c>
      <c r="G30" s="2" t="n">
        <v>1082.67</v>
      </c>
    </row>
    <row r="31" customFormat="false" ht="13.8" hidden="false" customHeight="false" outlineLevel="0" collapsed="false">
      <c r="A31" s="2" t="s">
        <v>78</v>
      </c>
      <c r="B31" s="2" t="n">
        <v>4242</v>
      </c>
      <c r="C31" s="2" t="s">
        <v>79</v>
      </c>
      <c r="D31" s="2" t="s">
        <v>66</v>
      </c>
      <c r="E31" s="2" t="str">
        <f aca="false">_xlfn.CONCAT(D31,"-",B31)</f>
        <v>CE - OL 001-4242</v>
      </c>
      <c r="F31" s="2" t="n">
        <v>3</v>
      </c>
      <c r="G31" s="2" t="n">
        <v>50.96</v>
      </c>
    </row>
    <row r="32" customFormat="false" ht="13.8" hidden="false" customHeight="false" outlineLevel="0" collapsed="false">
      <c r="A32" s="2" t="s">
        <v>80</v>
      </c>
      <c r="B32" s="2" t="n">
        <v>1097</v>
      </c>
      <c r="C32" s="2" t="s">
        <v>81</v>
      </c>
      <c r="D32" s="2" t="s">
        <v>69</v>
      </c>
      <c r="E32" s="2" t="str">
        <f aca="false">_xlfn.CONCAT(D32,"-",B32)</f>
        <v>CE - EUROFARMA 6%-1097</v>
      </c>
      <c r="F32" s="2" t="n">
        <v>66</v>
      </c>
      <c r="G32" s="2" t="n">
        <v>1257.6</v>
      </c>
    </row>
    <row r="33" customFormat="false" ht="13.8" hidden="false" customHeight="false" outlineLevel="0" collapsed="false">
      <c r="A33" s="2" t="s">
        <v>80</v>
      </c>
      <c r="B33" s="2" t="n">
        <v>1097</v>
      </c>
      <c r="C33" s="2" t="s">
        <v>81</v>
      </c>
      <c r="D33" s="2" t="s">
        <v>64</v>
      </c>
      <c r="E33" s="2" t="str">
        <f aca="false">_xlfn.CONCAT(D33,"-",B33)</f>
        <v>CE - 0000-1097</v>
      </c>
      <c r="F33" s="2" t="n">
        <v>3404</v>
      </c>
      <c r="G33" s="2" t="n">
        <v>64783.36</v>
      </c>
    </row>
    <row r="34" customFormat="false" ht="13.8" hidden="false" customHeight="false" outlineLevel="0" collapsed="false">
      <c r="A34" s="2" t="s">
        <v>80</v>
      </c>
      <c r="B34" s="2" t="n">
        <v>1097</v>
      </c>
      <c r="C34" s="2" t="s">
        <v>81</v>
      </c>
      <c r="D34" s="2" t="s">
        <v>67</v>
      </c>
      <c r="E34" s="2" t="str">
        <f aca="false">_xlfn.CONCAT(D34,"-",B34)</f>
        <v>CE - EUROFARMA G7-1097</v>
      </c>
      <c r="F34" s="2" t="n">
        <v>174</v>
      </c>
      <c r="G34" s="2" t="n">
        <v>3535.39</v>
      </c>
    </row>
    <row r="35" customFormat="false" ht="13.8" hidden="false" customHeight="false" outlineLevel="0" collapsed="false">
      <c r="A35" s="2" t="s">
        <v>80</v>
      </c>
      <c r="B35" s="2" t="n">
        <v>1097</v>
      </c>
      <c r="C35" s="2" t="s">
        <v>81</v>
      </c>
      <c r="D35" s="2" t="s">
        <v>65</v>
      </c>
      <c r="E35" s="2" t="str">
        <f aca="false">_xlfn.CONCAT(D35,"-",B35)</f>
        <v>CE - EURO X AUGEFARMA-1097</v>
      </c>
      <c r="F35" s="2" t="n">
        <v>103</v>
      </c>
      <c r="G35" s="2" t="n">
        <v>1790.69</v>
      </c>
    </row>
    <row r="36" customFormat="false" ht="13.8" hidden="false" customHeight="false" outlineLevel="0" collapsed="false">
      <c r="A36" s="2" t="s">
        <v>80</v>
      </c>
      <c r="B36" s="2" t="n">
        <v>1097</v>
      </c>
      <c r="C36" s="2" t="s">
        <v>81</v>
      </c>
      <c r="D36" s="2" t="s">
        <v>68</v>
      </c>
      <c r="E36" s="2" t="str">
        <f aca="false">_xlfn.CONCAT(D36,"-",B36)</f>
        <v>CE - OL 002-1097</v>
      </c>
      <c r="F36" s="2" t="n">
        <v>2</v>
      </c>
      <c r="G36" s="2" t="n">
        <v>42.57</v>
      </c>
    </row>
    <row r="37" customFormat="false" ht="13.8" hidden="false" customHeight="false" outlineLevel="0" collapsed="false">
      <c r="A37" s="2" t="s">
        <v>80</v>
      </c>
      <c r="B37" s="2" t="n">
        <v>1097</v>
      </c>
      <c r="C37" s="2" t="s">
        <v>81</v>
      </c>
      <c r="D37" s="2" t="s">
        <v>66</v>
      </c>
      <c r="E37" s="2" t="str">
        <f aca="false">_xlfn.CONCAT(D37,"-",B37)</f>
        <v>CE - OL 001-1097</v>
      </c>
      <c r="F37" s="2" t="n">
        <v>714</v>
      </c>
      <c r="G37" s="2" t="n">
        <v>14642.91</v>
      </c>
    </row>
    <row r="38" customFormat="false" ht="13.8" hidden="false" customHeight="false" outlineLevel="0" collapsed="false">
      <c r="A38" s="2" t="s">
        <v>82</v>
      </c>
      <c r="B38" s="2" t="n">
        <v>3287</v>
      </c>
      <c r="C38" s="2" t="s">
        <v>83</v>
      </c>
      <c r="D38" s="2" t="s">
        <v>67</v>
      </c>
      <c r="E38" s="2" t="str">
        <f aca="false">_xlfn.CONCAT(D38,"-",B38)</f>
        <v>CE - EUROFARMA G7-3287</v>
      </c>
      <c r="F38" s="2" t="n">
        <v>48</v>
      </c>
      <c r="G38" s="2" t="n">
        <v>1406.37</v>
      </c>
    </row>
    <row r="39" customFormat="false" ht="13.8" hidden="false" customHeight="false" outlineLevel="0" collapsed="false">
      <c r="A39" s="2" t="s">
        <v>82</v>
      </c>
      <c r="B39" s="2" t="n">
        <v>3287</v>
      </c>
      <c r="C39" s="2" t="s">
        <v>83</v>
      </c>
      <c r="D39" s="2" t="s">
        <v>65</v>
      </c>
      <c r="E39" s="2" t="str">
        <f aca="false">_xlfn.CONCAT(D39,"-",B39)</f>
        <v>CE - EURO X AUGEFARMA-3287</v>
      </c>
      <c r="F39" s="2" t="n">
        <v>34</v>
      </c>
      <c r="G39" s="2" t="n">
        <v>835.13</v>
      </c>
    </row>
    <row r="40" customFormat="false" ht="13.8" hidden="false" customHeight="false" outlineLevel="0" collapsed="false">
      <c r="A40" s="2" t="s">
        <v>82</v>
      </c>
      <c r="B40" s="2" t="n">
        <v>3287</v>
      </c>
      <c r="C40" s="2" t="s">
        <v>83</v>
      </c>
      <c r="D40" s="2" t="s">
        <v>64</v>
      </c>
      <c r="E40" s="2" t="str">
        <f aca="false">_xlfn.CONCAT(D40,"-",B40)</f>
        <v>CE - 0000-3287</v>
      </c>
      <c r="F40" s="2" t="n">
        <v>1256</v>
      </c>
      <c r="G40" s="2" t="n">
        <v>34718.11</v>
      </c>
    </row>
    <row r="41" customFormat="false" ht="13.8" hidden="false" customHeight="false" outlineLevel="0" collapsed="false">
      <c r="A41" s="2" t="s">
        <v>82</v>
      </c>
      <c r="B41" s="2" t="n">
        <v>3287</v>
      </c>
      <c r="C41" s="2" t="s">
        <v>83</v>
      </c>
      <c r="D41" s="2" t="s">
        <v>66</v>
      </c>
      <c r="E41" s="2" t="str">
        <f aca="false">_xlfn.CONCAT(D41,"-",B41)</f>
        <v>CE - OL 001-3287</v>
      </c>
      <c r="F41" s="2" t="n">
        <v>22</v>
      </c>
      <c r="G41" s="2" t="n">
        <v>649.18</v>
      </c>
    </row>
    <row r="42" customFormat="false" ht="13.8" hidden="false" customHeight="false" outlineLevel="0" collapsed="false">
      <c r="A42" s="2" t="s">
        <v>82</v>
      </c>
      <c r="B42" s="2" t="n">
        <v>3287</v>
      </c>
      <c r="C42" s="2" t="s">
        <v>83</v>
      </c>
      <c r="D42" s="2" t="s">
        <v>69</v>
      </c>
      <c r="E42" s="2" t="str">
        <f aca="false">_xlfn.CONCAT(D42,"-",B42)</f>
        <v>CE - EUROFARMA 6%-3287</v>
      </c>
      <c r="F42" s="2" t="n">
        <v>23</v>
      </c>
      <c r="G42" s="2" t="n">
        <v>657.17</v>
      </c>
    </row>
    <row r="43" customFormat="false" ht="13.8" hidden="false" customHeight="false" outlineLevel="0" collapsed="false">
      <c r="A43" s="2" t="s">
        <v>82</v>
      </c>
      <c r="B43" s="2" t="n">
        <v>3287</v>
      </c>
      <c r="C43" s="2" t="s">
        <v>83</v>
      </c>
      <c r="D43" s="2" t="s">
        <v>68</v>
      </c>
      <c r="E43" s="2" t="str">
        <f aca="false">_xlfn.CONCAT(D43,"-",B43)</f>
        <v>CE - OL 002-3287</v>
      </c>
      <c r="F43" s="2" t="n">
        <v>19</v>
      </c>
      <c r="G43" s="2" t="n">
        <v>585.54</v>
      </c>
    </row>
    <row r="44" customFormat="false" ht="13.8" hidden="false" customHeight="false" outlineLevel="0" collapsed="false">
      <c r="A44" s="2" t="s">
        <v>84</v>
      </c>
      <c r="B44" s="2" t="n">
        <v>39</v>
      </c>
      <c r="C44" s="2" t="s">
        <v>85</v>
      </c>
      <c r="D44" s="2" t="s">
        <v>67</v>
      </c>
      <c r="E44" s="2" t="str">
        <f aca="false">_xlfn.CONCAT(D44,"-",B44)</f>
        <v>CE - EUROFARMA G7-39</v>
      </c>
      <c r="F44" s="2" t="n">
        <v>2</v>
      </c>
      <c r="G44" s="2" t="n">
        <v>35.36</v>
      </c>
    </row>
    <row r="45" customFormat="false" ht="13.8" hidden="false" customHeight="false" outlineLevel="0" collapsed="false">
      <c r="A45" s="2" t="s">
        <v>84</v>
      </c>
      <c r="B45" s="2" t="n">
        <v>39</v>
      </c>
      <c r="C45" s="2" t="s">
        <v>85</v>
      </c>
      <c r="D45" s="2" t="s">
        <v>65</v>
      </c>
      <c r="E45" s="2" t="str">
        <f aca="false">_xlfn.CONCAT(D45,"-",B45)</f>
        <v>CE - EURO X AUGEFARMA-39</v>
      </c>
      <c r="F45" s="2" t="n">
        <v>9</v>
      </c>
      <c r="G45" s="2" t="n">
        <v>124.79</v>
      </c>
    </row>
    <row r="46" customFormat="false" ht="13.8" hidden="false" customHeight="false" outlineLevel="0" collapsed="false">
      <c r="A46" s="2" t="s">
        <v>84</v>
      </c>
      <c r="B46" s="2" t="n">
        <v>39</v>
      </c>
      <c r="C46" s="2" t="s">
        <v>85</v>
      </c>
      <c r="D46" s="2" t="s">
        <v>64</v>
      </c>
      <c r="E46" s="2" t="str">
        <f aca="false">_xlfn.CONCAT(D46,"-",B46)</f>
        <v>CE - 0000-39</v>
      </c>
      <c r="F46" s="2" t="n">
        <v>156</v>
      </c>
      <c r="G46" s="2" t="n">
        <v>2719.64</v>
      </c>
    </row>
    <row r="47" customFormat="false" ht="13.8" hidden="false" customHeight="false" outlineLevel="0" collapsed="false">
      <c r="A47" s="2" t="s">
        <v>86</v>
      </c>
      <c r="B47" s="2" t="n">
        <v>14254</v>
      </c>
      <c r="C47" s="2" t="s">
        <v>87</v>
      </c>
      <c r="D47" s="2" t="s">
        <v>64</v>
      </c>
      <c r="E47" s="2" t="str">
        <f aca="false">_xlfn.CONCAT(D47,"-",B47)</f>
        <v>CE - 0000-14254</v>
      </c>
      <c r="F47" s="2" t="n">
        <v>292</v>
      </c>
      <c r="G47" s="2" t="n">
        <v>1073.41</v>
      </c>
    </row>
    <row r="48" customFormat="false" ht="13.8" hidden="false" customHeight="false" outlineLevel="0" collapsed="false">
      <c r="A48" s="2" t="s">
        <v>86</v>
      </c>
      <c r="B48" s="2" t="n">
        <v>14254</v>
      </c>
      <c r="C48" s="2" t="s">
        <v>87</v>
      </c>
      <c r="D48" s="2" t="s">
        <v>65</v>
      </c>
      <c r="E48" s="2" t="str">
        <f aca="false">_xlfn.CONCAT(D48,"-",B48)</f>
        <v>CE - EURO X AUGEFARMA-14254</v>
      </c>
      <c r="F48" s="2" t="n">
        <v>34</v>
      </c>
      <c r="G48" s="2" t="n">
        <v>76.63</v>
      </c>
    </row>
    <row r="49" customFormat="false" ht="13.8" hidden="false" customHeight="false" outlineLevel="0" collapsed="false">
      <c r="A49" s="2" t="s">
        <v>86</v>
      </c>
      <c r="B49" s="2" t="n">
        <v>14254</v>
      </c>
      <c r="C49" s="2" t="s">
        <v>87</v>
      </c>
      <c r="D49" s="2" t="s">
        <v>66</v>
      </c>
      <c r="E49" s="2" t="str">
        <f aca="false">_xlfn.CONCAT(D49,"-",B49)</f>
        <v>CE - OL 001-14254</v>
      </c>
      <c r="F49" s="2" t="n">
        <v>21</v>
      </c>
      <c r="G49" s="2" t="n">
        <v>87.41</v>
      </c>
    </row>
    <row r="50" customFormat="false" ht="13.8" hidden="false" customHeight="false" outlineLevel="0" collapsed="false">
      <c r="A50" s="2" t="s">
        <v>86</v>
      </c>
      <c r="B50" s="2" t="n">
        <v>14254</v>
      </c>
      <c r="C50" s="2" t="s">
        <v>87</v>
      </c>
      <c r="D50" s="2" t="s">
        <v>67</v>
      </c>
      <c r="E50" s="2" t="str">
        <f aca="false">_xlfn.CONCAT(D50,"-",B50)</f>
        <v>CE - EUROFARMA G7-14254</v>
      </c>
      <c r="F50" s="2" t="n">
        <v>7</v>
      </c>
      <c r="G50" s="2" t="n">
        <v>25.99</v>
      </c>
    </row>
    <row r="51" customFormat="false" ht="13.8" hidden="false" customHeight="false" outlineLevel="0" collapsed="false">
      <c r="A51" s="2" t="s">
        <v>86</v>
      </c>
      <c r="B51" s="2" t="n">
        <v>14254</v>
      </c>
      <c r="C51" s="2" t="s">
        <v>87</v>
      </c>
      <c r="D51" s="2" t="s">
        <v>68</v>
      </c>
      <c r="E51" s="2" t="str">
        <f aca="false">_xlfn.CONCAT(D51,"-",B51)</f>
        <v>CE - OL 002-14254</v>
      </c>
      <c r="F51" s="2" t="n">
        <v>4</v>
      </c>
      <c r="G51" s="2" t="n">
        <v>16.36</v>
      </c>
    </row>
    <row r="52" customFormat="false" ht="13.8" hidden="false" customHeight="false" outlineLevel="0" collapsed="false">
      <c r="A52" s="2" t="s">
        <v>88</v>
      </c>
      <c r="B52" s="2" t="n">
        <v>6055</v>
      </c>
      <c r="C52" s="2" t="s">
        <v>89</v>
      </c>
      <c r="D52" s="2" t="s">
        <v>90</v>
      </c>
      <c r="E52" s="2" t="str">
        <f aca="false">_xlfn.CONCAT(D52,"-",B52)</f>
        <v>CE - OL PROMOÇÃO DA SEMAN-6055</v>
      </c>
      <c r="F52" s="2" t="n">
        <v>5636</v>
      </c>
      <c r="G52" s="2" t="n">
        <v>55129.69</v>
      </c>
    </row>
    <row r="53" customFormat="false" ht="13.8" hidden="false" customHeight="false" outlineLevel="0" collapsed="false">
      <c r="A53" s="2" t="s">
        <v>88</v>
      </c>
      <c r="B53" s="2" t="n">
        <v>6055</v>
      </c>
      <c r="C53" s="2" t="s">
        <v>89</v>
      </c>
      <c r="D53" s="2" t="s">
        <v>66</v>
      </c>
      <c r="E53" s="2" t="str">
        <f aca="false">_xlfn.CONCAT(D53,"-",B53)</f>
        <v>CE - OL 001-6055</v>
      </c>
      <c r="F53" s="2" t="n">
        <v>1187</v>
      </c>
      <c r="G53" s="2" t="n">
        <v>12202.56</v>
      </c>
    </row>
    <row r="54" customFormat="false" ht="13.8" hidden="false" customHeight="false" outlineLevel="0" collapsed="false">
      <c r="A54" s="2" t="s">
        <v>88</v>
      </c>
      <c r="B54" s="2" t="n">
        <v>6055</v>
      </c>
      <c r="C54" s="2" t="s">
        <v>89</v>
      </c>
      <c r="D54" s="2" t="s">
        <v>64</v>
      </c>
      <c r="E54" s="2" t="str">
        <f aca="false">_xlfn.CONCAT(D54,"-",B54)</f>
        <v>CE - 0000-6055</v>
      </c>
      <c r="F54" s="2" t="n">
        <v>22957</v>
      </c>
      <c r="G54" s="2" t="n">
        <v>240495.18</v>
      </c>
    </row>
    <row r="55" customFormat="false" ht="13.8" hidden="false" customHeight="false" outlineLevel="0" collapsed="false">
      <c r="A55" s="2" t="s">
        <v>88</v>
      </c>
      <c r="B55" s="2" t="n">
        <v>6055</v>
      </c>
      <c r="C55" s="2" t="s">
        <v>89</v>
      </c>
      <c r="D55" s="2" t="s">
        <v>65</v>
      </c>
      <c r="E55" s="2" t="str">
        <f aca="false">_xlfn.CONCAT(D55,"-",B55)</f>
        <v>CE - EURO X AUGEFARMA-6055</v>
      </c>
      <c r="F55" s="2" t="n">
        <v>360</v>
      </c>
      <c r="G55" s="2" t="n">
        <v>3990.74</v>
      </c>
    </row>
    <row r="56" customFormat="false" ht="13.8" hidden="false" customHeight="false" outlineLevel="0" collapsed="false">
      <c r="A56" s="2" t="s">
        <v>88</v>
      </c>
      <c r="B56" s="2" t="n">
        <v>6055</v>
      </c>
      <c r="C56" s="2" t="s">
        <v>89</v>
      </c>
      <c r="D56" s="2" t="s">
        <v>68</v>
      </c>
      <c r="E56" s="2" t="str">
        <f aca="false">_xlfn.CONCAT(D56,"-",B56)</f>
        <v>CE - OL 002-6055</v>
      </c>
      <c r="F56" s="2" t="n">
        <v>99</v>
      </c>
      <c r="G56" s="2" t="n">
        <v>1231.83</v>
      </c>
    </row>
    <row r="57" customFormat="false" ht="13.8" hidden="false" customHeight="false" outlineLevel="0" collapsed="false">
      <c r="A57" s="2" t="s">
        <v>88</v>
      </c>
      <c r="B57" s="2" t="n">
        <v>6055</v>
      </c>
      <c r="C57" s="2" t="s">
        <v>89</v>
      </c>
      <c r="D57" s="2" t="s">
        <v>67</v>
      </c>
      <c r="E57" s="2" t="str">
        <f aca="false">_xlfn.CONCAT(D57,"-",B57)</f>
        <v>CE - EUROFARMA G7-6055</v>
      </c>
      <c r="F57" s="2" t="n">
        <v>891</v>
      </c>
      <c r="G57" s="2" t="n">
        <v>9108.57</v>
      </c>
    </row>
    <row r="58" customFormat="false" ht="13.8" hidden="false" customHeight="false" outlineLevel="0" collapsed="false">
      <c r="A58" s="2" t="s">
        <v>91</v>
      </c>
      <c r="B58" s="2" t="n">
        <v>22197</v>
      </c>
      <c r="C58" s="2" t="s">
        <v>92</v>
      </c>
      <c r="D58" s="2" t="s">
        <v>64</v>
      </c>
      <c r="E58" s="2" t="str">
        <f aca="false">_xlfn.CONCAT(D58,"-",B58)</f>
        <v>CE - 0000-22197</v>
      </c>
      <c r="F58" s="2" t="n">
        <v>823</v>
      </c>
      <c r="G58" s="2" t="n">
        <v>4377.91</v>
      </c>
    </row>
    <row r="59" customFormat="false" ht="13.8" hidden="false" customHeight="false" outlineLevel="0" collapsed="false">
      <c r="A59" s="2" t="s">
        <v>91</v>
      </c>
      <c r="B59" s="2" t="n">
        <v>22197</v>
      </c>
      <c r="C59" s="2" t="s">
        <v>92</v>
      </c>
      <c r="D59" s="2" t="s">
        <v>67</v>
      </c>
      <c r="E59" s="2" t="str">
        <f aca="false">_xlfn.CONCAT(D59,"-",B59)</f>
        <v>CE - EUROFARMA G7-22197</v>
      </c>
      <c r="F59" s="2" t="n">
        <v>137</v>
      </c>
      <c r="G59" s="2" t="n">
        <v>757.13</v>
      </c>
    </row>
    <row r="60" customFormat="false" ht="13.8" hidden="false" customHeight="false" outlineLevel="0" collapsed="false">
      <c r="A60" s="2" t="s">
        <v>93</v>
      </c>
      <c r="B60" s="2" t="n">
        <v>10789</v>
      </c>
      <c r="C60" s="2" t="s">
        <v>92</v>
      </c>
      <c r="D60" s="2" t="s">
        <v>64</v>
      </c>
      <c r="E60" s="2" t="str">
        <f aca="false">_xlfn.CONCAT(D60,"-",B60)</f>
        <v>CE - 0000-10789</v>
      </c>
      <c r="F60" s="2" t="n">
        <v>535</v>
      </c>
      <c r="G60" s="2" t="n">
        <v>2765.41</v>
      </c>
    </row>
    <row r="61" customFormat="false" ht="13.8" hidden="false" customHeight="false" outlineLevel="0" collapsed="false">
      <c r="A61" s="2" t="s">
        <v>91</v>
      </c>
      <c r="B61" s="2" t="n">
        <v>22197</v>
      </c>
      <c r="C61" s="2" t="s">
        <v>92</v>
      </c>
      <c r="D61" s="2" t="s">
        <v>66</v>
      </c>
      <c r="E61" s="2" t="str">
        <f aca="false">_xlfn.CONCAT(D61,"-",B61)</f>
        <v>CE - OL 001-22197</v>
      </c>
      <c r="F61" s="2" t="n">
        <v>111</v>
      </c>
      <c r="G61" s="2" t="n">
        <v>652.99</v>
      </c>
    </row>
    <row r="62" customFormat="false" ht="13.8" hidden="false" customHeight="false" outlineLevel="0" collapsed="false">
      <c r="A62" s="2" t="s">
        <v>91</v>
      </c>
      <c r="B62" s="2" t="n">
        <v>22197</v>
      </c>
      <c r="C62" s="2" t="s">
        <v>92</v>
      </c>
      <c r="D62" s="2" t="s">
        <v>65</v>
      </c>
      <c r="E62" s="2" t="str">
        <f aca="false">_xlfn.CONCAT(D62,"-",B62)</f>
        <v>CE - EURO X AUGEFARMA-22197</v>
      </c>
      <c r="F62" s="2" t="n">
        <v>158</v>
      </c>
      <c r="G62" s="2" t="n">
        <v>510.96</v>
      </c>
    </row>
    <row r="63" customFormat="false" ht="13.8" hidden="false" customHeight="false" outlineLevel="0" collapsed="false">
      <c r="A63" s="2" t="s">
        <v>91</v>
      </c>
      <c r="B63" s="2" t="n">
        <v>22197</v>
      </c>
      <c r="C63" s="2" t="s">
        <v>92</v>
      </c>
      <c r="D63" s="2" t="s">
        <v>68</v>
      </c>
      <c r="E63" s="2" t="str">
        <f aca="false">_xlfn.CONCAT(D63,"-",B63)</f>
        <v>CE - OL 002-22197</v>
      </c>
      <c r="F63" s="2" t="n">
        <v>10</v>
      </c>
      <c r="G63" s="2" t="n">
        <v>59.14</v>
      </c>
    </row>
    <row r="64" customFormat="false" ht="13.8" hidden="false" customHeight="false" outlineLevel="0" collapsed="false">
      <c r="A64" s="2" t="s">
        <v>93</v>
      </c>
      <c r="B64" s="2" t="n">
        <v>10789</v>
      </c>
      <c r="C64" s="2" t="s">
        <v>92</v>
      </c>
      <c r="D64" s="2" t="s">
        <v>66</v>
      </c>
      <c r="E64" s="2" t="str">
        <f aca="false">_xlfn.CONCAT(D64,"-",B64)</f>
        <v>CE - OL 001-10789</v>
      </c>
      <c r="F64" s="2" t="n">
        <v>65</v>
      </c>
      <c r="G64" s="2" t="n">
        <v>357.13</v>
      </c>
    </row>
    <row r="65" customFormat="false" ht="13.8" hidden="false" customHeight="false" outlineLevel="0" collapsed="false">
      <c r="A65" s="2" t="s">
        <v>94</v>
      </c>
      <c r="B65" s="2" t="n">
        <v>22198</v>
      </c>
      <c r="C65" s="2" t="s">
        <v>95</v>
      </c>
      <c r="D65" s="2" t="s">
        <v>64</v>
      </c>
      <c r="E65" s="2" t="str">
        <f aca="false">_xlfn.CONCAT(D65,"-",B65)</f>
        <v>CE - 0000-22198</v>
      </c>
      <c r="F65" s="2" t="n">
        <v>483</v>
      </c>
      <c r="G65" s="2" t="n">
        <v>3674.65</v>
      </c>
    </row>
    <row r="66" customFormat="false" ht="13.8" hidden="false" customHeight="false" outlineLevel="0" collapsed="false">
      <c r="A66" s="2" t="s">
        <v>94</v>
      </c>
      <c r="B66" s="2" t="n">
        <v>22198</v>
      </c>
      <c r="C66" s="2" t="s">
        <v>95</v>
      </c>
      <c r="D66" s="2" t="s">
        <v>65</v>
      </c>
      <c r="E66" s="2" t="str">
        <f aca="false">_xlfn.CONCAT(D66,"-",B66)</f>
        <v>CE - EURO X AUGEFARMA-22198</v>
      </c>
      <c r="F66" s="2" t="n">
        <v>198</v>
      </c>
      <c r="G66" s="2" t="n">
        <v>955.88</v>
      </c>
    </row>
    <row r="67" customFormat="false" ht="13.8" hidden="false" customHeight="false" outlineLevel="0" collapsed="false">
      <c r="A67" s="2" t="s">
        <v>94</v>
      </c>
      <c r="B67" s="2" t="n">
        <v>22198</v>
      </c>
      <c r="C67" s="2" t="s">
        <v>95</v>
      </c>
      <c r="D67" s="2" t="s">
        <v>67</v>
      </c>
      <c r="E67" s="2" t="str">
        <f aca="false">_xlfn.CONCAT(D67,"-",B67)</f>
        <v>CE - EUROFARMA G7-22198</v>
      </c>
      <c r="F67" s="2" t="n">
        <v>108</v>
      </c>
      <c r="G67" s="2" t="n">
        <v>867.53</v>
      </c>
    </row>
    <row r="68" customFormat="false" ht="13.8" hidden="false" customHeight="false" outlineLevel="0" collapsed="false">
      <c r="A68" s="2" t="s">
        <v>94</v>
      </c>
      <c r="B68" s="2" t="n">
        <v>22198</v>
      </c>
      <c r="C68" s="2" t="s">
        <v>95</v>
      </c>
      <c r="D68" s="2" t="s">
        <v>66</v>
      </c>
      <c r="E68" s="2" t="str">
        <f aca="false">_xlfn.CONCAT(D68,"-",B68)</f>
        <v>CE - OL 001-22198</v>
      </c>
      <c r="F68" s="2" t="n">
        <v>21</v>
      </c>
      <c r="G68" s="2" t="n">
        <v>174.81</v>
      </c>
    </row>
    <row r="69" customFormat="false" ht="13.8" hidden="false" customHeight="false" outlineLevel="0" collapsed="false">
      <c r="A69" s="2" t="s">
        <v>96</v>
      </c>
      <c r="B69" s="2" t="n">
        <v>10790</v>
      </c>
      <c r="C69" s="2" t="s">
        <v>97</v>
      </c>
      <c r="D69" s="2" t="s">
        <v>64</v>
      </c>
      <c r="E69" s="2" t="str">
        <f aca="false">_xlfn.CONCAT(D69,"-",B69)</f>
        <v>CE - 0000-10790</v>
      </c>
      <c r="F69" s="2" t="n">
        <v>228</v>
      </c>
      <c r="G69" s="2" t="n">
        <v>913.76</v>
      </c>
    </row>
    <row r="70" customFormat="false" ht="13.8" hidden="false" customHeight="false" outlineLevel="0" collapsed="false">
      <c r="A70" s="2" t="s">
        <v>96</v>
      </c>
      <c r="B70" s="2" t="n">
        <v>10790</v>
      </c>
      <c r="C70" s="2" t="s">
        <v>97</v>
      </c>
      <c r="D70" s="2" t="s">
        <v>66</v>
      </c>
      <c r="E70" s="2" t="str">
        <f aca="false">_xlfn.CONCAT(D70,"-",B70)</f>
        <v>CE - OL 001-10790</v>
      </c>
      <c r="F70" s="2" t="n">
        <v>11</v>
      </c>
      <c r="G70" s="2" t="n">
        <v>42.1</v>
      </c>
    </row>
    <row r="71" customFormat="false" ht="13.8" hidden="false" customHeight="false" outlineLevel="0" collapsed="false">
      <c r="A71" s="2" t="s">
        <v>98</v>
      </c>
      <c r="B71" s="2" t="n">
        <v>1056</v>
      </c>
      <c r="C71" s="2" t="s">
        <v>99</v>
      </c>
      <c r="D71" s="2" t="s">
        <v>66</v>
      </c>
      <c r="E71" s="2" t="str">
        <f aca="false">_xlfn.CONCAT(D71,"-",B71)</f>
        <v>CE - OL 001-1056</v>
      </c>
      <c r="F71" s="2" t="n">
        <v>20499</v>
      </c>
      <c r="G71" s="2" t="n">
        <v>368308.61</v>
      </c>
    </row>
    <row r="72" customFormat="false" ht="13.8" hidden="false" customHeight="false" outlineLevel="0" collapsed="false">
      <c r="A72" s="2" t="s">
        <v>98</v>
      </c>
      <c r="B72" s="2" t="n">
        <v>1056</v>
      </c>
      <c r="C72" s="2" t="s">
        <v>99</v>
      </c>
      <c r="D72" s="2" t="s">
        <v>64</v>
      </c>
      <c r="E72" s="2" t="str">
        <f aca="false">_xlfn.CONCAT(D72,"-",B72)</f>
        <v>CE - 0000-1056</v>
      </c>
      <c r="F72" s="2" t="n">
        <v>45699</v>
      </c>
      <c r="G72" s="2" t="n">
        <v>729902.48</v>
      </c>
    </row>
    <row r="73" customFormat="false" ht="13.8" hidden="false" customHeight="false" outlineLevel="0" collapsed="false">
      <c r="A73" s="2" t="s">
        <v>98</v>
      </c>
      <c r="B73" s="2" t="n">
        <v>1056</v>
      </c>
      <c r="C73" s="2" t="s">
        <v>99</v>
      </c>
      <c r="D73" s="2" t="s">
        <v>69</v>
      </c>
      <c r="E73" s="2" t="str">
        <f aca="false">_xlfn.CONCAT(D73,"-",B73)</f>
        <v>CE - EUROFARMA 6%-1056</v>
      </c>
      <c r="F73" s="2" t="n">
        <v>524</v>
      </c>
      <c r="G73" s="2" t="n">
        <v>9296.73</v>
      </c>
    </row>
    <row r="74" customFormat="false" ht="13.8" hidden="false" customHeight="false" outlineLevel="0" collapsed="false">
      <c r="A74" s="2" t="s">
        <v>98</v>
      </c>
      <c r="B74" s="2" t="n">
        <v>1056</v>
      </c>
      <c r="C74" s="2" t="s">
        <v>99</v>
      </c>
      <c r="D74" s="2" t="s">
        <v>65</v>
      </c>
      <c r="E74" s="2" t="str">
        <f aca="false">_xlfn.CONCAT(D74,"-",B74)</f>
        <v>CE - EURO X AUGEFARMA-1056</v>
      </c>
      <c r="F74" s="2" t="n">
        <v>357</v>
      </c>
      <c r="G74" s="2" t="n">
        <v>4800.14</v>
      </c>
    </row>
    <row r="75" customFormat="false" ht="13.8" hidden="false" customHeight="false" outlineLevel="0" collapsed="false">
      <c r="A75" s="2" t="s">
        <v>98</v>
      </c>
      <c r="B75" s="2" t="n">
        <v>1056</v>
      </c>
      <c r="C75" s="2" t="s">
        <v>99</v>
      </c>
      <c r="D75" s="2" t="s">
        <v>68</v>
      </c>
      <c r="E75" s="2" t="str">
        <f aca="false">_xlfn.CONCAT(D75,"-",B75)</f>
        <v>CE - OL 002-1056</v>
      </c>
      <c r="F75" s="2" t="n">
        <v>488</v>
      </c>
      <c r="G75" s="2" t="n">
        <v>8180.94</v>
      </c>
    </row>
    <row r="76" customFormat="false" ht="13.8" hidden="false" customHeight="false" outlineLevel="0" collapsed="false">
      <c r="A76" s="2" t="s">
        <v>98</v>
      </c>
      <c r="B76" s="2" t="n">
        <v>1056</v>
      </c>
      <c r="C76" s="2" t="s">
        <v>99</v>
      </c>
      <c r="D76" s="2" t="s">
        <v>67</v>
      </c>
      <c r="E76" s="2" t="str">
        <f aca="false">_xlfn.CONCAT(D76,"-",B76)</f>
        <v>CE - EUROFARMA G7-1056</v>
      </c>
      <c r="F76" s="2" t="n">
        <v>11577</v>
      </c>
      <c r="G76" s="2" t="n">
        <v>194719.35</v>
      </c>
    </row>
    <row r="77" customFormat="false" ht="13.8" hidden="false" customHeight="false" outlineLevel="0" collapsed="false">
      <c r="A77" s="2" t="s">
        <v>100</v>
      </c>
      <c r="B77" s="2" t="n">
        <v>6943</v>
      </c>
      <c r="C77" s="2" t="s">
        <v>101</v>
      </c>
      <c r="D77" s="2" t="s">
        <v>68</v>
      </c>
      <c r="E77" s="2" t="str">
        <f aca="false">_xlfn.CONCAT(D77,"-",B77)</f>
        <v>CE - OL 002-6943</v>
      </c>
      <c r="F77" s="2" t="n">
        <v>77</v>
      </c>
      <c r="G77" s="2" t="n">
        <v>1646.3</v>
      </c>
    </row>
    <row r="78" customFormat="false" ht="13.8" hidden="false" customHeight="false" outlineLevel="0" collapsed="false">
      <c r="A78" s="2" t="s">
        <v>100</v>
      </c>
      <c r="B78" s="2" t="n">
        <v>6943</v>
      </c>
      <c r="C78" s="2" t="s">
        <v>101</v>
      </c>
      <c r="D78" s="2" t="s">
        <v>67</v>
      </c>
      <c r="E78" s="2" t="str">
        <f aca="false">_xlfn.CONCAT(D78,"-",B78)</f>
        <v>CE - EUROFARMA G7-6943</v>
      </c>
      <c r="F78" s="2" t="n">
        <v>494</v>
      </c>
      <c r="G78" s="2" t="n">
        <v>9899.3</v>
      </c>
    </row>
    <row r="79" customFormat="false" ht="13.8" hidden="false" customHeight="false" outlineLevel="0" collapsed="false">
      <c r="A79" s="2" t="s">
        <v>100</v>
      </c>
      <c r="B79" s="2" t="n">
        <v>6943</v>
      </c>
      <c r="C79" s="2" t="s">
        <v>101</v>
      </c>
      <c r="D79" s="2" t="s">
        <v>65</v>
      </c>
      <c r="E79" s="2" t="str">
        <f aca="false">_xlfn.CONCAT(D79,"-",B79)</f>
        <v>CE - EURO X AUGEFARMA-6943</v>
      </c>
      <c r="F79" s="2" t="n">
        <v>52</v>
      </c>
      <c r="G79" s="2" t="n">
        <v>907.97</v>
      </c>
    </row>
    <row r="80" customFormat="false" ht="13.8" hidden="false" customHeight="false" outlineLevel="0" collapsed="false">
      <c r="A80" s="2" t="s">
        <v>100</v>
      </c>
      <c r="B80" s="2" t="n">
        <v>6943</v>
      </c>
      <c r="C80" s="2" t="s">
        <v>101</v>
      </c>
      <c r="D80" s="2" t="s">
        <v>66</v>
      </c>
      <c r="E80" s="2" t="str">
        <f aca="false">_xlfn.CONCAT(D80,"-",B80)</f>
        <v>CE - OL 001-6943</v>
      </c>
      <c r="F80" s="2" t="n">
        <v>282</v>
      </c>
      <c r="G80" s="2" t="n">
        <v>6017.5</v>
      </c>
    </row>
    <row r="81" customFormat="false" ht="13.8" hidden="false" customHeight="false" outlineLevel="0" collapsed="false">
      <c r="A81" s="2" t="s">
        <v>100</v>
      </c>
      <c r="B81" s="2" t="n">
        <v>6943</v>
      </c>
      <c r="C81" s="2" t="s">
        <v>101</v>
      </c>
      <c r="D81" s="2" t="s">
        <v>64</v>
      </c>
      <c r="E81" s="2" t="str">
        <f aca="false">_xlfn.CONCAT(D81,"-",B81)</f>
        <v>CE - 0000-6943</v>
      </c>
      <c r="F81" s="2" t="n">
        <v>1915</v>
      </c>
      <c r="G81" s="2" t="n">
        <v>37011.76</v>
      </c>
    </row>
    <row r="82" customFormat="false" ht="13.8" hidden="false" customHeight="false" outlineLevel="0" collapsed="false">
      <c r="A82" s="2" t="s">
        <v>102</v>
      </c>
      <c r="B82" s="2" t="n">
        <v>1052</v>
      </c>
      <c r="C82" s="2" t="s">
        <v>103</v>
      </c>
      <c r="D82" s="2" t="s">
        <v>66</v>
      </c>
      <c r="E82" s="2" t="str">
        <f aca="false">_xlfn.CONCAT(D82,"-",B82)</f>
        <v>CE - OL 001-1052</v>
      </c>
      <c r="F82" s="2" t="n">
        <v>344</v>
      </c>
      <c r="G82" s="2" t="n">
        <v>7007.47</v>
      </c>
    </row>
    <row r="83" customFormat="false" ht="13.8" hidden="false" customHeight="false" outlineLevel="0" collapsed="false">
      <c r="A83" s="2" t="s">
        <v>102</v>
      </c>
      <c r="B83" s="2" t="n">
        <v>1052</v>
      </c>
      <c r="C83" s="2" t="s">
        <v>103</v>
      </c>
      <c r="D83" s="2" t="s">
        <v>67</v>
      </c>
      <c r="E83" s="2" t="str">
        <f aca="false">_xlfn.CONCAT(D83,"-",B83)</f>
        <v>CE - EUROFARMA G7-1052</v>
      </c>
      <c r="F83" s="2" t="n">
        <v>211</v>
      </c>
      <c r="G83" s="2" t="n">
        <v>4377.7</v>
      </c>
    </row>
    <row r="84" customFormat="false" ht="13.8" hidden="false" customHeight="false" outlineLevel="0" collapsed="false">
      <c r="A84" s="2" t="s">
        <v>102</v>
      </c>
      <c r="B84" s="2" t="n">
        <v>1052</v>
      </c>
      <c r="C84" s="2" t="s">
        <v>103</v>
      </c>
      <c r="D84" s="2" t="s">
        <v>65</v>
      </c>
      <c r="E84" s="2" t="str">
        <f aca="false">_xlfn.CONCAT(D84,"-",B84)</f>
        <v>CE - EURO X AUGEFARMA-1052</v>
      </c>
      <c r="F84" s="2" t="n">
        <v>75</v>
      </c>
      <c r="G84" s="2" t="n">
        <v>1396.45</v>
      </c>
    </row>
    <row r="85" customFormat="false" ht="13.8" hidden="false" customHeight="false" outlineLevel="0" collapsed="false">
      <c r="A85" s="2" t="s">
        <v>102</v>
      </c>
      <c r="B85" s="2" t="n">
        <v>1052</v>
      </c>
      <c r="C85" s="2" t="s">
        <v>103</v>
      </c>
      <c r="D85" s="2" t="s">
        <v>64</v>
      </c>
      <c r="E85" s="2" t="str">
        <f aca="false">_xlfn.CONCAT(D85,"-",B85)</f>
        <v>CE - 0000-1052</v>
      </c>
      <c r="F85" s="2" t="n">
        <v>1392</v>
      </c>
      <c r="G85" s="2" t="n">
        <v>27496.22</v>
      </c>
    </row>
    <row r="86" customFormat="false" ht="13.8" hidden="false" customHeight="false" outlineLevel="0" collapsed="false">
      <c r="A86" s="2" t="s">
        <v>102</v>
      </c>
      <c r="B86" s="2" t="n">
        <v>1052</v>
      </c>
      <c r="C86" s="2" t="s">
        <v>103</v>
      </c>
      <c r="D86" s="2" t="s">
        <v>69</v>
      </c>
      <c r="E86" s="2" t="str">
        <f aca="false">_xlfn.CONCAT(D86,"-",B86)</f>
        <v>CE - EUROFARMA 6%-1052</v>
      </c>
      <c r="F86" s="2" t="n">
        <v>22</v>
      </c>
      <c r="G86" s="2" t="n">
        <v>427.03</v>
      </c>
    </row>
    <row r="87" customFormat="false" ht="13.8" hidden="false" customHeight="false" outlineLevel="0" collapsed="false">
      <c r="A87" s="2" t="s">
        <v>104</v>
      </c>
      <c r="B87" s="2" t="n">
        <v>1057</v>
      </c>
      <c r="C87" s="2" t="s">
        <v>105</v>
      </c>
      <c r="D87" s="2" t="s">
        <v>64</v>
      </c>
      <c r="E87" s="2" t="str">
        <f aca="false">_xlfn.CONCAT(D87,"-",B87)</f>
        <v>CE - 0000-1057</v>
      </c>
      <c r="F87" s="2" t="n">
        <v>414</v>
      </c>
      <c r="G87" s="2" t="n">
        <v>9695.53</v>
      </c>
    </row>
    <row r="88" customFormat="false" ht="13.8" hidden="false" customHeight="false" outlineLevel="0" collapsed="false">
      <c r="A88" s="2" t="s">
        <v>104</v>
      </c>
      <c r="B88" s="2" t="n">
        <v>1057</v>
      </c>
      <c r="C88" s="2" t="s">
        <v>105</v>
      </c>
      <c r="D88" s="2" t="s">
        <v>69</v>
      </c>
      <c r="E88" s="2" t="str">
        <f aca="false">_xlfn.CONCAT(D88,"-",B88)</f>
        <v>CE - EUROFARMA 6%-1057</v>
      </c>
      <c r="F88" s="2" t="n">
        <v>9</v>
      </c>
      <c r="G88" s="2" t="n">
        <v>220.63</v>
      </c>
    </row>
    <row r="89" customFormat="false" ht="13.8" hidden="false" customHeight="false" outlineLevel="0" collapsed="false">
      <c r="A89" s="2" t="s">
        <v>104</v>
      </c>
      <c r="B89" s="2" t="n">
        <v>1057</v>
      </c>
      <c r="C89" s="2" t="s">
        <v>105</v>
      </c>
      <c r="D89" s="2" t="s">
        <v>65</v>
      </c>
      <c r="E89" s="2" t="str">
        <f aca="false">_xlfn.CONCAT(D89,"-",B89)</f>
        <v>CE - EURO X AUGEFARMA-1057</v>
      </c>
      <c r="F89" s="2" t="n">
        <v>13</v>
      </c>
      <c r="G89" s="2" t="n">
        <v>273.12</v>
      </c>
    </row>
    <row r="90" customFormat="false" ht="13.8" hidden="false" customHeight="false" outlineLevel="0" collapsed="false">
      <c r="A90" s="2" t="s">
        <v>104</v>
      </c>
      <c r="B90" s="2" t="n">
        <v>1057</v>
      </c>
      <c r="C90" s="2" t="s">
        <v>105</v>
      </c>
      <c r="D90" s="2" t="s">
        <v>67</v>
      </c>
      <c r="E90" s="2" t="str">
        <f aca="false">_xlfn.CONCAT(D90,"-",B90)</f>
        <v>CE - EUROFARMA G7-1057</v>
      </c>
      <c r="F90" s="2" t="n">
        <v>29</v>
      </c>
      <c r="G90" s="2" t="n">
        <v>731.93</v>
      </c>
    </row>
    <row r="91" customFormat="false" ht="13.8" hidden="false" customHeight="false" outlineLevel="0" collapsed="false">
      <c r="A91" s="2" t="s">
        <v>104</v>
      </c>
      <c r="B91" s="2" t="n">
        <v>1057</v>
      </c>
      <c r="C91" s="2" t="s">
        <v>105</v>
      </c>
      <c r="D91" s="2" t="s">
        <v>68</v>
      </c>
      <c r="E91" s="2" t="str">
        <f aca="false">_xlfn.CONCAT(D91,"-",B91)</f>
        <v>CE - OL 002-1057</v>
      </c>
      <c r="F91" s="2" t="n">
        <v>4</v>
      </c>
      <c r="G91" s="2" t="n">
        <v>105.87</v>
      </c>
    </row>
    <row r="92" customFormat="false" ht="13.8" hidden="false" customHeight="false" outlineLevel="0" collapsed="false">
      <c r="A92" s="2" t="s">
        <v>104</v>
      </c>
      <c r="B92" s="2" t="n">
        <v>1057</v>
      </c>
      <c r="C92" s="2" t="s">
        <v>105</v>
      </c>
      <c r="D92" s="2" t="s">
        <v>66</v>
      </c>
      <c r="E92" s="2" t="str">
        <f aca="false">_xlfn.CONCAT(D92,"-",B92)</f>
        <v>CE - OL 001-1057</v>
      </c>
      <c r="F92" s="2" t="n">
        <v>35</v>
      </c>
      <c r="G92" s="2" t="n">
        <v>891.47</v>
      </c>
    </row>
    <row r="93" customFormat="false" ht="13.8" hidden="false" customHeight="false" outlineLevel="0" collapsed="false">
      <c r="A93" s="2" t="s">
        <v>106</v>
      </c>
      <c r="B93" s="2" t="n">
        <v>8416</v>
      </c>
      <c r="C93" s="2" t="s">
        <v>107</v>
      </c>
      <c r="D93" s="2" t="s">
        <v>67</v>
      </c>
      <c r="E93" s="2" t="str">
        <f aca="false">_xlfn.CONCAT(D93,"-",B93)</f>
        <v>CE - EUROFARMA G7-8416</v>
      </c>
      <c r="F93" s="2" t="n">
        <v>509</v>
      </c>
      <c r="G93" s="2" t="n">
        <v>16075.86</v>
      </c>
    </row>
    <row r="94" customFormat="false" ht="13.8" hidden="false" customHeight="false" outlineLevel="0" collapsed="false">
      <c r="A94" s="2" t="s">
        <v>106</v>
      </c>
      <c r="B94" s="2" t="n">
        <v>8416</v>
      </c>
      <c r="C94" s="2" t="s">
        <v>107</v>
      </c>
      <c r="D94" s="2" t="s">
        <v>68</v>
      </c>
      <c r="E94" s="2" t="str">
        <f aca="false">_xlfn.CONCAT(D94,"-",B94)</f>
        <v>CE - OL 002-8416</v>
      </c>
      <c r="F94" s="2" t="n">
        <v>5</v>
      </c>
      <c r="G94" s="2" t="n">
        <v>454.73</v>
      </c>
    </row>
    <row r="95" customFormat="false" ht="13.8" hidden="false" customHeight="false" outlineLevel="0" collapsed="false">
      <c r="A95" s="2" t="s">
        <v>106</v>
      </c>
      <c r="B95" s="2" t="n">
        <v>8416</v>
      </c>
      <c r="C95" s="2" t="s">
        <v>107</v>
      </c>
      <c r="D95" s="2" t="s">
        <v>64</v>
      </c>
      <c r="E95" s="2" t="str">
        <f aca="false">_xlfn.CONCAT(D95,"-",B95)</f>
        <v>CE - 0000-8416</v>
      </c>
      <c r="F95" s="2" t="n">
        <v>12827</v>
      </c>
      <c r="G95" s="2" t="n">
        <v>352816.12</v>
      </c>
    </row>
    <row r="96" customFormat="false" ht="13.8" hidden="false" customHeight="false" outlineLevel="0" collapsed="false">
      <c r="A96" s="2" t="s">
        <v>106</v>
      </c>
      <c r="B96" s="2" t="n">
        <v>8416</v>
      </c>
      <c r="C96" s="2" t="s">
        <v>107</v>
      </c>
      <c r="D96" s="2" t="s">
        <v>69</v>
      </c>
      <c r="E96" s="2" t="str">
        <f aca="false">_xlfn.CONCAT(D96,"-",B96)</f>
        <v>CE - EUROFARMA 6%-8416</v>
      </c>
      <c r="F96" s="2" t="n">
        <v>71</v>
      </c>
      <c r="G96" s="2" t="n">
        <v>2255.8</v>
      </c>
    </row>
    <row r="97" customFormat="false" ht="13.8" hidden="false" customHeight="false" outlineLevel="0" collapsed="false">
      <c r="A97" s="2" t="s">
        <v>106</v>
      </c>
      <c r="B97" s="2" t="n">
        <v>8416</v>
      </c>
      <c r="C97" s="2" t="s">
        <v>107</v>
      </c>
      <c r="D97" s="2" t="s">
        <v>66</v>
      </c>
      <c r="E97" s="2" t="str">
        <f aca="false">_xlfn.CONCAT(D97,"-",B97)</f>
        <v>CE - OL 001-8416</v>
      </c>
      <c r="F97" s="2" t="n">
        <v>2554</v>
      </c>
      <c r="G97" s="2" t="n">
        <v>74792.14</v>
      </c>
    </row>
    <row r="98" customFormat="false" ht="13.8" hidden="false" customHeight="false" outlineLevel="0" collapsed="false">
      <c r="A98" s="2" t="s">
        <v>108</v>
      </c>
      <c r="B98" s="2" t="n">
        <v>6056</v>
      </c>
      <c r="C98" s="2" t="s">
        <v>109</v>
      </c>
      <c r="D98" s="2" t="s">
        <v>66</v>
      </c>
      <c r="E98" s="2" t="str">
        <f aca="false">_xlfn.CONCAT(D98,"-",B98)</f>
        <v>CE - OL 001-6056</v>
      </c>
      <c r="F98" s="2" t="n">
        <v>2766</v>
      </c>
      <c r="G98" s="2" t="n">
        <v>135625.09</v>
      </c>
    </row>
    <row r="99" customFormat="false" ht="13.8" hidden="false" customHeight="false" outlineLevel="0" collapsed="false">
      <c r="A99" s="2" t="s">
        <v>108</v>
      </c>
      <c r="B99" s="2" t="n">
        <v>6056</v>
      </c>
      <c r="C99" s="2" t="s">
        <v>109</v>
      </c>
      <c r="D99" s="2" t="s">
        <v>64</v>
      </c>
      <c r="E99" s="2" t="str">
        <f aca="false">_xlfn.CONCAT(D99,"-",B99)</f>
        <v>CE - 0000-6056</v>
      </c>
      <c r="F99" s="2" t="n">
        <v>9566</v>
      </c>
      <c r="G99" s="2" t="n">
        <v>459954.58</v>
      </c>
    </row>
    <row r="100" customFormat="false" ht="13.8" hidden="false" customHeight="false" outlineLevel="0" collapsed="false">
      <c r="A100" s="2" t="s">
        <v>108</v>
      </c>
      <c r="B100" s="2" t="n">
        <v>6056</v>
      </c>
      <c r="C100" s="2" t="s">
        <v>109</v>
      </c>
      <c r="D100" s="2" t="s">
        <v>67</v>
      </c>
      <c r="E100" s="2" t="str">
        <f aca="false">_xlfn.CONCAT(D100,"-",B100)</f>
        <v>CE - EUROFARMA G7-6056</v>
      </c>
      <c r="F100" s="2" t="n">
        <v>2244</v>
      </c>
      <c r="G100" s="2" t="n">
        <v>128672.52</v>
      </c>
    </row>
    <row r="101" customFormat="false" ht="13.8" hidden="false" customHeight="false" outlineLevel="0" collapsed="false">
      <c r="A101" s="2" t="s">
        <v>108</v>
      </c>
      <c r="B101" s="2" t="n">
        <v>6056</v>
      </c>
      <c r="C101" s="2" t="s">
        <v>109</v>
      </c>
      <c r="D101" s="2" t="s">
        <v>65</v>
      </c>
      <c r="E101" s="2" t="str">
        <f aca="false">_xlfn.CONCAT(D101,"-",B101)</f>
        <v>CE - EURO X AUGEFARMA-6056</v>
      </c>
      <c r="F101" s="2" t="n">
        <v>224</v>
      </c>
      <c r="G101" s="2" t="n">
        <v>11580.29</v>
      </c>
    </row>
    <row r="102" customFormat="false" ht="13.8" hidden="false" customHeight="false" outlineLevel="0" collapsed="false">
      <c r="A102" s="2" t="s">
        <v>108</v>
      </c>
      <c r="B102" s="2" t="n">
        <v>6056</v>
      </c>
      <c r="C102" s="2" t="s">
        <v>109</v>
      </c>
      <c r="D102" s="2" t="s">
        <v>68</v>
      </c>
      <c r="E102" s="2" t="str">
        <f aca="false">_xlfn.CONCAT(D102,"-",B102)</f>
        <v>CE - OL 002-6056</v>
      </c>
      <c r="F102" s="2" t="n">
        <v>19</v>
      </c>
      <c r="G102" s="2" t="n">
        <v>1495.18</v>
      </c>
    </row>
    <row r="103" customFormat="false" ht="13.8" hidden="false" customHeight="false" outlineLevel="0" collapsed="false">
      <c r="A103" s="2" t="s">
        <v>110</v>
      </c>
      <c r="B103" s="2" t="n">
        <v>12513</v>
      </c>
      <c r="C103" s="2" t="s">
        <v>111</v>
      </c>
      <c r="D103" s="2" t="s">
        <v>68</v>
      </c>
      <c r="E103" s="2" t="str">
        <f aca="false">_xlfn.CONCAT(D103,"-",B103)</f>
        <v>CE - OL 002-12513</v>
      </c>
      <c r="F103" s="2" t="n">
        <v>6</v>
      </c>
      <c r="G103" s="2" t="n">
        <v>724.55</v>
      </c>
    </row>
    <row r="104" customFormat="false" ht="13.8" hidden="false" customHeight="false" outlineLevel="0" collapsed="false">
      <c r="A104" s="2" t="s">
        <v>110</v>
      </c>
      <c r="B104" s="2" t="n">
        <v>12513</v>
      </c>
      <c r="C104" s="2" t="s">
        <v>111</v>
      </c>
      <c r="D104" s="2" t="s">
        <v>66</v>
      </c>
      <c r="E104" s="2" t="str">
        <f aca="false">_xlfn.CONCAT(D104,"-",B104)</f>
        <v>CE - OL 001-12513</v>
      </c>
      <c r="F104" s="2" t="n">
        <v>19</v>
      </c>
      <c r="G104" s="2" t="n">
        <v>1458.06</v>
      </c>
    </row>
    <row r="105" customFormat="false" ht="13.8" hidden="false" customHeight="false" outlineLevel="0" collapsed="false">
      <c r="A105" s="2" t="s">
        <v>110</v>
      </c>
      <c r="B105" s="2" t="n">
        <v>12513</v>
      </c>
      <c r="C105" s="2" t="s">
        <v>111</v>
      </c>
      <c r="D105" s="2" t="s">
        <v>65</v>
      </c>
      <c r="E105" s="2" t="str">
        <f aca="false">_xlfn.CONCAT(D105,"-",B105)</f>
        <v>CE - EURO X AUGEFARMA-12513</v>
      </c>
      <c r="F105" s="2" t="n">
        <v>30</v>
      </c>
      <c r="G105" s="2" t="n">
        <v>1934.95</v>
      </c>
    </row>
    <row r="106" customFormat="false" ht="13.8" hidden="false" customHeight="false" outlineLevel="0" collapsed="false">
      <c r="A106" s="2" t="s">
        <v>110</v>
      </c>
      <c r="B106" s="2" t="n">
        <v>12513</v>
      </c>
      <c r="C106" s="2" t="s">
        <v>111</v>
      </c>
      <c r="D106" s="2" t="s">
        <v>64</v>
      </c>
      <c r="E106" s="2" t="str">
        <f aca="false">_xlfn.CONCAT(D106,"-",B106)</f>
        <v>CE - 0000-12513</v>
      </c>
      <c r="F106" s="2" t="n">
        <v>546</v>
      </c>
      <c r="G106" s="2" t="n">
        <v>37894.05</v>
      </c>
    </row>
    <row r="107" customFormat="false" ht="13.8" hidden="false" customHeight="false" outlineLevel="0" collapsed="false">
      <c r="A107" s="2" t="s">
        <v>110</v>
      </c>
      <c r="B107" s="2" t="n">
        <v>12513</v>
      </c>
      <c r="C107" s="2" t="s">
        <v>111</v>
      </c>
      <c r="D107" s="2" t="s">
        <v>67</v>
      </c>
      <c r="E107" s="2" t="str">
        <f aca="false">_xlfn.CONCAT(D107,"-",B107)</f>
        <v>CE - EUROFARMA G7-12513</v>
      </c>
      <c r="F107" s="2" t="n">
        <v>29</v>
      </c>
      <c r="G107" s="2" t="n">
        <v>2313.99</v>
      </c>
    </row>
    <row r="108" customFormat="false" ht="13.8" hidden="false" customHeight="false" outlineLevel="0" collapsed="false">
      <c r="A108" s="2" t="s">
        <v>112</v>
      </c>
      <c r="B108" s="2" t="n">
        <v>5777</v>
      </c>
      <c r="C108" s="2" t="s">
        <v>113</v>
      </c>
      <c r="D108" s="2" t="s">
        <v>65</v>
      </c>
      <c r="E108" s="2" t="str">
        <f aca="false">_xlfn.CONCAT(D108,"-",B108)</f>
        <v>CE - EURO X AUGEFARMA-5777</v>
      </c>
      <c r="F108" s="2" t="n">
        <v>28</v>
      </c>
      <c r="G108" s="2" t="n">
        <v>179.63</v>
      </c>
    </row>
    <row r="109" customFormat="false" ht="13.8" hidden="false" customHeight="false" outlineLevel="0" collapsed="false">
      <c r="A109" s="2" t="s">
        <v>112</v>
      </c>
      <c r="B109" s="2" t="n">
        <v>5777</v>
      </c>
      <c r="C109" s="2" t="s">
        <v>113</v>
      </c>
      <c r="D109" s="2" t="s">
        <v>66</v>
      </c>
      <c r="E109" s="2" t="str">
        <f aca="false">_xlfn.CONCAT(D109,"-",B109)</f>
        <v>CE - OL 001-5777</v>
      </c>
      <c r="F109" s="2" t="n">
        <v>229</v>
      </c>
      <c r="G109" s="2" t="n">
        <v>2105.28</v>
      </c>
    </row>
    <row r="110" customFormat="false" ht="13.8" hidden="false" customHeight="false" outlineLevel="0" collapsed="false">
      <c r="A110" s="2" t="s">
        <v>112</v>
      </c>
      <c r="B110" s="2" t="n">
        <v>5777</v>
      </c>
      <c r="C110" s="2" t="s">
        <v>113</v>
      </c>
      <c r="D110" s="2" t="s">
        <v>67</v>
      </c>
      <c r="E110" s="2" t="str">
        <f aca="false">_xlfn.CONCAT(D110,"-",B110)</f>
        <v>CE - EUROFARMA G7-5777</v>
      </c>
      <c r="F110" s="2" t="n">
        <v>17</v>
      </c>
      <c r="G110" s="2" t="n">
        <v>151.27</v>
      </c>
    </row>
    <row r="111" customFormat="false" ht="13.8" hidden="false" customHeight="false" outlineLevel="0" collapsed="false">
      <c r="A111" s="2" t="s">
        <v>112</v>
      </c>
      <c r="B111" s="2" t="n">
        <v>5777</v>
      </c>
      <c r="C111" s="2" t="s">
        <v>113</v>
      </c>
      <c r="D111" s="2" t="s">
        <v>68</v>
      </c>
      <c r="E111" s="2" t="str">
        <f aca="false">_xlfn.CONCAT(D111,"-",B111)</f>
        <v>CE - OL 002-5777</v>
      </c>
      <c r="F111" s="2" t="n">
        <v>32</v>
      </c>
      <c r="G111" s="2" t="n">
        <v>301.58</v>
      </c>
    </row>
    <row r="112" customFormat="false" ht="13.8" hidden="false" customHeight="false" outlineLevel="0" collapsed="false">
      <c r="A112" s="2" t="s">
        <v>112</v>
      </c>
      <c r="B112" s="2" t="n">
        <v>5777</v>
      </c>
      <c r="C112" s="2" t="s">
        <v>113</v>
      </c>
      <c r="D112" s="2" t="s">
        <v>64</v>
      </c>
      <c r="E112" s="2" t="str">
        <f aca="false">_xlfn.CONCAT(D112,"-",B112)</f>
        <v>CE - 0000-5777</v>
      </c>
      <c r="F112" s="2" t="n">
        <v>417</v>
      </c>
      <c r="G112" s="2" t="n">
        <v>3428.31</v>
      </c>
    </row>
    <row r="113" customFormat="false" ht="13.8" hidden="false" customHeight="false" outlineLevel="0" collapsed="false">
      <c r="A113" s="2" t="s">
        <v>114</v>
      </c>
      <c r="B113" s="2" t="n">
        <v>5609</v>
      </c>
      <c r="C113" s="2" t="s">
        <v>115</v>
      </c>
      <c r="D113" s="2" t="s">
        <v>64</v>
      </c>
      <c r="E113" s="2" t="str">
        <f aca="false">_xlfn.CONCAT(D113,"-",B113)</f>
        <v>CE - 0000-5609</v>
      </c>
      <c r="F113" s="2" t="n">
        <v>732</v>
      </c>
      <c r="G113" s="2" t="n">
        <v>4070.15</v>
      </c>
    </row>
    <row r="114" customFormat="false" ht="13.8" hidden="false" customHeight="false" outlineLevel="0" collapsed="false">
      <c r="A114" s="2" t="s">
        <v>114</v>
      </c>
      <c r="B114" s="2" t="n">
        <v>5609</v>
      </c>
      <c r="C114" s="2" t="s">
        <v>115</v>
      </c>
      <c r="D114" s="2" t="s">
        <v>65</v>
      </c>
      <c r="E114" s="2" t="str">
        <f aca="false">_xlfn.CONCAT(D114,"-",B114)</f>
        <v>CE - EURO X AUGEFARMA-5609</v>
      </c>
      <c r="F114" s="2" t="n">
        <v>55</v>
      </c>
      <c r="G114" s="2" t="n">
        <v>233.76</v>
      </c>
    </row>
    <row r="115" customFormat="false" ht="13.8" hidden="false" customHeight="false" outlineLevel="0" collapsed="false">
      <c r="A115" s="2" t="s">
        <v>114</v>
      </c>
      <c r="B115" s="2" t="n">
        <v>5609</v>
      </c>
      <c r="C115" s="2" t="s">
        <v>115</v>
      </c>
      <c r="D115" s="2" t="s">
        <v>66</v>
      </c>
      <c r="E115" s="2" t="str">
        <f aca="false">_xlfn.CONCAT(D115,"-",B115)</f>
        <v>CE - OL 001-5609</v>
      </c>
      <c r="F115" s="2" t="n">
        <v>367</v>
      </c>
      <c r="G115" s="2" t="n">
        <v>2209.91</v>
      </c>
    </row>
    <row r="116" customFormat="false" ht="13.8" hidden="false" customHeight="false" outlineLevel="0" collapsed="false">
      <c r="A116" s="2" t="s">
        <v>114</v>
      </c>
      <c r="B116" s="2" t="n">
        <v>5609</v>
      </c>
      <c r="C116" s="2" t="s">
        <v>115</v>
      </c>
      <c r="D116" s="2" t="s">
        <v>68</v>
      </c>
      <c r="E116" s="2" t="str">
        <f aca="false">_xlfn.CONCAT(D116,"-",B116)</f>
        <v>CE - OL 002-5609</v>
      </c>
      <c r="F116" s="2" t="n">
        <v>39</v>
      </c>
      <c r="G116" s="2" t="n">
        <v>247.74</v>
      </c>
    </row>
    <row r="117" customFormat="false" ht="13.8" hidden="false" customHeight="false" outlineLevel="0" collapsed="false">
      <c r="A117" s="2" t="s">
        <v>114</v>
      </c>
      <c r="B117" s="2" t="n">
        <v>5609</v>
      </c>
      <c r="C117" s="2" t="s">
        <v>115</v>
      </c>
      <c r="D117" s="2" t="s">
        <v>67</v>
      </c>
      <c r="E117" s="2" t="str">
        <f aca="false">_xlfn.CONCAT(D117,"-",B117)</f>
        <v>CE - EUROFARMA G7-5609</v>
      </c>
      <c r="F117" s="2" t="n">
        <v>51</v>
      </c>
      <c r="G117" s="2" t="n">
        <v>300.8</v>
      </c>
    </row>
    <row r="118" customFormat="false" ht="13.8" hidden="false" customHeight="false" outlineLevel="0" collapsed="false">
      <c r="A118" s="2" t="s">
        <v>116</v>
      </c>
      <c r="B118" s="2" t="n">
        <v>8850</v>
      </c>
      <c r="C118" s="2" t="s">
        <v>117</v>
      </c>
      <c r="D118" s="2" t="s">
        <v>69</v>
      </c>
      <c r="E118" s="2" t="str">
        <f aca="false">_xlfn.CONCAT(D118,"-",B118)</f>
        <v>CE - EUROFARMA 6%-8850</v>
      </c>
      <c r="F118" s="2" t="n">
        <v>5</v>
      </c>
      <c r="G118" s="2" t="n">
        <v>50.41</v>
      </c>
    </row>
    <row r="119" customFormat="false" ht="13.8" hidden="false" customHeight="false" outlineLevel="0" collapsed="false">
      <c r="A119" s="2" t="s">
        <v>116</v>
      </c>
      <c r="B119" s="2" t="n">
        <v>8850</v>
      </c>
      <c r="C119" s="2" t="s">
        <v>117</v>
      </c>
      <c r="D119" s="2" t="s">
        <v>65</v>
      </c>
      <c r="E119" s="2" t="str">
        <f aca="false">_xlfn.CONCAT(D119,"-",B119)</f>
        <v>CE - EURO X AUGEFARMA-8850</v>
      </c>
      <c r="F119" s="2" t="n">
        <v>142</v>
      </c>
      <c r="G119" s="2" t="n">
        <v>642.07</v>
      </c>
    </row>
    <row r="120" customFormat="false" ht="13.8" hidden="false" customHeight="false" outlineLevel="0" collapsed="false">
      <c r="A120" s="2" t="s">
        <v>116</v>
      </c>
      <c r="B120" s="2" t="n">
        <v>8850</v>
      </c>
      <c r="C120" s="2" t="s">
        <v>117</v>
      </c>
      <c r="D120" s="2" t="s">
        <v>67</v>
      </c>
      <c r="E120" s="2" t="str">
        <f aca="false">_xlfn.CONCAT(D120,"-",B120)</f>
        <v>CE - EUROFARMA G7-8850</v>
      </c>
      <c r="F120" s="2" t="n">
        <v>122</v>
      </c>
      <c r="G120" s="2" t="n">
        <v>907.93</v>
      </c>
    </row>
    <row r="121" customFormat="false" ht="13.8" hidden="false" customHeight="false" outlineLevel="0" collapsed="false">
      <c r="A121" s="2" t="s">
        <v>116</v>
      </c>
      <c r="B121" s="2" t="n">
        <v>8850</v>
      </c>
      <c r="C121" s="2" t="s">
        <v>117</v>
      </c>
      <c r="D121" s="2" t="s">
        <v>64</v>
      </c>
      <c r="E121" s="2" t="str">
        <f aca="false">_xlfn.CONCAT(D121,"-",B121)</f>
        <v>CE - 0000-8850</v>
      </c>
      <c r="F121" s="2" t="n">
        <v>1158</v>
      </c>
      <c r="G121" s="2" t="n">
        <v>8380.89</v>
      </c>
    </row>
    <row r="122" customFormat="false" ht="13.8" hidden="false" customHeight="false" outlineLevel="0" collapsed="false">
      <c r="A122" s="2" t="s">
        <v>116</v>
      </c>
      <c r="B122" s="2" t="n">
        <v>8850</v>
      </c>
      <c r="C122" s="2" t="s">
        <v>117</v>
      </c>
      <c r="D122" s="2" t="s">
        <v>66</v>
      </c>
      <c r="E122" s="2" t="str">
        <f aca="false">_xlfn.CONCAT(D122,"-",B122)</f>
        <v>CE - OL 001-8850</v>
      </c>
      <c r="F122" s="2" t="n">
        <v>96</v>
      </c>
      <c r="G122" s="2" t="n">
        <v>781.4</v>
      </c>
    </row>
    <row r="123" customFormat="false" ht="13.8" hidden="false" customHeight="false" outlineLevel="0" collapsed="false">
      <c r="A123" s="2" t="s">
        <v>116</v>
      </c>
      <c r="B123" s="2" t="n">
        <v>8850</v>
      </c>
      <c r="C123" s="2" t="s">
        <v>117</v>
      </c>
      <c r="D123" s="2" t="s">
        <v>68</v>
      </c>
      <c r="E123" s="2" t="str">
        <f aca="false">_xlfn.CONCAT(D123,"-",B123)</f>
        <v>CE - OL 002-8850</v>
      </c>
      <c r="F123" s="2" t="n">
        <v>24</v>
      </c>
      <c r="G123" s="2" t="n">
        <v>208.1</v>
      </c>
    </row>
    <row r="124" customFormat="false" ht="13.8" hidden="false" customHeight="false" outlineLevel="0" collapsed="false">
      <c r="A124" s="2" t="s">
        <v>118</v>
      </c>
      <c r="B124" s="2" t="n">
        <v>6529</v>
      </c>
      <c r="C124" s="2" t="s">
        <v>119</v>
      </c>
      <c r="D124" s="2" t="s">
        <v>67</v>
      </c>
      <c r="E124" s="2" t="str">
        <f aca="false">_xlfn.CONCAT(D124,"-",B124)</f>
        <v>CE - EUROFARMA G7-6529</v>
      </c>
      <c r="F124" s="2" t="n">
        <v>181</v>
      </c>
      <c r="G124" s="2" t="n">
        <v>1991.71</v>
      </c>
    </row>
    <row r="125" customFormat="false" ht="13.8" hidden="false" customHeight="false" outlineLevel="0" collapsed="false">
      <c r="A125" s="2" t="s">
        <v>118</v>
      </c>
      <c r="B125" s="2" t="n">
        <v>6529</v>
      </c>
      <c r="C125" s="2" t="s">
        <v>119</v>
      </c>
      <c r="D125" s="2" t="s">
        <v>68</v>
      </c>
      <c r="E125" s="2" t="str">
        <f aca="false">_xlfn.CONCAT(D125,"-",B125)</f>
        <v>CE - OL 002-6529</v>
      </c>
      <c r="F125" s="2" t="n">
        <v>29</v>
      </c>
      <c r="G125" s="2" t="n">
        <v>345.22</v>
      </c>
    </row>
    <row r="126" customFormat="false" ht="13.8" hidden="false" customHeight="false" outlineLevel="0" collapsed="false">
      <c r="A126" s="2" t="s">
        <v>118</v>
      </c>
      <c r="B126" s="2" t="n">
        <v>6529</v>
      </c>
      <c r="C126" s="2" t="s">
        <v>119</v>
      </c>
      <c r="D126" s="2" t="s">
        <v>64</v>
      </c>
      <c r="E126" s="2" t="str">
        <f aca="false">_xlfn.CONCAT(D126,"-",B126)</f>
        <v>CE - 0000-6529</v>
      </c>
      <c r="F126" s="2" t="n">
        <v>1602</v>
      </c>
      <c r="G126" s="2" t="n">
        <v>16980.31</v>
      </c>
    </row>
    <row r="127" customFormat="false" ht="13.8" hidden="false" customHeight="false" outlineLevel="0" collapsed="false">
      <c r="A127" s="2" t="s">
        <v>118</v>
      </c>
      <c r="B127" s="2" t="n">
        <v>6529</v>
      </c>
      <c r="C127" s="2" t="s">
        <v>119</v>
      </c>
      <c r="D127" s="2" t="s">
        <v>65</v>
      </c>
      <c r="E127" s="2" t="str">
        <f aca="false">_xlfn.CONCAT(D127,"-",B127)</f>
        <v>CE - EURO X AUGEFARMA-6529</v>
      </c>
      <c r="F127" s="2" t="n">
        <v>299</v>
      </c>
      <c r="G127" s="2" t="n">
        <v>2361.68</v>
      </c>
    </row>
    <row r="128" customFormat="false" ht="13.8" hidden="false" customHeight="false" outlineLevel="0" collapsed="false">
      <c r="A128" s="2" t="s">
        <v>118</v>
      </c>
      <c r="B128" s="2" t="n">
        <v>6529</v>
      </c>
      <c r="C128" s="2" t="s">
        <v>119</v>
      </c>
      <c r="D128" s="2" t="s">
        <v>66</v>
      </c>
      <c r="E128" s="2" t="str">
        <f aca="false">_xlfn.CONCAT(D128,"-",B128)</f>
        <v>CE - OL 001-6529</v>
      </c>
      <c r="F128" s="2" t="n">
        <v>371</v>
      </c>
      <c r="G128" s="2" t="n">
        <v>4335.45</v>
      </c>
    </row>
    <row r="129" customFormat="false" ht="13.8" hidden="false" customHeight="false" outlineLevel="0" collapsed="false">
      <c r="A129" s="2" t="s">
        <v>120</v>
      </c>
      <c r="B129" s="2" t="n">
        <v>8851</v>
      </c>
      <c r="C129" s="2" t="s">
        <v>121</v>
      </c>
      <c r="D129" s="2" t="s">
        <v>64</v>
      </c>
      <c r="E129" s="2" t="str">
        <f aca="false">_xlfn.CONCAT(D129,"-",B129)</f>
        <v>CE - 0000-8851</v>
      </c>
      <c r="F129" s="2" t="n">
        <v>2010</v>
      </c>
      <c r="G129" s="2" t="n">
        <v>35028.93</v>
      </c>
    </row>
    <row r="130" customFormat="false" ht="13.8" hidden="false" customHeight="false" outlineLevel="0" collapsed="false">
      <c r="A130" s="2" t="s">
        <v>120</v>
      </c>
      <c r="B130" s="2" t="n">
        <v>8851</v>
      </c>
      <c r="C130" s="2" t="s">
        <v>121</v>
      </c>
      <c r="D130" s="2" t="s">
        <v>67</v>
      </c>
      <c r="E130" s="2" t="str">
        <f aca="false">_xlfn.CONCAT(D130,"-",B130)</f>
        <v>CE - EUROFARMA G7-8851</v>
      </c>
      <c r="F130" s="2" t="n">
        <v>116</v>
      </c>
      <c r="G130" s="2" t="n">
        <v>2110.19</v>
      </c>
    </row>
    <row r="131" customFormat="false" ht="13.8" hidden="false" customHeight="false" outlineLevel="0" collapsed="false">
      <c r="A131" s="2" t="s">
        <v>120</v>
      </c>
      <c r="B131" s="2" t="n">
        <v>8851</v>
      </c>
      <c r="C131" s="2" t="s">
        <v>121</v>
      </c>
      <c r="D131" s="2" t="s">
        <v>66</v>
      </c>
      <c r="E131" s="2" t="str">
        <f aca="false">_xlfn.CONCAT(D131,"-",B131)</f>
        <v>CE - OL 001-8851</v>
      </c>
      <c r="F131" s="2" t="n">
        <v>872</v>
      </c>
      <c r="G131" s="2" t="n">
        <v>16993.58</v>
      </c>
    </row>
    <row r="132" customFormat="false" ht="13.8" hidden="false" customHeight="false" outlineLevel="0" collapsed="false">
      <c r="A132" s="2" t="s">
        <v>122</v>
      </c>
      <c r="B132" s="2" t="n">
        <v>3285</v>
      </c>
      <c r="C132" s="2" t="s">
        <v>123</v>
      </c>
      <c r="D132" s="2" t="s">
        <v>66</v>
      </c>
      <c r="E132" s="2" t="str">
        <f aca="false">_xlfn.CONCAT(D132,"-",B132)</f>
        <v>CE - OL 001-3285</v>
      </c>
      <c r="F132" s="2" t="n">
        <v>26</v>
      </c>
      <c r="G132" s="2" t="n">
        <v>142.66</v>
      </c>
    </row>
    <row r="133" customFormat="false" ht="13.8" hidden="false" customHeight="false" outlineLevel="0" collapsed="false">
      <c r="A133" s="2" t="s">
        <v>122</v>
      </c>
      <c r="B133" s="2" t="n">
        <v>3285</v>
      </c>
      <c r="C133" s="2" t="s">
        <v>123</v>
      </c>
      <c r="D133" s="2" t="s">
        <v>65</v>
      </c>
      <c r="E133" s="2" t="str">
        <f aca="false">_xlfn.CONCAT(D133,"-",B133)</f>
        <v>CE - EURO X AUGEFARMA-3285</v>
      </c>
      <c r="F133" s="2" t="n">
        <v>18385</v>
      </c>
      <c r="G133" s="2" t="n">
        <v>40898.79</v>
      </c>
    </row>
    <row r="134" customFormat="false" ht="13.8" hidden="false" customHeight="false" outlineLevel="0" collapsed="false">
      <c r="A134" s="2" t="s">
        <v>122</v>
      </c>
      <c r="B134" s="2" t="n">
        <v>3285</v>
      </c>
      <c r="C134" s="2" t="s">
        <v>123</v>
      </c>
      <c r="D134" s="2" t="s">
        <v>64</v>
      </c>
      <c r="E134" s="2" t="str">
        <f aca="false">_xlfn.CONCAT(D134,"-",B134)</f>
        <v>CE - 0000-3285</v>
      </c>
      <c r="F134" s="2" t="n">
        <v>15488</v>
      </c>
      <c r="G134" s="2" t="n">
        <v>65697.74</v>
      </c>
    </row>
    <row r="135" customFormat="false" ht="13.8" hidden="false" customHeight="false" outlineLevel="0" collapsed="false">
      <c r="A135" s="2" t="s">
        <v>122</v>
      </c>
      <c r="B135" s="2" t="n">
        <v>3285</v>
      </c>
      <c r="C135" s="2" t="s">
        <v>123</v>
      </c>
      <c r="D135" s="2" t="s">
        <v>67</v>
      </c>
      <c r="E135" s="2" t="str">
        <f aca="false">_xlfn.CONCAT(D135,"-",B135)</f>
        <v>CE - EUROFARMA G7-3285</v>
      </c>
      <c r="F135" s="2" t="n">
        <v>197</v>
      </c>
      <c r="G135" s="2" t="n">
        <v>885.04</v>
      </c>
    </row>
    <row r="136" customFormat="false" ht="13.8" hidden="false" customHeight="false" outlineLevel="0" collapsed="false">
      <c r="A136" s="2" t="s">
        <v>124</v>
      </c>
      <c r="B136" s="2" t="n">
        <v>8417</v>
      </c>
      <c r="C136" s="2" t="s">
        <v>125</v>
      </c>
      <c r="D136" s="2" t="s">
        <v>66</v>
      </c>
      <c r="E136" s="2" t="str">
        <f aca="false">_xlfn.CONCAT(D136,"-",B136)</f>
        <v>CE - OL 001-8417</v>
      </c>
      <c r="F136" s="2" t="n">
        <v>51</v>
      </c>
      <c r="G136" s="2" t="n">
        <v>573.32</v>
      </c>
    </row>
    <row r="137" customFormat="false" ht="13.8" hidden="false" customHeight="false" outlineLevel="0" collapsed="false">
      <c r="A137" s="2" t="s">
        <v>124</v>
      </c>
      <c r="B137" s="2" t="n">
        <v>8417</v>
      </c>
      <c r="C137" s="2" t="s">
        <v>125</v>
      </c>
      <c r="D137" s="2" t="s">
        <v>65</v>
      </c>
      <c r="E137" s="2" t="str">
        <f aca="false">_xlfn.CONCAT(D137,"-",B137)</f>
        <v>CE - EURO X AUGEFARMA-8417</v>
      </c>
      <c r="F137" s="2" t="n">
        <v>1255</v>
      </c>
      <c r="G137" s="2" t="n">
        <v>7209.85</v>
      </c>
    </row>
    <row r="138" customFormat="false" ht="13.8" hidden="false" customHeight="false" outlineLevel="0" collapsed="false">
      <c r="A138" s="2" t="s">
        <v>124</v>
      </c>
      <c r="B138" s="2" t="n">
        <v>8417</v>
      </c>
      <c r="C138" s="2" t="s">
        <v>125</v>
      </c>
      <c r="D138" s="2" t="s">
        <v>64</v>
      </c>
      <c r="E138" s="2" t="str">
        <f aca="false">_xlfn.CONCAT(D138,"-",B138)</f>
        <v>CE - 0000-8417</v>
      </c>
      <c r="F138" s="2" t="n">
        <v>6609</v>
      </c>
      <c r="G138" s="2" t="n">
        <v>60203.45</v>
      </c>
    </row>
    <row r="139" customFormat="false" ht="13.8" hidden="false" customHeight="false" outlineLevel="0" collapsed="false">
      <c r="A139" s="2" t="s">
        <v>124</v>
      </c>
      <c r="B139" s="2" t="n">
        <v>8417</v>
      </c>
      <c r="C139" s="2" t="s">
        <v>125</v>
      </c>
      <c r="D139" s="2" t="s">
        <v>69</v>
      </c>
      <c r="E139" s="2" t="str">
        <f aca="false">_xlfn.CONCAT(D139,"-",B139)</f>
        <v>CE - EUROFARMA 6%-8417</v>
      </c>
      <c r="F139" s="2" t="n">
        <v>38</v>
      </c>
      <c r="G139" s="2" t="n">
        <v>459.37</v>
      </c>
    </row>
    <row r="140" customFormat="false" ht="13.8" hidden="false" customHeight="false" outlineLevel="0" collapsed="false">
      <c r="A140" s="2" t="s">
        <v>124</v>
      </c>
      <c r="B140" s="2" t="n">
        <v>8417</v>
      </c>
      <c r="C140" s="2" t="s">
        <v>125</v>
      </c>
      <c r="D140" s="2" t="s">
        <v>67</v>
      </c>
      <c r="E140" s="2" t="str">
        <f aca="false">_xlfn.CONCAT(D140,"-",B140)</f>
        <v>CE - EUROFARMA G7-8417</v>
      </c>
      <c r="F140" s="2" t="n">
        <v>913</v>
      </c>
      <c r="G140" s="2" t="n">
        <v>7864.44</v>
      </c>
    </row>
    <row r="141" customFormat="false" ht="13.8" hidden="false" customHeight="false" outlineLevel="0" collapsed="false">
      <c r="A141" s="2" t="s">
        <v>126</v>
      </c>
      <c r="B141" s="2" t="n">
        <v>4632</v>
      </c>
      <c r="C141" s="2" t="s">
        <v>127</v>
      </c>
      <c r="D141" s="2" t="s">
        <v>64</v>
      </c>
      <c r="E141" s="2" t="str">
        <f aca="false">_xlfn.CONCAT(D141,"-",B141)</f>
        <v>CE - 0000-4632</v>
      </c>
      <c r="F141" s="2" t="n">
        <v>46</v>
      </c>
      <c r="G141" s="2" t="n">
        <v>6844.37</v>
      </c>
    </row>
    <row r="142" customFormat="false" ht="13.8" hidden="false" customHeight="false" outlineLevel="0" collapsed="false">
      <c r="A142" s="2" t="s">
        <v>126</v>
      </c>
      <c r="B142" s="2" t="n">
        <v>4632</v>
      </c>
      <c r="C142" s="2" t="s">
        <v>127</v>
      </c>
      <c r="D142" s="2" t="s">
        <v>66</v>
      </c>
      <c r="E142" s="2" t="str">
        <f aca="false">_xlfn.CONCAT(D142,"-",B142)</f>
        <v>CE - OL 001-4632</v>
      </c>
      <c r="F142" s="2" t="n">
        <v>1</v>
      </c>
      <c r="G142" s="2" t="n">
        <v>148.39</v>
      </c>
    </row>
    <row r="143" customFormat="false" ht="13.8" hidden="false" customHeight="false" outlineLevel="0" collapsed="false">
      <c r="A143" s="2" t="s">
        <v>128</v>
      </c>
      <c r="B143" s="2" t="n">
        <v>12514</v>
      </c>
      <c r="C143" s="2" t="s">
        <v>129</v>
      </c>
      <c r="D143" s="2" t="s">
        <v>66</v>
      </c>
      <c r="E143" s="2" t="str">
        <f aca="false">_xlfn.CONCAT(D143,"-",B143)</f>
        <v>CE - OL 001-12514</v>
      </c>
      <c r="F143" s="2" t="n">
        <v>25</v>
      </c>
      <c r="G143" s="2" t="n">
        <v>1144.86</v>
      </c>
    </row>
    <row r="144" customFormat="false" ht="13.8" hidden="false" customHeight="false" outlineLevel="0" collapsed="false">
      <c r="A144" s="2" t="s">
        <v>128</v>
      </c>
      <c r="B144" s="2" t="n">
        <v>12514</v>
      </c>
      <c r="C144" s="2" t="s">
        <v>129</v>
      </c>
      <c r="D144" s="2" t="s">
        <v>64</v>
      </c>
      <c r="E144" s="2" t="str">
        <f aca="false">_xlfn.CONCAT(D144,"-",B144)</f>
        <v>CE - 0000-12514</v>
      </c>
      <c r="F144" s="2" t="n">
        <v>797</v>
      </c>
      <c r="G144" s="2" t="n">
        <v>33865.05</v>
      </c>
    </row>
    <row r="145" customFormat="false" ht="13.8" hidden="false" customHeight="false" outlineLevel="0" collapsed="false">
      <c r="A145" s="2" t="s">
        <v>128</v>
      </c>
      <c r="B145" s="2" t="n">
        <v>12514</v>
      </c>
      <c r="C145" s="2" t="s">
        <v>129</v>
      </c>
      <c r="D145" s="2" t="s">
        <v>65</v>
      </c>
      <c r="E145" s="2" t="str">
        <f aca="false">_xlfn.CONCAT(D145,"-",B145)</f>
        <v>CE - EURO X AUGEFARMA-12514</v>
      </c>
      <c r="F145" s="2" t="n">
        <v>25</v>
      </c>
      <c r="G145" s="2" t="n">
        <v>712.47</v>
      </c>
    </row>
    <row r="146" customFormat="false" ht="13.8" hidden="false" customHeight="false" outlineLevel="0" collapsed="false">
      <c r="A146" s="2" t="s">
        <v>128</v>
      </c>
      <c r="B146" s="2" t="n">
        <v>12514</v>
      </c>
      <c r="C146" s="2" t="s">
        <v>129</v>
      </c>
      <c r="D146" s="2" t="s">
        <v>69</v>
      </c>
      <c r="E146" s="2" t="str">
        <f aca="false">_xlfn.CONCAT(D146,"-",B146)</f>
        <v>CE - EUROFARMA 6%-12514</v>
      </c>
      <c r="F146" s="2" t="n">
        <v>5</v>
      </c>
      <c r="G146" s="2" t="n">
        <v>235.91</v>
      </c>
    </row>
    <row r="147" customFormat="false" ht="13.8" hidden="false" customHeight="false" outlineLevel="0" collapsed="false">
      <c r="A147" s="2" t="s">
        <v>128</v>
      </c>
      <c r="B147" s="2" t="n">
        <v>12514</v>
      </c>
      <c r="C147" s="2" t="s">
        <v>129</v>
      </c>
      <c r="D147" s="2" t="s">
        <v>67</v>
      </c>
      <c r="E147" s="2" t="str">
        <f aca="false">_xlfn.CONCAT(D147,"-",B147)</f>
        <v>CE - EUROFARMA G7-12514</v>
      </c>
      <c r="F147" s="2" t="n">
        <v>219</v>
      </c>
      <c r="G147" s="2" t="n">
        <v>8858.67</v>
      </c>
    </row>
    <row r="148" customFormat="false" ht="13.8" hidden="false" customHeight="false" outlineLevel="0" collapsed="false">
      <c r="A148" s="2" t="s">
        <v>128</v>
      </c>
      <c r="B148" s="2" t="n">
        <v>12514</v>
      </c>
      <c r="C148" s="2" t="s">
        <v>129</v>
      </c>
      <c r="D148" s="2" t="s">
        <v>68</v>
      </c>
      <c r="E148" s="2" t="str">
        <f aca="false">_xlfn.CONCAT(D148,"-",B148)</f>
        <v>CE - OL 002-12514</v>
      </c>
      <c r="F148" s="2" t="n">
        <v>8</v>
      </c>
      <c r="G148" s="2" t="n">
        <v>295.74</v>
      </c>
    </row>
    <row r="149" customFormat="false" ht="13.8" hidden="false" customHeight="false" outlineLevel="0" collapsed="false">
      <c r="A149" s="2" t="s">
        <v>130</v>
      </c>
      <c r="B149" s="2" t="n">
        <v>8883</v>
      </c>
      <c r="C149" s="2" t="s">
        <v>131</v>
      </c>
      <c r="D149" s="2" t="s">
        <v>67</v>
      </c>
      <c r="E149" s="2" t="str">
        <f aca="false">_xlfn.CONCAT(D149,"-",B149)</f>
        <v>CE - EUROFARMA G7-8883</v>
      </c>
      <c r="F149" s="2" t="n">
        <v>1383</v>
      </c>
      <c r="G149" s="2" t="n">
        <v>22728.65</v>
      </c>
    </row>
    <row r="150" customFormat="false" ht="13.8" hidden="false" customHeight="false" outlineLevel="0" collapsed="false">
      <c r="A150" s="2" t="s">
        <v>130</v>
      </c>
      <c r="B150" s="2" t="n">
        <v>8883</v>
      </c>
      <c r="C150" s="2" t="s">
        <v>131</v>
      </c>
      <c r="D150" s="2" t="s">
        <v>65</v>
      </c>
      <c r="E150" s="2" t="str">
        <f aca="false">_xlfn.CONCAT(D150,"-",B150)</f>
        <v>CE - EURO X AUGEFARMA-8883</v>
      </c>
      <c r="F150" s="2" t="n">
        <v>241</v>
      </c>
      <c r="G150" s="2" t="n">
        <v>3052.47</v>
      </c>
    </row>
    <row r="151" customFormat="false" ht="13.8" hidden="false" customHeight="false" outlineLevel="0" collapsed="false">
      <c r="A151" s="2" t="s">
        <v>130</v>
      </c>
      <c r="B151" s="2" t="n">
        <v>8883</v>
      </c>
      <c r="C151" s="2" t="s">
        <v>131</v>
      </c>
      <c r="D151" s="2" t="s">
        <v>64</v>
      </c>
      <c r="E151" s="2" t="str">
        <f aca="false">_xlfn.CONCAT(D151,"-",B151)</f>
        <v>CE - 0000-8883</v>
      </c>
      <c r="F151" s="2" t="n">
        <v>4824</v>
      </c>
      <c r="G151" s="2" t="n">
        <v>79518.21</v>
      </c>
    </row>
    <row r="152" customFormat="false" ht="13.8" hidden="false" customHeight="false" outlineLevel="0" collapsed="false">
      <c r="A152" s="2" t="s">
        <v>130</v>
      </c>
      <c r="B152" s="2" t="n">
        <v>8883</v>
      </c>
      <c r="C152" s="2" t="s">
        <v>131</v>
      </c>
      <c r="D152" s="2" t="s">
        <v>66</v>
      </c>
      <c r="E152" s="2" t="str">
        <f aca="false">_xlfn.CONCAT(D152,"-",B152)</f>
        <v>CE - OL 001-8883</v>
      </c>
      <c r="F152" s="2" t="n">
        <v>317</v>
      </c>
      <c r="G152" s="2" t="n">
        <v>5723.91</v>
      </c>
    </row>
    <row r="153" customFormat="false" ht="13.8" hidden="false" customHeight="false" outlineLevel="0" collapsed="false">
      <c r="A153" s="2" t="s">
        <v>130</v>
      </c>
      <c r="B153" s="2" t="n">
        <v>8883</v>
      </c>
      <c r="C153" s="2" t="s">
        <v>131</v>
      </c>
      <c r="D153" s="2" t="s">
        <v>68</v>
      </c>
      <c r="E153" s="2" t="str">
        <f aca="false">_xlfn.CONCAT(D153,"-",B153)</f>
        <v>CE - OL 002-8883</v>
      </c>
      <c r="F153" s="2" t="n">
        <v>9</v>
      </c>
      <c r="G153" s="2" t="n">
        <v>161.54</v>
      </c>
    </row>
    <row r="154" customFormat="false" ht="13.8" hidden="false" customHeight="false" outlineLevel="0" collapsed="false">
      <c r="A154" s="2" t="s">
        <v>130</v>
      </c>
      <c r="B154" s="2" t="n">
        <v>8883</v>
      </c>
      <c r="C154" s="2" t="s">
        <v>131</v>
      </c>
      <c r="D154" s="2" t="s">
        <v>69</v>
      </c>
      <c r="E154" s="2" t="str">
        <f aca="false">_xlfn.CONCAT(D154,"-",B154)</f>
        <v>CE - EUROFARMA 6%-8883</v>
      </c>
      <c r="F154" s="2" t="n">
        <v>47</v>
      </c>
      <c r="G154" s="2" t="n">
        <v>793.65</v>
      </c>
    </row>
    <row r="155" customFormat="false" ht="13.8" hidden="false" customHeight="false" outlineLevel="0" collapsed="false">
      <c r="A155" s="2" t="s">
        <v>132</v>
      </c>
      <c r="B155" s="2" t="n">
        <v>8884</v>
      </c>
      <c r="C155" s="2" t="s">
        <v>133</v>
      </c>
      <c r="D155" s="2" t="s">
        <v>68</v>
      </c>
      <c r="E155" s="2" t="str">
        <f aca="false">_xlfn.CONCAT(D155,"-",B155)</f>
        <v>CE - OL 002-8884</v>
      </c>
      <c r="F155" s="2" t="n">
        <v>5</v>
      </c>
      <c r="G155" s="2" t="n">
        <v>222.31</v>
      </c>
    </row>
    <row r="156" customFormat="false" ht="13.8" hidden="false" customHeight="false" outlineLevel="0" collapsed="false">
      <c r="A156" s="2" t="s">
        <v>132</v>
      </c>
      <c r="B156" s="2" t="n">
        <v>8884</v>
      </c>
      <c r="C156" s="2" t="s">
        <v>133</v>
      </c>
      <c r="D156" s="2" t="s">
        <v>67</v>
      </c>
      <c r="E156" s="2" t="str">
        <f aca="false">_xlfn.CONCAT(D156,"-",B156)</f>
        <v>CE - EUROFARMA G7-8884</v>
      </c>
      <c r="F156" s="2" t="n">
        <v>718</v>
      </c>
      <c r="G156" s="2" t="n">
        <v>14994.72</v>
      </c>
    </row>
    <row r="157" customFormat="false" ht="13.8" hidden="false" customHeight="false" outlineLevel="0" collapsed="false">
      <c r="A157" s="2" t="s">
        <v>132</v>
      </c>
      <c r="B157" s="2" t="n">
        <v>8884</v>
      </c>
      <c r="C157" s="2" t="s">
        <v>133</v>
      </c>
      <c r="D157" s="2" t="s">
        <v>65</v>
      </c>
      <c r="E157" s="2" t="str">
        <f aca="false">_xlfn.CONCAT(D157,"-",B157)</f>
        <v>CE - EURO X AUGEFARMA-8884</v>
      </c>
      <c r="F157" s="2" t="n">
        <v>122</v>
      </c>
      <c r="G157" s="2" t="n">
        <v>1998.05</v>
      </c>
    </row>
    <row r="158" customFormat="false" ht="13.8" hidden="false" customHeight="false" outlineLevel="0" collapsed="false">
      <c r="A158" s="2" t="s">
        <v>132</v>
      </c>
      <c r="B158" s="2" t="n">
        <v>8884</v>
      </c>
      <c r="C158" s="2" t="s">
        <v>133</v>
      </c>
      <c r="D158" s="2" t="s">
        <v>69</v>
      </c>
      <c r="E158" s="2" t="str">
        <f aca="false">_xlfn.CONCAT(D158,"-",B158)</f>
        <v>CE - EUROFARMA 6%-8884</v>
      </c>
      <c r="F158" s="2" t="n">
        <v>41</v>
      </c>
      <c r="G158" s="2" t="n">
        <v>852.39</v>
      </c>
    </row>
    <row r="159" customFormat="false" ht="13.8" hidden="false" customHeight="false" outlineLevel="0" collapsed="false">
      <c r="A159" s="2" t="s">
        <v>132</v>
      </c>
      <c r="B159" s="2" t="n">
        <v>8884</v>
      </c>
      <c r="C159" s="2" t="s">
        <v>133</v>
      </c>
      <c r="D159" s="2" t="s">
        <v>66</v>
      </c>
      <c r="E159" s="2" t="str">
        <f aca="false">_xlfn.CONCAT(D159,"-",B159)</f>
        <v>CE - OL 001-8884</v>
      </c>
      <c r="F159" s="2" t="n">
        <v>121</v>
      </c>
      <c r="G159" s="2" t="n">
        <v>2635.76</v>
      </c>
    </row>
    <row r="160" customFormat="false" ht="13.8" hidden="false" customHeight="false" outlineLevel="0" collapsed="false">
      <c r="A160" s="2" t="s">
        <v>132</v>
      </c>
      <c r="B160" s="2" t="n">
        <v>8884</v>
      </c>
      <c r="C160" s="2" t="s">
        <v>133</v>
      </c>
      <c r="D160" s="2" t="s">
        <v>64</v>
      </c>
      <c r="E160" s="2" t="str">
        <f aca="false">_xlfn.CONCAT(D160,"-",B160)</f>
        <v>CE - 0000-8884</v>
      </c>
      <c r="F160" s="2" t="n">
        <v>2296</v>
      </c>
      <c r="G160" s="2" t="n">
        <v>46500.34</v>
      </c>
    </row>
    <row r="161" customFormat="false" ht="13.8" hidden="false" customHeight="false" outlineLevel="0" collapsed="false">
      <c r="A161" s="2" t="s">
        <v>134</v>
      </c>
      <c r="B161" s="2" t="n">
        <v>14725</v>
      </c>
      <c r="C161" s="2" t="s">
        <v>135</v>
      </c>
      <c r="D161" s="2" t="s">
        <v>65</v>
      </c>
      <c r="E161" s="2" t="str">
        <f aca="false">_xlfn.CONCAT(D161,"-",B161)</f>
        <v>CE - EURO X AUGEFARMA-14725</v>
      </c>
      <c r="F161" s="2" t="n">
        <v>52</v>
      </c>
      <c r="G161" s="2" t="n">
        <v>485.09</v>
      </c>
    </row>
    <row r="162" customFormat="false" ht="13.8" hidden="false" customHeight="false" outlineLevel="0" collapsed="false">
      <c r="A162" s="2" t="s">
        <v>134</v>
      </c>
      <c r="B162" s="2" t="n">
        <v>14725</v>
      </c>
      <c r="C162" s="2" t="s">
        <v>135</v>
      </c>
      <c r="D162" s="2" t="s">
        <v>64</v>
      </c>
      <c r="E162" s="2" t="str">
        <f aca="false">_xlfn.CONCAT(D162,"-",B162)</f>
        <v>CE - 0000-14725</v>
      </c>
      <c r="F162" s="2" t="n">
        <v>962</v>
      </c>
      <c r="G162" s="2" t="n">
        <v>9928.85</v>
      </c>
    </row>
    <row r="163" customFormat="false" ht="13.8" hidden="false" customHeight="false" outlineLevel="0" collapsed="false">
      <c r="A163" s="2" t="s">
        <v>134</v>
      </c>
      <c r="B163" s="2" t="n">
        <v>14725</v>
      </c>
      <c r="C163" s="2" t="s">
        <v>135</v>
      </c>
      <c r="D163" s="2" t="s">
        <v>67</v>
      </c>
      <c r="E163" s="2" t="str">
        <f aca="false">_xlfn.CONCAT(D163,"-",B163)</f>
        <v>CE - EUROFARMA G7-14725</v>
      </c>
      <c r="F163" s="2" t="n">
        <v>63</v>
      </c>
      <c r="G163" s="2" t="n">
        <v>703.9</v>
      </c>
    </row>
    <row r="164" customFormat="false" ht="13.8" hidden="false" customHeight="false" outlineLevel="0" collapsed="false">
      <c r="A164" s="2" t="s">
        <v>134</v>
      </c>
      <c r="B164" s="2" t="n">
        <v>14725</v>
      </c>
      <c r="C164" s="2" t="s">
        <v>135</v>
      </c>
      <c r="D164" s="2" t="s">
        <v>69</v>
      </c>
      <c r="E164" s="2" t="str">
        <f aca="false">_xlfn.CONCAT(D164,"-",B164)</f>
        <v>CE - EUROFARMA 6%-14725</v>
      </c>
      <c r="F164" s="2" t="n">
        <v>10</v>
      </c>
      <c r="G164" s="2" t="n">
        <v>106.65</v>
      </c>
    </row>
    <row r="165" customFormat="false" ht="13.8" hidden="false" customHeight="false" outlineLevel="0" collapsed="false">
      <c r="A165" s="2" t="s">
        <v>134</v>
      </c>
      <c r="B165" s="2" t="n">
        <v>14725</v>
      </c>
      <c r="C165" s="2" t="s">
        <v>135</v>
      </c>
      <c r="D165" s="2" t="s">
        <v>68</v>
      </c>
      <c r="E165" s="2" t="str">
        <f aca="false">_xlfn.CONCAT(D165,"-",B165)</f>
        <v>CE - OL 002-14725</v>
      </c>
      <c r="F165" s="2" t="n">
        <v>2</v>
      </c>
      <c r="G165" s="2" t="n">
        <v>23.31</v>
      </c>
    </row>
    <row r="166" customFormat="false" ht="13.8" hidden="false" customHeight="false" outlineLevel="0" collapsed="false">
      <c r="A166" s="2" t="s">
        <v>134</v>
      </c>
      <c r="B166" s="2" t="n">
        <v>14725</v>
      </c>
      <c r="C166" s="2" t="s">
        <v>135</v>
      </c>
      <c r="D166" s="2" t="s">
        <v>66</v>
      </c>
      <c r="E166" s="2" t="str">
        <f aca="false">_xlfn.CONCAT(D166,"-",B166)</f>
        <v>CE - OL 001-14725</v>
      </c>
      <c r="F166" s="2" t="n">
        <v>16</v>
      </c>
      <c r="G166" s="2" t="n">
        <v>180.65</v>
      </c>
    </row>
    <row r="167" customFormat="false" ht="13.8" hidden="false" customHeight="false" outlineLevel="0" collapsed="false">
      <c r="A167" s="2" t="s">
        <v>136</v>
      </c>
      <c r="B167" s="2" t="n">
        <v>14726</v>
      </c>
      <c r="C167" s="2" t="s">
        <v>137</v>
      </c>
      <c r="D167" s="2" t="s">
        <v>64</v>
      </c>
      <c r="E167" s="2" t="str">
        <f aca="false">_xlfn.CONCAT(D167,"-",B167)</f>
        <v>CE - 0000-14726</v>
      </c>
      <c r="F167" s="2" t="n">
        <v>908</v>
      </c>
      <c r="G167" s="2" t="n">
        <v>9208.56</v>
      </c>
    </row>
    <row r="168" customFormat="false" ht="13.8" hidden="false" customHeight="false" outlineLevel="0" collapsed="false">
      <c r="A168" s="2" t="s">
        <v>136</v>
      </c>
      <c r="B168" s="2" t="n">
        <v>14726</v>
      </c>
      <c r="C168" s="2" t="s">
        <v>137</v>
      </c>
      <c r="D168" s="2" t="s">
        <v>65</v>
      </c>
      <c r="E168" s="2" t="str">
        <f aca="false">_xlfn.CONCAT(D168,"-",B168)</f>
        <v>CE - EURO X AUGEFARMA-14726</v>
      </c>
      <c r="F168" s="2" t="n">
        <v>31</v>
      </c>
      <c r="G168" s="2" t="n">
        <v>279.57</v>
      </c>
    </row>
    <row r="169" customFormat="false" ht="13.8" hidden="false" customHeight="false" outlineLevel="0" collapsed="false">
      <c r="A169" s="2" t="s">
        <v>136</v>
      </c>
      <c r="B169" s="2" t="n">
        <v>14726</v>
      </c>
      <c r="C169" s="2" t="s">
        <v>137</v>
      </c>
      <c r="D169" s="2" t="s">
        <v>67</v>
      </c>
      <c r="E169" s="2" t="str">
        <f aca="false">_xlfn.CONCAT(D169,"-",B169)</f>
        <v>CE - EUROFARMA G7-14726</v>
      </c>
      <c r="F169" s="2" t="n">
        <v>76</v>
      </c>
      <c r="G169" s="2" t="n">
        <v>836.18</v>
      </c>
    </row>
    <row r="170" customFormat="false" ht="13.8" hidden="false" customHeight="false" outlineLevel="0" collapsed="false">
      <c r="A170" s="2" t="s">
        <v>136</v>
      </c>
      <c r="B170" s="2" t="n">
        <v>14726</v>
      </c>
      <c r="C170" s="2" t="s">
        <v>137</v>
      </c>
      <c r="D170" s="2" t="s">
        <v>66</v>
      </c>
      <c r="E170" s="2" t="str">
        <f aca="false">_xlfn.CONCAT(D170,"-",B170)</f>
        <v>CE - OL 001-14726</v>
      </c>
      <c r="F170" s="2" t="n">
        <v>15</v>
      </c>
      <c r="G170" s="2" t="n">
        <v>157.6</v>
      </c>
    </row>
    <row r="171" customFormat="false" ht="13.8" hidden="false" customHeight="false" outlineLevel="0" collapsed="false">
      <c r="A171" s="2" t="s">
        <v>138</v>
      </c>
      <c r="B171" s="2" t="n">
        <v>22019</v>
      </c>
      <c r="C171" s="2" t="s">
        <v>139</v>
      </c>
      <c r="D171" s="2" t="s">
        <v>66</v>
      </c>
      <c r="E171" s="2" t="str">
        <f aca="false">_xlfn.CONCAT(D171,"-",B171)</f>
        <v>CE - OL 001-22019</v>
      </c>
      <c r="F171" s="2" t="n">
        <v>21</v>
      </c>
      <c r="G171" s="2" t="n">
        <v>151.16</v>
      </c>
    </row>
    <row r="172" customFormat="false" ht="13.8" hidden="false" customHeight="false" outlineLevel="0" collapsed="false">
      <c r="A172" s="2" t="s">
        <v>138</v>
      </c>
      <c r="B172" s="2" t="n">
        <v>22019</v>
      </c>
      <c r="C172" s="2" t="s">
        <v>139</v>
      </c>
      <c r="D172" s="2" t="s">
        <v>64</v>
      </c>
      <c r="E172" s="2" t="str">
        <f aca="false">_xlfn.CONCAT(D172,"-",B172)</f>
        <v>CE - 0000-22019</v>
      </c>
      <c r="F172" s="2" t="n">
        <v>591</v>
      </c>
      <c r="G172" s="2" t="n">
        <v>3804.19</v>
      </c>
    </row>
    <row r="173" customFormat="false" ht="13.8" hidden="false" customHeight="false" outlineLevel="0" collapsed="false">
      <c r="A173" s="2" t="s">
        <v>138</v>
      </c>
      <c r="B173" s="2" t="n">
        <v>22019</v>
      </c>
      <c r="C173" s="2" t="s">
        <v>139</v>
      </c>
      <c r="D173" s="2" t="s">
        <v>65</v>
      </c>
      <c r="E173" s="2" t="str">
        <f aca="false">_xlfn.CONCAT(D173,"-",B173)</f>
        <v>CE - EURO X AUGEFARMA-22019</v>
      </c>
      <c r="F173" s="2" t="n">
        <v>39</v>
      </c>
      <c r="G173" s="2" t="n">
        <v>190.63</v>
      </c>
    </row>
    <row r="174" customFormat="false" ht="13.8" hidden="false" customHeight="false" outlineLevel="0" collapsed="false">
      <c r="A174" s="2" t="s">
        <v>138</v>
      </c>
      <c r="B174" s="2" t="n">
        <v>22019</v>
      </c>
      <c r="C174" s="2" t="s">
        <v>139</v>
      </c>
      <c r="D174" s="2" t="s">
        <v>68</v>
      </c>
      <c r="E174" s="2" t="str">
        <f aca="false">_xlfn.CONCAT(D174,"-",B174)</f>
        <v>CE - OL 002-22019</v>
      </c>
      <c r="F174" s="2" t="n">
        <v>14</v>
      </c>
      <c r="G174" s="2" t="n">
        <v>94.69</v>
      </c>
    </row>
    <row r="175" customFormat="false" ht="13.8" hidden="false" customHeight="false" outlineLevel="0" collapsed="false">
      <c r="A175" s="2" t="s">
        <v>138</v>
      </c>
      <c r="B175" s="2" t="n">
        <v>22019</v>
      </c>
      <c r="C175" s="2" t="s">
        <v>139</v>
      </c>
      <c r="D175" s="2" t="s">
        <v>67</v>
      </c>
      <c r="E175" s="2" t="str">
        <f aca="false">_xlfn.CONCAT(D175,"-",B175)</f>
        <v>CE - EUROFARMA G7-22019</v>
      </c>
      <c r="F175" s="2" t="n">
        <v>34</v>
      </c>
      <c r="G175" s="2" t="n">
        <v>276.36</v>
      </c>
    </row>
    <row r="176" customFormat="false" ht="13.8" hidden="false" customHeight="false" outlineLevel="0" collapsed="false">
      <c r="A176" s="2" t="s">
        <v>140</v>
      </c>
      <c r="B176" s="2" t="n">
        <v>21957</v>
      </c>
      <c r="C176" s="2" t="s">
        <v>141</v>
      </c>
      <c r="D176" s="2" t="s">
        <v>64</v>
      </c>
      <c r="E176" s="2" t="str">
        <f aca="false">_xlfn.CONCAT(D176,"-",B176)</f>
        <v>CE - 0000-21957</v>
      </c>
      <c r="F176" s="2" t="n">
        <v>584</v>
      </c>
      <c r="G176" s="2" t="n">
        <v>4112.72</v>
      </c>
    </row>
    <row r="177" customFormat="false" ht="13.8" hidden="false" customHeight="false" outlineLevel="0" collapsed="false">
      <c r="A177" s="2" t="s">
        <v>140</v>
      </c>
      <c r="B177" s="2" t="n">
        <v>21957</v>
      </c>
      <c r="C177" s="2" t="s">
        <v>141</v>
      </c>
      <c r="D177" s="2" t="s">
        <v>66</v>
      </c>
      <c r="E177" s="2" t="str">
        <f aca="false">_xlfn.CONCAT(D177,"-",B177)</f>
        <v>CE - OL 001-21957</v>
      </c>
      <c r="F177" s="2" t="n">
        <v>49</v>
      </c>
      <c r="G177" s="2" t="n">
        <v>352.12</v>
      </c>
    </row>
    <row r="178" customFormat="false" ht="13.8" hidden="false" customHeight="false" outlineLevel="0" collapsed="false">
      <c r="A178" s="2" t="s">
        <v>140</v>
      </c>
      <c r="B178" s="2" t="n">
        <v>21957</v>
      </c>
      <c r="C178" s="2" t="s">
        <v>141</v>
      </c>
      <c r="D178" s="2" t="s">
        <v>65</v>
      </c>
      <c r="E178" s="2" t="str">
        <f aca="false">_xlfn.CONCAT(D178,"-",B178)</f>
        <v>CE - EURO X AUGEFARMA-21957</v>
      </c>
      <c r="F178" s="2" t="n">
        <v>20</v>
      </c>
      <c r="G178" s="2" t="n">
        <v>113.85</v>
      </c>
    </row>
    <row r="179" customFormat="false" ht="13.8" hidden="false" customHeight="false" outlineLevel="0" collapsed="false">
      <c r="A179" s="2" t="s">
        <v>140</v>
      </c>
      <c r="B179" s="2" t="n">
        <v>21957</v>
      </c>
      <c r="C179" s="2" t="s">
        <v>141</v>
      </c>
      <c r="D179" s="2" t="s">
        <v>67</v>
      </c>
      <c r="E179" s="2" t="str">
        <f aca="false">_xlfn.CONCAT(D179,"-",B179)</f>
        <v>CE - EUROFARMA G7-21957</v>
      </c>
      <c r="F179" s="2" t="n">
        <v>92</v>
      </c>
      <c r="G179" s="2" t="n">
        <v>1345.52</v>
      </c>
    </row>
    <row r="180" customFormat="false" ht="13.8" hidden="false" customHeight="false" outlineLevel="0" collapsed="false">
      <c r="A180" s="2" t="s">
        <v>140</v>
      </c>
      <c r="B180" s="2" t="n">
        <v>21957</v>
      </c>
      <c r="C180" s="2" t="s">
        <v>141</v>
      </c>
      <c r="D180" s="2" t="s">
        <v>68</v>
      </c>
      <c r="E180" s="2" t="str">
        <f aca="false">_xlfn.CONCAT(D180,"-",B180)</f>
        <v>CE - OL 002-21957</v>
      </c>
      <c r="F180" s="2" t="n">
        <v>2</v>
      </c>
      <c r="G180" s="2" t="n">
        <v>15.34</v>
      </c>
    </row>
    <row r="181" customFormat="false" ht="13.8" hidden="false" customHeight="false" outlineLevel="0" collapsed="false">
      <c r="A181" s="2" t="s">
        <v>142</v>
      </c>
      <c r="B181" s="2" t="n">
        <v>16092</v>
      </c>
      <c r="C181" s="2" t="s">
        <v>143</v>
      </c>
      <c r="D181" s="2" t="s">
        <v>65</v>
      </c>
      <c r="E181" s="2" t="str">
        <f aca="false">_xlfn.CONCAT(D181,"-",B181)</f>
        <v>CE - EURO X AUGEFARMA-16092</v>
      </c>
      <c r="F181" s="2" t="n">
        <v>8</v>
      </c>
      <c r="G181" s="2" t="n">
        <v>330.61</v>
      </c>
    </row>
    <row r="182" customFormat="false" ht="13.8" hidden="false" customHeight="false" outlineLevel="0" collapsed="false">
      <c r="A182" s="2" t="s">
        <v>142</v>
      </c>
      <c r="B182" s="2" t="n">
        <v>16092</v>
      </c>
      <c r="C182" s="2" t="s">
        <v>143</v>
      </c>
      <c r="D182" s="2" t="s">
        <v>66</v>
      </c>
      <c r="E182" s="2" t="str">
        <f aca="false">_xlfn.CONCAT(D182,"-",B182)</f>
        <v>CE - OL 001-16092</v>
      </c>
      <c r="F182" s="2" t="n">
        <v>64</v>
      </c>
      <c r="G182" s="2" t="n">
        <v>3027.85</v>
      </c>
    </row>
    <row r="183" customFormat="false" ht="13.8" hidden="false" customHeight="false" outlineLevel="0" collapsed="false">
      <c r="A183" s="2" t="s">
        <v>142</v>
      </c>
      <c r="B183" s="2" t="n">
        <v>16092</v>
      </c>
      <c r="C183" s="2" t="s">
        <v>143</v>
      </c>
      <c r="D183" s="2" t="s">
        <v>64</v>
      </c>
      <c r="E183" s="2" t="str">
        <f aca="false">_xlfn.CONCAT(D183,"-",B183)</f>
        <v>CE - 0000-16092</v>
      </c>
      <c r="F183" s="2" t="n">
        <v>757</v>
      </c>
      <c r="G183" s="2" t="n">
        <v>33687.77</v>
      </c>
    </row>
    <row r="184" customFormat="false" ht="13.8" hidden="false" customHeight="false" outlineLevel="0" collapsed="false">
      <c r="A184" s="2" t="s">
        <v>142</v>
      </c>
      <c r="B184" s="2" t="n">
        <v>16092</v>
      </c>
      <c r="C184" s="2" t="s">
        <v>143</v>
      </c>
      <c r="D184" s="2" t="s">
        <v>67</v>
      </c>
      <c r="E184" s="2" t="str">
        <f aca="false">_xlfn.CONCAT(D184,"-",B184)</f>
        <v>CE - EUROFARMA G7-16092</v>
      </c>
      <c r="F184" s="2" t="n">
        <v>163</v>
      </c>
      <c r="G184" s="2" t="n">
        <v>7518.89</v>
      </c>
    </row>
    <row r="185" customFormat="false" ht="13.8" hidden="false" customHeight="false" outlineLevel="0" collapsed="false">
      <c r="A185" s="2" t="s">
        <v>144</v>
      </c>
      <c r="B185" s="2" t="n">
        <v>16091</v>
      </c>
      <c r="C185" s="2" t="s">
        <v>145</v>
      </c>
      <c r="D185" s="2" t="s">
        <v>67</v>
      </c>
      <c r="E185" s="2" t="str">
        <f aca="false">_xlfn.CONCAT(D185,"-",B185)</f>
        <v>CE - EUROFARMA G7-16091</v>
      </c>
      <c r="F185" s="2" t="n">
        <v>460</v>
      </c>
      <c r="G185" s="2" t="n">
        <v>11401.41</v>
      </c>
    </row>
    <row r="186" customFormat="false" ht="13.8" hidden="false" customHeight="false" outlineLevel="0" collapsed="false">
      <c r="A186" s="2" t="s">
        <v>144</v>
      </c>
      <c r="B186" s="2" t="n">
        <v>16091</v>
      </c>
      <c r="C186" s="2" t="s">
        <v>145</v>
      </c>
      <c r="D186" s="2" t="s">
        <v>66</v>
      </c>
      <c r="E186" s="2" t="str">
        <f aca="false">_xlfn.CONCAT(D186,"-",B186)</f>
        <v>CE - OL 001-16091</v>
      </c>
      <c r="F186" s="2" t="n">
        <v>146</v>
      </c>
      <c r="G186" s="2" t="n">
        <v>3699.72</v>
      </c>
    </row>
    <row r="187" customFormat="false" ht="13.8" hidden="false" customHeight="false" outlineLevel="0" collapsed="false">
      <c r="A187" s="2" t="s">
        <v>144</v>
      </c>
      <c r="B187" s="2" t="n">
        <v>16091</v>
      </c>
      <c r="C187" s="2" t="s">
        <v>145</v>
      </c>
      <c r="D187" s="2" t="s">
        <v>65</v>
      </c>
      <c r="E187" s="2" t="str">
        <f aca="false">_xlfn.CONCAT(D187,"-",B187)</f>
        <v>CE - EURO X AUGEFARMA-16091</v>
      </c>
      <c r="F187" s="2" t="n">
        <v>148</v>
      </c>
      <c r="G187" s="2" t="n">
        <v>3355.63</v>
      </c>
    </row>
    <row r="188" customFormat="false" ht="13.8" hidden="false" customHeight="false" outlineLevel="0" collapsed="false">
      <c r="A188" s="2" t="s">
        <v>144</v>
      </c>
      <c r="B188" s="2" t="n">
        <v>16091</v>
      </c>
      <c r="C188" s="2" t="s">
        <v>145</v>
      </c>
      <c r="D188" s="2" t="s">
        <v>64</v>
      </c>
      <c r="E188" s="2" t="str">
        <f aca="false">_xlfn.CONCAT(D188,"-",B188)</f>
        <v>CE - 0000-16091</v>
      </c>
      <c r="F188" s="2" t="n">
        <v>2083</v>
      </c>
      <c r="G188" s="2" t="n">
        <v>50070.22</v>
      </c>
    </row>
    <row r="189" customFormat="false" ht="13.8" hidden="false" customHeight="false" outlineLevel="0" collapsed="false">
      <c r="A189" s="2" t="s">
        <v>144</v>
      </c>
      <c r="B189" s="2" t="n">
        <v>16091</v>
      </c>
      <c r="C189" s="2" t="s">
        <v>145</v>
      </c>
      <c r="D189" s="2" t="s">
        <v>69</v>
      </c>
      <c r="E189" s="2" t="str">
        <f aca="false">_xlfn.CONCAT(D189,"-",B189)</f>
        <v>CE - EUROFARMA 6%-16091</v>
      </c>
      <c r="F189" s="2" t="n">
        <v>139</v>
      </c>
      <c r="G189" s="2" t="n">
        <v>3258.51</v>
      </c>
    </row>
    <row r="190" customFormat="false" ht="13.8" hidden="false" customHeight="false" outlineLevel="0" collapsed="false">
      <c r="A190" s="2" t="s">
        <v>144</v>
      </c>
      <c r="B190" s="2" t="n">
        <v>16091</v>
      </c>
      <c r="C190" s="2" t="s">
        <v>145</v>
      </c>
      <c r="D190" s="2" t="s">
        <v>68</v>
      </c>
      <c r="E190" s="2" t="str">
        <f aca="false">_xlfn.CONCAT(D190,"-",B190)</f>
        <v>CE - OL 002-16091</v>
      </c>
      <c r="F190" s="2" t="n">
        <v>37</v>
      </c>
      <c r="G190" s="2" t="n">
        <v>1004.59</v>
      </c>
    </row>
    <row r="191" customFormat="false" ht="13.8" hidden="false" customHeight="false" outlineLevel="0" collapsed="false">
      <c r="A191" s="2" t="s">
        <v>146</v>
      </c>
      <c r="B191" s="2" t="n">
        <v>10791</v>
      </c>
      <c r="C191" s="2" t="s">
        <v>147</v>
      </c>
      <c r="D191" s="2" t="s">
        <v>65</v>
      </c>
      <c r="E191" s="2" t="str">
        <f aca="false">_xlfn.CONCAT(D191,"-",B191)</f>
        <v>CE - EURO X AUGEFARMA-10791</v>
      </c>
      <c r="F191" s="2" t="n">
        <v>44</v>
      </c>
      <c r="G191" s="2" t="n">
        <v>927.6</v>
      </c>
    </row>
    <row r="192" customFormat="false" ht="13.8" hidden="false" customHeight="false" outlineLevel="0" collapsed="false">
      <c r="A192" s="2" t="s">
        <v>146</v>
      </c>
      <c r="B192" s="2" t="n">
        <v>10791</v>
      </c>
      <c r="C192" s="2" t="s">
        <v>147</v>
      </c>
      <c r="D192" s="2" t="s">
        <v>69</v>
      </c>
      <c r="E192" s="2" t="str">
        <f aca="false">_xlfn.CONCAT(D192,"-",B192)</f>
        <v>CE - EUROFARMA 6%-10791</v>
      </c>
      <c r="F192" s="2" t="n">
        <v>8</v>
      </c>
      <c r="G192" s="2" t="n">
        <v>232.44</v>
      </c>
    </row>
    <row r="193" customFormat="false" ht="13.8" hidden="false" customHeight="false" outlineLevel="0" collapsed="false">
      <c r="A193" s="2" t="s">
        <v>146</v>
      </c>
      <c r="B193" s="2" t="n">
        <v>10791</v>
      </c>
      <c r="C193" s="2" t="s">
        <v>147</v>
      </c>
      <c r="D193" s="2" t="s">
        <v>64</v>
      </c>
      <c r="E193" s="2" t="str">
        <f aca="false">_xlfn.CONCAT(D193,"-",B193)</f>
        <v>CE - 0000-10791</v>
      </c>
      <c r="F193" s="2" t="n">
        <v>1065</v>
      </c>
      <c r="G193" s="2" t="n">
        <v>27366.24</v>
      </c>
    </row>
    <row r="194" customFormat="false" ht="13.8" hidden="false" customHeight="false" outlineLevel="0" collapsed="false">
      <c r="A194" s="2" t="s">
        <v>146</v>
      </c>
      <c r="B194" s="2" t="n">
        <v>10791</v>
      </c>
      <c r="C194" s="2" t="s">
        <v>147</v>
      </c>
      <c r="D194" s="2" t="s">
        <v>67</v>
      </c>
      <c r="E194" s="2" t="str">
        <f aca="false">_xlfn.CONCAT(D194,"-",B194)</f>
        <v>CE - EUROFARMA G7-10791</v>
      </c>
      <c r="F194" s="2" t="n">
        <v>287</v>
      </c>
      <c r="G194" s="2" t="n">
        <v>7723.38</v>
      </c>
    </row>
    <row r="195" customFormat="false" ht="13.8" hidden="false" customHeight="false" outlineLevel="0" collapsed="false">
      <c r="A195" s="2" t="s">
        <v>146</v>
      </c>
      <c r="B195" s="2" t="n">
        <v>10791</v>
      </c>
      <c r="C195" s="2" t="s">
        <v>147</v>
      </c>
      <c r="D195" s="2" t="s">
        <v>68</v>
      </c>
      <c r="E195" s="2" t="str">
        <f aca="false">_xlfn.CONCAT(D195,"-",B195)</f>
        <v>CE - OL 002-10791</v>
      </c>
      <c r="F195" s="2" t="n">
        <v>47</v>
      </c>
      <c r="G195" s="2" t="n">
        <v>1386.45</v>
      </c>
    </row>
    <row r="196" customFormat="false" ht="13.8" hidden="false" customHeight="false" outlineLevel="0" collapsed="false">
      <c r="A196" s="2" t="s">
        <v>146</v>
      </c>
      <c r="B196" s="2" t="n">
        <v>10791</v>
      </c>
      <c r="C196" s="2" t="s">
        <v>147</v>
      </c>
      <c r="D196" s="2" t="s">
        <v>66</v>
      </c>
      <c r="E196" s="2" t="str">
        <f aca="false">_xlfn.CONCAT(D196,"-",B196)</f>
        <v>CE - OL 001-10791</v>
      </c>
      <c r="F196" s="2" t="n">
        <v>108</v>
      </c>
      <c r="G196" s="2" t="n">
        <v>2883.41</v>
      </c>
    </row>
    <row r="197" customFormat="false" ht="13.8" hidden="false" customHeight="false" outlineLevel="0" collapsed="false">
      <c r="A197" s="2" t="s">
        <v>148</v>
      </c>
      <c r="B197" s="2" t="n">
        <v>15726</v>
      </c>
      <c r="C197" s="2" t="s">
        <v>149</v>
      </c>
      <c r="D197" s="2" t="s">
        <v>64</v>
      </c>
      <c r="E197" s="2" t="str">
        <f aca="false">_xlfn.CONCAT(D197,"-",B197)</f>
        <v>CE - 0000-15726</v>
      </c>
      <c r="F197" s="2" t="n">
        <v>49</v>
      </c>
      <c r="G197" s="2" t="n">
        <v>3473.88</v>
      </c>
    </row>
    <row r="198" customFormat="false" ht="13.8" hidden="false" customHeight="false" outlineLevel="0" collapsed="false">
      <c r="A198" s="2" t="s">
        <v>148</v>
      </c>
      <c r="B198" s="2" t="n">
        <v>15726</v>
      </c>
      <c r="C198" s="2" t="s">
        <v>149</v>
      </c>
      <c r="D198" s="2" t="s">
        <v>66</v>
      </c>
      <c r="E198" s="2" t="str">
        <f aca="false">_xlfn.CONCAT(D198,"-",B198)</f>
        <v>CE - OL 001-15726</v>
      </c>
      <c r="F198" s="2" t="n">
        <v>47</v>
      </c>
      <c r="G198" s="2" t="n">
        <v>3203.58</v>
      </c>
    </row>
    <row r="199" customFormat="false" ht="13.8" hidden="false" customHeight="false" outlineLevel="0" collapsed="false">
      <c r="A199" s="2" t="s">
        <v>150</v>
      </c>
      <c r="B199" s="2" t="n">
        <v>12516</v>
      </c>
      <c r="C199" s="2" t="s">
        <v>151</v>
      </c>
      <c r="D199" s="2" t="s">
        <v>65</v>
      </c>
      <c r="E199" s="2" t="str">
        <f aca="false">_xlfn.CONCAT(D199,"-",B199)</f>
        <v>CE - EURO X AUGEFARMA-12516</v>
      </c>
      <c r="F199" s="2" t="n">
        <v>4</v>
      </c>
      <c r="G199" s="2" t="n">
        <v>153.73</v>
      </c>
    </row>
    <row r="200" customFormat="false" ht="13.8" hidden="false" customHeight="false" outlineLevel="0" collapsed="false">
      <c r="A200" s="2" t="s">
        <v>150</v>
      </c>
      <c r="B200" s="2" t="n">
        <v>12516</v>
      </c>
      <c r="C200" s="2" t="s">
        <v>151</v>
      </c>
      <c r="D200" s="2" t="s">
        <v>64</v>
      </c>
      <c r="E200" s="2" t="str">
        <f aca="false">_xlfn.CONCAT(D200,"-",B200)</f>
        <v>CE - 0000-12516</v>
      </c>
      <c r="F200" s="2" t="n">
        <v>67</v>
      </c>
      <c r="G200" s="2" t="n">
        <v>3141.95</v>
      </c>
    </row>
    <row r="201" customFormat="false" ht="13.8" hidden="false" customHeight="false" outlineLevel="0" collapsed="false">
      <c r="A201" s="2" t="s">
        <v>150</v>
      </c>
      <c r="B201" s="2" t="n">
        <v>12516</v>
      </c>
      <c r="C201" s="2" t="s">
        <v>151</v>
      </c>
      <c r="D201" s="2" t="s">
        <v>66</v>
      </c>
      <c r="E201" s="2" t="str">
        <f aca="false">_xlfn.CONCAT(D201,"-",B201)</f>
        <v>CE - OL 001-12516</v>
      </c>
      <c r="F201" s="2" t="n">
        <v>16</v>
      </c>
      <c r="G201" s="2" t="n">
        <v>771.27</v>
      </c>
    </row>
    <row r="202" customFormat="false" ht="13.8" hidden="false" customHeight="false" outlineLevel="0" collapsed="false">
      <c r="A202" s="2" t="s">
        <v>150</v>
      </c>
      <c r="B202" s="2" t="n">
        <v>12516</v>
      </c>
      <c r="C202" s="2" t="s">
        <v>151</v>
      </c>
      <c r="D202" s="2" t="s">
        <v>67</v>
      </c>
      <c r="E202" s="2" t="str">
        <f aca="false">_xlfn.CONCAT(D202,"-",B202)</f>
        <v>CE - EUROFARMA G7-12516</v>
      </c>
      <c r="F202" s="2" t="n">
        <v>33</v>
      </c>
      <c r="G202" s="2" t="n">
        <v>1628.34</v>
      </c>
    </row>
    <row r="203" customFormat="false" ht="13.8" hidden="false" customHeight="false" outlineLevel="0" collapsed="false">
      <c r="A203" s="2" t="s">
        <v>152</v>
      </c>
      <c r="B203" s="2" t="n">
        <v>15724</v>
      </c>
      <c r="C203" s="2" t="s">
        <v>153</v>
      </c>
      <c r="D203" s="2" t="s">
        <v>65</v>
      </c>
      <c r="E203" s="2" t="str">
        <f aca="false">_xlfn.CONCAT(D203,"-",B203)</f>
        <v>CE - EURO X AUGEFARMA-15724</v>
      </c>
      <c r="F203" s="2" t="n">
        <v>1</v>
      </c>
      <c r="G203" s="2" t="n">
        <v>86.83</v>
      </c>
    </row>
    <row r="204" customFormat="false" ht="13.8" hidden="false" customHeight="false" outlineLevel="0" collapsed="false">
      <c r="A204" s="2" t="s">
        <v>152</v>
      </c>
      <c r="B204" s="2" t="n">
        <v>15724</v>
      </c>
      <c r="C204" s="2" t="s">
        <v>153</v>
      </c>
      <c r="D204" s="2" t="s">
        <v>64</v>
      </c>
      <c r="E204" s="2" t="str">
        <f aca="false">_xlfn.CONCAT(D204,"-",B204)</f>
        <v>CE - 0000-15724</v>
      </c>
      <c r="F204" s="2" t="n">
        <v>200</v>
      </c>
      <c r="G204" s="2" t="n">
        <v>18437.77</v>
      </c>
    </row>
    <row r="205" customFormat="false" ht="13.8" hidden="false" customHeight="false" outlineLevel="0" collapsed="false">
      <c r="A205" s="2" t="s">
        <v>152</v>
      </c>
      <c r="B205" s="2" t="n">
        <v>15724</v>
      </c>
      <c r="C205" s="2" t="s">
        <v>153</v>
      </c>
      <c r="D205" s="2" t="s">
        <v>66</v>
      </c>
      <c r="E205" s="2" t="str">
        <f aca="false">_xlfn.CONCAT(D205,"-",B205)</f>
        <v>CE - OL 001-15724</v>
      </c>
      <c r="F205" s="2" t="n">
        <v>13</v>
      </c>
      <c r="G205" s="2" t="n">
        <v>1288.86</v>
      </c>
    </row>
    <row r="206" customFormat="false" ht="13.8" hidden="false" customHeight="false" outlineLevel="0" collapsed="false">
      <c r="A206" s="2" t="s">
        <v>154</v>
      </c>
      <c r="B206" s="2" t="n">
        <v>15725</v>
      </c>
      <c r="C206" s="2" t="s">
        <v>155</v>
      </c>
      <c r="D206" s="2" t="s">
        <v>64</v>
      </c>
      <c r="E206" s="2" t="str">
        <f aca="false">_xlfn.CONCAT(D206,"-",B206)</f>
        <v>CE - 0000-15725</v>
      </c>
      <c r="F206" s="2" t="n">
        <v>6</v>
      </c>
      <c r="G206" s="2" t="n">
        <v>1000.51</v>
      </c>
    </row>
    <row r="207" customFormat="false" ht="13.8" hidden="false" customHeight="false" outlineLevel="0" collapsed="false">
      <c r="A207" s="2" t="s">
        <v>154</v>
      </c>
      <c r="B207" s="2" t="n">
        <v>15725</v>
      </c>
      <c r="C207" s="2" t="s">
        <v>155</v>
      </c>
      <c r="D207" s="2" t="s">
        <v>66</v>
      </c>
      <c r="E207" s="2" t="str">
        <f aca="false">_xlfn.CONCAT(D207,"-",B207)</f>
        <v>CE - OL 001-15725</v>
      </c>
      <c r="F207" s="2" t="n">
        <v>1</v>
      </c>
      <c r="G207" s="2" t="n">
        <v>152.2</v>
      </c>
    </row>
    <row r="208" customFormat="false" ht="13.8" hidden="false" customHeight="false" outlineLevel="0" collapsed="false">
      <c r="A208" s="2" t="s">
        <v>156</v>
      </c>
      <c r="B208" s="2" t="n">
        <v>255</v>
      </c>
      <c r="C208" s="2" t="s">
        <v>157</v>
      </c>
      <c r="D208" s="2" t="s">
        <v>67</v>
      </c>
      <c r="E208" s="2" t="str">
        <f aca="false">_xlfn.CONCAT(D208,"-",B208)</f>
        <v>CE - EUROFARMA G7-255</v>
      </c>
      <c r="F208" s="2" t="n">
        <v>123</v>
      </c>
      <c r="G208" s="2" t="n">
        <v>3590.73</v>
      </c>
    </row>
    <row r="209" customFormat="false" ht="13.8" hidden="false" customHeight="false" outlineLevel="0" collapsed="false">
      <c r="A209" s="2" t="s">
        <v>156</v>
      </c>
      <c r="B209" s="2" t="n">
        <v>255</v>
      </c>
      <c r="C209" s="2" t="s">
        <v>157</v>
      </c>
      <c r="D209" s="2" t="s">
        <v>64</v>
      </c>
      <c r="E209" s="2" t="str">
        <f aca="false">_xlfn.CONCAT(D209,"-",B209)</f>
        <v>CE - 0000-255</v>
      </c>
      <c r="F209" s="2" t="n">
        <v>328</v>
      </c>
      <c r="G209" s="2" t="n">
        <v>9063.15</v>
      </c>
    </row>
    <row r="210" customFormat="false" ht="13.8" hidden="false" customHeight="false" outlineLevel="0" collapsed="false">
      <c r="A210" s="2" t="s">
        <v>156</v>
      </c>
      <c r="B210" s="2" t="n">
        <v>255</v>
      </c>
      <c r="C210" s="2" t="s">
        <v>157</v>
      </c>
      <c r="D210" s="2" t="s">
        <v>65</v>
      </c>
      <c r="E210" s="2" t="str">
        <f aca="false">_xlfn.CONCAT(D210,"-",B210)</f>
        <v>CE - EURO X AUGEFARMA-255</v>
      </c>
      <c r="F210" s="2" t="n">
        <v>9</v>
      </c>
      <c r="G210" s="2" t="n">
        <v>222.74</v>
      </c>
    </row>
    <row r="211" customFormat="false" ht="13.8" hidden="false" customHeight="false" outlineLevel="0" collapsed="false">
      <c r="A211" s="2" t="s">
        <v>156</v>
      </c>
      <c r="B211" s="2" t="n">
        <v>255</v>
      </c>
      <c r="C211" s="2" t="s">
        <v>157</v>
      </c>
      <c r="D211" s="2" t="s">
        <v>66</v>
      </c>
      <c r="E211" s="2" t="str">
        <f aca="false">_xlfn.CONCAT(D211,"-",B211)</f>
        <v>CE - OL 001-255</v>
      </c>
      <c r="F211" s="2" t="n">
        <v>38</v>
      </c>
      <c r="G211" s="2" t="n">
        <v>1181.88</v>
      </c>
    </row>
    <row r="212" customFormat="false" ht="13.8" hidden="false" customHeight="false" outlineLevel="0" collapsed="false">
      <c r="A212" s="2" t="s">
        <v>156</v>
      </c>
      <c r="B212" s="2" t="n">
        <v>255</v>
      </c>
      <c r="C212" s="2" t="s">
        <v>157</v>
      </c>
      <c r="D212" s="2" t="s">
        <v>68</v>
      </c>
      <c r="E212" s="2" t="str">
        <f aca="false">_xlfn.CONCAT(D212,"-",B212)</f>
        <v>CE - OL 002-255</v>
      </c>
      <c r="F212" s="2" t="n">
        <v>1</v>
      </c>
      <c r="G212" s="2" t="n">
        <v>31.15</v>
      </c>
    </row>
    <row r="213" customFormat="false" ht="13.8" hidden="false" customHeight="false" outlineLevel="0" collapsed="false">
      <c r="A213" s="2" t="s">
        <v>156</v>
      </c>
      <c r="B213" s="2" t="n">
        <v>255</v>
      </c>
      <c r="C213" s="2" t="s">
        <v>157</v>
      </c>
      <c r="D213" s="2" t="s">
        <v>69</v>
      </c>
      <c r="E213" s="2" t="str">
        <f aca="false">_xlfn.CONCAT(D213,"-",B213)</f>
        <v>CE - EUROFARMA 6%-255</v>
      </c>
      <c r="F213" s="2" t="n">
        <v>2</v>
      </c>
      <c r="G213" s="2" t="n">
        <v>58.1</v>
      </c>
    </row>
    <row r="214" customFormat="false" ht="13.8" hidden="false" customHeight="false" outlineLevel="0" collapsed="false">
      <c r="A214" s="2" t="s">
        <v>158</v>
      </c>
      <c r="B214" s="2" t="n">
        <v>257</v>
      </c>
      <c r="C214" s="2" t="s">
        <v>159</v>
      </c>
      <c r="D214" s="2" t="s">
        <v>67</v>
      </c>
      <c r="E214" s="2" t="str">
        <f aca="false">_xlfn.CONCAT(D214,"-",B214)</f>
        <v>CE - EUROFARMA G7-257</v>
      </c>
      <c r="F214" s="2" t="n">
        <v>1</v>
      </c>
      <c r="G214" s="2" t="n">
        <v>98.6</v>
      </c>
    </row>
    <row r="215" customFormat="false" ht="13.8" hidden="false" customHeight="false" outlineLevel="0" collapsed="false">
      <c r="A215" s="2" t="s">
        <v>158</v>
      </c>
      <c r="B215" s="2" t="n">
        <v>257</v>
      </c>
      <c r="C215" s="2" t="s">
        <v>159</v>
      </c>
      <c r="D215" s="2" t="s">
        <v>64</v>
      </c>
      <c r="E215" s="2" t="str">
        <f aca="false">_xlfn.CONCAT(D215,"-",B215)</f>
        <v>CE - 0000-257</v>
      </c>
      <c r="F215" s="2" t="n">
        <v>31</v>
      </c>
      <c r="G215" s="2" t="n">
        <v>2778.19</v>
      </c>
    </row>
    <row r="216" customFormat="false" ht="13.8" hidden="false" customHeight="false" outlineLevel="0" collapsed="false">
      <c r="A216" s="2" t="s">
        <v>160</v>
      </c>
      <c r="B216" s="2" t="n">
        <v>16401</v>
      </c>
      <c r="C216" s="2" t="s">
        <v>161</v>
      </c>
      <c r="D216" s="2" t="s">
        <v>65</v>
      </c>
      <c r="E216" s="2" t="str">
        <f aca="false">_xlfn.CONCAT(D216,"-",B216)</f>
        <v>CE - EURO X AUGEFARMA-16401</v>
      </c>
      <c r="F216" s="2" t="n">
        <v>19</v>
      </c>
      <c r="G216" s="2" t="n">
        <v>383.45</v>
      </c>
    </row>
    <row r="217" customFormat="false" ht="13.8" hidden="false" customHeight="false" outlineLevel="0" collapsed="false">
      <c r="A217" s="2" t="s">
        <v>160</v>
      </c>
      <c r="B217" s="2" t="n">
        <v>16401</v>
      </c>
      <c r="C217" s="2" t="s">
        <v>161</v>
      </c>
      <c r="D217" s="2" t="s">
        <v>67</v>
      </c>
      <c r="E217" s="2" t="str">
        <f aca="false">_xlfn.CONCAT(D217,"-",B217)</f>
        <v>CE - EUROFARMA G7-16401</v>
      </c>
      <c r="F217" s="2" t="n">
        <v>174</v>
      </c>
      <c r="G217" s="2" t="n">
        <v>3762.19</v>
      </c>
    </row>
    <row r="218" customFormat="false" ht="13.8" hidden="false" customHeight="false" outlineLevel="0" collapsed="false">
      <c r="A218" s="2" t="s">
        <v>160</v>
      </c>
      <c r="B218" s="2" t="n">
        <v>16401</v>
      </c>
      <c r="C218" s="2" t="s">
        <v>161</v>
      </c>
      <c r="D218" s="2" t="s">
        <v>66</v>
      </c>
      <c r="E218" s="2" t="str">
        <f aca="false">_xlfn.CONCAT(D218,"-",B218)</f>
        <v>CE - OL 001-16401</v>
      </c>
      <c r="F218" s="2" t="n">
        <v>84</v>
      </c>
      <c r="G218" s="2" t="n">
        <v>2382.76</v>
      </c>
    </row>
    <row r="219" customFormat="false" ht="13.8" hidden="false" customHeight="false" outlineLevel="0" collapsed="false">
      <c r="A219" s="2" t="s">
        <v>160</v>
      </c>
      <c r="B219" s="2" t="n">
        <v>16401</v>
      </c>
      <c r="C219" s="2" t="s">
        <v>161</v>
      </c>
      <c r="D219" s="2" t="s">
        <v>64</v>
      </c>
      <c r="E219" s="2" t="str">
        <f aca="false">_xlfn.CONCAT(D219,"-",B219)</f>
        <v>CE - 0000-16401</v>
      </c>
      <c r="F219" s="2" t="n">
        <v>1060</v>
      </c>
      <c r="G219" s="2" t="n">
        <v>25323.94</v>
      </c>
    </row>
    <row r="220" customFormat="false" ht="13.8" hidden="false" customHeight="false" outlineLevel="0" collapsed="false">
      <c r="A220" s="2" t="s">
        <v>160</v>
      </c>
      <c r="B220" s="2" t="n">
        <v>16401</v>
      </c>
      <c r="C220" s="2" t="s">
        <v>161</v>
      </c>
      <c r="D220" s="2" t="s">
        <v>69</v>
      </c>
      <c r="E220" s="2" t="str">
        <f aca="false">_xlfn.CONCAT(D220,"-",B220)</f>
        <v>CE - EUROFARMA 6%-16401</v>
      </c>
      <c r="F220" s="2" t="n">
        <v>22</v>
      </c>
      <c r="G220" s="2" t="n">
        <v>585.31</v>
      </c>
    </row>
    <row r="221" customFormat="false" ht="13.8" hidden="false" customHeight="false" outlineLevel="0" collapsed="false">
      <c r="A221" s="2" t="s">
        <v>160</v>
      </c>
      <c r="B221" s="2" t="n">
        <v>16401</v>
      </c>
      <c r="C221" s="2" t="s">
        <v>161</v>
      </c>
      <c r="D221" s="2" t="s">
        <v>68</v>
      </c>
      <c r="E221" s="2" t="str">
        <f aca="false">_xlfn.CONCAT(D221,"-",B221)</f>
        <v>CE - OL 002-16401</v>
      </c>
      <c r="F221" s="2" t="n">
        <v>9</v>
      </c>
      <c r="G221" s="2" t="n">
        <v>249.5</v>
      </c>
    </row>
    <row r="222" customFormat="false" ht="13.8" hidden="false" customHeight="false" outlineLevel="0" collapsed="false">
      <c r="A222" s="2" t="s">
        <v>162</v>
      </c>
      <c r="B222" s="2" t="n">
        <v>16402</v>
      </c>
      <c r="C222" s="2" t="s">
        <v>163</v>
      </c>
      <c r="D222" s="2" t="s">
        <v>66</v>
      </c>
      <c r="E222" s="2" t="str">
        <f aca="false">_xlfn.CONCAT(D222,"-",B222)</f>
        <v>CE - OL 001-16402</v>
      </c>
      <c r="F222" s="2" t="n">
        <v>2</v>
      </c>
      <c r="G222" s="2" t="n">
        <v>93.7</v>
      </c>
    </row>
    <row r="223" customFormat="false" ht="13.8" hidden="false" customHeight="false" outlineLevel="0" collapsed="false">
      <c r="A223" s="2" t="s">
        <v>162</v>
      </c>
      <c r="B223" s="2" t="n">
        <v>16402</v>
      </c>
      <c r="C223" s="2" t="s">
        <v>163</v>
      </c>
      <c r="D223" s="2" t="s">
        <v>65</v>
      </c>
      <c r="E223" s="2" t="str">
        <f aca="false">_xlfn.CONCAT(D223,"-",B223)</f>
        <v>CE - EURO X AUGEFARMA-16402</v>
      </c>
      <c r="F223" s="2" t="n">
        <v>3</v>
      </c>
      <c r="G223" s="2" t="n">
        <v>122.32</v>
      </c>
    </row>
    <row r="224" customFormat="false" ht="13.8" hidden="false" customHeight="false" outlineLevel="0" collapsed="false">
      <c r="A224" s="2" t="s">
        <v>162</v>
      </c>
      <c r="B224" s="2" t="n">
        <v>16402</v>
      </c>
      <c r="C224" s="2" t="s">
        <v>163</v>
      </c>
      <c r="D224" s="2" t="s">
        <v>68</v>
      </c>
      <c r="E224" s="2" t="str">
        <f aca="false">_xlfn.CONCAT(D224,"-",B224)</f>
        <v>CE - OL 002-16402</v>
      </c>
      <c r="F224" s="2" t="n">
        <v>3</v>
      </c>
      <c r="G224" s="2" t="n">
        <v>132.66</v>
      </c>
    </row>
    <row r="225" customFormat="false" ht="13.8" hidden="false" customHeight="false" outlineLevel="0" collapsed="false">
      <c r="A225" s="2" t="s">
        <v>162</v>
      </c>
      <c r="B225" s="2" t="n">
        <v>16402</v>
      </c>
      <c r="C225" s="2" t="s">
        <v>163</v>
      </c>
      <c r="D225" s="2" t="s">
        <v>64</v>
      </c>
      <c r="E225" s="2" t="str">
        <f aca="false">_xlfn.CONCAT(D225,"-",B225)</f>
        <v>CE - 0000-16402</v>
      </c>
      <c r="F225" s="2" t="n">
        <v>71</v>
      </c>
      <c r="G225" s="2" t="n">
        <v>3034.48</v>
      </c>
    </row>
    <row r="226" customFormat="false" ht="13.8" hidden="false" customHeight="false" outlineLevel="0" collapsed="false">
      <c r="A226" s="2" t="s">
        <v>164</v>
      </c>
      <c r="B226" s="2" t="n">
        <v>13184</v>
      </c>
      <c r="C226" s="2" t="s">
        <v>165</v>
      </c>
      <c r="D226" s="2" t="s">
        <v>68</v>
      </c>
      <c r="E226" s="2" t="str">
        <f aca="false">_xlfn.CONCAT(D226,"-",B226)</f>
        <v>CE - OL 002-13184</v>
      </c>
      <c r="F226" s="2" t="n">
        <v>4</v>
      </c>
      <c r="G226" s="2" t="n">
        <v>23.55</v>
      </c>
    </row>
    <row r="227" customFormat="false" ht="13.8" hidden="false" customHeight="false" outlineLevel="0" collapsed="false">
      <c r="A227" s="2" t="s">
        <v>164</v>
      </c>
      <c r="B227" s="2" t="n">
        <v>13184</v>
      </c>
      <c r="C227" s="2" t="s">
        <v>165</v>
      </c>
      <c r="D227" s="2" t="s">
        <v>67</v>
      </c>
      <c r="E227" s="2" t="str">
        <f aca="false">_xlfn.CONCAT(D227,"-",B227)</f>
        <v>CE - EUROFARMA G7-13184</v>
      </c>
      <c r="F227" s="2" t="n">
        <v>29</v>
      </c>
      <c r="G227" s="2" t="n">
        <v>162.93</v>
      </c>
    </row>
    <row r="228" customFormat="false" ht="13.8" hidden="false" customHeight="false" outlineLevel="0" collapsed="false">
      <c r="A228" s="2" t="s">
        <v>164</v>
      </c>
      <c r="B228" s="2" t="n">
        <v>13184</v>
      </c>
      <c r="C228" s="2" t="s">
        <v>165</v>
      </c>
      <c r="D228" s="2" t="s">
        <v>64</v>
      </c>
      <c r="E228" s="2" t="str">
        <f aca="false">_xlfn.CONCAT(D228,"-",B228)</f>
        <v>CE - 0000-13184</v>
      </c>
      <c r="F228" s="2" t="n">
        <v>608</v>
      </c>
      <c r="G228" s="2" t="n">
        <v>3231.55</v>
      </c>
    </row>
    <row r="229" customFormat="false" ht="13.8" hidden="false" customHeight="false" outlineLevel="0" collapsed="false">
      <c r="A229" s="2" t="s">
        <v>164</v>
      </c>
      <c r="B229" s="2" t="n">
        <v>13184</v>
      </c>
      <c r="C229" s="2" t="s">
        <v>165</v>
      </c>
      <c r="D229" s="2" t="s">
        <v>65</v>
      </c>
      <c r="E229" s="2" t="str">
        <f aca="false">_xlfn.CONCAT(D229,"-",B229)</f>
        <v>CE - EURO X AUGEFARMA-13184</v>
      </c>
      <c r="F229" s="2" t="n">
        <v>15</v>
      </c>
      <c r="G229" s="2" t="n">
        <v>70.58</v>
      </c>
    </row>
    <row r="230" customFormat="false" ht="13.8" hidden="false" customHeight="false" outlineLevel="0" collapsed="false">
      <c r="A230" s="2" t="s">
        <v>164</v>
      </c>
      <c r="B230" s="2" t="n">
        <v>13184</v>
      </c>
      <c r="C230" s="2" t="s">
        <v>165</v>
      </c>
      <c r="D230" s="2" t="s">
        <v>69</v>
      </c>
      <c r="E230" s="2" t="str">
        <f aca="false">_xlfn.CONCAT(D230,"-",B230)</f>
        <v>CE - EUROFARMA 6%-13184</v>
      </c>
      <c r="F230" s="2" t="n">
        <v>29</v>
      </c>
      <c r="G230" s="2" t="n">
        <v>158.78</v>
      </c>
    </row>
    <row r="231" customFormat="false" ht="13.8" hidden="false" customHeight="false" outlineLevel="0" collapsed="false">
      <c r="A231" s="2" t="s">
        <v>164</v>
      </c>
      <c r="B231" s="2" t="n">
        <v>13184</v>
      </c>
      <c r="C231" s="2" t="s">
        <v>165</v>
      </c>
      <c r="D231" s="2" t="s">
        <v>66</v>
      </c>
      <c r="E231" s="2" t="str">
        <f aca="false">_xlfn.CONCAT(D231,"-",B231)</f>
        <v>CE - OL 001-13184</v>
      </c>
      <c r="F231" s="2" t="n">
        <v>8</v>
      </c>
      <c r="G231" s="2" t="n">
        <v>42.49</v>
      </c>
    </row>
    <row r="232" customFormat="false" ht="13.8" hidden="false" customHeight="false" outlineLevel="0" collapsed="false">
      <c r="A232" s="2" t="s">
        <v>166</v>
      </c>
      <c r="B232" s="2" t="n">
        <v>13185</v>
      </c>
      <c r="C232" s="2" t="s">
        <v>167</v>
      </c>
      <c r="D232" s="2" t="s">
        <v>64</v>
      </c>
      <c r="E232" s="2" t="str">
        <f aca="false">_xlfn.CONCAT(D232,"-",B232)</f>
        <v>CE - 0000-13185</v>
      </c>
      <c r="F232" s="2" t="n">
        <v>318</v>
      </c>
      <c r="G232" s="2" t="n">
        <v>2684.55</v>
      </c>
    </row>
    <row r="233" customFormat="false" ht="13.8" hidden="false" customHeight="false" outlineLevel="0" collapsed="false">
      <c r="A233" s="2" t="s">
        <v>166</v>
      </c>
      <c r="B233" s="2" t="n">
        <v>13185</v>
      </c>
      <c r="C233" s="2" t="s">
        <v>167</v>
      </c>
      <c r="D233" s="2" t="s">
        <v>66</v>
      </c>
      <c r="E233" s="2" t="str">
        <f aca="false">_xlfn.CONCAT(D233,"-",B233)</f>
        <v>CE - OL 001-13185</v>
      </c>
      <c r="F233" s="2" t="n">
        <v>9</v>
      </c>
      <c r="G233" s="2" t="n">
        <v>83.14</v>
      </c>
    </row>
    <row r="234" customFormat="false" ht="13.8" hidden="false" customHeight="false" outlineLevel="0" collapsed="false">
      <c r="A234" s="2" t="s">
        <v>166</v>
      </c>
      <c r="B234" s="2" t="n">
        <v>13185</v>
      </c>
      <c r="C234" s="2" t="s">
        <v>167</v>
      </c>
      <c r="D234" s="2" t="s">
        <v>67</v>
      </c>
      <c r="E234" s="2" t="str">
        <f aca="false">_xlfn.CONCAT(D234,"-",B234)</f>
        <v>CE - EUROFARMA G7-13185</v>
      </c>
      <c r="F234" s="2" t="n">
        <v>50</v>
      </c>
      <c r="G234" s="2" t="n">
        <v>448.32</v>
      </c>
    </row>
    <row r="235" customFormat="false" ht="13.8" hidden="false" customHeight="false" outlineLevel="0" collapsed="false">
      <c r="A235" s="2" t="s">
        <v>166</v>
      </c>
      <c r="B235" s="2" t="n">
        <v>13185</v>
      </c>
      <c r="C235" s="2" t="s">
        <v>167</v>
      </c>
      <c r="D235" s="2" t="s">
        <v>68</v>
      </c>
      <c r="E235" s="2" t="str">
        <f aca="false">_xlfn.CONCAT(D235,"-",B235)</f>
        <v>CE - OL 002-13185</v>
      </c>
      <c r="F235" s="2" t="n">
        <v>4</v>
      </c>
      <c r="G235" s="2" t="n">
        <v>38.73</v>
      </c>
    </row>
    <row r="236" customFormat="false" ht="13.8" hidden="false" customHeight="false" outlineLevel="0" collapsed="false">
      <c r="A236" s="2" t="s">
        <v>168</v>
      </c>
      <c r="B236" s="2" t="n">
        <v>1064</v>
      </c>
      <c r="C236" s="2" t="s">
        <v>169</v>
      </c>
      <c r="D236" s="2" t="s">
        <v>68</v>
      </c>
      <c r="E236" s="2" t="str">
        <f aca="false">_xlfn.CONCAT(D236,"-",B236)</f>
        <v>CE - OL 002-1064</v>
      </c>
      <c r="F236" s="2" t="n">
        <v>3</v>
      </c>
      <c r="G236" s="2" t="n">
        <v>151.22</v>
      </c>
    </row>
    <row r="237" customFormat="false" ht="13.8" hidden="false" customHeight="false" outlineLevel="0" collapsed="false">
      <c r="A237" s="2" t="s">
        <v>168</v>
      </c>
      <c r="B237" s="2" t="n">
        <v>1064</v>
      </c>
      <c r="C237" s="2" t="s">
        <v>169</v>
      </c>
      <c r="D237" s="2" t="s">
        <v>66</v>
      </c>
      <c r="E237" s="2" t="str">
        <f aca="false">_xlfn.CONCAT(D237,"-",B237)</f>
        <v>CE - OL 001-1064</v>
      </c>
      <c r="F237" s="2" t="n">
        <v>60</v>
      </c>
      <c r="G237" s="2" t="n">
        <v>3015.57</v>
      </c>
    </row>
    <row r="238" customFormat="false" ht="13.8" hidden="false" customHeight="false" outlineLevel="0" collapsed="false">
      <c r="A238" s="2" t="s">
        <v>168</v>
      </c>
      <c r="B238" s="2" t="n">
        <v>1064</v>
      </c>
      <c r="C238" s="2" t="s">
        <v>169</v>
      </c>
      <c r="D238" s="2" t="s">
        <v>64</v>
      </c>
      <c r="E238" s="2" t="str">
        <f aca="false">_xlfn.CONCAT(D238,"-",B238)</f>
        <v>CE - 0000-1064</v>
      </c>
      <c r="F238" s="2" t="n">
        <v>367</v>
      </c>
      <c r="G238" s="2" t="n">
        <v>16790.59</v>
      </c>
    </row>
    <row r="239" customFormat="false" ht="13.8" hidden="false" customHeight="false" outlineLevel="0" collapsed="false">
      <c r="A239" s="2" t="s">
        <v>168</v>
      </c>
      <c r="B239" s="2" t="n">
        <v>1064</v>
      </c>
      <c r="C239" s="2" t="s">
        <v>169</v>
      </c>
      <c r="D239" s="2" t="s">
        <v>65</v>
      </c>
      <c r="E239" s="2" t="str">
        <f aca="false">_xlfn.CONCAT(D239,"-",B239)</f>
        <v>CE - EURO X AUGEFARMA-1064</v>
      </c>
      <c r="F239" s="2" t="n">
        <v>8</v>
      </c>
      <c r="G239" s="2" t="n">
        <v>343.46</v>
      </c>
    </row>
    <row r="240" customFormat="false" ht="13.8" hidden="false" customHeight="false" outlineLevel="0" collapsed="false">
      <c r="A240" s="2" t="s">
        <v>168</v>
      </c>
      <c r="B240" s="2" t="n">
        <v>1064</v>
      </c>
      <c r="C240" s="2" t="s">
        <v>169</v>
      </c>
      <c r="D240" s="2" t="s">
        <v>69</v>
      </c>
      <c r="E240" s="2" t="str">
        <f aca="false">_xlfn.CONCAT(D240,"-",B240)</f>
        <v>CE - EUROFARMA 6%-1064</v>
      </c>
      <c r="F240" s="2" t="n">
        <v>6</v>
      </c>
      <c r="G240" s="2" t="n">
        <v>265.04</v>
      </c>
    </row>
    <row r="241" customFormat="false" ht="13.8" hidden="false" customHeight="false" outlineLevel="0" collapsed="false">
      <c r="A241" s="2" t="s">
        <v>168</v>
      </c>
      <c r="B241" s="2" t="n">
        <v>1064</v>
      </c>
      <c r="C241" s="2" t="s">
        <v>169</v>
      </c>
      <c r="D241" s="2" t="s">
        <v>67</v>
      </c>
      <c r="E241" s="2" t="str">
        <f aca="false">_xlfn.CONCAT(D241,"-",B241)</f>
        <v>CE - EUROFARMA G7-1064</v>
      </c>
      <c r="F241" s="2" t="n">
        <v>129</v>
      </c>
      <c r="G241" s="2" t="n">
        <v>6071.4</v>
      </c>
    </row>
    <row r="242" customFormat="false" ht="13.8" hidden="false" customHeight="false" outlineLevel="0" collapsed="false">
      <c r="A242" s="2" t="s">
        <v>170</v>
      </c>
      <c r="B242" s="2" t="n">
        <v>1063</v>
      </c>
      <c r="C242" s="2" t="s">
        <v>171</v>
      </c>
      <c r="D242" s="2" t="s">
        <v>65</v>
      </c>
      <c r="E242" s="2" t="str">
        <f aca="false">_xlfn.CONCAT(D242,"-",B242)</f>
        <v>CE - EURO X AUGEFARMA-1063</v>
      </c>
      <c r="F242" s="2" t="n">
        <v>91</v>
      </c>
      <c r="G242" s="2" t="n">
        <v>1041.29</v>
      </c>
    </row>
    <row r="243" customFormat="false" ht="13.8" hidden="false" customHeight="false" outlineLevel="0" collapsed="false">
      <c r="A243" s="2" t="s">
        <v>170</v>
      </c>
      <c r="B243" s="2" t="n">
        <v>1063</v>
      </c>
      <c r="C243" s="2" t="s">
        <v>171</v>
      </c>
      <c r="D243" s="2" t="s">
        <v>67</v>
      </c>
      <c r="E243" s="2" t="str">
        <f aca="false">_xlfn.CONCAT(D243,"-",B243)</f>
        <v>CE - EUROFARMA G7-1063</v>
      </c>
      <c r="F243" s="2" t="n">
        <v>942</v>
      </c>
      <c r="G243" s="2" t="n">
        <v>13274.18</v>
      </c>
    </row>
    <row r="244" customFormat="false" ht="13.8" hidden="false" customHeight="false" outlineLevel="0" collapsed="false">
      <c r="A244" s="2" t="s">
        <v>170</v>
      </c>
      <c r="B244" s="2" t="n">
        <v>1063</v>
      </c>
      <c r="C244" s="2" t="s">
        <v>171</v>
      </c>
      <c r="D244" s="2" t="s">
        <v>64</v>
      </c>
      <c r="E244" s="2" t="str">
        <f aca="false">_xlfn.CONCAT(D244,"-",B244)</f>
        <v>CE - 0000-1063</v>
      </c>
      <c r="F244" s="2" t="n">
        <v>3698</v>
      </c>
      <c r="G244" s="2" t="n">
        <v>49998.39</v>
      </c>
    </row>
    <row r="245" customFormat="false" ht="13.8" hidden="false" customHeight="false" outlineLevel="0" collapsed="false">
      <c r="A245" s="2" t="s">
        <v>170</v>
      </c>
      <c r="B245" s="2" t="n">
        <v>1063</v>
      </c>
      <c r="C245" s="2" t="s">
        <v>171</v>
      </c>
      <c r="D245" s="2" t="s">
        <v>69</v>
      </c>
      <c r="E245" s="2" t="str">
        <f aca="false">_xlfn.CONCAT(D245,"-",B245)</f>
        <v>CE - EUROFARMA 6%-1063</v>
      </c>
      <c r="F245" s="2" t="n">
        <v>92</v>
      </c>
      <c r="G245" s="2" t="n">
        <v>1374.9</v>
      </c>
    </row>
    <row r="246" customFormat="false" ht="13.8" hidden="false" customHeight="false" outlineLevel="0" collapsed="false">
      <c r="A246" s="2" t="s">
        <v>170</v>
      </c>
      <c r="B246" s="2" t="n">
        <v>1063</v>
      </c>
      <c r="C246" s="2" t="s">
        <v>171</v>
      </c>
      <c r="D246" s="2" t="s">
        <v>66</v>
      </c>
      <c r="E246" s="2" t="str">
        <f aca="false">_xlfn.CONCAT(D246,"-",B246)</f>
        <v>CE - OL 001-1063</v>
      </c>
      <c r="F246" s="2" t="n">
        <v>214</v>
      </c>
      <c r="G246" s="2" t="n">
        <v>2954.42</v>
      </c>
    </row>
    <row r="247" customFormat="false" ht="13.8" hidden="false" customHeight="false" outlineLevel="0" collapsed="false">
      <c r="A247" s="2" t="s">
        <v>172</v>
      </c>
      <c r="B247" s="2" t="n">
        <v>22866</v>
      </c>
      <c r="C247" s="2" t="s">
        <v>171</v>
      </c>
      <c r="D247" s="2" t="s">
        <v>68</v>
      </c>
      <c r="E247" s="2" t="str">
        <f aca="false">_xlfn.CONCAT(D247,"-",B247)</f>
        <v>CE - OL 002-22866</v>
      </c>
      <c r="F247" s="2" t="n">
        <v>14</v>
      </c>
      <c r="G247" s="2" t="n">
        <v>211.84</v>
      </c>
    </row>
    <row r="248" customFormat="false" ht="13.8" hidden="false" customHeight="false" outlineLevel="0" collapsed="false">
      <c r="A248" s="2" t="s">
        <v>173</v>
      </c>
      <c r="B248" s="2" t="n">
        <v>1066</v>
      </c>
      <c r="C248" s="2" t="s">
        <v>174</v>
      </c>
      <c r="D248" s="2" t="s">
        <v>64</v>
      </c>
      <c r="E248" s="2" t="str">
        <f aca="false">_xlfn.CONCAT(D248,"-",B248)</f>
        <v>CE - 0000-1066</v>
      </c>
      <c r="F248" s="2" t="n">
        <v>121</v>
      </c>
      <c r="G248" s="2" t="n">
        <v>4011.38</v>
      </c>
    </row>
    <row r="249" customFormat="false" ht="13.8" hidden="false" customHeight="false" outlineLevel="0" collapsed="false">
      <c r="A249" s="2" t="s">
        <v>173</v>
      </c>
      <c r="B249" s="2" t="n">
        <v>1066</v>
      </c>
      <c r="C249" s="2" t="s">
        <v>174</v>
      </c>
      <c r="D249" s="2" t="s">
        <v>67</v>
      </c>
      <c r="E249" s="2" t="str">
        <f aca="false">_xlfn.CONCAT(D249,"-",B249)</f>
        <v>CE - EUROFARMA G7-1066</v>
      </c>
      <c r="F249" s="2" t="n">
        <v>83</v>
      </c>
      <c r="G249" s="2" t="n">
        <v>2717.55</v>
      </c>
    </row>
    <row r="250" customFormat="false" ht="13.8" hidden="false" customHeight="false" outlineLevel="0" collapsed="false">
      <c r="A250" s="2" t="s">
        <v>173</v>
      </c>
      <c r="B250" s="2" t="n">
        <v>1066</v>
      </c>
      <c r="C250" s="2" t="s">
        <v>174</v>
      </c>
      <c r="D250" s="2" t="s">
        <v>68</v>
      </c>
      <c r="E250" s="2" t="str">
        <f aca="false">_xlfn.CONCAT(D250,"-",B250)</f>
        <v>CE - OL 002-1066</v>
      </c>
      <c r="F250" s="2" t="n">
        <v>3</v>
      </c>
      <c r="G250" s="2" t="n">
        <v>108.37</v>
      </c>
    </row>
    <row r="251" customFormat="false" ht="13.8" hidden="false" customHeight="false" outlineLevel="0" collapsed="false">
      <c r="A251" s="2" t="s">
        <v>175</v>
      </c>
      <c r="B251" s="2" t="n">
        <v>1068</v>
      </c>
      <c r="C251" s="2" t="s">
        <v>176</v>
      </c>
      <c r="D251" s="2" t="s">
        <v>67</v>
      </c>
      <c r="E251" s="2" t="str">
        <f aca="false">_xlfn.CONCAT(D251,"-",B251)</f>
        <v>CE - EUROFARMA G7-1068</v>
      </c>
      <c r="F251" s="2" t="n">
        <v>910</v>
      </c>
      <c r="G251" s="2" t="n">
        <v>15874.3</v>
      </c>
    </row>
    <row r="252" customFormat="false" ht="13.8" hidden="false" customHeight="false" outlineLevel="0" collapsed="false">
      <c r="A252" s="2" t="s">
        <v>175</v>
      </c>
      <c r="B252" s="2" t="n">
        <v>1068</v>
      </c>
      <c r="C252" s="2" t="s">
        <v>176</v>
      </c>
      <c r="D252" s="2" t="s">
        <v>65</v>
      </c>
      <c r="E252" s="2" t="str">
        <f aca="false">_xlfn.CONCAT(D252,"-",B252)</f>
        <v>CE - EURO X AUGEFARMA-1068</v>
      </c>
      <c r="F252" s="2" t="n">
        <v>70</v>
      </c>
      <c r="G252" s="2" t="n">
        <v>1063.29</v>
      </c>
    </row>
    <row r="253" customFormat="false" ht="13.8" hidden="false" customHeight="false" outlineLevel="0" collapsed="false">
      <c r="A253" s="2" t="s">
        <v>175</v>
      </c>
      <c r="B253" s="2" t="n">
        <v>1068</v>
      </c>
      <c r="C253" s="2" t="s">
        <v>176</v>
      </c>
      <c r="D253" s="2" t="s">
        <v>68</v>
      </c>
      <c r="E253" s="2" t="str">
        <f aca="false">_xlfn.CONCAT(D253,"-",B253)</f>
        <v>CE - OL 002-1068</v>
      </c>
      <c r="F253" s="2" t="n">
        <v>32</v>
      </c>
      <c r="G253" s="2" t="n">
        <v>589.74</v>
      </c>
    </row>
    <row r="254" customFormat="false" ht="13.8" hidden="false" customHeight="false" outlineLevel="0" collapsed="false">
      <c r="A254" s="2" t="s">
        <v>175</v>
      </c>
      <c r="B254" s="2" t="n">
        <v>1068</v>
      </c>
      <c r="C254" s="2" t="s">
        <v>176</v>
      </c>
      <c r="D254" s="2" t="s">
        <v>177</v>
      </c>
      <c r="E254" s="2" t="str">
        <f aca="false">_xlfn.CONCAT(D254,"-",B254)</f>
        <v>CE - OL NCO01-1068</v>
      </c>
      <c r="F254" s="2" t="n">
        <v>10</v>
      </c>
      <c r="G254" s="2" t="n">
        <v>350.57</v>
      </c>
    </row>
    <row r="255" customFormat="false" ht="13.8" hidden="false" customHeight="false" outlineLevel="0" collapsed="false">
      <c r="A255" s="2" t="s">
        <v>175</v>
      </c>
      <c r="B255" s="2" t="n">
        <v>1068</v>
      </c>
      <c r="C255" s="2" t="s">
        <v>176</v>
      </c>
      <c r="D255" s="2" t="s">
        <v>69</v>
      </c>
      <c r="E255" s="2" t="str">
        <f aca="false">_xlfn.CONCAT(D255,"-",B255)</f>
        <v>CE - EUROFARMA 6%-1068</v>
      </c>
      <c r="F255" s="2" t="n">
        <v>23</v>
      </c>
      <c r="G255" s="2" t="n">
        <v>411.21</v>
      </c>
    </row>
    <row r="256" customFormat="false" ht="13.8" hidden="false" customHeight="false" outlineLevel="0" collapsed="false">
      <c r="A256" s="2" t="s">
        <v>175</v>
      </c>
      <c r="B256" s="2" t="n">
        <v>1068</v>
      </c>
      <c r="C256" s="2" t="s">
        <v>176</v>
      </c>
      <c r="D256" s="2" t="s">
        <v>64</v>
      </c>
      <c r="E256" s="2" t="str">
        <f aca="false">_xlfn.CONCAT(D256,"-",B256)</f>
        <v>CE - 0000-1068</v>
      </c>
      <c r="F256" s="2" t="n">
        <v>2863</v>
      </c>
      <c r="G256" s="2" t="n">
        <v>48363.94</v>
      </c>
    </row>
    <row r="257" customFormat="false" ht="13.8" hidden="false" customHeight="false" outlineLevel="0" collapsed="false">
      <c r="A257" s="2" t="s">
        <v>175</v>
      </c>
      <c r="B257" s="2" t="n">
        <v>1068</v>
      </c>
      <c r="C257" s="2" t="s">
        <v>176</v>
      </c>
      <c r="D257" s="2" t="s">
        <v>66</v>
      </c>
      <c r="E257" s="2" t="str">
        <f aca="false">_xlfn.CONCAT(D257,"-",B257)</f>
        <v>CE - OL 001-1068</v>
      </c>
      <c r="F257" s="2" t="n">
        <v>153</v>
      </c>
      <c r="G257" s="2" t="n">
        <v>2859.6</v>
      </c>
    </row>
    <row r="258" customFormat="false" ht="13.8" hidden="false" customHeight="false" outlineLevel="0" collapsed="false">
      <c r="A258" s="2" t="s">
        <v>178</v>
      </c>
      <c r="B258" s="2" t="n">
        <v>1067</v>
      </c>
      <c r="C258" s="2" t="s">
        <v>179</v>
      </c>
      <c r="D258" s="2" t="s">
        <v>69</v>
      </c>
      <c r="E258" s="2" t="str">
        <f aca="false">_xlfn.CONCAT(D258,"-",B258)</f>
        <v>CE - EUROFARMA 6%-1067</v>
      </c>
      <c r="F258" s="2" t="n">
        <v>71</v>
      </c>
      <c r="G258" s="2" t="n">
        <v>845.05</v>
      </c>
    </row>
    <row r="259" customFormat="false" ht="13.8" hidden="false" customHeight="false" outlineLevel="0" collapsed="false">
      <c r="A259" s="2" t="s">
        <v>178</v>
      </c>
      <c r="B259" s="2" t="n">
        <v>1067</v>
      </c>
      <c r="C259" s="2" t="s">
        <v>179</v>
      </c>
      <c r="D259" s="2" t="s">
        <v>66</v>
      </c>
      <c r="E259" s="2" t="str">
        <f aca="false">_xlfn.CONCAT(D259,"-",B259)</f>
        <v>CE - OL 001-1067</v>
      </c>
      <c r="F259" s="2" t="n">
        <v>440</v>
      </c>
      <c r="G259" s="2" t="n">
        <v>6141.67</v>
      </c>
    </row>
    <row r="260" customFormat="false" ht="13.8" hidden="false" customHeight="false" outlineLevel="0" collapsed="false">
      <c r="A260" s="2" t="s">
        <v>178</v>
      </c>
      <c r="B260" s="2" t="n">
        <v>1067</v>
      </c>
      <c r="C260" s="2" t="s">
        <v>179</v>
      </c>
      <c r="D260" s="2" t="s">
        <v>67</v>
      </c>
      <c r="E260" s="2" t="str">
        <f aca="false">_xlfn.CONCAT(D260,"-",B260)</f>
        <v>CE - EUROFARMA G7-1067</v>
      </c>
      <c r="F260" s="2" t="n">
        <v>684</v>
      </c>
      <c r="G260" s="2" t="n">
        <v>9530.68</v>
      </c>
    </row>
    <row r="261" customFormat="false" ht="13.8" hidden="false" customHeight="false" outlineLevel="0" collapsed="false">
      <c r="A261" s="2" t="s">
        <v>178</v>
      </c>
      <c r="B261" s="2" t="n">
        <v>1067</v>
      </c>
      <c r="C261" s="2" t="s">
        <v>179</v>
      </c>
      <c r="D261" s="2" t="s">
        <v>64</v>
      </c>
      <c r="E261" s="2" t="str">
        <f aca="false">_xlfn.CONCAT(D261,"-",B261)</f>
        <v>CE - 0000-1067</v>
      </c>
      <c r="F261" s="2" t="n">
        <v>2070</v>
      </c>
      <c r="G261" s="2" t="n">
        <v>26304.61</v>
      </c>
    </row>
    <row r="262" customFormat="false" ht="13.8" hidden="false" customHeight="false" outlineLevel="0" collapsed="false">
      <c r="A262" s="2" t="s">
        <v>178</v>
      </c>
      <c r="B262" s="2" t="n">
        <v>1067</v>
      </c>
      <c r="C262" s="2" t="s">
        <v>179</v>
      </c>
      <c r="D262" s="2" t="s">
        <v>90</v>
      </c>
      <c r="E262" s="2" t="str">
        <f aca="false">_xlfn.CONCAT(D262,"-",B262)</f>
        <v>CE - OL PROMOÇÃO DA SEMAN-1067</v>
      </c>
      <c r="F262" s="2" t="n">
        <v>94</v>
      </c>
      <c r="G262" s="2" t="n">
        <v>1031.51</v>
      </c>
    </row>
    <row r="263" customFormat="false" ht="13.8" hidden="false" customHeight="false" outlineLevel="0" collapsed="false">
      <c r="A263" s="2" t="s">
        <v>178</v>
      </c>
      <c r="B263" s="2" t="n">
        <v>1067</v>
      </c>
      <c r="C263" s="2" t="s">
        <v>179</v>
      </c>
      <c r="D263" s="2" t="s">
        <v>68</v>
      </c>
      <c r="E263" s="2" t="str">
        <f aca="false">_xlfn.CONCAT(D263,"-",B263)</f>
        <v>CE - OL 002-1067</v>
      </c>
      <c r="F263" s="2" t="n">
        <v>28</v>
      </c>
      <c r="G263" s="2" t="n">
        <v>409.4</v>
      </c>
    </row>
    <row r="264" customFormat="false" ht="13.8" hidden="false" customHeight="false" outlineLevel="0" collapsed="false">
      <c r="A264" s="2" t="s">
        <v>178</v>
      </c>
      <c r="B264" s="2" t="n">
        <v>1067</v>
      </c>
      <c r="C264" s="2" t="s">
        <v>179</v>
      </c>
      <c r="D264" s="2" t="s">
        <v>65</v>
      </c>
      <c r="E264" s="2" t="str">
        <f aca="false">_xlfn.CONCAT(D264,"-",B264)</f>
        <v>CE - EURO X AUGEFARMA-1067</v>
      </c>
      <c r="F264" s="2" t="n">
        <v>105</v>
      </c>
      <c r="G264" s="2" t="n">
        <v>1287.03</v>
      </c>
    </row>
    <row r="265" customFormat="false" ht="13.8" hidden="false" customHeight="false" outlineLevel="0" collapsed="false">
      <c r="A265" s="2" t="s">
        <v>180</v>
      </c>
      <c r="B265" s="2" t="n">
        <v>47</v>
      </c>
      <c r="C265" s="2" t="s">
        <v>181</v>
      </c>
      <c r="D265" s="2" t="s">
        <v>67</v>
      </c>
      <c r="E265" s="2" t="str">
        <f aca="false">_xlfn.CONCAT(D265,"-",B265)</f>
        <v>CE - EUROFARMA G7-47</v>
      </c>
      <c r="F265" s="2" t="n">
        <v>2</v>
      </c>
      <c r="G265" s="2" t="n">
        <v>129</v>
      </c>
    </row>
    <row r="266" customFormat="false" ht="13.8" hidden="false" customHeight="false" outlineLevel="0" collapsed="false">
      <c r="A266" s="2" t="s">
        <v>180</v>
      </c>
      <c r="B266" s="2" t="n">
        <v>47</v>
      </c>
      <c r="C266" s="2" t="s">
        <v>181</v>
      </c>
      <c r="D266" s="2" t="s">
        <v>64</v>
      </c>
      <c r="E266" s="2" t="str">
        <f aca="false">_xlfn.CONCAT(D266,"-",B266)</f>
        <v>CE - 0000-47</v>
      </c>
      <c r="F266" s="2" t="n">
        <v>143</v>
      </c>
      <c r="G266" s="2" t="n">
        <v>9185.38</v>
      </c>
    </row>
    <row r="267" customFormat="false" ht="13.8" hidden="false" customHeight="false" outlineLevel="0" collapsed="false">
      <c r="A267" s="2" t="s">
        <v>180</v>
      </c>
      <c r="B267" s="2" t="n">
        <v>47</v>
      </c>
      <c r="C267" s="2" t="s">
        <v>181</v>
      </c>
      <c r="D267" s="2" t="s">
        <v>68</v>
      </c>
      <c r="E267" s="2" t="str">
        <f aca="false">_xlfn.CONCAT(D267,"-",B267)</f>
        <v>CE - OL 002-47</v>
      </c>
      <c r="F267" s="2" t="n">
        <v>1</v>
      </c>
      <c r="G267" s="2" t="n">
        <v>71.13</v>
      </c>
    </row>
    <row r="268" customFormat="false" ht="13.8" hidden="false" customHeight="false" outlineLevel="0" collapsed="false">
      <c r="A268" s="2" t="s">
        <v>180</v>
      </c>
      <c r="B268" s="2" t="n">
        <v>47</v>
      </c>
      <c r="C268" s="2" t="s">
        <v>181</v>
      </c>
      <c r="D268" s="2" t="s">
        <v>65</v>
      </c>
      <c r="E268" s="2" t="str">
        <f aca="false">_xlfn.CONCAT(D268,"-",B268)</f>
        <v>CE - EURO X AUGEFARMA-47</v>
      </c>
      <c r="F268" s="2" t="n">
        <v>28</v>
      </c>
      <c r="G268" s="2" t="n">
        <v>1609.52</v>
      </c>
    </row>
    <row r="269" customFormat="false" ht="13.8" hidden="false" customHeight="false" outlineLevel="0" collapsed="false">
      <c r="A269" s="2" t="s">
        <v>180</v>
      </c>
      <c r="B269" s="2" t="n">
        <v>47</v>
      </c>
      <c r="C269" s="2" t="s">
        <v>181</v>
      </c>
      <c r="D269" s="2" t="s">
        <v>66</v>
      </c>
      <c r="E269" s="2" t="str">
        <f aca="false">_xlfn.CONCAT(D269,"-",B269)</f>
        <v>CE - OL 001-47</v>
      </c>
      <c r="F269" s="2" t="n">
        <v>4</v>
      </c>
      <c r="G269" s="2" t="n">
        <v>284.75</v>
      </c>
    </row>
    <row r="270" customFormat="false" ht="13.8" hidden="false" customHeight="false" outlineLevel="0" collapsed="false">
      <c r="A270" s="2" t="s">
        <v>182</v>
      </c>
      <c r="B270" s="2" t="n">
        <v>12407</v>
      </c>
      <c r="C270" s="2" t="s">
        <v>183</v>
      </c>
      <c r="D270" s="2" t="s">
        <v>64</v>
      </c>
      <c r="E270" s="2" t="str">
        <f aca="false">_xlfn.CONCAT(D270,"-",B270)</f>
        <v>CE - 0000-12407</v>
      </c>
      <c r="F270" s="2" t="n">
        <v>239</v>
      </c>
      <c r="G270" s="2" t="n">
        <v>4681.45</v>
      </c>
    </row>
    <row r="271" customFormat="false" ht="13.8" hidden="false" customHeight="false" outlineLevel="0" collapsed="false">
      <c r="A271" s="2" t="s">
        <v>182</v>
      </c>
      <c r="B271" s="2" t="n">
        <v>12407</v>
      </c>
      <c r="C271" s="2" t="s">
        <v>183</v>
      </c>
      <c r="D271" s="2" t="s">
        <v>66</v>
      </c>
      <c r="E271" s="2" t="str">
        <f aca="false">_xlfn.CONCAT(D271,"-",B271)</f>
        <v>CE - OL 001-12407</v>
      </c>
      <c r="F271" s="2" t="n">
        <v>74</v>
      </c>
      <c r="G271" s="2" t="n">
        <v>1594.26</v>
      </c>
    </row>
    <row r="272" customFormat="false" ht="13.8" hidden="false" customHeight="false" outlineLevel="0" collapsed="false">
      <c r="A272" s="2" t="s">
        <v>182</v>
      </c>
      <c r="B272" s="2" t="n">
        <v>12407</v>
      </c>
      <c r="C272" s="2" t="s">
        <v>183</v>
      </c>
      <c r="D272" s="2" t="s">
        <v>68</v>
      </c>
      <c r="E272" s="2" t="str">
        <f aca="false">_xlfn.CONCAT(D272,"-",B272)</f>
        <v>CE - OL 002-12407</v>
      </c>
      <c r="F272" s="2" t="n">
        <v>5</v>
      </c>
      <c r="G272" s="2" t="n">
        <v>106.44</v>
      </c>
    </row>
    <row r="273" customFormat="false" ht="13.8" hidden="false" customHeight="false" outlineLevel="0" collapsed="false">
      <c r="A273" s="2" t="s">
        <v>182</v>
      </c>
      <c r="B273" s="2" t="n">
        <v>12407</v>
      </c>
      <c r="C273" s="2" t="s">
        <v>183</v>
      </c>
      <c r="D273" s="2" t="s">
        <v>67</v>
      </c>
      <c r="E273" s="2" t="str">
        <f aca="false">_xlfn.CONCAT(D273,"-",B273)</f>
        <v>CE - EUROFARMA G7-12407</v>
      </c>
      <c r="F273" s="2" t="n">
        <v>2</v>
      </c>
      <c r="G273" s="2" t="n">
        <v>41.07</v>
      </c>
    </row>
    <row r="274" customFormat="false" ht="13.8" hidden="false" customHeight="false" outlineLevel="0" collapsed="false">
      <c r="A274" s="2" t="s">
        <v>184</v>
      </c>
      <c r="B274" s="2" t="n">
        <v>12515</v>
      </c>
      <c r="C274" s="2" t="s">
        <v>185</v>
      </c>
      <c r="D274" s="2" t="s">
        <v>66</v>
      </c>
      <c r="E274" s="2" t="str">
        <f aca="false">_xlfn.CONCAT(D274,"-",B274)</f>
        <v>CE - OL 001-12515</v>
      </c>
      <c r="F274" s="2" t="n">
        <v>698</v>
      </c>
      <c r="G274" s="2" t="n">
        <v>7841.62</v>
      </c>
    </row>
    <row r="275" customFormat="false" ht="13.8" hidden="false" customHeight="false" outlineLevel="0" collapsed="false">
      <c r="A275" s="2" t="s">
        <v>184</v>
      </c>
      <c r="B275" s="2" t="n">
        <v>12515</v>
      </c>
      <c r="C275" s="2" t="s">
        <v>185</v>
      </c>
      <c r="D275" s="2" t="s">
        <v>69</v>
      </c>
      <c r="E275" s="2" t="str">
        <f aca="false">_xlfn.CONCAT(D275,"-",B275)</f>
        <v>CE - EUROFARMA 6%-12515</v>
      </c>
      <c r="F275" s="2" t="n">
        <v>19</v>
      </c>
      <c r="G275" s="2" t="n">
        <v>160.21</v>
      </c>
    </row>
    <row r="276" customFormat="false" ht="13.8" hidden="false" customHeight="false" outlineLevel="0" collapsed="false">
      <c r="A276" s="2" t="s">
        <v>184</v>
      </c>
      <c r="B276" s="2" t="n">
        <v>12515</v>
      </c>
      <c r="C276" s="2" t="s">
        <v>185</v>
      </c>
      <c r="D276" s="2" t="s">
        <v>68</v>
      </c>
      <c r="E276" s="2" t="str">
        <f aca="false">_xlfn.CONCAT(D276,"-",B276)</f>
        <v>CE - OL 002-12515</v>
      </c>
      <c r="F276" s="2" t="n">
        <v>857</v>
      </c>
      <c r="G276" s="2" t="n">
        <v>10172.58</v>
      </c>
    </row>
    <row r="277" customFormat="false" ht="13.8" hidden="false" customHeight="false" outlineLevel="0" collapsed="false">
      <c r="A277" s="2" t="s">
        <v>184</v>
      </c>
      <c r="B277" s="2" t="n">
        <v>12515</v>
      </c>
      <c r="C277" s="2" t="s">
        <v>185</v>
      </c>
      <c r="D277" s="2" t="s">
        <v>64</v>
      </c>
      <c r="E277" s="2" t="str">
        <f aca="false">_xlfn.CONCAT(D277,"-",B277)</f>
        <v>CE - 0000-12515</v>
      </c>
      <c r="F277" s="2" t="n">
        <v>3633</v>
      </c>
      <c r="G277" s="2" t="n">
        <v>25353.26</v>
      </c>
    </row>
    <row r="278" customFormat="false" ht="13.8" hidden="false" customHeight="false" outlineLevel="0" collapsed="false">
      <c r="A278" s="2" t="s">
        <v>184</v>
      </c>
      <c r="B278" s="2" t="n">
        <v>12515</v>
      </c>
      <c r="C278" s="2" t="s">
        <v>185</v>
      </c>
      <c r="D278" s="2" t="s">
        <v>67</v>
      </c>
      <c r="E278" s="2" t="str">
        <f aca="false">_xlfn.CONCAT(D278,"-",B278)</f>
        <v>CE - EUROFARMA G7-12515</v>
      </c>
      <c r="F278" s="2" t="n">
        <v>1361</v>
      </c>
      <c r="G278" s="2" t="n">
        <v>9060.74</v>
      </c>
    </row>
    <row r="279" customFormat="false" ht="13.8" hidden="false" customHeight="false" outlineLevel="0" collapsed="false">
      <c r="A279" s="2" t="s">
        <v>186</v>
      </c>
      <c r="B279" s="2" t="n">
        <v>1044</v>
      </c>
      <c r="C279" s="2" t="s">
        <v>187</v>
      </c>
      <c r="D279" s="2" t="s">
        <v>65</v>
      </c>
      <c r="E279" s="2" t="str">
        <f aca="false">_xlfn.CONCAT(D279,"-",B279)</f>
        <v>CE - EURO X AUGEFARMA-1044</v>
      </c>
      <c r="F279" s="2" t="n">
        <v>67</v>
      </c>
      <c r="G279" s="2" t="n">
        <v>373.1</v>
      </c>
    </row>
    <row r="280" customFormat="false" ht="13.8" hidden="false" customHeight="false" outlineLevel="0" collapsed="false">
      <c r="A280" s="2" t="s">
        <v>186</v>
      </c>
      <c r="B280" s="2" t="n">
        <v>1044</v>
      </c>
      <c r="C280" s="2" t="s">
        <v>187</v>
      </c>
      <c r="D280" s="2" t="s">
        <v>64</v>
      </c>
      <c r="E280" s="2" t="str">
        <f aca="false">_xlfn.CONCAT(D280,"-",B280)</f>
        <v>CE - 0000-1044</v>
      </c>
      <c r="F280" s="2" t="n">
        <v>902</v>
      </c>
      <c r="G280" s="2" t="n">
        <v>6046.37</v>
      </c>
    </row>
    <row r="281" customFormat="false" ht="13.8" hidden="false" customHeight="false" outlineLevel="0" collapsed="false">
      <c r="A281" s="2" t="s">
        <v>186</v>
      </c>
      <c r="B281" s="2" t="n">
        <v>1044</v>
      </c>
      <c r="C281" s="2" t="s">
        <v>187</v>
      </c>
      <c r="D281" s="2" t="s">
        <v>67</v>
      </c>
      <c r="E281" s="2" t="str">
        <f aca="false">_xlfn.CONCAT(D281,"-",B281)</f>
        <v>CE - EUROFARMA G7-1044</v>
      </c>
      <c r="F281" s="2" t="n">
        <v>93</v>
      </c>
      <c r="G281" s="2" t="n">
        <v>651.43</v>
      </c>
    </row>
    <row r="282" customFormat="false" ht="13.8" hidden="false" customHeight="false" outlineLevel="0" collapsed="false">
      <c r="A282" s="2" t="s">
        <v>186</v>
      </c>
      <c r="B282" s="2" t="n">
        <v>1044</v>
      </c>
      <c r="C282" s="2" t="s">
        <v>187</v>
      </c>
      <c r="D282" s="2" t="s">
        <v>66</v>
      </c>
      <c r="E282" s="2" t="str">
        <f aca="false">_xlfn.CONCAT(D282,"-",B282)</f>
        <v>CE - OL 001-1044</v>
      </c>
      <c r="F282" s="2" t="n">
        <v>57</v>
      </c>
      <c r="G282" s="2" t="n">
        <v>426.51</v>
      </c>
    </row>
    <row r="283" customFormat="false" ht="13.8" hidden="false" customHeight="false" outlineLevel="0" collapsed="false">
      <c r="A283" s="2" t="s">
        <v>186</v>
      </c>
      <c r="B283" s="2" t="n">
        <v>1044</v>
      </c>
      <c r="C283" s="2" t="s">
        <v>187</v>
      </c>
      <c r="D283" s="2" t="s">
        <v>69</v>
      </c>
      <c r="E283" s="2" t="str">
        <f aca="false">_xlfn.CONCAT(D283,"-",B283)</f>
        <v>CE - EUROFARMA 6%-1044</v>
      </c>
      <c r="F283" s="2" t="n">
        <v>2</v>
      </c>
      <c r="G283" s="2" t="n">
        <v>14.78</v>
      </c>
    </row>
    <row r="284" customFormat="false" ht="13.8" hidden="false" customHeight="false" outlineLevel="0" collapsed="false">
      <c r="A284" s="2" t="s">
        <v>188</v>
      </c>
      <c r="B284" s="2" t="n">
        <v>1045</v>
      </c>
      <c r="C284" s="2" t="s">
        <v>189</v>
      </c>
      <c r="D284" s="2" t="s">
        <v>67</v>
      </c>
      <c r="E284" s="2" t="str">
        <f aca="false">_xlfn.CONCAT(D284,"-",B284)</f>
        <v>CE - EUROFARMA G7-1045</v>
      </c>
      <c r="F284" s="2" t="n">
        <v>57</v>
      </c>
      <c r="G284" s="2" t="n">
        <v>517.78</v>
      </c>
    </row>
    <row r="285" customFormat="false" ht="13.8" hidden="false" customHeight="false" outlineLevel="0" collapsed="false">
      <c r="A285" s="2" t="s">
        <v>188</v>
      </c>
      <c r="B285" s="2" t="n">
        <v>1045</v>
      </c>
      <c r="C285" s="2" t="s">
        <v>189</v>
      </c>
      <c r="D285" s="2" t="s">
        <v>64</v>
      </c>
      <c r="E285" s="2" t="str">
        <f aca="false">_xlfn.CONCAT(D285,"-",B285)</f>
        <v>CE - 0000-1045</v>
      </c>
      <c r="F285" s="2" t="n">
        <v>849</v>
      </c>
      <c r="G285" s="2" t="n">
        <v>7512.23</v>
      </c>
    </row>
    <row r="286" customFormat="false" ht="13.8" hidden="false" customHeight="false" outlineLevel="0" collapsed="false">
      <c r="A286" s="2" t="s">
        <v>188</v>
      </c>
      <c r="B286" s="2" t="n">
        <v>1045</v>
      </c>
      <c r="C286" s="2" t="s">
        <v>189</v>
      </c>
      <c r="D286" s="2" t="s">
        <v>65</v>
      </c>
      <c r="E286" s="2" t="str">
        <f aca="false">_xlfn.CONCAT(D286,"-",B286)</f>
        <v>CE - EURO X AUGEFARMA-1045</v>
      </c>
      <c r="F286" s="2" t="n">
        <v>30</v>
      </c>
      <c r="G286" s="2" t="n">
        <v>231.25</v>
      </c>
    </row>
    <row r="287" customFormat="false" ht="13.8" hidden="false" customHeight="false" outlineLevel="0" collapsed="false">
      <c r="A287" s="2" t="s">
        <v>188</v>
      </c>
      <c r="B287" s="2" t="n">
        <v>1045</v>
      </c>
      <c r="C287" s="2" t="s">
        <v>189</v>
      </c>
      <c r="D287" s="2" t="s">
        <v>66</v>
      </c>
      <c r="E287" s="2" t="str">
        <f aca="false">_xlfn.CONCAT(D287,"-",B287)</f>
        <v>CE - OL 001-1045</v>
      </c>
      <c r="F287" s="2" t="n">
        <v>55</v>
      </c>
      <c r="G287" s="2" t="n">
        <v>546.87</v>
      </c>
    </row>
    <row r="288" customFormat="false" ht="13.8" hidden="false" customHeight="false" outlineLevel="0" collapsed="false">
      <c r="A288" s="2" t="s">
        <v>190</v>
      </c>
      <c r="B288" s="2" t="n">
        <v>1046</v>
      </c>
      <c r="C288" s="2" t="s">
        <v>191</v>
      </c>
      <c r="D288" s="2" t="s">
        <v>64</v>
      </c>
      <c r="E288" s="2" t="str">
        <f aca="false">_xlfn.CONCAT(D288,"-",B288)</f>
        <v>CE - 0000-1046</v>
      </c>
      <c r="F288" s="2" t="n">
        <v>1250</v>
      </c>
      <c r="G288" s="2" t="n">
        <v>9063.38</v>
      </c>
    </row>
    <row r="289" customFormat="false" ht="13.8" hidden="false" customHeight="false" outlineLevel="0" collapsed="false">
      <c r="A289" s="2" t="s">
        <v>190</v>
      </c>
      <c r="B289" s="2" t="n">
        <v>1046</v>
      </c>
      <c r="C289" s="2" t="s">
        <v>191</v>
      </c>
      <c r="D289" s="2" t="s">
        <v>65</v>
      </c>
      <c r="E289" s="2" t="str">
        <f aca="false">_xlfn.CONCAT(D289,"-",B289)</f>
        <v>CE - EURO X AUGEFARMA-1046</v>
      </c>
      <c r="F289" s="2" t="n">
        <v>116</v>
      </c>
      <c r="G289" s="2" t="n">
        <v>702.87</v>
      </c>
    </row>
    <row r="290" customFormat="false" ht="13.8" hidden="false" customHeight="false" outlineLevel="0" collapsed="false">
      <c r="A290" s="2" t="s">
        <v>190</v>
      </c>
      <c r="B290" s="2" t="n">
        <v>1046</v>
      </c>
      <c r="C290" s="2" t="s">
        <v>191</v>
      </c>
      <c r="D290" s="2" t="s">
        <v>67</v>
      </c>
      <c r="E290" s="2" t="str">
        <f aca="false">_xlfn.CONCAT(D290,"-",B290)</f>
        <v>CE - EUROFARMA G7-1046</v>
      </c>
      <c r="F290" s="2" t="n">
        <v>43</v>
      </c>
      <c r="G290" s="2" t="n">
        <v>323.24</v>
      </c>
    </row>
    <row r="291" customFormat="false" ht="13.8" hidden="false" customHeight="false" outlineLevel="0" collapsed="false">
      <c r="A291" s="2" t="s">
        <v>190</v>
      </c>
      <c r="B291" s="2" t="n">
        <v>1046</v>
      </c>
      <c r="C291" s="2" t="s">
        <v>191</v>
      </c>
      <c r="D291" s="2" t="s">
        <v>66</v>
      </c>
      <c r="E291" s="2" t="str">
        <f aca="false">_xlfn.CONCAT(D291,"-",B291)</f>
        <v>CE - OL 001-1046</v>
      </c>
      <c r="F291" s="2" t="n">
        <v>39</v>
      </c>
      <c r="G291" s="2" t="n">
        <v>318.05</v>
      </c>
    </row>
    <row r="292" customFormat="false" ht="13.8" hidden="false" customHeight="false" outlineLevel="0" collapsed="false">
      <c r="A292" s="2" t="s">
        <v>192</v>
      </c>
      <c r="B292" s="2" t="n">
        <v>1047</v>
      </c>
      <c r="C292" s="2" t="s">
        <v>193</v>
      </c>
      <c r="D292" s="2" t="s">
        <v>66</v>
      </c>
      <c r="E292" s="2" t="str">
        <f aca="false">_xlfn.CONCAT(D292,"-",B292)</f>
        <v>CE - OL 001-1047</v>
      </c>
      <c r="F292" s="2" t="n">
        <v>31</v>
      </c>
      <c r="G292" s="2" t="n">
        <v>307.32</v>
      </c>
    </row>
    <row r="293" customFormat="false" ht="13.8" hidden="false" customHeight="false" outlineLevel="0" collapsed="false">
      <c r="A293" s="2" t="s">
        <v>192</v>
      </c>
      <c r="B293" s="2" t="n">
        <v>1047</v>
      </c>
      <c r="C293" s="2" t="s">
        <v>193</v>
      </c>
      <c r="D293" s="2" t="s">
        <v>65</v>
      </c>
      <c r="E293" s="2" t="str">
        <f aca="false">_xlfn.CONCAT(D293,"-",B293)</f>
        <v>CE - EURO X AUGEFARMA-1047</v>
      </c>
      <c r="F293" s="2" t="n">
        <v>44</v>
      </c>
      <c r="G293" s="2" t="n">
        <v>351.49</v>
      </c>
    </row>
    <row r="294" customFormat="false" ht="13.8" hidden="false" customHeight="false" outlineLevel="0" collapsed="false">
      <c r="A294" s="2" t="s">
        <v>192</v>
      </c>
      <c r="B294" s="2" t="n">
        <v>1047</v>
      </c>
      <c r="C294" s="2" t="s">
        <v>193</v>
      </c>
      <c r="D294" s="2" t="s">
        <v>67</v>
      </c>
      <c r="E294" s="2" t="str">
        <f aca="false">_xlfn.CONCAT(D294,"-",B294)</f>
        <v>CE - EUROFARMA G7-1047</v>
      </c>
      <c r="F294" s="2" t="n">
        <v>3</v>
      </c>
      <c r="G294" s="2" t="n">
        <v>28.98</v>
      </c>
    </row>
    <row r="295" customFormat="false" ht="13.8" hidden="false" customHeight="false" outlineLevel="0" collapsed="false">
      <c r="A295" s="2" t="s">
        <v>192</v>
      </c>
      <c r="B295" s="2" t="n">
        <v>1047</v>
      </c>
      <c r="C295" s="2" t="s">
        <v>193</v>
      </c>
      <c r="D295" s="2" t="s">
        <v>64</v>
      </c>
      <c r="E295" s="2" t="str">
        <f aca="false">_xlfn.CONCAT(D295,"-",B295)</f>
        <v>CE - 0000-1047</v>
      </c>
      <c r="F295" s="2" t="n">
        <v>1076</v>
      </c>
      <c r="G295" s="2" t="n">
        <v>9847.45</v>
      </c>
    </row>
    <row r="296" customFormat="false" ht="13.8" hidden="false" customHeight="false" outlineLevel="0" collapsed="false">
      <c r="A296" s="2" t="s">
        <v>192</v>
      </c>
      <c r="B296" s="2" t="n">
        <v>1047</v>
      </c>
      <c r="C296" s="2" t="s">
        <v>193</v>
      </c>
      <c r="D296" s="2" t="s">
        <v>68</v>
      </c>
      <c r="E296" s="2" t="str">
        <f aca="false">_xlfn.CONCAT(D296,"-",B296)</f>
        <v>CE - OL 002-1047</v>
      </c>
      <c r="F296" s="2" t="n">
        <v>6</v>
      </c>
      <c r="G296" s="2" t="n">
        <v>59.83</v>
      </c>
    </row>
    <row r="297" customFormat="false" ht="13.8" hidden="false" customHeight="false" outlineLevel="0" collapsed="false">
      <c r="A297" s="2" t="s">
        <v>194</v>
      </c>
      <c r="B297" s="2" t="n">
        <v>11952</v>
      </c>
      <c r="C297" s="2" t="s">
        <v>195</v>
      </c>
      <c r="D297" s="2" t="s">
        <v>67</v>
      </c>
      <c r="E297" s="2" t="str">
        <f aca="false">_xlfn.CONCAT(D297,"-",B297)</f>
        <v>CE - EUROFARMA G7-11952</v>
      </c>
      <c r="F297" s="2" t="n">
        <v>18247</v>
      </c>
      <c r="G297" s="2" t="n">
        <v>119967.45</v>
      </c>
    </row>
    <row r="298" customFormat="false" ht="13.8" hidden="false" customHeight="false" outlineLevel="0" collapsed="false">
      <c r="A298" s="2" t="s">
        <v>194</v>
      </c>
      <c r="B298" s="2" t="n">
        <v>11952</v>
      </c>
      <c r="C298" s="2" t="s">
        <v>195</v>
      </c>
      <c r="D298" s="2" t="s">
        <v>66</v>
      </c>
      <c r="E298" s="2" t="str">
        <f aca="false">_xlfn.CONCAT(D298,"-",B298)</f>
        <v>CE - OL 001-11952</v>
      </c>
      <c r="F298" s="2" t="n">
        <v>13509</v>
      </c>
      <c r="G298" s="2" t="n">
        <v>104029.98</v>
      </c>
    </row>
    <row r="299" customFormat="false" ht="13.8" hidden="false" customHeight="false" outlineLevel="0" collapsed="false">
      <c r="A299" s="2" t="s">
        <v>194</v>
      </c>
      <c r="B299" s="2" t="n">
        <v>11952</v>
      </c>
      <c r="C299" s="2" t="s">
        <v>195</v>
      </c>
      <c r="D299" s="2" t="s">
        <v>64</v>
      </c>
      <c r="E299" s="2" t="str">
        <f aca="false">_xlfn.CONCAT(D299,"-",B299)</f>
        <v>CE - 0000-11952</v>
      </c>
      <c r="F299" s="2" t="n">
        <v>128432</v>
      </c>
      <c r="G299" s="2" t="n">
        <v>848275.4</v>
      </c>
    </row>
    <row r="300" customFormat="false" ht="13.8" hidden="false" customHeight="false" outlineLevel="0" collapsed="false">
      <c r="A300" s="2" t="s">
        <v>194</v>
      </c>
      <c r="B300" s="2" t="n">
        <v>11952</v>
      </c>
      <c r="C300" s="2" t="s">
        <v>195</v>
      </c>
      <c r="D300" s="2" t="s">
        <v>177</v>
      </c>
      <c r="E300" s="2" t="str">
        <f aca="false">_xlfn.CONCAT(D300,"-",B300)</f>
        <v>CE - OL NCO01-11952</v>
      </c>
      <c r="F300" s="2" t="n">
        <v>500</v>
      </c>
      <c r="G300" s="2" t="n">
        <v>3707.86</v>
      </c>
    </row>
    <row r="301" customFormat="false" ht="13.8" hidden="false" customHeight="false" outlineLevel="0" collapsed="false">
      <c r="A301" s="2" t="s">
        <v>194</v>
      </c>
      <c r="B301" s="2" t="n">
        <v>11952</v>
      </c>
      <c r="C301" s="2" t="s">
        <v>195</v>
      </c>
      <c r="D301" s="2" t="s">
        <v>69</v>
      </c>
      <c r="E301" s="2" t="str">
        <f aca="false">_xlfn.CONCAT(D301,"-",B301)</f>
        <v>CE - EUROFARMA 6%-11952</v>
      </c>
      <c r="F301" s="2" t="n">
        <v>12</v>
      </c>
      <c r="G301" s="2" t="n">
        <v>108.63</v>
      </c>
    </row>
    <row r="302" customFormat="false" ht="13.8" hidden="false" customHeight="false" outlineLevel="0" collapsed="false">
      <c r="A302" s="2" t="s">
        <v>194</v>
      </c>
      <c r="B302" s="2" t="n">
        <v>11952</v>
      </c>
      <c r="C302" s="2" t="s">
        <v>195</v>
      </c>
      <c r="D302" s="2" t="s">
        <v>65</v>
      </c>
      <c r="E302" s="2" t="str">
        <f aca="false">_xlfn.CONCAT(D302,"-",B302)</f>
        <v>CE - EURO X AUGEFARMA-11952</v>
      </c>
      <c r="F302" s="2" t="n">
        <v>8433</v>
      </c>
      <c r="G302" s="2" t="n">
        <v>36629.64</v>
      </c>
    </row>
    <row r="303" customFormat="false" ht="13.8" hidden="false" customHeight="false" outlineLevel="0" collapsed="false">
      <c r="A303" s="2" t="s">
        <v>194</v>
      </c>
      <c r="B303" s="2" t="n">
        <v>11952</v>
      </c>
      <c r="C303" s="2" t="s">
        <v>195</v>
      </c>
      <c r="D303" s="2" t="s">
        <v>68</v>
      </c>
      <c r="E303" s="2" t="str">
        <f aca="false">_xlfn.CONCAT(D303,"-",B303)</f>
        <v>CE - OL 002-11952</v>
      </c>
      <c r="F303" s="2" t="n">
        <v>2239</v>
      </c>
      <c r="G303" s="2" t="n">
        <v>15652.7</v>
      </c>
    </row>
    <row r="304" customFormat="false" ht="13.8" hidden="false" customHeight="false" outlineLevel="0" collapsed="false">
      <c r="A304" s="2" t="s">
        <v>196</v>
      </c>
      <c r="B304" s="2" t="n">
        <v>11528</v>
      </c>
      <c r="C304" s="2" t="s">
        <v>197</v>
      </c>
      <c r="D304" s="2" t="s">
        <v>67</v>
      </c>
      <c r="E304" s="2" t="str">
        <f aca="false">_xlfn.CONCAT(D304,"-",B304)</f>
        <v>CE - EUROFARMA G7-11528</v>
      </c>
      <c r="F304" s="2" t="n">
        <v>86</v>
      </c>
      <c r="G304" s="2" t="n">
        <v>498.46</v>
      </c>
    </row>
    <row r="305" customFormat="false" ht="13.8" hidden="false" customHeight="false" outlineLevel="0" collapsed="false">
      <c r="A305" s="2" t="s">
        <v>196</v>
      </c>
      <c r="B305" s="2" t="n">
        <v>11528</v>
      </c>
      <c r="C305" s="2" t="s">
        <v>197</v>
      </c>
      <c r="D305" s="2" t="s">
        <v>66</v>
      </c>
      <c r="E305" s="2" t="str">
        <f aca="false">_xlfn.CONCAT(D305,"-",B305)</f>
        <v>CE - OL 001-11528</v>
      </c>
      <c r="F305" s="2" t="n">
        <v>3</v>
      </c>
      <c r="G305" s="2" t="n">
        <v>18.35</v>
      </c>
    </row>
    <row r="306" customFormat="false" ht="13.8" hidden="false" customHeight="false" outlineLevel="0" collapsed="false">
      <c r="A306" s="2" t="s">
        <v>196</v>
      </c>
      <c r="B306" s="2" t="n">
        <v>11528</v>
      </c>
      <c r="C306" s="2" t="s">
        <v>197</v>
      </c>
      <c r="D306" s="2" t="s">
        <v>64</v>
      </c>
      <c r="E306" s="2" t="str">
        <f aca="false">_xlfn.CONCAT(D306,"-",B306)</f>
        <v>CE - 0000-11528</v>
      </c>
      <c r="F306" s="2" t="n">
        <v>767</v>
      </c>
      <c r="G306" s="2" t="n">
        <v>4258.81</v>
      </c>
    </row>
    <row r="307" customFormat="false" ht="13.8" hidden="false" customHeight="false" outlineLevel="0" collapsed="false">
      <c r="A307" s="2" t="s">
        <v>198</v>
      </c>
      <c r="B307" s="2" t="n">
        <v>4546</v>
      </c>
      <c r="C307" s="2" t="s">
        <v>199</v>
      </c>
      <c r="D307" s="2" t="s">
        <v>68</v>
      </c>
      <c r="E307" s="2" t="str">
        <f aca="false">_xlfn.CONCAT(D307,"-",B307)</f>
        <v>CE - OL 002-4546</v>
      </c>
      <c r="F307" s="2" t="n">
        <v>6</v>
      </c>
      <c r="G307" s="2" t="n">
        <v>46.9</v>
      </c>
    </row>
    <row r="308" customFormat="false" ht="13.8" hidden="false" customHeight="false" outlineLevel="0" collapsed="false">
      <c r="A308" s="2" t="s">
        <v>198</v>
      </c>
      <c r="B308" s="2" t="n">
        <v>4546</v>
      </c>
      <c r="C308" s="2" t="s">
        <v>199</v>
      </c>
      <c r="D308" s="2" t="s">
        <v>64</v>
      </c>
      <c r="E308" s="2" t="str">
        <f aca="false">_xlfn.CONCAT(D308,"-",B308)</f>
        <v>CE - 0000-4546</v>
      </c>
      <c r="F308" s="2" t="n">
        <v>4032</v>
      </c>
      <c r="G308" s="2" t="n">
        <v>26947.42</v>
      </c>
    </row>
    <row r="309" customFormat="false" ht="13.8" hidden="false" customHeight="false" outlineLevel="0" collapsed="false">
      <c r="A309" s="2" t="s">
        <v>198</v>
      </c>
      <c r="B309" s="2" t="n">
        <v>4546</v>
      </c>
      <c r="C309" s="2" t="s">
        <v>199</v>
      </c>
      <c r="D309" s="2" t="s">
        <v>69</v>
      </c>
      <c r="E309" s="2" t="str">
        <f aca="false">_xlfn.CONCAT(D309,"-",B309)</f>
        <v>CE - EUROFARMA 6%-4546</v>
      </c>
      <c r="F309" s="2" t="n">
        <v>118</v>
      </c>
      <c r="G309" s="2" t="n">
        <v>773.21</v>
      </c>
    </row>
    <row r="310" customFormat="false" ht="13.8" hidden="false" customHeight="false" outlineLevel="0" collapsed="false">
      <c r="A310" s="2" t="s">
        <v>198</v>
      </c>
      <c r="B310" s="2" t="n">
        <v>4546</v>
      </c>
      <c r="C310" s="2" t="s">
        <v>199</v>
      </c>
      <c r="D310" s="2" t="s">
        <v>67</v>
      </c>
      <c r="E310" s="2" t="str">
        <f aca="false">_xlfn.CONCAT(D310,"-",B310)</f>
        <v>CE - EUROFARMA G7-4546</v>
      </c>
      <c r="F310" s="2" t="n">
        <v>369</v>
      </c>
      <c r="G310" s="2" t="n">
        <v>2581.04</v>
      </c>
    </row>
    <row r="311" customFormat="false" ht="13.8" hidden="false" customHeight="false" outlineLevel="0" collapsed="false">
      <c r="A311" s="2" t="s">
        <v>198</v>
      </c>
      <c r="B311" s="2" t="n">
        <v>4546</v>
      </c>
      <c r="C311" s="2" t="s">
        <v>199</v>
      </c>
      <c r="D311" s="2" t="s">
        <v>65</v>
      </c>
      <c r="E311" s="2" t="str">
        <f aca="false">_xlfn.CONCAT(D311,"-",B311)</f>
        <v>CE - EURO X AUGEFARMA-4546</v>
      </c>
      <c r="F311" s="2" t="n">
        <v>154</v>
      </c>
      <c r="G311" s="2" t="n">
        <v>960.09</v>
      </c>
    </row>
    <row r="312" customFormat="false" ht="13.8" hidden="false" customHeight="false" outlineLevel="0" collapsed="false">
      <c r="A312" s="2" t="s">
        <v>198</v>
      </c>
      <c r="B312" s="2" t="n">
        <v>4546</v>
      </c>
      <c r="C312" s="2" t="s">
        <v>199</v>
      </c>
      <c r="D312" s="2" t="s">
        <v>66</v>
      </c>
      <c r="E312" s="2" t="str">
        <f aca="false">_xlfn.CONCAT(D312,"-",B312)</f>
        <v>CE - OL 001-4546</v>
      </c>
      <c r="F312" s="2" t="n">
        <v>114</v>
      </c>
      <c r="G312" s="2" t="n">
        <v>761.26</v>
      </c>
    </row>
    <row r="313" customFormat="false" ht="13.8" hidden="false" customHeight="false" outlineLevel="0" collapsed="false">
      <c r="A313" s="2" t="s">
        <v>200</v>
      </c>
      <c r="B313" s="2" t="n">
        <v>3823</v>
      </c>
      <c r="C313" s="2" t="s">
        <v>201</v>
      </c>
      <c r="D313" s="2" t="s">
        <v>64</v>
      </c>
      <c r="E313" s="2" t="str">
        <f aca="false">_xlfn.CONCAT(D313,"-",B313)</f>
        <v>CE - 0000-3823</v>
      </c>
      <c r="F313" s="2" t="n">
        <v>1582</v>
      </c>
      <c r="G313" s="2" t="n">
        <v>15623.05</v>
      </c>
    </row>
    <row r="314" customFormat="false" ht="13.8" hidden="false" customHeight="false" outlineLevel="0" collapsed="false">
      <c r="A314" s="2" t="s">
        <v>200</v>
      </c>
      <c r="B314" s="2" t="n">
        <v>3823</v>
      </c>
      <c r="C314" s="2" t="s">
        <v>201</v>
      </c>
      <c r="D314" s="2" t="s">
        <v>65</v>
      </c>
      <c r="E314" s="2" t="str">
        <f aca="false">_xlfn.CONCAT(D314,"-",B314)</f>
        <v>CE - EURO X AUGEFARMA-3823</v>
      </c>
      <c r="F314" s="2" t="n">
        <v>86</v>
      </c>
      <c r="G314" s="2" t="n">
        <v>722.66</v>
      </c>
    </row>
    <row r="315" customFormat="false" ht="13.8" hidden="false" customHeight="false" outlineLevel="0" collapsed="false">
      <c r="A315" s="2" t="s">
        <v>200</v>
      </c>
      <c r="B315" s="2" t="n">
        <v>3823</v>
      </c>
      <c r="C315" s="2" t="s">
        <v>201</v>
      </c>
      <c r="D315" s="2" t="s">
        <v>66</v>
      </c>
      <c r="E315" s="2" t="str">
        <f aca="false">_xlfn.CONCAT(D315,"-",B315)</f>
        <v>CE - OL 001-3823</v>
      </c>
      <c r="F315" s="2" t="n">
        <v>105</v>
      </c>
      <c r="G315" s="2" t="n">
        <v>1109.42</v>
      </c>
    </row>
    <row r="316" customFormat="false" ht="13.8" hidden="false" customHeight="false" outlineLevel="0" collapsed="false">
      <c r="A316" s="2" t="s">
        <v>200</v>
      </c>
      <c r="B316" s="2" t="n">
        <v>3823</v>
      </c>
      <c r="C316" s="2" t="s">
        <v>201</v>
      </c>
      <c r="D316" s="2" t="s">
        <v>69</v>
      </c>
      <c r="E316" s="2" t="str">
        <f aca="false">_xlfn.CONCAT(D316,"-",B316)</f>
        <v>CE - EUROFARMA 6%-3823</v>
      </c>
      <c r="F316" s="2" t="n">
        <v>17</v>
      </c>
      <c r="G316" s="2" t="n">
        <v>192.63</v>
      </c>
    </row>
    <row r="317" customFormat="false" ht="13.8" hidden="false" customHeight="false" outlineLevel="0" collapsed="false">
      <c r="A317" s="2" t="s">
        <v>200</v>
      </c>
      <c r="B317" s="2" t="n">
        <v>3823</v>
      </c>
      <c r="C317" s="2" t="s">
        <v>201</v>
      </c>
      <c r="D317" s="2" t="s">
        <v>67</v>
      </c>
      <c r="E317" s="2" t="str">
        <f aca="false">_xlfn.CONCAT(D317,"-",B317)</f>
        <v>CE - EUROFARMA G7-3823</v>
      </c>
      <c r="F317" s="2" t="n">
        <v>107</v>
      </c>
      <c r="G317" s="2" t="n">
        <v>1073.99</v>
      </c>
    </row>
    <row r="318" customFormat="false" ht="13.8" hidden="false" customHeight="false" outlineLevel="0" collapsed="false">
      <c r="A318" s="2" t="s">
        <v>202</v>
      </c>
      <c r="B318" s="2" t="n">
        <v>4547</v>
      </c>
      <c r="C318" s="2" t="s">
        <v>203</v>
      </c>
      <c r="D318" s="2" t="s">
        <v>68</v>
      </c>
      <c r="E318" s="2" t="str">
        <f aca="false">_xlfn.CONCAT(D318,"-",B318)</f>
        <v>CE - OL 002-4547</v>
      </c>
      <c r="F318" s="2" t="n">
        <v>3</v>
      </c>
      <c r="G318" s="2" t="n">
        <v>21.07</v>
      </c>
    </row>
    <row r="319" customFormat="false" ht="13.8" hidden="false" customHeight="false" outlineLevel="0" collapsed="false">
      <c r="A319" s="2" t="s">
        <v>202</v>
      </c>
      <c r="B319" s="2" t="n">
        <v>4547</v>
      </c>
      <c r="C319" s="2" t="s">
        <v>203</v>
      </c>
      <c r="D319" s="2" t="s">
        <v>69</v>
      </c>
      <c r="E319" s="2" t="str">
        <f aca="false">_xlfn.CONCAT(D319,"-",B319)</f>
        <v>CE - EUROFARMA 6%-4547</v>
      </c>
      <c r="F319" s="2" t="n">
        <v>28</v>
      </c>
      <c r="G319" s="2" t="n">
        <v>164.7</v>
      </c>
    </row>
    <row r="320" customFormat="false" ht="13.8" hidden="false" customHeight="false" outlineLevel="0" collapsed="false">
      <c r="A320" s="2" t="s">
        <v>202</v>
      </c>
      <c r="B320" s="2" t="n">
        <v>4547</v>
      </c>
      <c r="C320" s="2" t="s">
        <v>203</v>
      </c>
      <c r="D320" s="2" t="s">
        <v>65</v>
      </c>
      <c r="E320" s="2" t="str">
        <f aca="false">_xlfn.CONCAT(D320,"-",B320)</f>
        <v>CE - EURO X AUGEFARMA-4547</v>
      </c>
      <c r="F320" s="2" t="n">
        <v>70</v>
      </c>
      <c r="G320" s="2" t="n">
        <v>391.54</v>
      </c>
    </row>
    <row r="321" customFormat="false" ht="13.8" hidden="false" customHeight="false" outlineLevel="0" collapsed="false">
      <c r="A321" s="2" t="s">
        <v>202</v>
      </c>
      <c r="B321" s="2" t="n">
        <v>4547</v>
      </c>
      <c r="C321" s="2" t="s">
        <v>203</v>
      </c>
      <c r="D321" s="2" t="s">
        <v>64</v>
      </c>
      <c r="E321" s="2" t="str">
        <f aca="false">_xlfn.CONCAT(D321,"-",B321)</f>
        <v>CE - 0000-4547</v>
      </c>
      <c r="F321" s="2" t="n">
        <v>2472</v>
      </c>
      <c r="G321" s="2" t="n">
        <v>14934.62</v>
      </c>
    </row>
    <row r="322" customFormat="false" ht="13.8" hidden="false" customHeight="false" outlineLevel="0" collapsed="false">
      <c r="A322" s="2" t="s">
        <v>202</v>
      </c>
      <c r="B322" s="2" t="n">
        <v>4547</v>
      </c>
      <c r="C322" s="2" t="s">
        <v>203</v>
      </c>
      <c r="D322" s="2" t="s">
        <v>67</v>
      </c>
      <c r="E322" s="2" t="str">
        <f aca="false">_xlfn.CONCAT(D322,"-",B322)</f>
        <v>CE - EUROFARMA G7-4547</v>
      </c>
      <c r="F322" s="2" t="n">
        <v>303</v>
      </c>
      <c r="G322" s="2" t="n">
        <v>1925.15</v>
      </c>
    </row>
    <row r="323" customFormat="false" ht="13.8" hidden="false" customHeight="false" outlineLevel="0" collapsed="false">
      <c r="A323" s="2" t="s">
        <v>202</v>
      </c>
      <c r="B323" s="2" t="n">
        <v>4547</v>
      </c>
      <c r="C323" s="2" t="s">
        <v>203</v>
      </c>
      <c r="D323" s="2" t="s">
        <v>66</v>
      </c>
      <c r="E323" s="2" t="str">
        <f aca="false">_xlfn.CONCAT(D323,"-",B323)</f>
        <v>CE - OL 001-4547</v>
      </c>
      <c r="F323" s="2" t="n">
        <v>83</v>
      </c>
      <c r="G323" s="2" t="n">
        <v>489.48</v>
      </c>
    </row>
    <row r="324" customFormat="false" ht="13.8" hidden="false" customHeight="false" outlineLevel="0" collapsed="false">
      <c r="A324" s="2" t="s">
        <v>204</v>
      </c>
      <c r="B324" s="2" t="n">
        <v>3822</v>
      </c>
      <c r="C324" s="2" t="s">
        <v>205</v>
      </c>
      <c r="D324" s="2" t="s">
        <v>64</v>
      </c>
      <c r="E324" s="2" t="str">
        <f aca="false">_xlfn.CONCAT(D324,"-",B324)</f>
        <v>CE - 0000-3822</v>
      </c>
      <c r="F324" s="2" t="n">
        <v>691</v>
      </c>
      <c r="G324" s="2" t="n">
        <v>6106.09</v>
      </c>
    </row>
    <row r="325" customFormat="false" ht="13.8" hidden="false" customHeight="false" outlineLevel="0" collapsed="false">
      <c r="A325" s="2" t="s">
        <v>204</v>
      </c>
      <c r="B325" s="2" t="n">
        <v>3822</v>
      </c>
      <c r="C325" s="2" t="s">
        <v>205</v>
      </c>
      <c r="D325" s="2" t="s">
        <v>65</v>
      </c>
      <c r="E325" s="2" t="str">
        <f aca="false">_xlfn.CONCAT(D325,"-",B325)</f>
        <v>CE - EURO X AUGEFARMA-3822</v>
      </c>
      <c r="F325" s="2" t="n">
        <v>31</v>
      </c>
      <c r="G325" s="2" t="n">
        <v>233.77</v>
      </c>
    </row>
    <row r="326" customFormat="false" ht="13.8" hidden="false" customHeight="false" outlineLevel="0" collapsed="false">
      <c r="A326" s="2" t="s">
        <v>204</v>
      </c>
      <c r="B326" s="2" t="n">
        <v>3822</v>
      </c>
      <c r="C326" s="2" t="s">
        <v>205</v>
      </c>
      <c r="D326" s="2" t="s">
        <v>66</v>
      </c>
      <c r="E326" s="2" t="str">
        <f aca="false">_xlfn.CONCAT(D326,"-",B326)</f>
        <v>CE - OL 001-3822</v>
      </c>
      <c r="F326" s="2" t="n">
        <v>15</v>
      </c>
      <c r="G326" s="2" t="n">
        <v>145.1</v>
      </c>
    </row>
    <row r="327" customFormat="false" ht="13.8" hidden="false" customHeight="false" outlineLevel="0" collapsed="false">
      <c r="A327" s="2" t="s">
        <v>204</v>
      </c>
      <c r="B327" s="2" t="n">
        <v>3822</v>
      </c>
      <c r="C327" s="2" t="s">
        <v>205</v>
      </c>
      <c r="D327" s="2" t="s">
        <v>67</v>
      </c>
      <c r="E327" s="2" t="str">
        <f aca="false">_xlfn.CONCAT(D327,"-",B327)</f>
        <v>CE - EUROFARMA G7-3822</v>
      </c>
      <c r="F327" s="2" t="n">
        <v>59</v>
      </c>
      <c r="G327" s="2" t="n">
        <v>528.54</v>
      </c>
    </row>
    <row r="328" customFormat="false" ht="13.8" hidden="false" customHeight="false" outlineLevel="0" collapsed="false">
      <c r="A328" s="2" t="s">
        <v>206</v>
      </c>
      <c r="B328" s="2" t="n">
        <v>7617</v>
      </c>
      <c r="C328" s="2" t="s">
        <v>207</v>
      </c>
      <c r="D328" s="2" t="s">
        <v>68</v>
      </c>
      <c r="E328" s="2" t="str">
        <f aca="false">_xlfn.CONCAT(D328,"-",B328)</f>
        <v>CE - OL 002-7617</v>
      </c>
      <c r="F328" s="2" t="n">
        <v>69</v>
      </c>
      <c r="G328" s="2" t="n">
        <v>1457.83</v>
      </c>
    </row>
    <row r="329" customFormat="false" ht="13.8" hidden="false" customHeight="false" outlineLevel="0" collapsed="false">
      <c r="A329" s="2" t="s">
        <v>206</v>
      </c>
      <c r="B329" s="2" t="n">
        <v>7617</v>
      </c>
      <c r="C329" s="2" t="s">
        <v>207</v>
      </c>
      <c r="D329" s="2" t="s">
        <v>66</v>
      </c>
      <c r="E329" s="2" t="str">
        <f aca="false">_xlfn.CONCAT(D329,"-",B329)</f>
        <v>CE - OL 001-7617</v>
      </c>
      <c r="F329" s="2" t="n">
        <v>446</v>
      </c>
      <c r="G329" s="2" t="n">
        <v>8827.04</v>
      </c>
    </row>
    <row r="330" customFormat="false" ht="13.8" hidden="false" customHeight="false" outlineLevel="0" collapsed="false">
      <c r="A330" s="2" t="s">
        <v>206</v>
      </c>
      <c r="B330" s="2" t="n">
        <v>7617</v>
      </c>
      <c r="C330" s="2" t="s">
        <v>207</v>
      </c>
      <c r="D330" s="2" t="s">
        <v>64</v>
      </c>
      <c r="E330" s="2" t="str">
        <f aca="false">_xlfn.CONCAT(D330,"-",B330)</f>
        <v>CE - 0000-7617</v>
      </c>
      <c r="F330" s="2" t="n">
        <v>1482</v>
      </c>
      <c r="G330" s="2" t="n">
        <v>26332.41</v>
      </c>
    </row>
    <row r="331" customFormat="false" ht="13.8" hidden="false" customHeight="false" outlineLevel="0" collapsed="false">
      <c r="A331" s="2" t="s">
        <v>206</v>
      </c>
      <c r="B331" s="2" t="n">
        <v>7617</v>
      </c>
      <c r="C331" s="2" t="s">
        <v>207</v>
      </c>
      <c r="D331" s="2" t="s">
        <v>69</v>
      </c>
      <c r="E331" s="2" t="str">
        <f aca="false">_xlfn.CONCAT(D331,"-",B331)</f>
        <v>CE - EUROFARMA 6%-7617</v>
      </c>
      <c r="F331" s="2" t="n">
        <v>16</v>
      </c>
      <c r="G331" s="2" t="n">
        <v>306.32</v>
      </c>
    </row>
    <row r="332" customFormat="false" ht="13.8" hidden="false" customHeight="false" outlineLevel="0" collapsed="false">
      <c r="A332" s="2" t="s">
        <v>206</v>
      </c>
      <c r="B332" s="2" t="n">
        <v>7617</v>
      </c>
      <c r="C332" s="2" t="s">
        <v>207</v>
      </c>
      <c r="D332" s="2" t="s">
        <v>65</v>
      </c>
      <c r="E332" s="2" t="str">
        <f aca="false">_xlfn.CONCAT(D332,"-",B332)</f>
        <v>CE - EURO X AUGEFARMA-7617</v>
      </c>
      <c r="F332" s="2" t="n">
        <v>54</v>
      </c>
      <c r="G332" s="2" t="n">
        <v>774.17</v>
      </c>
    </row>
    <row r="333" customFormat="false" ht="13.8" hidden="false" customHeight="false" outlineLevel="0" collapsed="false">
      <c r="A333" s="2" t="s">
        <v>206</v>
      </c>
      <c r="B333" s="2" t="n">
        <v>7617</v>
      </c>
      <c r="C333" s="2" t="s">
        <v>207</v>
      </c>
      <c r="D333" s="2" t="s">
        <v>67</v>
      </c>
      <c r="E333" s="2" t="str">
        <f aca="false">_xlfn.CONCAT(D333,"-",B333)</f>
        <v>CE - EUROFARMA G7-7617</v>
      </c>
      <c r="F333" s="2" t="n">
        <v>232</v>
      </c>
      <c r="G333" s="2" t="n">
        <v>4122.21</v>
      </c>
    </row>
    <row r="334" customFormat="false" ht="13.8" hidden="false" customHeight="false" outlineLevel="0" collapsed="false">
      <c r="A334" s="2" t="s">
        <v>208</v>
      </c>
      <c r="B334" s="2" t="n">
        <v>19768</v>
      </c>
      <c r="C334" s="2" t="s">
        <v>209</v>
      </c>
      <c r="D334" s="2" t="s">
        <v>68</v>
      </c>
      <c r="E334" s="2" t="str">
        <f aca="false">_xlfn.CONCAT(D334,"-",B334)</f>
        <v>CE - OL 002-19768</v>
      </c>
      <c r="F334" s="2" t="n">
        <v>3</v>
      </c>
      <c r="G334" s="2" t="n">
        <v>110.98</v>
      </c>
    </row>
    <row r="335" customFormat="false" ht="13.8" hidden="false" customHeight="false" outlineLevel="0" collapsed="false">
      <c r="A335" s="2" t="s">
        <v>208</v>
      </c>
      <c r="B335" s="2" t="n">
        <v>19768</v>
      </c>
      <c r="C335" s="2" t="s">
        <v>209</v>
      </c>
      <c r="D335" s="2" t="s">
        <v>65</v>
      </c>
      <c r="E335" s="2" t="str">
        <f aca="false">_xlfn.CONCAT(D335,"-",B335)</f>
        <v>CE - EURO X AUGEFARMA-19768</v>
      </c>
      <c r="F335" s="2" t="n">
        <v>15</v>
      </c>
      <c r="G335" s="2" t="n">
        <v>450.99</v>
      </c>
    </row>
    <row r="336" customFormat="false" ht="13.8" hidden="false" customHeight="false" outlineLevel="0" collapsed="false">
      <c r="A336" s="2" t="s">
        <v>208</v>
      </c>
      <c r="B336" s="2" t="n">
        <v>19768</v>
      </c>
      <c r="C336" s="2" t="s">
        <v>209</v>
      </c>
      <c r="D336" s="2" t="s">
        <v>66</v>
      </c>
      <c r="E336" s="2" t="str">
        <f aca="false">_xlfn.CONCAT(D336,"-",B336)</f>
        <v>CE - OL 001-19768</v>
      </c>
      <c r="F336" s="2" t="n">
        <v>49</v>
      </c>
      <c r="G336" s="2" t="n">
        <v>1952.99</v>
      </c>
    </row>
    <row r="337" customFormat="false" ht="13.8" hidden="false" customHeight="false" outlineLevel="0" collapsed="false">
      <c r="A337" s="2" t="s">
        <v>208</v>
      </c>
      <c r="B337" s="2" t="n">
        <v>19768</v>
      </c>
      <c r="C337" s="2" t="s">
        <v>209</v>
      </c>
      <c r="D337" s="2" t="s">
        <v>64</v>
      </c>
      <c r="E337" s="2" t="str">
        <f aca="false">_xlfn.CONCAT(D337,"-",B337)</f>
        <v>CE - 0000-19768</v>
      </c>
      <c r="F337" s="2" t="n">
        <v>508</v>
      </c>
      <c r="G337" s="2" t="n">
        <v>18424.33</v>
      </c>
    </row>
    <row r="338" customFormat="false" ht="13.8" hidden="false" customHeight="false" outlineLevel="0" collapsed="false">
      <c r="A338" s="2" t="s">
        <v>208</v>
      </c>
      <c r="B338" s="2" t="n">
        <v>19768</v>
      </c>
      <c r="C338" s="2" t="s">
        <v>209</v>
      </c>
      <c r="D338" s="2" t="s">
        <v>67</v>
      </c>
      <c r="E338" s="2" t="str">
        <f aca="false">_xlfn.CONCAT(D338,"-",B338)</f>
        <v>CE - EUROFARMA G7-19768</v>
      </c>
      <c r="F338" s="2" t="n">
        <v>130</v>
      </c>
      <c r="G338" s="2" t="n">
        <v>4895.41</v>
      </c>
    </row>
    <row r="339" customFormat="false" ht="13.8" hidden="false" customHeight="false" outlineLevel="0" collapsed="false">
      <c r="A339" s="2" t="s">
        <v>210</v>
      </c>
      <c r="B339" s="2" t="n">
        <v>5768</v>
      </c>
      <c r="C339" s="2" t="s">
        <v>211</v>
      </c>
      <c r="D339" s="2" t="s">
        <v>64</v>
      </c>
      <c r="E339" s="2" t="str">
        <f aca="false">_xlfn.CONCAT(D339,"-",B339)</f>
        <v>CE - 0000-5768</v>
      </c>
      <c r="F339" s="2" t="n">
        <v>754</v>
      </c>
      <c r="G339" s="2" t="n">
        <v>7730.95</v>
      </c>
    </row>
    <row r="340" customFormat="false" ht="13.8" hidden="false" customHeight="false" outlineLevel="0" collapsed="false">
      <c r="A340" s="2" t="s">
        <v>212</v>
      </c>
      <c r="B340" s="2" t="n">
        <v>22606</v>
      </c>
      <c r="C340" s="2" t="s">
        <v>211</v>
      </c>
      <c r="D340" s="2" t="s">
        <v>67</v>
      </c>
      <c r="E340" s="2" t="str">
        <f aca="false">_xlfn.CONCAT(D340,"-",B340)</f>
        <v>CE - EUROFARMA G7-22606</v>
      </c>
      <c r="F340" s="2" t="n">
        <v>17</v>
      </c>
      <c r="G340" s="2" t="n">
        <v>523.81</v>
      </c>
    </row>
    <row r="341" customFormat="false" ht="13.8" hidden="false" customHeight="false" outlineLevel="0" collapsed="false">
      <c r="A341" s="2" t="s">
        <v>210</v>
      </c>
      <c r="B341" s="2" t="n">
        <v>5768</v>
      </c>
      <c r="C341" s="2" t="s">
        <v>211</v>
      </c>
      <c r="D341" s="2" t="s">
        <v>67</v>
      </c>
      <c r="E341" s="2" t="str">
        <f aca="false">_xlfn.CONCAT(D341,"-",B341)</f>
        <v>CE - EUROFARMA G7-5768</v>
      </c>
      <c r="F341" s="2" t="n">
        <v>235</v>
      </c>
      <c r="G341" s="2" t="n">
        <v>2464.4</v>
      </c>
    </row>
    <row r="342" customFormat="false" ht="13.8" hidden="false" customHeight="false" outlineLevel="0" collapsed="false">
      <c r="A342" s="2" t="s">
        <v>212</v>
      </c>
      <c r="B342" s="2" t="n">
        <v>22606</v>
      </c>
      <c r="C342" s="2" t="s">
        <v>211</v>
      </c>
      <c r="D342" s="2" t="s">
        <v>64</v>
      </c>
      <c r="E342" s="2" t="str">
        <f aca="false">_xlfn.CONCAT(D342,"-",B342)</f>
        <v>CE - 0000-22606</v>
      </c>
      <c r="F342" s="2" t="n">
        <v>226</v>
      </c>
      <c r="G342" s="2" t="n">
        <v>2219.45</v>
      </c>
    </row>
    <row r="343" customFormat="false" ht="13.8" hidden="false" customHeight="false" outlineLevel="0" collapsed="false">
      <c r="A343" s="2" t="s">
        <v>212</v>
      </c>
      <c r="B343" s="2" t="n">
        <v>22606</v>
      </c>
      <c r="C343" s="2" t="s">
        <v>211</v>
      </c>
      <c r="D343" s="2" t="s">
        <v>65</v>
      </c>
      <c r="E343" s="2" t="str">
        <f aca="false">_xlfn.CONCAT(D343,"-",B343)</f>
        <v>CE - EURO X AUGEFARMA-22606</v>
      </c>
      <c r="F343" s="2" t="n">
        <v>6</v>
      </c>
      <c r="G343" s="2" t="n">
        <v>48.36</v>
      </c>
    </row>
    <row r="344" customFormat="false" ht="13.8" hidden="false" customHeight="false" outlineLevel="0" collapsed="false">
      <c r="A344" s="2" t="s">
        <v>210</v>
      </c>
      <c r="B344" s="2" t="n">
        <v>5768</v>
      </c>
      <c r="C344" s="2" t="s">
        <v>211</v>
      </c>
      <c r="D344" s="2" t="s">
        <v>68</v>
      </c>
      <c r="E344" s="2" t="str">
        <f aca="false">_xlfn.CONCAT(D344,"-",B344)</f>
        <v>CE - OL 002-5768</v>
      </c>
      <c r="F344" s="2" t="n">
        <v>15</v>
      </c>
      <c r="G344" s="2" t="n">
        <v>163.68</v>
      </c>
    </row>
    <row r="345" customFormat="false" ht="13.8" hidden="false" customHeight="false" outlineLevel="0" collapsed="false">
      <c r="A345" s="2" t="s">
        <v>212</v>
      </c>
      <c r="B345" s="2" t="n">
        <v>22606</v>
      </c>
      <c r="C345" s="2" t="s">
        <v>211</v>
      </c>
      <c r="D345" s="2" t="s">
        <v>68</v>
      </c>
      <c r="E345" s="2" t="str">
        <f aca="false">_xlfn.CONCAT(D345,"-",B345)</f>
        <v>CE - OL 002-22606</v>
      </c>
      <c r="F345" s="2" t="n">
        <v>42</v>
      </c>
      <c r="G345" s="2" t="n">
        <v>544.14</v>
      </c>
    </row>
    <row r="346" customFormat="false" ht="13.8" hidden="false" customHeight="false" outlineLevel="0" collapsed="false">
      <c r="A346" s="2" t="s">
        <v>210</v>
      </c>
      <c r="B346" s="2" t="n">
        <v>5768</v>
      </c>
      <c r="C346" s="2" t="s">
        <v>211</v>
      </c>
      <c r="D346" s="2" t="s">
        <v>66</v>
      </c>
      <c r="E346" s="2" t="str">
        <f aca="false">_xlfn.CONCAT(D346,"-",B346)</f>
        <v>CE - OL 001-5768</v>
      </c>
      <c r="F346" s="2" t="n">
        <v>381</v>
      </c>
      <c r="G346" s="2" t="n">
        <v>4214.54</v>
      </c>
    </row>
    <row r="347" customFormat="false" ht="13.8" hidden="false" customHeight="false" outlineLevel="0" collapsed="false">
      <c r="A347" s="2" t="s">
        <v>213</v>
      </c>
      <c r="B347" s="2" t="n">
        <v>10279</v>
      </c>
      <c r="C347" s="2" t="s">
        <v>214</v>
      </c>
      <c r="D347" s="2" t="s">
        <v>66</v>
      </c>
      <c r="E347" s="2" t="str">
        <f aca="false">_xlfn.CONCAT(D347,"-",B347)</f>
        <v>CE - OL 001-10279</v>
      </c>
      <c r="F347" s="2" t="n">
        <v>16</v>
      </c>
      <c r="G347" s="2" t="n">
        <v>318.67</v>
      </c>
    </row>
    <row r="348" customFormat="false" ht="13.8" hidden="false" customHeight="false" outlineLevel="0" collapsed="false">
      <c r="A348" s="2" t="s">
        <v>213</v>
      </c>
      <c r="B348" s="2" t="n">
        <v>10279</v>
      </c>
      <c r="C348" s="2" t="s">
        <v>214</v>
      </c>
      <c r="D348" s="2" t="s">
        <v>64</v>
      </c>
      <c r="E348" s="2" t="str">
        <f aca="false">_xlfn.CONCAT(D348,"-",B348)</f>
        <v>CE - 0000-10279</v>
      </c>
      <c r="F348" s="2" t="n">
        <v>150</v>
      </c>
      <c r="G348" s="2" t="n">
        <v>2764.14</v>
      </c>
    </row>
    <row r="349" customFormat="false" ht="13.8" hidden="false" customHeight="false" outlineLevel="0" collapsed="false">
      <c r="A349" s="2" t="s">
        <v>213</v>
      </c>
      <c r="B349" s="2" t="n">
        <v>10279</v>
      </c>
      <c r="C349" s="2" t="s">
        <v>214</v>
      </c>
      <c r="D349" s="2" t="s">
        <v>67</v>
      </c>
      <c r="E349" s="2" t="str">
        <f aca="false">_xlfn.CONCAT(D349,"-",B349)</f>
        <v>CE - EUROFARMA G7-10279</v>
      </c>
      <c r="F349" s="2" t="n">
        <v>26</v>
      </c>
      <c r="G349" s="2" t="n">
        <v>506.02</v>
      </c>
    </row>
    <row r="350" customFormat="false" ht="13.8" hidden="false" customHeight="false" outlineLevel="0" collapsed="false">
      <c r="A350" s="2" t="s">
        <v>213</v>
      </c>
      <c r="B350" s="2" t="n">
        <v>10279</v>
      </c>
      <c r="C350" s="2" t="s">
        <v>214</v>
      </c>
      <c r="D350" s="2" t="s">
        <v>68</v>
      </c>
      <c r="E350" s="2" t="str">
        <f aca="false">_xlfn.CONCAT(D350,"-",B350)</f>
        <v>CE - OL 002-10279</v>
      </c>
      <c r="F350" s="2" t="n">
        <v>1</v>
      </c>
      <c r="G350" s="2" t="n">
        <v>20.47</v>
      </c>
    </row>
    <row r="351" customFormat="false" ht="13.8" hidden="false" customHeight="false" outlineLevel="0" collapsed="false">
      <c r="A351" s="2" t="s">
        <v>215</v>
      </c>
      <c r="B351" s="2" t="n">
        <v>16833</v>
      </c>
      <c r="C351" s="2" t="s">
        <v>216</v>
      </c>
      <c r="D351" s="2" t="s">
        <v>67</v>
      </c>
      <c r="E351" s="2" t="str">
        <f aca="false">_xlfn.CONCAT(D351,"-",B351)</f>
        <v>CE - EUROFARMA G7-16833</v>
      </c>
      <c r="F351" s="2" t="n">
        <v>6</v>
      </c>
      <c r="G351" s="2" t="n">
        <v>97.83</v>
      </c>
    </row>
    <row r="352" customFormat="false" ht="13.8" hidden="false" customHeight="false" outlineLevel="0" collapsed="false">
      <c r="A352" s="2" t="s">
        <v>215</v>
      </c>
      <c r="B352" s="2" t="n">
        <v>16833</v>
      </c>
      <c r="C352" s="2" t="s">
        <v>216</v>
      </c>
      <c r="D352" s="2" t="s">
        <v>64</v>
      </c>
      <c r="E352" s="2" t="str">
        <f aca="false">_xlfn.CONCAT(D352,"-",B352)</f>
        <v>CE - 0000-16833</v>
      </c>
      <c r="F352" s="2" t="n">
        <v>792</v>
      </c>
      <c r="G352" s="2" t="n">
        <v>12538.05</v>
      </c>
    </row>
    <row r="353" customFormat="false" ht="13.8" hidden="false" customHeight="false" outlineLevel="0" collapsed="false">
      <c r="A353" s="2" t="s">
        <v>215</v>
      </c>
      <c r="B353" s="2" t="n">
        <v>16833</v>
      </c>
      <c r="C353" s="2" t="s">
        <v>216</v>
      </c>
      <c r="D353" s="2" t="s">
        <v>65</v>
      </c>
      <c r="E353" s="2" t="str">
        <f aca="false">_xlfn.CONCAT(D353,"-",B353)</f>
        <v>CE - EURO X AUGEFARMA-16833</v>
      </c>
      <c r="F353" s="2" t="n">
        <v>45</v>
      </c>
      <c r="G353" s="2" t="n">
        <v>626.38</v>
      </c>
    </row>
    <row r="354" customFormat="false" ht="13.8" hidden="false" customHeight="false" outlineLevel="0" collapsed="false">
      <c r="A354" s="2" t="s">
        <v>215</v>
      </c>
      <c r="B354" s="2" t="n">
        <v>16833</v>
      </c>
      <c r="C354" s="2" t="s">
        <v>216</v>
      </c>
      <c r="D354" s="2" t="s">
        <v>66</v>
      </c>
      <c r="E354" s="2" t="str">
        <f aca="false">_xlfn.CONCAT(D354,"-",B354)</f>
        <v>CE - OL 001-16833</v>
      </c>
      <c r="F354" s="2" t="n">
        <v>38</v>
      </c>
      <c r="G354" s="2" t="n">
        <v>689.16</v>
      </c>
    </row>
    <row r="355" customFormat="false" ht="13.8" hidden="false" customHeight="false" outlineLevel="0" collapsed="false">
      <c r="A355" s="2" t="s">
        <v>217</v>
      </c>
      <c r="B355" s="2" t="n">
        <v>12239</v>
      </c>
      <c r="C355" s="2" t="s">
        <v>218</v>
      </c>
      <c r="D355" s="2" t="s">
        <v>69</v>
      </c>
      <c r="E355" s="2" t="str">
        <f aca="false">_xlfn.CONCAT(D355,"-",B355)</f>
        <v>CE - EUROFARMA 6%-12239</v>
      </c>
      <c r="F355" s="2" t="n">
        <v>8</v>
      </c>
      <c r="G355" s="2" t="n">
        <v>82.44</v>
      </c>
    </row>
    <row r="356" customFormat="false" ht="13.8" hidden="false" customHeight="false" outlineLevel="0" collapsed="false">
      <c r="A356" s="2" t="s">
        <v>217</v>
      </c>
      <c r="B356" s="2" t="n">
        <v>12239</v>
      </c>
      <c r="C356" s="2" t="s">
        <v>218</v>
      </c>
      <c r="D356" s="2" t="s">
        <v>68</v>
      </c>
      <c r="E356" s="2" t="str">
        <f aca="false">_xlfn.CONCAT(D356,"-",B356)</f>
        <v>CE - OL 002-12239</v>
      </c>
      <c r="F356" s="2" t="n">
        <v>12</v>
      </c>
      <c r="G356" s="2" t="n">
        <v>118.49</v>
      </c>
    </row>
    <row r="357" customFormat="false" ht="13.8" hidden="false" customHeight="false" outlineLevel="0" collapsed="false">
      <c r="A357" s="2" t="s">
        <v>217</v>
      </c>
      <c r="B357" s="2" t="n">
        <v>12239</v>
      </c>
      <c r="C357" s="2" t="s">
        <v>218</v>
      </c>
      <c r="D357" s="2" t="s">
        <v>64</v>
      </c>
      <c r="E357" s="2" t="str">
        <f aca="false">_xlfn.CONCAT(D357,"-",B357)</f>
        <v>CE - 0000-12239</v>
      </c>
      <c r="F357" s="2" t="n">
        <v>2034</v>
      </c>
      <c r="G357" s="2" t="n">
        <v>18077.9</v>
      </c>
    </row>
    <row r="358" customFormat="false" ht="13.8" hidden="false" customHeight="false" outlineLevel="0" collapsed="false">
      <c r="A358" s="2" t="s">
        <v>217</v>
      </c>
      <c r="B358" s="2" t="n">
        <v>12239</v>
      </c>
      <c r="C358" s="2" t="s">
        <v>218</v>
      </c>
      <c r="D358" s="2" t="s">
        <v>67</v>
      </c>
      <c r="E358" s="2" t="str">
        <f aca="false">_xlfn.CONCAT(D358,"-",B358)</f>
        <v>CE - EUROFARMA G7-12239</v>
      </c>
      <c r="F358" s="2" t="n">
        <v>991</v>
      </c>
      <c r="G358" s="2" t="n">
        <v>8987.88</v>
      </c>
    </row>
    <row r="359" customFormat="false" ht="13.8" hidden="false" customHeight="false" outlineLevel="0" collapsed="false">
      <c r="A359" s="2" t="s">
        <v>217</v>
      </c>
      <c r="B359" s="2" t="n">
        <v>12239</v>
      </c>
      <c r="C359" s="2" t="s">
        <v>218</v>
      </c>
      <c r="D359" s="2" t="s">
        <v>65</v>
      </c>
      <c r="E359" s="2" t="str">
        <f aca="false">_xlfn.CONCAT(D359,"-",B359)</f>
        <v>CE - EURO X AUGEFARMA-12239</v>
      </c>
      <c r="F359" s="2" t="n">
        <v>604</v>
      </c>
      <c r="G359" s="2" t="n">
        <v>4132.03</v>
      </c>
    </row>
    <row r="360" customFormat="false" ht="13.8" hidden="false" customHeight="false" outlineLevel="0" collapsed="false">
      <c r="A360" s="2" t="s">
        <v>217</v>
      </c>
      <c r="B360" s="2" t="n">
        <v>12239</v>
      </c>
      <c r="C360" s="2" t="s">
        <v>218</v>
      </c>
      <c r="D360" s="2" t="s">
        <v>66</v>
      </c>
      <c r="E360" s="2" t="str">
        <f aca="false">_xlfn.CONCAT(D360,"-",B360)</f>
        <v>CE - OL 001-12239</v>
      </c>
      <c r="F360" s="2" t="n">
        <v>139</v>
      </c>
      <c r="G360" s="2" t="n">
        <v>1307.72</v>
      </c>
    </row>
    <row r="361" customFormat="false" ht="13.8" hidden="false" customHeight="false" outlineLevel="0" collapsed="false">
      <c r="A361" s="2" t="s">
        <v>219</v>
      </c>
      <c r="B361" s="2" t="n">
        <v>12815</v>
      </c>
      <c r="C361" s="2" t="s">
        <v>220</v>
      </c>
      <c r="D361" s="2" t="s">
        <v>64</v>
      </c>
      <c r="E361" s="2" t="str">
        <f aca="false">_xlfn.CONCAT(D361,"-",B361)</f>
        <v>CE - 0000-12815</v>
      </c>
      <c r="F361" s="2" t="n">
        <v>1246</v>
      </c>
      <c r="G361" s="2" t="n">
        <v>7415.66</v>
      </c>
    </row>
    <row r="362" customFormat="false" ht="13.8" hidden="false" customHeight="false" outlineLevel="0" collapsed="false">
      <c r="A362" s="2" t="s">
        <v>219</v>
      </c>
      <c r="B362" s="2" t="n">
        <v>12815</v>
      </c>
      <c r="C362" s="2" t="s">
        <v>220</v>
      </c>
      <c r="D362" s="2" t="s">
        <v>66</v>
      </c>
      <c r="E362" s="2" t="str">
        <f aca="false">_xlfn.CONCAT(D362,"-",B362)</f>
        <v>CE - OL 001-12815</v>
      </c>
      <c r="F362" s="2" t="n">
        <v>67</v>
      </c>
      <c r="G362" s="2" t="n">
        <v>458.75</v>
      </c>
    </row>
    <row r="363" customFormat="false" ht="13.8" hidden="false" customHeight="false" outlineLevel="0" collapsed="false">
      <c r="A363" s="2" t="s">
        <v>219</v>
      </c>
      <c r="B363" s="2" t="n">
        <v>12815</v>
      </c>
      <c r="C363" s="2" t="s">
        <v>220</v>
      </c>
      <c r="D363" s="2" t="s">
        <v>68</v>
      </c>
      <c r="E363" s="2" t="str">
        <f aca="false">_xlfn.CONCAT(D363,"-",B363)</f>
        <v>CE - OL 002-12815</v>
      </c>
      <c r="F363" s="2" t="n">
        <v>11</v>
      </c>
      <c r="G363" s="2" t="n">
        <v>70.28</v>
      </c>
    </row>
    <row r="364" customFormat="false" ht="13.8" hidden="false" customHeight="false" outlineLevel="0" collapsed="false">
      <c r="A364" s="2" t="s">
        <v>219</v>
      </c>
      <c r="B364" s="2" t="n">
        <v>12815</v>
      </c>
      <c r="C364" s="2" t="s">
        <v>220</v>
      </c>
      <c r="D364" s="2" t="s">
        <v>65</v>
      </c>
      <c r="E364" s="2" t="str">
        <f aca="false">_xlfn.CONCAT(D364,"-",B364)</f>
        <v>CE - EURO X AUGEFARMA-12815</v>
      </c>
      <c r="F364" s="2" t="n">
        <v>858</v>
      </c>
      <c r="G364" s="2" t="n">
        <v>1787.38</v>
      </c>
    </row>
    <row r="365" customFormat="false" ht="13.8" hidden="false" customHeight="false" outlineLevel="0" collapsed="false">
      <c r="A365" s="2" t="s">
        <v>219</v>
      </c>
      <c r="B365" s="2" t="n">
        <v>12815</v>
      </c>
      <c r="C365" s="2" t="s">
        <v>220</v>
      </c>
      <c r="D365" s="2" t="s">
        <v>67</v>
      </c>
      <c r="E365" s="2" t="str">
        <f aca="false">_xlfn.CONCAT(D365,"-",B365)</f>
        <v>CE - EUROFARMA G7-12815</v>
      </c>
      <c r="F365" s="2" t="n">
        <v>160</v>
      </c>
      <c r="G365" s="2" t="n">
        <v>949.82</v>
      </c>
    </row>
    <row r="366" customFormat="false" ht="13.8" hidden="false" customHeight="false" outlineLevel="0" collapsed="false">
      <c r="A366" s="2" t="s">
        <v>221</v>
      </c>
      <c r="B366" s="2" t="n">
        <v>14000</v>
      </c>
      <c r="C366" s="2" t="s">
        <v>222</v>
      </c>
      <c r="D366" s="2" t="s">
        <v>69</v>
      </c>
      <c r="E366" s="2" t="str">
        <f aca="false">_xlfn.CONCAT(D366,"-",B366)</f>
        <v>CE - EUROFARMA 6%-14000</v>
      </c>
      <c r="F366" s="2" t="n">
        <v>18</v>
      </c>
      <c r="G366" s="2" t="n">
        <v>107.57</v>
      </c>
    </row>
    <row r="367" customFormat="false" ht="13.8" hidden="false" customHeight="false" outlineLevel="0" collapsed="false">
      <c r="A367" s="2" t="s">
        <v>221</v>
      </c>
      <c r="B367" s="2" t="n">
        <v>14000</v>
      </c>
      <c r="C367" s="2" t="s">
        <v>222</v>
      </c>
      <c r="D367" s="2" t="s">
        <v>68</v>
      </c>
      <c r="E367" s="2" t="str">
        <f aca="false">_xlfn.CONCAT(D367,"-",B367)</f>
        <v>CE - OL 002-14000</v>
      </c>
      <c r="F367" s="2" t="n">
        <v>36</v>
      </c>
      <c r="G367" s="2" t="n">
        <v>269.46</v>
      </c>
    </row>
    <row r="368" customFormat="false" ht="13.8" hidden="false" customHeight="false" outlineLevel="0" collapsed="false">
      <c r="A368" s="2" t="s">
        <v>221</v>
      </c>
      <c r="B368" s="2" t="n">
        <v>14000</v>
      </c>
      <c r="C368" s="2" t="s">
        <v>222</v>
      </c>
      <c r="D368" s="2" t="s">
        <v>65</v>
      </c>
      <c r="E368" s="2" t="str">
        <f aca="false">_xlfn.CONCAT(D368,"-",B368)</f>
        <v>CE - EURO X AUGEFARMA-14000</v>
      </c>
      <c r="F368" s="2" t="n">
        <v>86</v>
      </c>
      <c r="G368" s="2" t="n">
        <v>468.6</v>
      </c>
    </row>
    <row r="369" customFormat="false" ht="13.8" hidden="false" customHeight="false" outlineLevel="0" collapsed="false">
      <c r="A369" s="2" t="s">
        <v>221</v>
      </c>
      <c r="B369" s="2" t="n">
        <v>14000</v>
      </c>
      <c r="C369" s="2" t="s">
        <v>222</v>
      </c>
      <c r="D369" s="2" t="s">
        <v>64</v>
      </c>
      <c r="E369" s="2" t="str">
        <f aca="false">_xlfn.CONCAT(D369,"-",B369)</f>
        <v>CE - 0000-14000</v>
      </c>
      <c r="F369" s="2" t="n">
        <v>1791</v>
      </c>
      <c r="G369" s="2" t="n">
        <v>10830.82</v>
      </c>
    </row>
    <row r="370" customFormat="false" ht="13.8" hidden="false" customHeight="false" outlineLevel="0" collapsed="false">
      <c r="A370" s="2" t="s">
        <v>221</v>
      </c>
      <c r="B370" s="2" t="n">
        <v>14000</v>
      </c>
      <c r="C370" s="2" t="s">
        <v>222</v>
      </c>
      <c r="D370" s="2" t="s">
        <v>67</v>
      </c>
      <c r="E370" s="2" t="str">
        <f aca="false">_xlfn.CONCAT(D370,"-",B370)</f>
        <v>CE - EUROFARMA G7-14000</v>
      </c>
      <c r="F370" s="2" t="n">
        <v>133</v>
      </c>
      <c r="G370" s="2" t="n">
        <v>860.48</v>
      </c>
    </row>
    <row r="371" customFormat="false" ht="13.8" hidden="false" customHeight="false" outlineLevel="0" collapsed="false">
      <c r="A371" s="2" t="s">
        <v>221</v>
      </c>
      <c r="B371" s="2" t="n">
        <v>14000</v>
      </c>
      <c r="C371" s="2" t="s">
        <v>222</v>
      </c>
      <c r="D371" s="2" t="s">
        <v>66</v>
      </c>
      <c r="E371" s="2" t="str">
        <f aca="false">_xlfn.CONCAT(D371,"-",B371)</f>
        <v>CE - OL 001-14000</v>
      </c>
      <c r="F371" s="2" t="n">
        <v>150</v>
      </c>
      <c r="G371" s="2" t="n">
        <v>932.59</v>
      </c>
    </row>
    <row r="372" customFormat="false" ht="13.8" hidden="false" customHeight="false" outlineLevel="0" collapsed="false">
      <c r="A372" s="2" t="s">
        <v>223</v>
      </c>
      <c r="B372" s="2" t="n">
        <v>9378</v>
      </c>
      <c r="C372" s="2" t="s">
        <v>224</v>
      </c>
      <c r="D372" s="2" t="s">
        <v>68</v>
      </c>
      <c r="E372" s="2" t="str">
        <f aca="false">_xlfn.CONCAT(D372,"-",B372)</f>
        <v>CE - OL 002-9378</v>
      </c>
      <c r="F372" s="2" t="n">
        <v>16</v>
      </c>
      <c r="G372" s="2" t="n">
        <v>273.74</v>
      </c>
    </row>
    <row r="373" customFormat="false" ht="13.8" hidden="false" customHeight="false" outlineLevel="0" collapsed="false">
      <c r="A373" s="2" t="s">
        <v>223</v>
      </c>
      <c r="B373" s="2" t="n">
        <v>9378</v>
      </c>
      <c r="C373" s="2" t="s">
        <v>224</v>
      </c>
      <c r="D373" s="2" t="s">
        <v>64</v>
      </c>
      <c r="E373" s="2" t="str">
        <f aca="false">_xlfn.CONCAT(D373,"-",B373)</f>
        <v>CE - 0000-9378</v>
      </c>
      <c r="F373" s="2" t="n">
        <v>569</v>
      </c>
      <c r="G373" s="2" t="n">
        <v>9534.44</v>
      </c>
    </row>
    <row r="374" customFormat="false" ht="13.8" hidden="false" customHeight="false" outlineLevel="0" collapsed="false">
      <c r="A374" s="2" t="s">
        <v>223</v>
      </c>
      <c r="B374" s="2" t="n">
        <v>9378</v>
      </c>
      <c r="C374" s="2" t="s">
        <v>224</v>
      </c>
      <c r="D374" s="2" t="s">
        <v>65</v>
      </c>
      <c r="E374" s="2" t="str">
        <f aca="false">_xlfn.CONCAT(D374,"-",B374)</f>
        <v>CE - EURO X AUGEFARMA-9378</v>
      </c>
      <c r="F374" s="2" t="n">
        <v>122</v>
      </c>
      <c r="G374" s="2" t="n">
        <v>1114.24</v>
      </c>
    </row>
    <row r="375" customFormat="false" ht="13.8" hidden="false" customHeight="false" outlineLevel="0" collapsed="false">
      <c r="A375" s="2" t="s">
        <v>223</v>
      </c>
      <c r="B375" s="2" t="n">
        <v>9378</v>
      </c>
      <c r="C375" s="2" t="s">
        <v>224</v>
      </c>
      <c r="D375" s="2" t="s">
        <v>67</v>
      </c>
      <c r="E375" s="2" t="str">
        <f aca="false">_xlfn.CONCAT(D375,"-",B375)</f>
        <v>CE - EUROFARMA G7-9378</v>
      </c>
      <c r="F375" s="2" t="n">
        <v>10</v>
      </c>
      <c r="G375" s="2" t="n">
        <v>165.45</v>
      </c>
    </row>
    <row r="376" customFormat="false" ht="13.8" hidden="false" customHeight="false" outlineLevel="0" collapsed="false">
      <c r="A376" s="2" t="s">
        <v>223</v>
      </c>
      <c r="B376" s="2" t="n">
        <v>9378</v>
      </c>
      <c r="C376" s="2" t="s">
        <v>224</v>
      </c>
      <c r="D376" s="2" t="s">
        <v>66</v>
      </c>
      <c r="E376" s="2" t="str">
        <f aca="false">_xlfn.CONCAT(D376,"-",B376)</f>
        <v>CE - OL 001-9378</v>
      </c>
      <c r="F376" s="2" t="n">
        <v>5</v>
      </c>
      <c r="G376" s="2" t="n">
        <v>98.26</v>
      </c>
    </row>
    <row r="377" customFormat="false" ht="13.8" hidden="false" customHeight="false" outlineLevel="0" collapsed="false">
      <c r="A377" s="2" t="s">
        <v>225</v>
      </c>
      <c r="B377" s="2" t="n">
        <v>22716</v>
      </c>
      <c r="C377" s="2" t="s">
        <v>226</v>
      </c>
      <c r="D377" s="2" t="s">
        <v>66</v>
      </c>
      <c r="E377" s="2" t="str">
        <f aca="false">_xlfn.CONCAT(D377,"-",B377)</f>
        <v>CE - OL 001-22716</v>
      </c>
      <c r="F377" s="2" t="n">
        <v>8</v>
      </c>
      <c r="G377" s="2" t="n">
        <v>279.64</v>
      </c>
    </row>
    <row r="378" customFormat="false" ht="13.8" hidden="false" customHeight="false" outlineLevel="0" collapsed="false">
      <c r="A378" s="2" t="s">
        <v>225</v>
      </c>
      <c r="B378" s="2" t="n">
        <v>22716</v>
      </c>
      <c r="C378" s="2" t="s">
        <v>226</v>
      </c>
      <c r="D378" s="2" t="s">
        <v>64</v>
      </c>
      <c r="E378" s="2" t="str">
        <f aca="false">_xlfn.CONCAT(D378,"-",B378)</f>
        <v>CE - 0000-22716</v>
      </c>
      <c r="F378" s="2" t="n">
        <v>72</v>
      </c>
      <c r="G378" s="2" t="n">
        <v>2141.34</v>
      </c>
    </row>
    <row r="379" customFormat="false" ht="13.8" hidden="false" customHeight="false" outlineLevel="0" collapsed="false">
      <c r="A379" s="2" t="s">
        <v>227</v>
      </c>
      <c r="B379" s="2" t="n">
        <v>22715</v>
      </c>
      <c r="C379" s="2" t="s">
        <v>228</v>
      </c>
      <c r="D379" s="2" t="s">
        <v>67</v>
      </c>
      <c r="E379" s="2" t="str">
        <f aca="false">_xlfn.CONCAT(D379,"-",B379)</f>
        <v>CE - EUROFARMA G7-22715</v>
      </c>
      <c r="F379" s="2" t="n">
        <v>5</v>
      </c>
      <c r="G379" s="2" t="n">
        <v>253.29</v>
      </c>
    </row>
    <row r="380" customFormat="false" ht="13.8" hidden="false" customHeight="false" outlineLevel="0" collapsed="false">
      <c r="A380" s="2" t="s">
        <v>227</v>
      </c>
      <c r="B380" s="2" t="n">
        <v>22715</v>
      </c>
      <c r="C380" s="2" t="s">
        <v>228</v>
      </c>
      <c r="D380" s="2" t="s">
        <v>65</v>
      </c>
      <c r="E380" s="2" t="str">
        <f aca="false">_xlfn.CONCAT(D380,"-",B380)</f>
        <v>CE - EURO X AUGEFARMA-22715</v>
      </c>
      <c r="F380" s="2" t="n">
        <v>17</v>
      </c>
      <c r="G380" s="2" t="n">
        <v>460.94</v>
      </c>
    </row>
    <row r="381" customFormat="false" ht="13.8" hidden="false" customHeight="false" outlineLevel="0" collapsed="false">
      <c r="A381" s="2" t="s">
        <v>227</v>
      </c>
      <c r="B381" s="2" t="n">
        <v>22715</v>
      </c>
      <c r="C381" s="2" t="s">
        <v>228</v>
      </c>
      <c r="D381" s="2" t="s">
        <v>64</v>
      </c>
      <c r="E381" s="2" t="str">
        <f aca="false">_xlfn.CONCAT(D381,"-",B381)</f>
        <v>CE - 0000-22715</v>
      </c>
      <c r="F381" s="2" t="n">
        <v>156</v>
      </c>
      <c r="G381" s="2" t="n">
        <v>4640.78</v>
      </c>
    </row>
    <row r="382" customFormat="false" ht="13.8" hidden="false" customHeight="false" outlineLevel="0" collapsed="false">
      <c r="A382" s="2" t="s">
        <v>227</v>
      </c>
      <c r="B382" s="2" t="n">
        <v>22715</v>
      </c>
      <c r="C382" s="2" t="s">
        <v>228</v>
      </c>
      <c r="D382" s="2" t="s">
        <v>68</v>
      </c>
      <c r="E382" s="2" t="str">
        <f aca="false">_xlfn.CONCAT(D382,"-",B382)</f>
        <v>CE - OL 002-22715</v>
      </c>
      <c r="F382" s="2" t="n">
        <v>24</v>
      </c>
      <c r="G382" s="2" t="n">
        <v>1032.56</v>
      </c>
    </row>
    <row r="383" customFormat="false" ht="13.8" hidden="false" customHeight="false" outlineLevel="0" collapsed="false">
      <c r="A383" s="2" t="s">
        <v>227</v>
      </c>
      <c r="B383" s="2" t="n">
        <v>22715</v>
      </c>
      <c r="C383" s="2" t="s">
        <v>228</v>
      </c>
      <c r="D383" s="2" t="s">
        <v>66</v>
      </c>
      <c r="E383" s="2" t="str">
        <f aca="false">_xlfn.CONCAT(D383,"-",B383)</f>
        <v>CE - OL 001-22715</v>
      </c>
      <c r="F383" s="2" t="n">
        <v>20</v>
      </c>
      <c r="G383" s="2" t="n">
        <v>700.14</v>
      </c>
    </row>
    <row r="384" customFormat="false" ht="13.8" hidden="false" customHeight="false" outlineLevel="0" collapsed="false">
      <c r="A384" s="2" t="s">
        <v>229</v>
      </c>
      <c r="B384" s="2" t="n">
        <v>1938</v>
      </c>
      <c r="C384" s="2" t="s">
        <v>230</v>
      </c>
      <c r="D384" s="2" t="s">
        <v>64</v>
      </c>
      <c r="E384" s="2" t="str">
        <f aca="false">_xlfn.CONCAT(D384,"-",B384)</f>
        <v>CE - 0000-1938</v>
      </c>
      <c r="F384" s="2" t="n">
        <v>324</v>
      </c>
      <c r="G384" s="2" t="n">
        <v>4098.6</v>
      </c>
    </row>
    <row r="385" customFormat="false" ht="13.8" hidden="false" customHeight="false" outlineLevel="0" collapsed="false">
      <c r="A385" s="2" t="s">
        <v>229</v>
      </c>
      <c r="B385" s="2" t="n">
        <v>1938</v>
      </c>
      <c r="C385" s="2" t="s">
        <v>230</v>
      </c>
      <c r="D385" s="2" t="s">
        <v>69</v>
      </c>
      <c r="E385" s="2" t="str">
        <f aca="false">_xlfn.CONCAT(D385,"-",B385)</f>
        <v>CE - EUROFARMA 6%-1938</v>
      </c>
      <c r="F385" s="2" t="n">
        <v>5</v>
      </c>
      <c r="G385" s="2" t="n">
        <v>65.27</v>
      </c>
    </row>
    <row r="386" customFormat="false" ht="13.8" hidden="false" customHeight="false" outlineLevel="0" collapsed="false">
      <c r="A386" s="2" t="s">
        <v>229</v>
      </c>
      <c r="B386" s="2" t="n">
        <v>1938</v>
      </c>
      <c r="C386" s="2" t="s">
        <v>230</v>
      </c>
      <c r="D386" s="2" t="s">
        <v>65</v>
      </c>
      <c r="E386" s="2" t="str">
        <f aca="false">_xlfn.CONCAT(D386,"-",B386)</f>
        <v>CE - EURO X AUGEFARMA-1938</v>
      </c>
      <c r="F386" s="2" t="n">
        <v>21</v>
      </c>
      <c r="G386" s="2" t="n">
        <v>234.91</v>
      </c>
    </row>
    <row r="387" customFormat="false" ht="13.8" hidden="false" customHeight="false" outlineLevel="0" collapsed="false">
      <c r="A387" s="2" t="s">
        <v>229</v>
      </c>
      <c r="B387" s="2" t="n">
        <v>1938</v>
      </c>
      <c r="C387" s="2" t="s">
        <v>230</v>
      </c>
      <c r="D387" s="2" t="s">
        <v>67</v>
      </c>
      <c r="E387" s="2" t="str">
        <f aca="false">_xlfn.CONCAT(D387,"-",B387)</f>
        <v>CE - EUROFARMA G7-1938</v>
      </c>
      <c r="F387" s="2" t="n">
        <v>79</v>
      </c>
      <c r="G387" s="2" t="n">
        <v>1056.91</v>
      </c>
    </row>
    <row r="388" customFormat="false" ht="13.8" hidden="false" customHeight="false" outlineLevel="0" collapsed="false">
      <c r="A388" s="2" t="s">
        <v>229</v>
      </c>
      <c r="B388" s="2" t="n">
        <v>1938</v>
      </c>
      <c r="C388" s="2" t="s">
        <v>230</v>
      </c>
      <c r="D388" s="2" t="s">
        <v>66</v>
      </c>
      <c r="E388" s="2" t="str">
        <f aca="false">_xlfn.CONCAT(D388,"-",B388)</f>
        <v>CE - OL 001-1938</v>
      </c>
      <c r="F388" s="2" t="n">
        <v>30</v>
      </c>
      <c r="G388" s="2" t="n">
        <v>407.13</v>
      </c>
    </row>
    <row r="389" customFormat="false" ht="13.8" hidden="false" customHeight="false" outlineLevel="0" collapsed="false">
      <c r="A389" s="2" t="s">
        <v>231</v>
      </c>
      <c r="B389" s="2" t="n">
        <v>12520</v>
      </c>
      <c r="C389" s="2" t="s">
        <v>232</v>
      </c>
      <c r="D389" s="2" t="s">
        <v>64</v>
      </c>
      <c r="E389" s="2" t="str">
        <f aca="false">_xlfn.CONCAT(D389,"-",B389)</f>
        <v>CE - 0000-12520</v>
      </c>
      <c r="F389" s="2" t="n">
        <v>804</v>
      </c>
      <c r="G389" s="2" t="n">
        <v>11164.41</v>
      </c>
    </row>
    <row r="390" customFormat="false" ht="13.8" hidden="false" customHeight="false" outlineLevel="0" collapsed="false">
      <c r="A390" s="2" t="s">
        <v>231</v>
      </c>
      <c r="B390" s="2" t="n">
        <v>12520</v>
      </c>
      <c r="C390" s="2" t="s">
        <v>232</v>
      </c>
      <c r="D390" s="2" t="s">
        <v>67</v>
      </c>
      <c r="E390" s="2" t="str">
        <f aca="false">_xlfn.CONCAT(D390,"-",B390)</f>
        <v>CE - EUROFARMA G7-12520</v>
      </c>
      <c r="F390" s="2" t="n">
        <v>102</v>
      </c>
      <c r="G390" s="2" t="n">
        <v>1585.6</v>
      </c>
    </row>
    <row r="391" customFormat="false" ht="13.8" hidden="false" customHeight="false" outlineLevel="0" collapsed="false">
      <c r="A391" s="2" t="s">
        <v>231</v>
      </c>
      <c r="B391" s="2" t="n">
        <v>12520</v>
      </c>
      <c r="C391" s="2" t="s">
        <v>232</v>
      </c>
      <c r="D391" s="2" t="s">
        <v>65</v>
      </c>
      <c r="E391" s="2" t="str">
        <f aca="false">_xlfn.CONCAT(D391,"-",B391)</f>
        <v>CE - EURO X AUGEFARMA-12520</v>
      </c>
      <c r="F391" s="2" t="n">
        <v>1</v>
      </c>
      <c r="G391" s="2" t="n">
        <v>12.3</v>
      </c>
    </row>
    <row r="392" customFormat="false" ht="13.8" hidden="false" customHeight="false" outlineLevel="0" collapsed="false">
      <c r="A392" s="2" t="s">
        <v>231</v>
      </c>
      <c r="B392" s="2" t="n">
        <v>12520</v>
      </c>
      <c r="C392" s="2" t="s">
        <v>232</v>
      </c>
      <c r="D392" s="2" t="s">
        <v>66</v>
      </c>
      <c r="E392" s="2" t="str">
        <f aca="false">_xlfn.CONCAT(D392,"-",B392)</f>
        <v>CE - OL 001-12520</v>
      </c>
      <c r="F392" s="2" t="n">
        <v>309</v>
      </c>
      <c r="G392" s="2" t="n">
        <v>4987.64</v>
      </c>
    </row>
    <row r="393" customFormat="false" ht="13.8" hidden="false" customHeight="false" outlineLevel="0" collapsed="false">
      <c r="A393" s="2" t="s">
        <v>231</v>
      </c>
      <c r="B393" s="2" t="n">
        <v>12520</v>
      </c>
      <c r="C393" s="2" t="s">
        <v>232</v>
      </c>
      <c r="D393" s="2" t="s">
        <v>68</v>
      </c>
      <c r="E393" s="2" t="str">
        <f aca="false">_xlfn.CONCAT(D393,"-",B393)</f>
        <v>CE - OL 002-12520</v>
      </c>
      <c r="F393" s="2" t="n">
        <v>39</v>
      </c>
      <c r="G393" s="2" t="n">
        <v>626.16</v>
      </c>
    </row>
    <row r="394" customFormat="false" ht="13.8" hidden="false" customHeight="false" outlineLevel="0" collapsed="false">
      <c r="A394" s="2" t="s">
        <v>233</v>
      </c>
      <c r="B394" s="2" t="n">
        <v>12732</v>
      </c>
      <c r="C394" s="2" t="s">
        <v>234</v>
      </c>
      <c r="D394" s="2" t="s">
        <v>64</v>
      </c>
      <c r="E394" s="2" t="str">
        <f aca="false">_xlfn.CONCAT(D394,"-",B394)</f>
        <v>CE - 0000-12732</v>
      </c>
      <c r="F394" s="2" t="n">
        <v>3612</v>
      </c>
      <c r="G394" s="2" t="n">
        <v>35270.19</v>
      </c>
    </row>
    <row r="395" customFormat="false" ht="13.8" hidden="false" customHeight="false" outlineLevel="0" collapsed="false">
      <c r="A395" s="2" t="s">
        <v>233</v>
      </c>
      <c r="B395" s="2" t="n">
        <v>12732</v>
      </c>
      <c r="C395" s="2" t="s">
        <v>234</v>
      </c>
      <c r="D395" s="2" t="s">
        <v>66</v>
      </c>
      <c r="E395" s="2" t="str">
        <f aca="false">_xlfn.CONCAT(D395,"-",B395)</f>
        <v>CE - OL 001-12732</v>
      </c>
      <c r="F395" s="2" t="n">
        <v>1428</v>
      </c>
      <c r="G395" s="2" t="n">
        <v>15111.38</v>
      </c>
    </row>
    <row r="396" customFormat="false" ht="13.8" hidden="false" customHeight="false" outlineLevel="0" collapsed="false">
      <c r="A396" s="2" t="s">
        <v>233</v>
      </c>
      <c r="B396" s="2" t="n">
        <v>12732</v>
      </c>
      <c r="C396" s="2" t="s">
        <v>234</v>
      </c>
      <c r="D396" s="2" t="s">
        <v>65</v>
      </c>
      <c r="E396" s="2" t="str">
        <f aca="false">_xlfn.CONCAT(D396,"-",B396)</f>
        <v>CE - EURO X AUGEFARMA-12732</v>
      </c>
      <c r="F396" s="2" t="n">
        <v>147</v>
      </c>
      <c r="G396" s="2" t="n">
        <v>1209.29</v>
      </c>
    </row>
    <row r="397" customFormat="false" ht="13.8" hidden="false" customHeight="false" outlineLevel="0" collapsed="false">
      <c r="A397" s="2" t="s">
        <v>233</v>
      </c>
      <c r="B397" s="2" t="n">
        <v>12732</v>
      </c>
      <c r="C397" s="2" t="s">
        <v>234</v>
      </c>
      <c r="D397" s="2" t="s">
        <v>67</v>
      </c>
      <c r="E397" s="2" t="str">
        <f aca="false">_xlfn.CONCAT(D397,"-",B397)</f>
        <v>CE - EUROFARMA G7-12732</v>
      </c>
      <c r="F397" s="2" t="n">
        <v>490</v>
      </c>
      <c r="G397" s="2" t="n">
        <v>5010.11</v>
      </c>
    </row>
    <row r="398" customFormat="false" ht="13.8" hidden="false" customHeight="false" outlineLevel="0" collapsed="false">
      <c r="A398" s="2" t="s">
        <v>233</v>
      </c>
      <c r="B398" s="2" t="n">
        <v>12732</v>
      </c>
      <c r="C398" s="2" t="s">
        <v>234</v>
      </c>
      <c r="D398" s="2" t="s">
        <v>68</v>
      </c>
      <c r="E398" s="2" t="str">
        <f aca="false">_xlfn.CONCAT(D398,"-",B398)</f>
        <v>CE - OL 002-12732</v>
      </c>
      <c r="F398" s="2" t="n">
        <v>185</v>
      </c>
      <c r="G398" s="2" t="n">
        <v>2309.34</v>
      </c>
    </row>
    <row r="399" customFormat="false" ht="13.8" hidden="false" customHeight="false" outlineLevel="0" collapsed="false">
      <c r="A399" s="2" t="s">
        <v>235</v>
      </c>
      <c r="B399" s="2" t="n">
        <v>12805</v>
      </c>
      <c r="C399" s="2" t="s">
        <v>236</v>
      </c>
      <c r="D399" s="2" t="s">
        <v>65</v>
      </c>
      <c r="E399" s="2" t="str">
        <f aca="false">_xlfn.CONCAT(D399,"-",B399)</f>
        <v>CE - EURO X AUGEFARMA-12805</v>
      </c>
      <c r="F399" s="2" t="n">
        <v>65</v>
      </c>
      <c r="G399" s="2" t="n">
        <v>235.84</v>
      </c>
    </row>
    <row r="400" customFormat="false" ht="13.8" hidden="false" customHeight="false" outlineLevel="0" collapsed="false">
      <c r="A400" s="2" t="s">
        <v>235</v>
      </c>
      <c r="B400" s="2" t="n">
        <v>12805</v>
      </c>
      <c r="C400" s="2" t="s">
        <v>236</v>
      </c>
      <c r="D400" s="2" t="s">
        <v>64</v>
      </c>
      <c r="E400" s="2" t="str">
        <f aca="false">_xlfn.CONCAT(D400,"-",B400)</f>
        <v>CE - 0000-12805</v>
      </c>
      <c r="F400" s="2" t="n">
        <v>3570</v>
      </c>
      <c r="G400" s="2" t="n">
        <v>19911.55</v>
      </c>
    </row>
    <row r="401" customFormat="false" ht="13.8" hidden="false" customHeight="false" outlineLevel="0" collapsed="false">
      <c r="A401" s="2" t="s">
        <v>235</v>
      </c>
      <c r="B401" s="2" t="n">
        <v>12805</v>
      </c>
      <c r="C401" s="2" t="s">
        <v>236</v>
      </c>
      <c r="D401" s="2" t="s">
        <v>66</v>
      </c>
      <c r="E401" s="2" t="str">
        <f aca="false">_xlfn.CONCAT(D401,"-",B401)</f>
        <v>CE - OL 001-12805</v>
      </c>
      <c r="F401" s="2" t="n">
        <v>442</v>
      </c>
      <c r="G401" s="2" t="n">
        <v>2670.52</v>
      </c>
    </row>
    <row r="402" customFormat="false" ht="13.8" hidden="false" customHeight="false" outlineLevel="0" collapsed="false">
      <c r="A402" s="2" t="s">
        <v>235</v>
      </c>
      <c r="B402" s="2" t="n">
        <v>12805</v>
      </c>
      <c r="C402" s="2" t="s">
        <v>236</v>
      </c>
      <c r="D402" s="2" t="s">
        <v>67</v>
      </c>
      <c r="E402" s="2" t="str">
        <f aca="false">_xlfn.CONCAT(D402,"-",B402)</f>
        <v>CE - EUROFARMA G7-12805</v>
      </c>
      <c r="F402" s="2" t="n">
        <v>200</v>
      </c>
      <c r="G402" s="2" t="n">
        <v>1150.06</v>
      </c>
    </row>
    <row r="403" customFormat="false" ht="13.8" hidden="false" customHeight="false" outlineLevel="0" collapsed="false">
      <c r="A403" s="2" t="s">
        <v>235</v>
      </c>
      <c r="B403" s="2" t="n">
        <v>12805</v>
      </c>
      <c r="C403" s="2" t="s">
        <v>236</v>
      </c>
      <c r="D403" s="2" t="s">
        <v>68</v>
      </c>
      <c r="E403" s="2" t="str">
        <f aca="false">_xlfn.CONCAT(D403,"-",B403)</f>
        <v>CE - OL 002-12805</v>
      </c>
      <c r="F403" s="2" t="n">
        <v>61</v>
      </c>
      <c r="G403" s="2" t="n">
        <v>479.6</v>
      </c>
    </row>
    <row r="404" customFormat="false" ht="13.8" hidden="false" customHeight="false" outlineLevel="0" collapsed="false">
      <c r="A404" s="2" t="s">
        <v>237</v>
      </c>
      <c r="B404" s="2" t="n">
        <v>15219</v>
      </c>
      <c r="C404" s="2" t="s">
        <v>238</v>
      </c>
      <c r="D404" s="2" t="s">
        <v>66</v>
      </c>
      <c r="E404" s="2" t="str">
        <f aca="false">_xlfn.CONCAT(D404,"-",B404)</f>
        <v>CE - OL 001-15219</v>
      </c>
      <c r="F404" s="2" t="n">
        <v>49</v>
      </c>
      <c r="G404" s="2" t="n">
        <v>211.23</v>
      </c>
    </row>
    <row r="405" customFormat="false" ht="13.8" hidden="false" customHeight="false" outlineLevel="0" collapsed="false">
      <c r="A405" s="2" t="s">
        <v>237</v>
      </c>
      <c r="B405" s="2" t="n">
        <v>15219</v>
      </c>
      <c r="C405" s="2" t="s">
        <v>238</v>
      </c>
      <c r="D405" s="2" t="s">
        <v>64</v>
      </c>
      <c r="E405" s="2" t="str">
        <f aca="false">_xlfn.CONCAT(D405,"-",B405)</f>
        <v>CE - 0000-15219</v>
      </c>
      <c r="F405" s="2" t="n">
        <v>1</v>
      </c>
      <c r="G405" s="2" t="n">
        <v>21.65</v>
      </c>
    </row>
    <row r="406" customFormat="false" ht="13.8" hidden="false" customHeight="false" outlineLevel="0" collapsed="false">
      <c r="A406" s="2" t="s">
        <v>239</v>
      </c>
      <c r="B406" s="2" t="n">
        <v>687</v>
      </c>
      <c r="C406" s="2" t="s">
        <v>240</v>
      </c>
      <c r="D406" s="2" t="s">
        <v>67</v>
      </c>
      <c r="E406" s="2" t="str">
        <f aca="false">_xlfn.CONCAT(D406,"-",B406)</f>
        <v>CE - EUROFARMA G7-687</v>
      </c>
      <c r="F406" s="2" t="n">
        <v>1692</v>
      </c>
      <c r="G406" s="2" t="n">
        <v>10275.47</v>
      </c>
    </row>
    <row r="407" customFormat="false" ht="13.8" hidden="false" customHeight="false" outlineLevel="0" collapsed="false">
      <c r="A407" s="2" t="s">
        <v>239</v>
      </c>
      <c r="B407" s="2" t="n">
        <v>687</v>
      </c>
      <c r="C407" s="2" t="s">
        <v>240</v>
      </c>
      <c r="D407" s="2" t="s">
        <v>64</v>
      </c>
      <c r="E407" s="2" t="str">
        <f aca="false">_xlfn.CONCAT(D407,"-",B407)</f>
        <v>CE - 0000-687</v>
      </c>
      <c r="F407" s="2" t="n">
        <v>11502</v>
      </c>
      <c r="G407" s="2" t="n">
        <v>69245.96</v>
      </c>
    </row>
    <row r="408" customFormat="false" ht="13.8" hidden="false" customHeight="false" outlineLevel="0" collapsed="false">
      <c r="A408" s="2" t="s">
        <v>239</v>
      </c>
      <c r="B408" s="2" t="n">
        <v>687</v>
      </c>
      <c r="C408" s="2" t="s">
        <v>240</v>
      </c>
      <c r="D408" s="2" t="s">
        <v>69</v>
      </c>
      <c r="E408" s="2" t="str">
        <f aca="false">_xlfn.CONCAT(D408,"-",B408)</f>
        <v>CE - EUROFARMA 6%-687</v>
      </c>
      <c r="F408" s="2" t="n">
        <v>256</v>
      </c>
      <c r="G408" s="2" t="n">
        <v>1841.06</v>
      </c>
    </row>
    <row r="409" customFormat="false" ht="13.8" hidden="false" customHeight="false" outlineLevel="0" collapsed="false">
      <c r="A409" s="2" t="s">
        <v>239</v>
      </c>
      <c r="B409" s="2" t="n">
        <v>687</v>
      </c>
      <c r="C409" s="2" t="s">
        <v>240</v>
      </c>
      <c r="D409" s="2" t="s">
        <v>66</v>
      </c>
      <c r="E409" s="2" t="str">
        <f aca="false">_xlfn.CONCAT(D409,"-",B409)</f>
        <v>CE - OL 001-687</v>
      </c>
      <c r="F409" s="2" t="n">
        <v>1596</v>
      </c>
      <c r="G409" s="2" t="n">
        <v>10416.36</v>
      </c>
    </row>
    <row r="410" customFormat="false" ht="13.8" hidden="false" customHeight="false" outlineLevel="0" collapsed="false">
      <c r="A410" s="2" t="s">
        <v>239</v>
      </c>
      <c r="B410" s="2" t="n">
        <v>687</v>
      </c>
      <c r="C410" s="2" t="s">
        <v>240</v>
      </c>
      <c r="D410" s="2" t="s">
        <v>65</v>
      </c>
      <c r="E410" s="2" t="str">
        <f aca="false">_xlfn.CONCAT(D410,"-",B410)</f>
        <v>CE - EURO X AUGEFARMA-687</v>
      </c>
      <c r="F410" s="2" t="n">
        <v>450</v>
      </c>
      <c r="G410" s="2" t="n">
        <v>2094.3</v>
      </c>
    </row>
    <row r="411" customFormat="false" ht="13.8" hidden="false" customHeight="false" outlineLevel="0" collapsed="false">
      <c r="A411" s="2" t="s">
        <v>239</v>
      </c>
      <c r="B411" s="2" t="n">
        <v>687</v>
      </c>
      <c r="C411" s="2" t="s">
        <v>240</v>
      </c>
      <c r="D411" s="2" t="s">
        <v>68</v>
      </c>
      <c r="E411" s="2" t="str">
        <f aca="false">_xlfn.CONCAT(D411,"-",B411)</f>
        <v>CE - OL 002-687</v>
      </c>
      <c r="F411" s="2" t="n">
        <v>396</v>
      </c>
      <c r="G411" s="2" t="n">
        <v>2618.85</v>
      </c>
    </row>
    <row r="412" customFormat="false" ht="13.8" hidden="false" customHeight="false" outlineLevel="0" collapsed="false">
      <c r="A412" s="2" t="s">
        <v>241</v>
      </c>
      <c r="B412" s="2" t="n">
        <v>691</v>
      </c>
      <c r="C412" s="2" t="s">
        <v>242</v>
      </c>
      <c r="D412" s="2" t="s">
        <v>67</v>
      </c>
      <c r="E412" s="2" t="str">
        <f aca="false">_xlfn.CONCAT(D412,"-",B412)</f>
        <v>CE - EUROFARMA G7-691</v>
      </c>
      <c r="F412" s="2" t="n">
        <v>345</v>
      </c>
      <c r="G412" s="2" t="n">
        <v>5320.73</v>
      </c>
    </row>
    <row r="413" customFormat="false" ht="13.8" hidden="false" customHeight="false" outlineLevel="0" collapsed="false">
      <c r="A413" s="2" t="s">
        <v>241</v>
      </c>
      <c r="B413" s="2" t="n">
        <v>691</v>
      </c>
      <c r="C413" s="2" t="s">
        <v>242</v>
      </c>
      <c r="D413" s="2" t="s">
        <v>65</v>
      </c>
      <c r="E413" s="2" t="str">
        <f aca="false">_xlfn.CONCAT(D413,"-",B413)</f>
        <v>CE - EURO X AUGEFARMA-691</v>
      </c>
      <c r="F413" s="2" t="n">
        <v>155</v>
      </c>
      <c r="G413" s="2" t="n">
        <v>1807</v>
      </c>
    </row>
    <row r="414" customFormat="false" ht="13.8" hidden="false" customHeight="false" outlineLevel="0" collapsed="false">
      <c r="A414" s="2" t="s">
        <v>241</v>
      </c>
      <c r="B414" s="2" t="n">
        <v>691</v>
      </c>
      <c r="C414" s="2" t="s">
        <v>242</v>
      </c>
      <c r="D414" s="2" t="s">
        <v>64</v>
      </c>
      <c r="E414" s="2" t="str">
        <f aca="false">_xlfn.CONCAT(D414,"-",B414)</f>
        <v>CE - 0000-691</v>
      </c>
      <c r="F414" s="2" t="n">
        <v>1663</v>
      </c>
      <c r="G414" s="2" t="n">
        <v>24850.32</v>
      </c>
    </row>
    <row r="415" customFormat="false" ht="13.8" hidden="false" customHeight="false" outlineLevel="0" collapsed="false">
      <c r="A415" s="2" t="s">
        <v>241</v>
      </c>
      <c r="B415" s="2" t="n">
        <v>691</v>
      </c>
      <c r="C415" s="2" t="s">
        <v>242</v>
      </c>
      <c r="D415" s="2" t="s">
        <v>66</v>
      </c>
      <c r="E415" s="2" t="str">
        <f aca="false">_xlfn.CONCAT(D415,"-",B415)</f>
        <v>CE - OL 001-691</v>
      </c>
      <c r="F415" s="2" t="n">
        <v>746</v>
      </c>
      <c r="G415" s="2" t="n">
        <v>12595.53</v>
      </c>
    </row>
    <row r="416" customFormat="false" ht="13.8" hidden="false" customHeight="false" outlineLevel="0" collapsed="false">
      <c r="A416" s="2" t="s">
        <v>241</v>
      </c>
      <c r="B416" s="2" t="n">
        <v>691</v>
      </c>
      <c r="C416" s="2" t="s">
        <v>242</v>
      </c>
      <c r="D416" s="2" t="s">
        <v>68</v>
      </c>
      <c r="E416" s="2" t="str">
        <f aca="false">_xlfn.CONCAT(D416,"-",B416)</f>
        <v>CE - OL 002-691</v>
      </c>
      <c r="F416" s="2" t="n">
        <v>98</v>
      </c>
      <c r="G416" s="2" t="n">
        <v>1652.84</v>
      </c>
    </row>
    <row r="417" customFormat="false" ht="13.8" hidden="false" customHeight="false" outlineLevel="0" collapsed="false">
      <c r="A417" s="2" t="s">
        <v>241</v>
      </c>
      <c r="B417" s="2" t="n">
        <v>691</v>
      </c>
      <c r="C417" s="2" t="s">
        <v>242</v>
      </c>
      <c r="D417" s="2" t="s">
        <v>69</v>
      </c>
      <c r="E417" s="2" t="str">
        <f aca="false">_xlfn.CONCAT(D417,"-",B417)</f>
        <v>CE - EUROFARMA 6%-691</v>
      </c>
      <c r="F417" s="2" t="n">
        <v>1</v>
      </c>
      <c r="G417" s="2" t="n">
        <v>18.01</v>
      </c>
    </row>
    <row r="418" customFormat="false" ht="13.8" hidden="false" customHeight="false" outlineLevel="0" collapsed="false">
      <c r="A418" s="2" t="s">
        <v>243</v>
      </c>
      <c r="B418" s="2" t="n">
        <v>5197</v>
      </c>
      <c r="C418" s="2" t="s">
        <v>244</v>
      </c>
      <c r="D418" s="2" t="s">
        <v>67</v>
      </c>
      <c r="E418" s="2" t="str">
        <f aca="false">_xlfn.CONCAT(D418,"-",B418)</f>
        <v>CE - EUROFARMA G7-5197</v>
      </c>
      <c r="F418" s="2" t="n">
        <v>12</v>
      </c>
      <c r="G418" s="2" t="n">
        <v>136.22</v>
      </c>
    </row>
    <row r="419" customFormat="false" ht="13.8" hidden="false" customHeight="false" outlineLevel="0" collapsed="false">
      <c r="A419" s="2" t="s">
        <v>243</v>
      </c>
      <c r="B419" s="2" t="n">
        <v>5197</v>
      </c>
      <c r="C419" s="2" t="s">
        <v>244</v>
      </c>
      <c r="D419" s="2" t="s">
        <v>68</v>
      </c>
      <c r="E419" s="2" t="str">
        <f aca="false">_xlfn.CONCAT(D419,"-",B419)</f>
        <v>CE - OL 002-5197</v>
      </c>
      <c r="F419" s="2" t="n">
        <v>6</v>
      </c>
      <c r="G419" s="2" t="n">
        <v>76.75</v>
      </c>
    </row>
    <row r="420" customFormat="false" ht="13.8" hidden="false" customHeight="false" outlineLevel="0" collapsed="false">
      <c r="A420" s="2" t="s">
        <v>243</v>
      </c>
      <c r="B420" s="2" t="n">
        <v>5197</v>
      </c>
      <c r="C420" s="2" t="s">
        <v>244</v>
      </c>
      <c r="D420" s="2" t="s">
        <v>64</v>
      </c>
      <c r="E420" s="2" t="str">
        <f aca="false">_xlfn.CONCAT(D420,"-",B420)</f>
        <v>CE - 0000-5197</v>
      </c>
      <c r="F420" s="2" t="n">
        <v>256</v>
      </c>
      <c r="G420" s="2" t="n">
        <v>2828.23</v>
      </c>
    </row>
    <row r="421" customFormat="false" ht="13.8" hidden="false" customHeight="false" outlineLevel="0" collapsed="false">
      <c r="A421" s="2" t="s">
        <v>243</v>
      </c>
      <c r="B421" s="2" t="n">
        <v>5197</v>
      </c>
      <c r="C421" s="2" t="s">
        <v>244</v>
      </c>
      <c r="D421" s="2" t="s">
        <v>65</v>
      </c>
      <c r="E421" s="2" t="str">
        <f aca="false">_xlfn.CONCAT(D421,"-",B421)</f>
        <v>CE - EURO X AUGEFARMA-5197</v>
      </c>
      <c r="F421" s="2" t="n">
        <v>8</v>
      </c>
      <c r="G421" s="2" t="n">
        <v>80.92</v>
      </c>
    </row>
    <row r="422" customFormat="false" ht="13.8" hidden="false" customHeight="false" outlineLevel="0" collapsed="false">
      <c r="A422" s="2" t="s">
        <v>243</v>
      </c>
      <c r="B422" s="2" t="n">
        <v>5197</v>
      </c>
      <c r="C422" s="2" t="s">
        <v>244</v>
      </c>
      <c r="D422" s="2" t="s">
        <v>66</v>
      </c>
      <c r="E422" s="2" t="str">
        <f aca="false">_xlfn.CONCAT(D422,"-",B422)</f>
        <v>CE - OL 001-5197</v>
      </c>
      <c r="F422" s="2" t="n">
        <v>16</v>
      </c>
      <c r="G422" s="2" t="n">
        <v>197.39</v>
      </c>
    </row>
    <row r="423" customFormat="false" ht="13.8" hidden="false" customHeight="false" outlineLevel="0" collapsed="false">
      <c r="A423" s="2" t="s">
        <v>245</v>
      </c>
      <c r="B423" s="2" t="n">
        <v>5198</v>
      </c>
      <c r="C423" s="2" t="s">
        <v>246</v>
      </c>
      <c r="D423" s="2" t="s">
        <v>65</v>
      </c>
      <c r="E423" s="2" t="str">
        <f aca="false">_xlfn.CONCAT(D423,"-",B423)</f>
        <v>CE - EURO X AUGEFARMA-5198</v>
      </c>
      <c r="F423" s="2" t="n">
        <v>6</v>
      </c>
      <c r="G423" s="2" t="n">
        <v>48.63</v>
      </c>
    </row>
    <row r="424" customFormat="false" ht="13.8" hidden="false" customHeight="false" outlineLevel="0" collapsed="false">
      <c r="A424" s="2" t="s">
        <v>245</v>
      </c>
      <c r="B424" s="2" t="n">
        <v>5198</v>
      </c>
      <c r="C424" s="2" t="s">
        <v>246</v>
      </c>
      <c r="D424" s="2" t="s">
        <v>67</v>
      </c>
      <c r="E424" s="2" t="str">
        <f aca="false">_xlfn.CONCAT(D424,"-",B424)</f>
        <v>CE - EUROFARMA G7-5198</v>
      </c>
      <c r="F424" s="2" t="n">
        <v>6</v>
      </c>
      <c r="G424" s="2" t="n">
        <v>53.26</v>
      </c>
    </row>
    <row r="425" customFormat="false" ht="13.8" hidden="false" customHeight="false" outlineLevel="0" collapsed="false">
      <c r="A425" s="2" t="s">
        <v>245</v>
      </c>
      <c r="B425" s="2" t="n">
        <v>5198</v>
      </c>
      <c r="C425" s="2" t="s">
        <v>246</v>
      </c>
      <c r="D425" s="2" t="s">
        <v>64</v>
      </c>
      <c r="E425" s="2" t="str">
        <f aca="false">_xlfn.CONCAT(D425,"-",B425)</f>
        <v>CE - 0000-5198</v>
      </c>
      <c r="F425" s="2" t="n">
        <v>116</v>
      </c>
      <c r="G425" s="2" t="n">
        <v>1054.81</v>
      </c>
    </row>
    <row r="426" customFormat="false" ht="13.8" hidden="false" customHeight="false" outlineLevel="0" collapsed="false">
      <c r="A426" s="2" t="s">
        <v>245</v>
      </c>
      <c r="B426" s="2" t="n">
        <v>5198</v>
      </c>
      <c r="C426" s="2" t="s">
        <v>246</v>
      </c>
      <c r="D426" s="2" t="s">
        <v>66</v>
      </c>
      <c r="E426" s="2" t="str">
        <f aca="false">_xlfn.CONCAT(D426,"-",B426)</f>
        <v>CE - OL 001-5198</v>
      </c>
      <c r="F426" s="2" t="n">
        <v>8</v>
      </c>
      <c r="G426" s="2" t="n">
        <v>79</v>
      </c>
    </row>
    <row r="427" customFormat="false" ht="13.8" hidden="false" customHeight="false" outlineLevel="0" collapsed="false">
      <c r="A427" s="2" t="s">
        <v>247</v>
      </c>
      <c r="B427" s="2" t="n">
        <v>11415</v>
      </c>
      <c r="C427" s="2" t="s">
        <v>248</v>
      </c>
      <c r="D427" s="2" t="s">
        <v>64</v>
      </c>
      <c r="E427" s="2" t="str">
        <f aca="false">_xlfn.CONCAT(D427,"-",B427)</f>
        <v>CE - 0000-11415</v>
      </c>
      <c r="F427" s="2" t="n">
        <v>438</v>
      </c>
      <c r="G427" s="2" t="n">
        <v>23284.93</v>
      </c>
    </row>
    <row r="428" customFormat="false" ht="13.8" hidden="false" customHeight="false" outlineLevel="0" collapsed="false">
      <c r="A428" s="2" t="s">
        <v>247</v>
      </c>
      <c r="B428" s="2" t="n">
        <v>11415</v>
      </c>
      <c r="C428" s="2" t="s">
        <v>248</v>
      </c>
      <c r="D428" s="2" t="s">
        <v>69</v>
      </c>
      <c r="E428" s="2" t="str">
        <f aca="false">_xlfn.CONCAT(D428,"-",B428)</f>
        <v>CE - EUROFARMA 6%-11415</v>
      </c>
      <c r="F428" s="2" t="n">
        <v>6</v>
      </c>
      <c r="G428" s="2" t="n">
        <v>335.88</v>
      </c>
    </row>
    <row r="429" customFormat="false" ht="13.8" hidden="false" customHeight="false" outlineLevel="0" collapsed="false">
      <c r="A429" s="2" t="s">
        <v>247</v>
      </c>
      <c r="B429" s="2" t="n">
        <v>11415</v>
      </c>
      <c r="C429" s="2" t="s">
        <v>248</v>
      </c>
      <c r="D429" s="2" t="s">
        <v>67</v>
      </c>
      <c r="E429" s="2" t="str">
        <f aca="false">_xlfn.CONCAT(D429,"-",B429)</f>
        <v>CE - EUROFARMA G7-11415</v>
      </c>
      <c r="F429" s="2" t="n">
        <v>84</v>
      </c>
      <c r="G429" s="2" t="n">
        <v>4742.08</v>
      </c>
    </row>
    <row r="430" customFormat="false" ht="13.8" hidden="false" customHeight="false" outlineLevel="0" collapsed="false">
      <c r="A430" s="2" t="s">
        <v>247</v>
      </c>
      <c r="B430" s="2" t="n">
        <v>11415</v>
      </c>
      <c r="C430" s="2" t="s">
        <v>248</v>
      </c>
      <c r="D430" s="2" t="s">
        <v>68</v>
      </c>
      <c r="E430" s="2" t="str">
        <f aca="false">_xlfn.CONCAT(D430,"-",B430)</f>
        <v>CE - OL 002-11415</v>
      </c>
      <c r="F430" s="2" t="n">
        <v>13</v>
      </c>
      <c r="G430" s="2" t="n">
        <v>859.14</v>
      </c>
    </row>
    <row r="431" customFormat="false" ht="13.8" hidden="false" customHeight="false" outlineLevel="0" collapsed="false">
      <c r="A431" s="2" t="s">
        <v>247</v>
      </c>
      <c r="B431" s="2" t="n">
        <v>11415</v>
      </c>
      <c r="C431" s="2" t="s">
        <v>248</v>
      </c>
      <c r="D431" s="2" t="s">
        <v>65</v>
      </c>
      <c r="E431" s="2" t="str">
        <f aca="false">_xlfn.CONCAT(D431,"-",B431)</f>
        <v>CE - EURO X AUGEFARMA-11415</v>
      </c>
      <c r="F431" s="2" t="n">
        <v>23</v>
      </c>
      <c r="G431" s="2" t="n">
        <v>1124.89</v>
      </c>
    </row>
    <row r="432" customFormat="false" ht="13.8" hidden="false" customHeight="false" outlineLevel="0" collapsed="false">
      <c r="A432" s="2" t="s">
        <v>247</v>
      </c>
      <c r="B432" s="2" t="n">
        <v>11415</v>
      </c>
      <c r="C432" s="2" t="s">
        <v>248</v>
      </c>
      <c r="D432" s="2" t="s">
        <v>66</v>
      </c>
      <c r="E432" s="2" t="str">
        <f aca="false">_xlfn.CONCAT(D432,"-",B432)</f>
        <v>CE - OL 001-11415</v>
      </c>
      <c r="F432" s="2" t="n">
        <v>154</v>
      </c>
      <c r="G432" s="2" t="n">
        <v>9024.06</v>
      </c>
    </row>
    <row r="433" customFormat="false" ht="13.8" hidden="false" customHeight="false" outlineLevel="0" collapsed="false">
      <c r="A433" s="2" t="s">
        <v>249</v>
      </c>
      <c r="B433" s="2" t="n">
        <v>14293</v>
      </c>
      <c r="C433" s="2" t="s">
        <v>250</v>
      </c>
      <c r="D433" s="2" t="s">
        <v>66</v>
      </c>
      <c r="E433" s="2" t="str">
        <f aca="false">_xlfn.CONCAT(D433,"-",B433)</f>
        <v>CE - OL 001-14293</v>
      </c>
      <c r="F433" s="2" t="n">
        <v>9</v>
      </c>
      <c r="G433" s="2" t="n">
        <v>909.34</v>
      </c>
    </row>
    <row r="434" customFormat="false" ht="13.8" hidden="false" customHeight="false" outlineLevel="0" collapsed="false">
      <c r="A434" s="2" t="s">
        <v>249</v>
      </c>
      <c r="B434" s="2" t="n">
        <v>14293</v>
      </c>
      <c r="C434" s="2" t="s">
        <v>250</v>
      </c>
      <c r="D434" s="2" t="s">
        <v>64</v>
      </c>
      <c r="E434" s="2" t="str">
        <f aca="false">_xlfn.CONCAT(D434,"-",B434)</f>
        <v>CE - 0000-14293</v>
      </c>
      <c r="F434" s="2" t="n">
        <v>36</v>
      </c>
      <c r="G434" s="2" t="n">
        <v>3220.21</v>
      </c>
    </row>
    <row r="435" customFormat="false" ht="13.8" hidden="false" customHeight="false" outlineLevel="0" collapsed="false">
      <c r="A435" s="2" t="s">
        <v>251</v>
      </c>
      <c r="B435" s="2" t="n">
        <v>11414</v>
      </c>
      <c r="C435" s="2" t="s">
        <v>252</v>
      </c>
      <c r="D435" s="2" t="s">
        <v>65</v>
      </c>
      <c r="E435" s="2" t="str">
        <f aca="false">_xlfn.CONCAT(D435,"-",B435)</f>
        <v>CE - EURO X AUGEFARMA-11414</v>
      </c>
      <c r="F435" s="2" t="n">
        <v>15</v>
      </c>
      <c r="G435" s="2" t="n">
        <v>687.45</v>
      </c>
    </row>
    <row r="436" customFormat="false" ht="13.8" hidden="false" customHeight="false" outlineLevel="0" collapsed="false">
      <c r="A436" s="2" t="s">
        <v>251</v>
      </c>
      <c r="B436" s="2" t="n">
        <v>11414</v>
      </c>
      <c r="C436" s="2" t="s">
        <v>252</v>
      </c>
      <c r="D436" s="2" t="s">
        <v>68</v>
      </c>
      <c r="E436" s="2" t="str">
        <f aca="false">_xlfn.CONCAT(D436,"-",B436)</f>
        <v>CE - OL 002-11414</v>
      </c>
      <c r="F436" s="2" t="n">
        <v>14</v>
      </c>
      <c r="G436" s="2" t="n">
        <v>854.61</v>
      </c>
    </row>
    <row r="437" customFormat="false" ht="13.8" hidden="false" customHeight="false" outlineLevel="0" collapsed="false">
      <c r="A437" s="2" t="s">
        <v>251</v>
      </c>
      <c r="B437" s="2" t="n">
        <v>11414</v>
      </c>
      <c r="C437" s="2" t="s">
        <v>252</v>
      </c>
      <c r="D437" s="2" t="s">
        <v>67</v>
      </c>
      <c r="E437" s="2" t="str">
        <f aca="false">_xlfn.CONCAT(D437,"-",B437)</f>
        <v>CE - EUROFARMA G7-11414</v>
      </c>
      <c r="F437" s="2" t="n">
        <v>70</v>
      </c>
      <c r="G437" s="2" t="n">
        <v>3687.82</v>
      </c>
    </row>
    <row r="438" customFormat="false" ht="13.8" hidden="false" customHeight="false" outlineLevel="0" collapsed="false">
      <c r="A438" s="2" t="s">
        <v>251</v>
      </c>
      <c r="B438" s="2" t="n">
        <v>11414</v>
      </c>
      <c r="C438" s="2" t="s">
        <v>252</v>
      </c>
      <c r="D438" s="2" t="s">
        <v>64</v>
      </c>
      <c r="E438" s="2" t="str">
        <f aca="false">_xlfn.CONCAT(D438,"-",B438)</f>
        <v>CE - 0000-11414</v>
      </c>
      <c r="F438" s="2" t="n">
        <v>503</v>
      </c>
      <c r="G438" s="2" t="n">
        <v>25316.81</v>
      </c>
    </row>
    <row r="439" customFormat="false" ht="13.8" hidden="false" customHeight="false" outlineLevel="0" collapsed="false">
      <c r="A439" s="2" t="s">
        <v>251</v>
      </c>
      <c r="B439" s="2" t="n">
        <v>11414</v>
      </c>
      <c r="C439" s="2" t="s">
        <v>252</v>
      </c>
      <c r="D439" s="2" t="s">
        <v>66</v>
      </c>
      <c r="E439" s="2" t="str">
        <f aca="false">_xlfn.CONCAT(D439,"-",B439)</f>
        <v>CE - OL 001-11414</v>
      </c>
      <c r="F439" s="2" t="n">
        <v>233</v>
      </c>
      <c r="G439" s="2" t="n">
        <v>12593.13</v>
      </c>
    </row>
    <row r="440" customFormat="false" ht="13.8" hidden="false" customHeight="false" outlineLevel="0" collapsed="false">
      <c r="A440" s="2" t="s">
        <v>253</v>
      </c>
      <c r="B440" s="2" t="n">
        <v>14294</v>
      </c>
      <c r="C440" s="2" t="s">
        <v>254</v>
      </c>
      <c r="D440" s="2" t="s">
        <v>64</v>
      </c>
      <c r="E440" s="2" t="str">
        <f aca="false">_xlfn.CONCAT(D440,"-",B440)</f>
        <v>CE - 0000-14294</v>
      </c>
      <c r="F440" s="2" t="n">
        <v>5</v>
      </c>
      <c r="G440" s="2" t="n">
        <v>392.57</v>
      </c>
    </row>
    <row r="441" customFormat="false" ht="13.8" hidden="false" customHeight="false" outlineLevel="0" collapsed="false">
      <c r="A441" s="2" t="s">
        <v>253</v>
      </c>
      <c r="B441" s="2" t="n">
        <v>14294</v>
      </c>
      <c r="C441" s="2" t="s">
        <v>254</v>
      </c>
      <c r="D441" s="2" t="s">
        <v>67</v>
      </c>
      <c r="E441" s="2" t="str">
        <f aca="false">_xlfn.CONCAT(D441,"-",B441)</f>
        <v>CE - EUROFARMA G7-14294</v>
      </c>
      <c r="F441" s="2" t="n">
        <v>46</v>
      </c>
      <c r="G441" s="2" t="n">
        <v>3654.58</v>
      </c>
    </row>
    <row r="442" customFormat="false" ht="13.8" hidden="false" customHeight="false" outlineLevel="0" collapsed="false">
      <c r="A442" s="2" t="s">
        <v>255</v>
      </c>
      <c r="B442" s="2" t="n">
        <v>15841</v>
      </c>
      <c r="C442" s="2" t="s">
        <v>256</v>
      </c>
      <c r="D442" s="2" t="s">
        <v>68</v>
      </c>
      <c r="E442" s="2" t="str">
        <f aca="false">_xlfn.CONCAT(D442,"-",B442)</f>
        <v>CE - OL 002-15841</v>
      </c>
      <c r="F442" s="2" t="n">
        <v>55</v>
      </c>
      <c r="G442" s="2" t="n">
        <v>1195.16</v>
      </c>
    </row>
    <row r="443" customFormat="false" ht="13.8" hidden="false" customHeight="false" outlineLevel="0" collapsed="false">
      <c r="A443" s="2" t="s">
        <v>255</v>
      </c>
      <c r="B443" s="2" t="n">
        <v>15841</v>
      </c>
      <c r="C443" s="2" t="s">
        <v>256</v>
      </c>
      <c r="D443" s="2" t="s">
        <v>67</v>
      </c>
      <c r="E443" s="2" t="str">
        <f aca="false">_xlfn.CONCAT(D443,"-",B443)</f>
        <v>CE - EUROFARMA G7-15841</v>
      </c>
      <c r="F443" s="2" t="n">
        <v>214</v>
      </c>
      <c r="G443" s="2" t="n">
        <v>4373.48</v>
      </c>
    </row>
    <row r="444" customFormat="false" ht="13.8" hidden="false" customHeight="false" outlineLevel="0" collapsed="false">
      <c r="A444" s="2" t="s">
        <v>255</v>
      </c>
      <c r="B444" s="2" t="n">
        <v>15841</v>
      </c>
      <c r="C444" s="2" t="s">
        <v>256</v>
      </c>
      <c r="D444" s="2" t="s">
        <v>64</v>
      </c>
      <c r="E444" s="2" t="str">
        <f aca="false">_xlfn.CONCAT(D444,"-",B444)</f>
        <v>CE - 0000-15841</v>
      </c>
      <c r="F444" s="2" t="n">
        <v>2796</v>
      </c>
      <c r="G444" s="2" t="n">
        <v>52773.88</v>
      </c>
    </row>
    <row r="445" customFormat="false" ht="13.8" hidden="false" customHeight="false" outlineLevel="0" collapsed="false">
      <c r="A445" s="2" t="s">
        <v>255</v>
      </c>
      <c r="B445" s="2" t="n">
        <v>15841</v>
      </c>
      <c r="C445" s="2" t="s">
        <v>256</v>
      </c>
      <c r="D445" s="2" t="s">
        <v>65</v>
      </c>
      <c r="E445" s="2" t="str">
        <f aca="false">_xlfn.CONCAT(D445,"-",B445)</f>
        <v>CE - EURO X AUGEFARMA-15841</v>
      </c>
      <c r="F445" s="2" t="n">
        <v>17</v>
      </c>
      <c r="G445" s="2" t="n">
        <v>314.46</v>
      </c>
    </row>
    <row r="446" customFormat="false" ht="13.8" hidden="false" customHeight="false" outlineLevel="0" collapsed="false">
      <c r="A446" s="2" t="s">
        <v>255</v>
      </c>
      <c r="B446" s="2" t="n">
        <v>15841</v>
      </c>
      <c r="C446" s="2" t="s">
        <v>256</v>
      </c>
      <c r="D446" s="2" t="s">
        <v>66</v>
      </c>
      <c r="E446" s="2" t="str">
        <f aca="false">_xlfn.CONCAT(D446,"-",B446)</f>
        <v>CE - OL 001-15841</v>
      </c>
      <c r="F446" s="2" t="n">
        <v>631</v>
      </c>
      <c r="G446" s="2" t="n">
        <v>13013.34</v>
      </c>
    </row>
    <row r="447" customFormat="false" ht="13.8" hidden="false" customHeight="false" outlineLevel="0" collapsed="false">
      <c r="A447" s="2" t="s">
        <v>257</v>
      </c>
      <c r="B447" s="2" t="n">
        <v>8847</v>
      </c>
      <c r="C447" s="2" t="s">
        <v>258</v>
      </c>
      <c r="D447" s="2" t="s">
        <v>68</v>
      </c>
      <c r="E447" s="2" t="str">
        <f aca="false">_xlfn.CONCAT(D447,"-",B447)</f>
        <v>CE - OL 002-8847</v>
      </c>
      <c r="F447" s="2" t="n">
        <v>230</v>
      </c>
      <c r="G447" s="2" t="n">
        <v>2106.98</v>
      </c>
    </row>
    <row r="448" customFormat="false" ht="13.8" hidden="false" customHeight="false" outlineLevel="0" collapsed="false">
      <c r="A448" s="2" t="s">
        <v>257</v>
      </c>
      <c r="B448" s="2" t="n">
        <v>8847</v>
      </c>
      <c r="C448" s="2" t="s">
        <v>258</v>
      </c>
      <c r="D448" s="2" t="s">
        <v>67</v>
      </c>
      <c r="E448" s="2" t="str">
        <f aca="false">_xlfn.CONCAT(D448,"-",B448)</f>
        <v>CE - EUROFARMA G7-8847</v>
      </c>
      <c r="F448" s="2" t="n">
        <v>525</v>
      </c>
      <c r="G448" s="2" t="n">
        <v>4225.79</v>
      </c>
    </row>
    <row r="449" customFormat="false" ht="13.8" hidden="false" customHeight="false" outlineLevel="0" collapsed="false">
      <c r="A449" s="2" t="s">
        <v>257</v>
      </c>
      <c r="B449" s="2" t="n">
        <v>8847</v>
      </c>
      <c r="C449" s="2" t="s">
        <v>258</v>
      </c>
      <c r="D449" s="2" t="s">
        <v>65</v>
      </c>
      <c r="E449" s="2" t="str">
        <f aca="false">_xlfn.CONCAT(D449,"-",B449)</f>
        <v>CE - EURO X AUGEFARMA-8847</v>
      </c>
      <c r="F449" s="2" t="n">
        <v>142</v>
      </c>
      <c r="G449" s="2" t="n">
        <v>945.53</v>
      </c>
    </row>
    <row r="450" customFormat="false" ht="13.8" hidden="false" customHeight="false" outlineLevel="0" collapsed="false">
      <c r="A450" s="2" t="s">
        <v>257</v>
      </c>
      <c r="B450" s="2" t="n">
        <v>8847</v>
      </c>
      <c r="C450" s="2" t="s">
        <v>258</v>
      </c>
      <c r="D450" s="2" t="s">
        <v>64</v>
      </c>
      <c r="E450" s="2" t="str">
        <f aca="false">_xlfn.CONCAT(D450,"-",B450)</f>
        <v>CE - 0000-8847</v>
      </c>
      <c r="F450" s="2" t="n">
        <v>2413</v>
      </c>
      <c r="G450" s="2" t="n">
        <v>18769.36</v>
      </c>
    </row>
    <row r="451" customFormat="false" ht="13.8" hidden="false" customHeight="false" outlineLevel="0" collapsed="false">
      <c r="A451" s="2" t="s">
        <v>257</v>
      </c>
      <c r="B451" s="2" t="n">
        <v>8847</v>
      </c>
      <c r="C451" s="2" t="s">
        <v>258</v>
      </c>
      <c r="D451" s="2" t="s">
        <v>66</v>
      </c>
      <c r="E451" s="2" t="str">
        <f aca="false">_xlfn.CONCAT(D451,"-",B451)</f>
        <v>CE - OL 001-8847</v>
      </c>
      <c r="F451" s="2" t="n">
        <v>713</v>
      </c>
      <c r="G451" s="2" t="n">
        <v>6221.46</v>
      </c>
    </row>
    <row r="452" customFormat="false" ht="13.8" hidden="false" customHeight="false" outlineLevel="0" collapsed="false">
      <c r="A452" s="2" t="s">
        <v>259</v>
      </c>
      <c r="B452" s="2" t="n">
        <v>9523</v>
      </c>
      <c r="C452" s="2" t="s">
        <v>260</v>
      </c>
      <c r="D452" s="2" t="s">
        <v>64</v>
      </c>
      <c r="E452" s="2" t="str">
        <f aca="false">_xlfn.CONCAT(D452,"-",B452)</f>
        <v>CE - 0000-9523</v>
      </c>
      <c r="F452" s="2" t="n">
        <v>8487</v>
      </c>
      <c r="G452" s="2" t="n">
        <v>84690.62</v>
      </c>
    </row>
    <row r="453" customFormat="false" ht="13.8" hidden="false" customHeight="false" outlineLevel="0" collapsed="false">
      <c r="A453" s="2" t="s">
        <v>259</v>
      </c>
      <c r="B453" s="2" t="n">
        <v>9523</v>
      </c>
      <c r="C453" s="2" t="s">
        <v>260</v>
      </c>
      <c r="D453" s="2" t="s">
        <v>67</v>
      </c>
      <c r="E453" s="2" t="str">
        <f aca="false">_xlfn.CONCAT(D453,"-",B453)</f>
        <v>CE - EUROFARMA G7-9523</v>
      </c>
      <c r="F453" s="2" t="n">
        <v>1925</v>
      </c>
      <c r="G453" s="2" t="n">
        <v>19230.85</v>
      </c>
    </row>
    <row r="454" customFormat="false" ht="13.8" hidden="false" customHeight="false" outlineLevel="0" collapsed="false">
      <c r="A454" s="2" t="s">
        <v>259</v>
      </c>
      <c r="B454" s="2" t="n">
        <v>9523</v>
      </c>
      <c r="C454" s="2" t="s">
        <v>260</v>
      </c>
      <c r="D454" s="2" t="s">
        <v>65</v>
      </c>
      <c r="E454" s="2" t="str">
        <f aca="false">_xlfn.CONCAT(D454,"-",B454)</f>
        <v>CE - EURO X AUGEFARMA-9523</v>
      </c>
      <c r="F454" s="2" t="n">
        <v>250</v>
      </c>
      <c r="G454" s="2" t="n">
        <v>2057.51</v>
      </c>
    </row>
    <row r="455" customFormat="false" ht="13.8" hidden="false" customHeight="false" outlineLevel="0" collapsed="false">
      <c r="A455" s="2" t="s">
        <v>259</v>
      </c>
      <c r="B455" s="2" t="n">
        <v>9523</v>
      </c>
      <c r="C455" s="2" t="s">
        <v>260</v>
      </c>
      <c r="D455" s="2" t="s">
        <v>69</v>
      </c>
      <c r="E455" s="2" t="str">
        <f aca="false">_xlfn.CONCAT(D455,"-",B455)</f>
        <v>CE - EUROFARMA 6%-9523</v>
      </c>
      <c r="F455" s="2" t="n">
        <v>80</v>
      </c>
      <c r="G455" s="2" t="n">
        <v>933.2</v>
      </c>
    </row>
    <row r="456" customFormat="false" ht="13.8" hidden="false" customHeight="false" outlineLevel="0" collapsed="false">
      <c r="A456" s="2" t="s">
        <v>259</v>
      </c>
      <c r="B456" s="2" t="n">
        <v>9523</v>
      </c>
      <c r="C456" s="2" t="s">
        <v>260</v>
      </c>
      <c r="D456" s="2" t="s">
        <v>66</v>
      </c>
      <c r="E456" s="2" t="str">
        <f aca="false">_xlfn.CONCAT(D456,"-",B456)</f>
        <v>CE - OL 001-9523</v>
      </c>
      <c r="F456" s="2" t="n">
        <v>2755</v>
      </c>
      <c r="G456" s="2" t="n">
        <v>30483.91</v>
      </c>
    </row>
    <row r="457" customFormat="false" ht="13.8" hidden="false" customHeight="false" outlineLevel="0" collapsed="false">
      <c r="A457" s="2" t="s">
        <v>259</v>
      </c>
      <c r="B457" s="2" t="n">
        <v>9523</v>
      </c>
      <c r="C457" s="2" t="s">
        <v>260</v>
      </c>
      <c r="D457" s="2" t="s">
        <v>68</v>
      </c>
      <c r="E457" s="2" t="str">
        <f aca="false">_xlfn.CONCAT(D457,"-",B457)</f>
        <v>CE - OL 002-9523</v>
      </c>
      <c r="F457" s="2" t="n">
        <v>482</v>
      </c>
      <c r="G457" s="2" t="n">
        <v>5388.77</v>
      </c>
    </row>
    <row r="458" customFormat="false" ht="13.8" hidden="false" customHeight="false" outlineLevel="0" collapsed="false">
      <c r="A458" s="2" t="s">
        <v>261</v>
      </c>
      <c r="B458" s="2" t="n">
        <v>26</v>
      </c>
      <c r="C458" s="2" t="s">
        <v>262</v>
      </c>
      <c r="D458" s="2" t="s">
        <v>67</v>
      </c>
      <c r="E458" s="2" t="str">
        <f aca="false">_xlfn.CONCAT(D458,"-",B458)</f>
        <v>CE - EUROFARMA G7-26</v>
      </c>
      <c r="F458" s="2" t="n">
        <v>47</v>
      </c>
      <c r="G458" s="2" t="n">
        <v>3169.77</v>
      </c>
    </row>
    <row r="459" customFormat="false" ht="13.8" hidden="false" customHeight="false" outlineLevel="0" collapsed="false">
      <c r="A459" s="2" t="s">
        <v>261</v>
      </c>
      <c r="B459" s="2" t="n">
        <v>26</v>
      </c>
      <c r="C459" s="2" t="s">
        <v>262</v>
      </c>
      <c r="D459" s="2" t="s">
        <v>64</v>
      </c>
      <c r="E459" s="2" t="str">
        <f aca="false">_xlfn.CONCAT(D459,"-",B459)</f>
        <v>CE - 0000-26</v>
      </c>
      <c r="F459" s="2" t="n">
        <v>118</v>
      </c>
      <c r="G459" s="2" t="n">
        <v>7726.16</v>
      </c>
    </row>
    <row r="460" customFormat="false" ht="13.8" hidden="false" customHeight="false" outlineLevel="0" collapsed="false">
      <c r="A460" s="2" t="s">
        <v>261</v>
      </c>
      <c r="B460" s="2" t="n">
        <v>26</v>
      </c>
      <c r="C460" s="2" t="s">
        <v>262</v>
      </c>
      <c r="D460" s="2" t="s">
        <v>66</v>
      </c>
      <c r="E460" s="2" t="str">
        <f aca="false">_xlfn.CONCAT(D460,"-",B460)</f>
        <v>CE - OL 001-26</v>
      </c>
      <c r="F460" s="2" t="n">
        <v>3</v>
      </c>
      <c r="G460" s="2" t="n">
        <v>216.79</v>
      </c>
    </row>
    <row r="461" customFormat="false" ht="13.8" hidden="false" customHeight="false" outlineLevel="0" collapsed="false">
      <c r="A461" s="2" t="s">
        <v>261</v>
      </c>
      <c r="B461" s="2" t="n">
        <v>26</v>
      </c>
      <c r="C461" s="2" t="s">
        <v>262</v>
      </c>
      <c r="D461" s="2" t="s">
        <v>65</v>
      </c>
      <c r="E461" s="2" t="str">
        <f aca="false">_xlfn.CONCAT(D461,"-",B461)</f>
        <v>CE - EURO X AUGEFARMA-26</v>
      </c>
      <c r="F461" s="2" t="n">
        <v>4</v>
      </c>
      <c r="G461" s="2" t="n">
        <v>231.17</v>
      </c>
    </row>
    <row r="462" customFormat="false" ht="13.8" hidden="false" customHeight="false" outlineLevel="0" collapsed="false">
      <c r="A462" s="2" t="s">
        <v>263</v>
      </c>
      <c r="B462" s="2" t="n">
        <v>10527</v>
      </c>
      <c r="C462" s="2" t="s">
        <v>264</v>
      </c>
      <c r="D462" s="2" t="s">
        <v>69</v>
      </c>
      <c r="E462" s="2" t="str">
        <f aca="false">_xlfn.CONCAT(D462,"-",B462)</f>
        <v>CE - EUROFARMA 6%-10527</v>
      </c>
      <c r="F462" s="2" t="n">
        <v>88</v>
      </c>
      <c r="G462" s="2" t="n">
        <v>1543.71</v>
      </c>
    </row>
    <row r="463" customFormat="false" ht="13.8" hidden="false" customHeight="false" outlineLevel="0" collapsed="false">
      <c r="A463" s="2" t="s">
        <v>263</v>
      </c>
      <c r="B463" s="2" t="n">
        <v>10527</v>
      </c>
      <c r="C463" s="2" t="s">
        <v>264</v>
      </c>
      <c r="D463" s="2" t="s">
        <v>66</v>
      </c>
      <c r="E463" s="2" t="str">
        <f aca="false">_xlfn.CONCAT(D463,"-",B463)</f>
        <v>CE - OL 001-10527</v>
      </c>
      <c r="F463" s="2" t="n">
        <v>674</v>
      </c>
      <c r="G463" s="2" t="n">
        <v>11573.36</v>
      </c>
    </row>
    <row r="464" customFormat="false" ht="13.8" hidden="false" customHeight="false" outlineLevel="0" collapsed="false">
      <c r="A464" s="2" t="s">
        <v>263</v>
      </c>
      <c r="B464" s="2" t="n">
        <v>10527</v>
      </c>
      <c r="C464" s="2" t="s">
        <v>264</v>
      </c>
      <c r="D464" s="2" t="s">
        <v>65</v>
      </c>
      <c r="E464" s="2" t="str">
        <f aca="false">_xlfn.CONCAT(D464,"-",B464)</f>
        <v>CE - EURO X AUGEFARMA-10527</v>
      </c>
      <c r="F464" s="2" t="n">
        <v>142</v>
      </c>
      <c r="G464" s="2" t="n">
        <v>1701.15</v>
      </c>
    </row>
    <row r="465" customFormat="false" ht="13.8" hidden="false" customHeight="false" outlineLevel="0" collapsed="false">
      <c r="A465" s="2" t="s">
        <v>263</v>
      </c>
      <c r="B465" s="2" t="n">
        <v>10527</v>
      </c>
      <c r="C465" s="2" t="s">
        <v>264</v>
      </c>
      <c r="D465" s="2" t="s">
        <v>67</v>
      </c>
      <c r="E465" s="2" t="str">
        <f aca="false">_xlfn.CONCAT(D465,"-",B465)</f>
        <v>CE - EUROFARMA G7-10527</v>
      </c>
      <c r="F465" s="2" t="n">
        <v>1409</v>
      </c>
      <c r="G465" s="2" t="n">
        <v>22250.04</v>
      </c>
    </row>
    <row r="466" customFormat="false" ht="13.8" hidden="false" customHeight="false" outlineLevel="0" collapsed="false">
      <c r="A466" s="2" t="s">
        <v>263</v>
      </c>
      <c r="B466" s="2" t="n">
        <v>10527</v>
      </c>
      <c r="C466" s="2" t="s">
        <v>264</v>
      </c>
      <c r="D466" s="2" t="s">
        <v>68</v>
      </c>
      <c r="E466" s="2" t="str">
        <f aca="false">_xlfn.CONCAT(D466,"-",B466)</f>
        <v>CE - OL 002-10527</v>
      </c>
      <c r="F466" s="2" t="n">
        <v>89</v>
      </c>
      <c r="G466" s="2" t="n">
        <v>1501.51</v>
      </c>
    </row>
    <row r="467" customFormat="false" ht="13.8" hidden="false" customHeight="false" outlineLevel="0" collapsed="false">
      <c r="A467" s="2" t="s">
        <v>263</v>
      </c>
      <c r="B467" s="2" t="n">
        <v>10527</v>
      </c>
      <c r="C467" s="2" t="s">
        <v>264</v>
      </c>
      <c r="D467" s="2" t="s">
        <v>64</v>
      </c>
      <c r="E467" s="2" t="str">
        <f aca="false">_xlfn.CONCAT(D467,"-",B467)</f>
        <v>CE - 0000-10527</v>
      </c>
      <c r="F467" s="2" t="n">
        <v>3275</v>
      </c>
      <c r="G467" s="2" t="n">
        <v>50443.69</v>
      </c>
    </row>
    <row r="468" customFormat="false" ht="13.8" hidden="false" customHeight="false" outlineLevel="0" collapsed="false">
      <c r="A468" s="2" t="s">
        <v>265</v>
      </c>
      <c r="B468" s="2" t="n">
        <v>10846</v>
      </c>
      <c r="C468" s="2" t="s">
        <v>266</v>
      </c>
      <c r="D468" s="2" t="s">
        <v>66</v>
      </c>
      <c r="E468" s="2" t="str">
        <f aca="false">_xlfn.CONCAT(D468,"-",B468)</f>
        <v>CE - OL 001-10846</v>
      </c>
      <c r="F468" s="2" t="n">
        <v>1206</v>
      </c>
      <c r="G468" s="2" t="n">
        <v>28541.49</v>
      </c>
    </row>
    <row r="469" customFormat="false" ht="13.8" hidden="false" customHeight="false" outlineLevel="0" collapsed="false">
      <c r="A469" s="2" t="s">
        <v>265</v>
      </c>
      <c r="B469" s="2" t="n">
        <v>10846</v>
      </c>
      <c r="C469" s="2" t="s">
        <v>266</v>
      </c>
      <c r="D469" s="2" t="s">
        <v>65</v>
      </c>
      <c r="E469" s="2" t="str">
        <f aca="false">_xlfn.CONCAT(D469,"-",B469)</f>
        <v>CE - EURO X AUGEFARMA-10846</v>
      </c>
      <c r="F469" s="2" t="n">
        <v>162</v>
      </c>
      <c r="G469" s="2" t="n">
        <v>2718.65</v>
      </c>
    </row>
    <row r="470" customFormat="false" ht="13.8" hidden="false" customHeight="false" outlineLevel="0" collapsed="false">
      <c r="A470" s="2" t="s">
        <v>265</v>
      </c>
      <c r="B470" s="2" t="n">
        <v>10846</v>
      </c>
      <c r="C470" s="2" t="s">
        <v>266</v>
      </c>
      <c r="D470" s="2" t="s">
        <v>67</v>
      </c>
      <c r="E470" s="2" t="str">
        <f aca="false">_xlfn.CONCAT(D470,"-",B470)</f>
        <v>CE - EUROFARMA G7-10846</v>
      </c>
      <c r="F470" s="2" t="n">
        <v>15</v>
      </c>
      <c r="G470" s="2" t="n">
        <v>339.46</v>
      </c>
    </row>
    <row r="471" customFormat="false" ht="13.8" hidden="false" customHeight="false" outlineLevel="0" collapsed="false">
      <c r="A471" s="2" t="s">
        <v>265</v>
      </c>
      <c r="B471" s="2" t="n">
        <v>10846</v>
      </c>
      <c r="C471" s="2" t="s">
        <v>266</v>
      </c>
      <c r="D471" s="2" t="s">
        <v>64</v>
      </c>
      <c r="E471" s="2" t="str">
        <f aca="false">_xlfn.CONCAT(D471,"-",B471)</f>
        <v>CE - 0000-10846</v>
      </c>
      <c r="F471" s="2" t="n">
        <v>3656</v>
      </c>
      <c r="G471" s="2" t="n">
        <v>78285.8</v>
      </c>
    </row>
    <row r="472" customFormat="false" ht="13.8" hidden="false" customHeight="false" outlineLevel="0" collapsed="false">
      <c r="A472" s="2" t="s">
        <v>265</v>
      </c>
      <c r="B472" s="2" t="n">
        <v>10846</v>
      </c>
      <c r="C472" s="2" t="s">
        <v>266</v>
      </c>
      <c r="D472" s="2" t="s">
        <v>68</v>
      </c>
      <c r="E472" s="2" t="str">
        <f aca="false">_xlfn.CONCAT(D472,"-",B472)</f>
        <v>CE - OL 002-10846</v>
      </c>
      <c r="F472" s="2" t="n">
        <v>70</v>
      </c>
      <c r="G472" s="2" t="n">
        <v>1733.62</v>
      </c>
    </row>
    <row r="473" customFormat="false" ht="13.8" hidden="false" customHeight="false" outlineLevel="0" collapsed="false">
      <c r="A473" s="2" t="s">
        <v>267</v>
      </c>
      <c r="B473" s="2" t="n">
        <v>8541</v>
      </c>
      <c r="C473" s="2" t="s">
        <v>268</v>
      </c>
      <c r="D473" s="2" t="s">
        <v>66</v>
      </c>
      <c r="E473" s="2" t="str">
        <f aca="false">_xlfn.CONCAT(D473,"-",B473)</f>
        <v>CE - OL 001-8541</v>
      </c>
      <c r="F473" s="2" t="n">
        <v>3726</v>
      </c>
      <c r="G473" s="2" t="n">
        <v>17610.33</v>
      </c>
    </row>
    <row r="474" customFormat="false" ht="13.8" hidden="false" customHeight="false" outlineLevel="0" collapsed="false">
      <c r="A474" s="2" t="s">
        <v>267</v>
      </c>
      <c r="B474" s="2" t="n">
        <v>8541</v>
      </c>
      <c r="C474" s="2" t="s">
        <v>268</v>
      </c>
      <c r="D474" s="2" t="s">
        <v>65</v>
      </c>
      <c r="E474" s="2" t="str">
        <f aca="false">_xlfn.CONCAT(D474,"-",B474)</f>
        <v>CE - EURO X AUGEFARMA-8541</v>
      </c>
      <c r="F474" s="2" t="n">
        <v>4358</v>
      </c>
      <c r="G474" s="2" t="n">
        <v>10333.24</v>
      </c>
    </row>
    <row r="475" customFormat="false" ht="13.8" hidden="false" customHeight="false" outlineLevel="0" collapsed="false">
      <c r="A475" s="2" t="s">
        <v>267</v>
      </c>
      <c r="B475" s="2" t="n">
        <v>8541</v>
      </c>
      <c r="C475" s="2" t="s">
        <v>268</v>
      </c>
      <c r="D475" s="2" t="s">
        <v>64</v>
      </c>
      <c r="E475" s="2" t="str">
        <f aca="false">_xlfn.CONCAT(D475,"-",B475)</f>
        <v>CE - 0000-8541</v>
      </c>
      <c r="F475" s="2" t="n">
        <v>28060</v>
      </c>
      <c r="G475" s="2" t="n">
        <v>104427.53</v>
      </c>
    </row>
    <row r="476" customFormat="false" ht="13.8" hidden="false" customHeight="false" outlineLevel="0" collapsed="false">
      <c r="A476" s="2" t="s">
        <v>267</v>
      </c>
      <c r="B476" s="2" t="n">
        <v>8541</v>
      </c>
      <c r="C476" s="2" t="s">
        <v>268</v>
      </c>
      <c r="D476" s="2" t="s">
        <v>69</v>
      </c>
      <c r="E476" s="2" t="str">
        <f aca="false">_xlfn.CONCAT(D476,"-",B476)</f>
        <v>CE - EUROFARMA 6%-8541</v>
      </c>
      <c r="F476" s="2" t="n">
        <v>31</v>
      </c>
      <c r="G476" s="2" t="n">
        <v>159.19</v>
      </c>
    </row>
    <row r="477" customFormat="false" ht="13.8" hidden="false" customHeight="false" outlineLevel="0" collapsed="false">
      <c r="A477" s="2" t="s">
        <v>267</v>
      </c>
      <c r="B477" s="2" t="n">
        <v>8541</v>
      </c>
      <c r="C477" s="2" t="s">
        <v>268</v>
      </c>
      <c r="D477" s="2" t="s">
        <v>68</v>
      </c>
      <c r="E477" s="2" t="str">
        <f aca="false">_xlfn.CONCAT(D477,"-",B477)</f>
        <v>CE - OL 002-8541</v>
      </c>
      <c r="F477" s="2" t="n">
        <v>1388</v>
      </c>
      <c r="G477" s="2" t="n">
        <v>5960.65</v>
      </c>
    </row>
    <row r="478" customFormat="false" ht="13.8" hidden="false" customHeight="false" outlineLevel="0" collapsed="false">
      <c r="A478" s="2" t="s">
        <v>267</v>
      </c>
      <c r="B478" s="2" t="n">
        <v>8541</v>
      </c>
      <c r="C478" s="2" t="s">
        <v>268</v>
      </c>
      <c r="D478" s="2" t="s">
        <v>67</v>
      </c>
      <c r="E478" s="2" t="str">
        <f aca="false">_xlfn.CONCAT(D478,"-",B478)</f>
        <v>CE - EUROFARMA G7-8541</v>
      </c>
      <c r="F478" s="2" t="n">
        <v>2442</v>
      </c>
      <c r="G478" s="2" t="n">
        <v>9894.37</v>
      </c>
    </row>
    <row r="479" customFormat="false" ht="13.8" hidden="false" customHeight="false" outlineLevel="0" collapsed="false">
      <c r="A479" s="2" t="s">
        <v>269</v>
      </c>
      <c r="B479" s="2" t="n">
        <v>6678</v>
      </c>
      <c r="C479" s="2" t="s">
        <v>270</v>
      </c>
      <c r="D479" s="2" t="s">
        <v>65</v>
      </c>
      <c r="E479" s="2" t="str">
        <f aca="false">_xlfn.CONCAT(D479,"-",B479)</f>
        <v>CE - EURO X AUGEFARMA-6678</v>
      </c>
      <c r="F479" s="2" t="n">
        <v>477</v>
      </c>
      <c r="G479" s="2" t="n">
        <v>1886.65</v>
      </c>
    </row>
    <row r="480" customFormat="false" ht="13.8" hidden="false" customHeight="false" outlineLevel="0" collapsed="false">
      <c r="A480" s="2" t="s">
        <v>269</v>
      </c>
      <c r="B480" s="2" t="n">
        <v>6678</v>
      </c>
      <c r="C480" s="2" t="s">
        <v>270</v>
      </c>
      <c r="D480" s="2" t="s">
        <v>64</v>
      </c>
      <c r="E480" s="2" t="str">
        <f aca="false">_xlfn.CONCAT(D480,"-",B480)</f>
        <v>CE - 0000-6678</v>
      </c>
      <c r="F480" s="2" t="n">
        <v>10380</v>
      </c>
      <c r="G480" s="2" t="n">
        <v>47649.19</v>
      </c>
    </row>
    <row r="481" customFormat="false" ht="13.8" hidden="false" customHeight="false" outlineLevel="0" collapsed="false">
      <c r="A481" s="2" t="s">
        <v>269</v>
      </c>
      <c r="B481" s="2" t="n">
        <v>6678</v>
      </c>
      <c r="C481" s="2" t="s">
        <v>270</v>
      </c>
      <c r="D481" s="2" t="s">
        <v>68</v>
      </c>
      <c r="E481" s="2" t="str">
        <f aca="false">_xlfn.CONCAT(D481,"-",B481)</f>
        <v>CE - OL 002-6678</v>
      </c>
      <c r="F481" s="2" t="n">
        <v>73</v>
      </c>
      <c r="G481" s="2" t="n">
        <v>391.75</v>
      </c>
    </row>
    <row r="482" customFormat="false" ht="13.8" hidden="false" customHeight="false" outlineLevel="0" collapsed="false">
      <c r="A482" s="2" t="s">
        <v>269</v>
      </c>
      <c r="B482" s="2" t="n">
        <v>6678</v>
      </c>
      <c r="C482" s="2" t="s">
        <v>270</v>
      </c>
      <c r="D482" s="2" t="s">
        <v>66</v>
      </c>
      <c r="E482" s="2" t="str">
        <f aca="false">_xlfn.CONCAT(D482,"-",B482)</f>
        <v>CE - OL 001-6678</v>
      </c>
      <c r="F482" s="2" t="n">
        <v>414</v>
      </c>
      <c r="G482" s="2" t="n">
        <v>2011.61</v>
      </c>
    </row>
    <row r="483" customFormat="false" ht="13.8" hidden="false" customHeight="false" outlineLevel="0" collapsed="false">
      <c r="A483" s="2" t="s">
        <v>269</v>
      </c>
      <c r="B483" s="2" t="n">
        <v>6678</v>
      </c>
      <c r="C483" s="2" t="s">
        <v>270</v>
      </c>
      <c r="D483" s="2" t="s">
        <v>69</v>
      </c>
      <c r="E483" s="2" t="str">
        <f aca="false">_xlfn.CONCAT(D483,"-",B483)</f>
        <v>CE - EUROFARMA 6%-6678</v>
      </c>
      <c r="F483" s="2" t="n">
        <v>17</v>
      </c>
      <c r="G483" s="2" t="n">
        <v>81.58</v>
      </c>
    </row>
    <row r="484" customFormat="false" ht="13.8" hidden="false" customHeight="false" outlineLevel="0" collapsed="false">
      <c r="A484" s="2" t="s">
        <v>269</v>
      </c>
      <c r="B484" s="2" t="n">
        <v>6678</v>
      </c>
      <c r="C484" s="2" t="s">
        <v>270</v>
      </c>
      <c r="D484" s="2" t="s">
        <v>67</v>
      </c>
      <c r="E484" s="2" t="str">
        <f aca="false">_xlfn.CONCAT(D484,"-",B484)</f>
        <v>CE - EUROFARMA G7-6678</v>
      </c>
      <c r="F484" s="2" t="n">
        <v>511</v>
      </c>
      <c r="G484" s="2" t="n">
        <v>2539.48</v>
      </c>
    </row>
    <row r="485" customFormat="false" ht="13.8" hidden="false" customHeight="false" outlineLevel="0" collapsed="false">
      <c r="A485" s="2" t="s">
        <v>271</v>
      </c>
      <c r="B485" s="2" t="n">
        <v>12409</v>
      </c>
      <c r="C485" s="2" t="s">
        <v>272</v>
      </c>
      <c r="D485" s="2" t="s">
        <v>64</v>
      </c>
      <c r="E485" s="2" t="str">
        <f aca="false">_xlfn.CONCAT(D485,"-",B485)</f>
        <v>CE - 0000-12409</v>
      </c>
      <c r="F485" s="2" t="n">
        <v>2208</v>
      </c>
      <c r="G485" s="2" t="n">
        <v>17676.15</v>
      </c>
    </row>
    <row r="486" customFormat="false" ht="13.8" hidden="false" customHeight="false" outlineLevel="0" collapsed="false">
      <c r="A486" s="2" t="s">
        <v>271</v>
      </c>
      <c r="B486" s="2" t="n">
        <v>12409</v>
      </c>
      <c r="C486" s="2" t="s">
        <v>272</v>
      </c>
      <c r="D486" s="2" t="s">
        <v>65</v>
      </c>
      <c r="E486" s="2" t="str">
        <f aca="false">_xlfn.CONCAT(D486,"-",B486)</f>
        <v>CE - EURO X AUGEFARMA-12409</v>
      </c>
      <c r="F486" s="2" t="n">
        <v>96</v>
      </c>
      <c r="G486" s="2" t="n">
        <v>661.36</v>
      </c>
    </row>
    <row r="487" customFormat="false" ht="13.8" hidden="false" customHeight="false" outlineLevel="0" collapsed="false">
      <c r="A487" s="2" t="s">
        <v>271</v>
      </c>
      <c r="B487" s="2" t="n">
        <v>12409</v>
      </c>
      <c r="C487" s="2" t="s">
        <v>272</v>
      </c>
      <c r="D487" s="2" t="s">
        <v>67</v>
      </c>
      <c r="E487" s="2" t="str">
        <f aca="false">_xlfn.CONCAT(D487,"-",B487)</f>
        <v>CE - EUROFARMA G7-12409</v>
      </c>
      <c r="F487" s="2" t="n">
        <v>612</v>
      </c>
      <c r="G487" s="2" t="n">
        <v>5267.11</v>
      </c>
    </row>
    <row r="488" customFormat="false" ht="13.8" hidden="false" customHeight="false" outlineLevel="0" collapsed="false">
      <c r="A488" s="2" t="s">
        <v>271</v>
      </c>
      <c r="B488" s="2" t="n">
        <v>12409</v>
      </c>
      <c r="C488" s="2" t="s">
        <v>272</v>
      </c>
      <c r="D488" s="2" t="s">
        <v>69</v>
      </c>
      <c r="E488" s="2" t="str">
        <f aca="false">_xlfn.CONCAT(D488,"-",B488)</f>
        <v>CE - EUROFARMA 6%-12409</v>
      </c>
      <c r="F488" s="2" t="n">
        <v>5</v>
      </c>
      <c r="G488" s="2" t="n">
        <v>42.47</v>
      </c>
    </row>
    <row r="489" customFormat="false" ht="13.8" hidden="false" customHeight="false" outlineLevel="0" collapsed="false">
      <c r="A489" s="2" t="s">
        <v>271</v>
      </c>
      <c r="B489" s="2" t="n">
        <v>12409</v>
      </c>
      <c r="C489" s="2" t="s">
        <v>272</v>
      </c>
      <c r="D489" s="2" t="s">
        <v>66</v>
      </c>
      <c r="E489" s="2" t="str">
        <f aca="false">_xlfn.CONCAT(D489,"-",B489)</f>
        <v>CE - OL 001-12409</v>
      </c>
      <c r="F489" s="2" t="n">
        <v>128</v>
      </c>
      <c r="G489" s="2" t="n">
        <v>1063.88</v>
      </c>
    </row>
    <row r="490" customFormat="false" ht="13.8" hidden="false" customHeight="false" outlineLevel="0" collapsed="false">
      <c r="A490" s="2" t="s">
        <v>271</v>
      </c>
      <c r="B490" s="2" t="n">
        <v>12409</v>
      </c>
      <c r="C490" s="2" t="s">
        <v>272</v>
      </c>
      <c r="D490" s="2" t="s">
        <v>68</v>
      </c>
      <c r="E490" s="2" t="str">
        <f aca="false">_xlfn.CONCAT(D490,"-",B490)</f>
        <v>CE - OL 002-12409</v>
      </c>
      <c r="F490" s="2" t="n">
        <v>5</v>
      </c>
      <c r="G490" s="2" t="n">
        <v>46.96</v>
      </c>
    </row>
    <row r="491" customFormat="false" ht="13.8" hidden="false" customHeight="false" outlineLevel="0" collapsed="false">
      <c r="A491" s="2" t="s">
        <v>273</v>
      </c>
      <c r="B491" s="2" t="n">
        <v>10845</v>
      </c>
      <c r="C491" s="2" t="s">
        <v>274</v>
      </c>
      <c r="D491" s="2" t="s">
        <v>69</v>
      </c>
      <c r="E491" s="2" t="str">
        <f aca="false">_xlfn.CONCAT(D491,"-",B491)</f>
        <v>CE - EUROFARMA 6%-10845</v>
      </c>
      <c r="F491" s="2" t="n">
        <v>11</v>
      </c>
      <c r="G491" s="2" t="n">
        <v>143.49</v>
      </c>
    </row>
    <row r="492" customFormat="false" ht="13.8" hidden="false" customHeight="false" outlineLevel="0" collapsed="false">
      <c r="A492" s="2" t="s">
        <v>273</v>
      </c>
      <c r="B492" s="2" t="n">
        <v>10845</v>
      </c>
      <c r="C492" s="2" t="s">
        <v>274</v>
      </c>
      <c r="D492" s="2" t="s">
        <v>65</v>
      </c>
      <c r="E492" s="2" t="str">
        <f aca="false">_xlfn.CONCAT(D492,"-",B492)</f>
        <v>CE - EURO X AUGEFARMA-10845</v>
      </c>
      <c r="F492" s="2" t="n">
        <v>59</v>
      </c>
      <c r="G492" s="2" t="n">
        <v>550.41</v>
      </c>
    </row>
    <row r="493" customFormat="false" ht="13.8" hidden="false" customHeight="false" outlineLevel="0" collapsed="false">
      <c r="A493" s="2" t="s">
        <v>273</v>
      </c>
      <c r="B493" s="2" t="n">
        <v>10845</v>
      </c>
      <c r="C493" s="2" t="s">
        <v>274</v>
      </c>
      <c r="D493" s="2" t="s">
        <v>66</v>
      </c>
      <c r="E493" s="2" t="str">
        <f aca="false">_xlfn.CONCAT(D493,"-",B493)</f>
        <v>CE - OL 001-10845</v>
      </c>
      <c r="F493" s="2" t="n">
        <v>1709</v>
      </c>
      <c r="G493" s="2" t="n">
        <v>21222.85</v>
      </c>
    </row>
    <row r="494" customFormat="false" ht="13.8" hidden="false" customHeight="false" outlineLevel="0" collapsed="false">
      <c r="A494" s="2" t="s">
        <v>273</v>
      </c>
      <c r="B494" s="2" t="n">
        <v>10845</v>
      </c>
      <c r="C494" s="2" t="s">
        <v>274</v>
      </c>
      <c r="D494" s="2" t="s">
        <v>64</v>
      </c>
      <c r="E494" s="2" t="str">
        <f aca="false">_xlfn.CONCAT(D494,"-",B494)</f>
        <v>CE - 0000-10845</v>
      </c>
      <c r="F494" s="2" t="n">
        <v>20468</v>
      </c>
      <c r="G494" s="2" t="n">
        <v>223264.55</v>
      </c>
    </row>
    <row r="495" customFormat="false" ht="13.8" hidden="false" customHeight="false" outlineLevel="0" collapsed="false">
      <c r="A495" s="2" t="s">
        <v>273</v>
      </c>
      <c r="B495" s="2" t="n">
        <v>10845</v>
      </c>
      <c r="C495" s="2" t="s">
        <v>274</v>
      </c>
      <c r="D495" s="2" t="s">
        <v>67</v>
      </c>
      <c r="E495" s="2" t="str">
        <f aca="false">_xlfn.CONCAT(D495,"-",B495)</f>
        <v>CE - EUROFARMA G7-10845</v>
      </c>
      <c r="F495" s="2" t="n">
        <v>872</v>
      </c>
      <c r="G495" s="2" t="n">
        <v>10224.93</v>
      </c>
    </row>
    <row r="496" customFormat="false" ht="13.8" hidden="false" customHeight="false" outlineLevel="0" collapsed="false">
      <c r="A496" s="2" t="s">
        <v>273</v>
      </c>
      <c r="B496" s="2" t="n">
        <v>10845</v>
      </c>
      <c r="C496" s="2" t="s">
        <v>274</v>
      </c>
      <c r="D496" s="2" t="s">
        <v>68</v>
      </c>
      <c r="E496" s="2" t="str">
        <f aca="false">_xlfn.CONCAT(D496,"-",B496)</f>
        <v>CE - OL 002-10845</v>
      </c>
      <c r="F496" s="2" t="n">
        <v>131</v>
      </c>
      <c r="G496" s="2" t="n">
        <v>2216.04</v>
      </c>
    </row>
    <row r="497" customFormat="false" ht="13.8" hidden="false" customHeight="false" outlineLevel="0" collapsed="false">
      <c r="A497" s="2" t="s">
        <v>275</v>
      </c>
      <c r="B497" s="2" t="n">
        <v>6944</v>
      </c>
      <c r="C497" s="2" t="s">
        <v>276</v>
      </c>
      <c r="D497" s="2" t="s">
        <v>65</v>
      </c>
      <c r="E497" s="2" t="str">
        <f aca="false">_xlfn.CONCAT(D497,"-",B497)</f>
        <v>CE - EURO X AUGEFARMA-6944</v>
      </c>
      <c r="F497" s="2" t="n">
        <v>324</v>
      </c>
      <c r="G497" s="2" t="n">
        <v>1346.52</v>
      </c>
    </row>
    <row r="498" customFormat="false" ht="13.8" hidden="false" customHeight="false" outlineLevel="0" collapsed="false">
      <c r="A498" s="2" t="s">
        <v>275</v>
      </c>
      <c r="B498" s="2" t="n">
        <v>6944</v>
      </c>
      <c r="C498" s="2" t="s">
        <v>276</v>
      </c>
      <c r="D498" s="2" t="s">
        <v>67</v>
      </c>
      <c r="E498" s="2" t="str">
        <f aca="false">_xlfn.CONCAT(D498,"-",B498)</f>
        <v>CE - EUROFARMA G7-6944</v>
      </c>
      <c r="F498" s="2" t="n">
        <v>1099</v>
      </c>
      <c r="G498" s="2" t="n">
        <v>6354.81</v>
      </c>
    </row>
    <row r="499" customFormat="false" ht="13.8" hidden="false" customHeight="false" outlineLevel="0" collapsed="false">
      <c r="A499" s="2" t="s">
        <v>275</v>
      </c>
      <c r="B499" s="2" t="n">
        <v>6944</v>
      </c>
      <c r="C499" s="2" t="s">
        <v>276</v>
      </c>
      <c r="D499" s="2" t="s">
        <v>64</v>
      </c>
      <c r="E499" s="2" t="str">
        <f aca="false">_xlfn.CONCAT(D499,"-",B499)</f>
        <v>CE - 0000-6944</v>
      </c>
      <c r="F499" s="2" t="n">
        <v>3934</v>
      </c>
      <c r="G499" s="2" t="n">
        <v>23818.13</v>
      </c>
    </row>
    <row r="500" customFormat="false" ht="13.8" hidden="false" customHeight="false" outlineLevel="0" collapsed="false">
      <c r="A500" s="2" t="s">
        <v>275</v>
      </c>
      <c r="B500" s="2" t="n">
        <v>6944</v>
      </c>
      <c r="C500" s="2" t="s">
        <v>276</v>
      </c>
      <c r="D500" s="2" t="s">
        <v>66</v>
      </c>
      <c r="E500" s="2" t="str">
        <f aca="false">_xlfn.CONCAT(D500,"-",B500)</f>
        <v>CE - OL 001-6944</v>
      </c>
      <c r="F500" s="2" t="n">
        <v>148</v>
      </c>
      <c r="G500" s="2" t="n">
        <v>1151.17</v>
      </c>
    </row>
    <row r="501" customFormat="false" ht="13.8" hidden="false" customHeight="false" outlineLevel="0" collapsed="false">
      <c r="A501" s="2" t="s">
        <v>275</v>
      </c>
      <c r="B501" s="2" t="n">
        <v>6944</v>
      </c>
      <c r="C501" s="2" t="s">
        <v>276</v>
      </c>
      <c r="D501" s="2" t="s">
        <v>68</v>
      </c>
      <c r="E501" s="2" t="str">
        <f aca="false">_xlfn.CONCAT(D501,"-",B501)</f>
        <v>CE - OL 002-6944</v>
      </c>
      <c r="F501" s="2" t="n">
        <v>7</v>
      </c>
      <c r="G501" s="2" t="n">
        <v>60.02</v>
      </c>
    </row>
    <row r="502" customFormat="false" ht="13.8" hidden="false" customHeight="false" outlineLevel="0" collapsed="false">
      <c r="A502" s="2" t="s">
        <v>277</v>
      </c>
      <c r="B502" s="2" t="n">
        <v>12518</v>
      </c>
      <c r="C502" s="2" t="s">
        <v>278</v>
      </c>
      <c r="D502" s="2" t="s">
        <v>65</v>
      </c>
      <c r="E502" s="2" t="str">
        <f aca="false">_xlfn.CONCAT(D502,"-",B502)</f>
        <v>CE - EURO X AUGEFARMA-12518</v>
      </c>
      <c r="F502" s="2" t="n">
        <v>60</v>
      </c>
      <c r="G502" s="2" t="n">
        <v>850.83</v>
      </c>
    </row>
    <row r="503" customFormat="false" ht="13.8" hidden="false" customHeight="false" outlineLevel="0" collapsed="false">
      <c r="A503" s="2" t="s">
        <v>277</v>
      </c>
      <c r="B503" s="2" t="n">
        <v>12518</v>
      </c>
      <c r="C503" s="2" t="s">
        <v>278</v>
      </c>
      <c r="D503" s="2" t="s">
        <v>64</v>
      </c>
      <c r="E503" s="2" t="str">
        <f aca="false">_xlfn.CONCAT(D503,"-",B503)</f>
        <v>CE - 0000-12518</v>
      </c>
      <c r="F503" s="2" t="n">
        <v>694</v>
      </c>
      <c r="G503" s="2" t="n">
        <v>11890.8</v>
      </c>
    </row>
    <row r="504" customFormat="false" ht="13.8" hidden="false" customHeight="false" outlineLevel="0" collapsed="false">
      <c r="A504" s="2" t="s">
        <v>277</v>
      </c>
      <c r="B504" s="2" t="n">
        <v>12518</v>
      </c>
      <c r="C504" s="2" t="s">
        <v>278</v>
      </c>
      <c r="D504" s="2" t="s">
        <v>66</v>
      </c>
      <c r="E504" s="2" t="str">
        <f aca="false">_xlfn.CONCAT(D504,"-",B504)</f>
        <v>CE - OL 001-12518</v>
      </c>
      <c r="F504" s="2" t="n">
        <v>117</v>
      </c>
      <c r="G504" s="2" t="n">
        <v>2163.5</v>
      </c>
    </row>
    <row r="505" customFormat="false" ht="13.8" hidden="false" customHeight="false" outlineLevel="0" collapsed="false">
      <c r="A505" s="2" t="s">
        <v>277</v>
      </c>
      <c r="B505" s="2" t="n">
        <v>12518</v>
      </c>
      <c r="C505" s="2" t="s">
        <v>278</v>
      </c>
      <c r="D505" s="2" t="s">
        <v>69</v>
      </c>
      <c r="E505" s="2" t="str">
        <f aca="false">_xlfn.CONCAT(D505,"-",B505)</f>
        <v>CE - EUROFARMA 6%-12518</v>
      </c>
      <c r="F505" s="2" t="n">
        <v>2</v>
      </c>
      <c r="G505" s="2" t="n">
        <v>37.65</v>
      </c>
    </row>
    <row r="506" customFormat="false" ht="13.8" hidden="false" customHeight="false" outlineLevel="0" collapsed="false">
      <c r="A506" s="2" t="s">
        <v>277</v>
      </c>
      <c r="B506" s="2" t="n">
        <v>12518</v>
      </c>
      <c r="C506" s="2" t="s">
        <v>278</v>
      </c>
      <c r="D506" s="2" t="s">
        <v>68</v>
      </c>
      <c r="E506" s="2" t="str">
        <f aca="false">_xlfn.CONCAT(D506,"-",B506)</f>
        <v>CE - OL 002-12518</v>
      </c>
      <c r="F506" s="2" t="n">
        <v>12</v>
      </c>
      <c r="G506" s="2" t="n">
        <v>226.75</v>
      </c>
    </row>
    <row r="507" customFormat="false" ht="13.8" hidden="false" customHeight="false" outlineLevel="0" collapsed="false">
      <c r="A507" s="2" t="s">
        <v>277</v>
      </c>
      <c r="B507" s="2" t="n">
        <v>12518</v>
      </c>
      <c r="C507" s="2" t="s">
        <v>278</v>
      </c>
      <c r="D507" s="2" t="s">
        <v>67</v>
      </c>
      <c r="E507" s="2" t="str">
        <f aca="false">_xlfn.CONCAT(D507,"-",B507)</f>
        <v>CE - EUROFARMA G7-12518</v>
      </c>
      <c r="F507" s="2" t="n">
        <v>18</v>
      </c>
      <c r="G507" s="2" t="n">
        <v>326.58</v>
      </c>
    </row>
    <row r="508" customFormat="false" ht="13.8" hidden="false" customHeight="false" outlineLevel="0" collapsed="false">
      <c r="A508" s="2" t="s">
        <v>279</v>
      </c>
      <c r="B508" s="2" t="n">
        <v>15839</v>
      </c>
      <c r="C508" s="2" t="s">
        <v>280</v>
      </c>
      <c r="D508" s="2" t="s">
        <v>64</v>
      </c>
      <c r="E508" s="2" t="str">
        <f aca="false">_xlfn.CONCAT(D508,"-",B508)</f>
        <v>CE - 0000-15839</v>
      </c>
      <c r="F508" s="2" t="n">
        <v>180</v>
      </c>
      <c r="G508" s="2" t="n">
        <v>2256.96</v>
      </c>
    </row>
    <row r="509" customFormat="false" ht="13.8" hidden="false" customHeight="false" outlineLevel="0" collapsed="false">
      <c r="A509" s="2" t="s">
        <v>279</v>
      </c>
      <c r="B509" s="2" t="n">
        <v>15839</v>
      </c>
      <c r="C509" s="2" t="s">
        <v>280</v>
      </c>
      <c r="D509" s="2" t="s">
        <v>66</v>
      </c>
      <c r="E509" s="2" t="str">
        <f aca="false">_xlfn.CONCAT(D509,"-",B509)</f>
        <v>CE - OL 001-15839</v>
      </c>
      <c r="F509" s="2" t="n">
        <v>20</v>
      </c>
      <c r="G509" s="2" t="n">
        <v>266.11</v>
      </c>
    </row>
    <row r="510" customFormat="false" ht="13.8" hidden="false" customHeight="false" outlineLevel="0" collapsed="false">
      <c r="A510" s="2" t="s">
        <v>281</v>
      </c>
      <c r="B510" s="2" t="n">
        <v>22093</v>
      </c>
      <c r="C510" s="2" t="s">
        <v>282</v>
      </c>
      <c r="D510" s="2" t="s">
        <v>64</v>
      </c>
      <c r="E510" s="2" t="str">
        <f aca="false">_xlfn.CONCAT(D510,"-",B510)</f>
        <v>CE - 0000-22093</v>
      </c>
      <c r="F510" s="2" t="n">
        <v>120</v>
      </c>
      <c r="G510" s="2" t="n">
        <v>3356.56</v>
      </c>
    </row>
    <row r="511" customFormat="false" ht="13.8" hidden="false" customHeight="false" outlineLevel="0" collapsed="false">
      <c r="A511" s="2" t="s">
        <v>281</v>
      </c>
      <c r="B511" s="2" t="n">
        <v>22093</v>
      </c>
      <c r="C511" s="2" t="s">
        <v>282</v>
      </c>
      <c r="D511" s="2" t="s">
        <v>67</v>
      </c>
      <c r="E511" s="2" t="str">
        <f aca="false">_xlfn.CONCAT(D511,"-",B511)</f>
        <v>CE - EUROFARMA G7-22093</v>
      </c>
      <c r="F511" s="2" t="n">
        <v>14</v>
      </c>
      <c r="G511" s="2" t="n">
        <v>370.88</v>
      </c>
    </row>
    <row r="512" customFormat="false" ht="13.8" hidden="false" customHeight="false" outlineLevel="0" collapsed="false">
      <c r="A512" s="2" t="s">
        <v>281</v>
      </c>
      <c r="B512" s="2" t="n">
        <v>22093</v>
      </c>
      <c r="C512" s="2" t="s">
        <v>282</v>
      </c>
      <c r="D512" s="2" t="s">
        <v>68</v>
      </c>
      <c r="E512" s="2" t="str">
        <f aca="false">_xlfn.CONCAT(D512,"-",B512)</f>
        <v>CE - OL 002-22093</v>
      </c>
      <c r="F512" s="2" t="n">
        <v>2</v>
      </c>
      <c r="G512" s="2" t="n">
        <v>53.86</v>
      </c>
    </row>
    <row r="513" customFormat="false" ht="13.8" hidden="false" customHeight="false" outlineLevel="0" collapsed="false">
      <c r="A513" s="2" t="s">
        <v>283</v>
      </c>
      <c r="B513" s="2" t="n">
        <v>22094</v>
      </c>
      <c r="C513" s="2" t="s">
        <v>284</v>
      </c>
      <c r="D513" s="2" t="s">
        <v>66</v>
      </c>
      <c r="E513" s="2" t="str">
        <f aca="false">_xlfn.CONCAT(D513,"-",B513)</f>
        <v>CE - OL 001-22094</v>
      </c>
      <c r="F513" s="2" t="n">
        <v>8</v>
      </c>
      <c r="G513" s="2" t="n">
        <v>545.25</v>
      </c>
    </row>
    <row r="514" customFormat="false" ht="13.8" hidden="false" customHeight="false" outlineLevel="0" collapsed="false">
      <c r="A514" s="2" t="s">
        <v>283</v>
      </c>
      <c r="B514" s="2" t="n">
        <v>22094</v>
      </c>
      <c r="C514" s="2" t="s">
        <v>284</v>
      </c>
      <c r="D514" s="2" t="s">
        <v>64</v>
      </c>
      <c r="E514" s="2" t="str">
        <f aca="false">_xlfn.CONCAT(D514,"-",B514)</f>
        <v>CE - 0000-22094</v>
      </c>
      <c r="F514" s="2" t="n">
        <v>61</v>
      </c>
      <c r="G514" s="2" t="n">
        <v>4381.45</v>
      </c>
    </row>
    <row r="515" customFormat="false" ht="13.8" hidden="false" customHeight="false" outlineLevel="0" collapsed="false">
      <c r="A515" s="2" t="s">
        <v>283</v>
      </c>
      <c r="B515" s="2" t="n">
        <v>22094</v>
      </c>
      <c r="C515" s="2" t="s">
        <v>284</v>
      </c>
      <c r="D515" s="2" t="s">
        <v>65</v>
      </c>
      <c r="E515" s="2" t="str">
        <f aca="false">_xlfn.CONCAT(D515,"-",B515)</f>
        <v>CE - EURO X AUGEFARMA-22094</v>
      </c>
      <c r="F515" s="2" t="n">
        <v>1</v>
      </c>
      <c r="G515" s="2" t="n">
        <v>55.46</v>
      </c>
    </row>
    <row r="516" customFormat="false" ht="13.8" hidden="false" customHeight="false" outlineLevel="0" collapsed="false">
      <c r="A516" s="2" t="s">
        <v>285</v>
      </c>
      <c r="B516" s="2" t="n">
        <v>22387</v>
      </c>
      <c r="C516" s="2" t="s">
        <v>286</v>
      </c>
      <c r="D516" s="2" t="s">
        <v>64</v>
      </c>
      <c r="E516" s="2" t="str">
        <f aca="false">_xlfn.CONCAT(D516,"-",B516)</f>
        <v>CE - 0000-22387</v>
      </c>
      <c r="F516" s="2" t="n">
        <v>308</v>
      </c>
      <c r="G516" s="2" t="n">
        <v>3702.13</v>
      </c>
    </row>
    <row r="517" customFormat="false" ht="13.8" hidden="false" customHeight="false" outlineLevel="0" collapsed="false">
      <c r="A517" s="2" t="s">
        <v>285</v>
      </c>
      <c r="B517" s="2" t="n">
        <v>22387</v>
      </c>
      <c r="C517" s="2" t="s">
        <v>286</v>
      </c>
      <c r="D517" s="2" t="s">
        <v>68</v>
      </c>
      <c r="E517" s="2" t="str">
        <f aca="false">_xlfn.CONCAT(D517,"-",B517)</f>
        <v>CE - OL 002-22387</v>
      </c>
      <c r="F517" s="2" t="n">
        <v>16</v>
      </c>
      <c r="G517" s="2" t="n">
        <v>207.58</v>
      </c>
    </row>
    <row r="518" customFormat="false" ht="13.8" hidden="false" customHeight="false" outlineLevel="0" collapsed="false">
      <c r="A518" s="2" t="s">
        <v>285</v>
      </c>
      <c r="B518" s="2" t="n">
        <v>22387</v>
      </c>
      <c r="C518" s="2" t="s">
        <v>286</v>
      </c>
      <c r="D518" s="2" t="s">
        <v>66</v>
      </c>
      <c r="E518" s="2" t="str">
        <f aca="false">_xlfn.CONCAT(D518,"-",B518)</f>
        <v>CE - OL 001-22387</v>
      </c>
      <c r="F518" s="2" t="n">
        <v>80</v>
      </c>
      <c r="G518" s="2" t="n">
        <v>1077.11</v>
      </c>
    </row>
    <row r="519" customFormat="false" ht="13.8" hidden="false" customHeight="false" outlineLevel="0" collapsed="false">
      <c r="A519" s="2" t="s">
        <v>285</v>
      </c>
      <c r="B519" s="2" t="n">
        <v>22387</v>
      </c>
      <c r="C519" s="2" t="s">
        <v>286</v>
      </c>
      <c r="D519" s="2" t="s">
        <v>67</v>
      </c>
      <c r="E519" s="2" t="str">
        <f aca="false">_xlfn.CONCAT(D519,"-",B519)</f>
        <v>CE - EUROFARMA G7-22387</v>
      </c>
      <c r="F519" s="2" t="n">
        <v>75</v>
      </c>
      <c r="G519" s="2" t="n">
        <v>931.28</v>
      </c>
    </row>
    <row r="520" customFormat="false" ht="13.8" hidden="false" customHeight="false" outlineLevel="0" collapsed="false">
      <c r="A520" s="2" t="s">
        <v>287</v>
      </c>
      <c r="B520" s="2" t="n">
        <v>22355</v>
      </c>
      <c r="C520" s="2" t="s">
        <v>288</v>
      </c>
      <c r="D520" s="2" t="s">
        <v>65</v>
      </c>
      <c r="E520" s="2" t="str">
        <f aca="false">_xlfn.CONCAT(D520,"-",B520)</f>
        <v>CE - EURO X AUGEFARMA-22355</v>
      </c>
      <c r="F520" s="2" t="n">
        <v>15</v>
      </c>
      <c r="G520" s="2" t="n">
        <v>370.26</v>
      </c>
    </row>
    <row r="521" customFormat="false" ht="13.8" hidden="false" customHeight="false" outlineLevel="0" collapsed="false">
      <c r="A521" s="2" t="s">
        <v>287</v>
      </c>
      <c r="B521" s="2" t="n">
        <v>22355</v>
      </c>
      <c r="C521" s="2" t="s">
        <v>288</v>
      </c>
      <c r="D521" s="2" t="s">
        <v>66</v>
      </c>
      <c r="E521" s="2" t="str">
        <f aca="false">_xlfn.CONCAT(D521,"-",B521)</f>
        <v>CE - OL 001-22355</v>
      </c>
      <c r="F521" s="2" t="n">
        <v>9</v>
      </c>
      <c r="G521" s="2" t="n">
        <v>373.82</v>
      </c>
    </row>
    <row r="522" customFormat="false" ht="13.8" hidden="false" customHeight="false" outlineLevel="0" collapsed="false">
      <c r="A522" s="2" t="s">
        <v>287</v>
      </c>
      <c r="B522" s="2" t="n">
        <v>22355</v>
      </c>
      <c r="C522" s="2" t="s">
        <v>288</v>
      </c>
      <c r="D522" s="2" t="s">
        <v>64</v>
      </c>
      <c r="E522" s="2" t="str">
        <f aca="false">_xlfn.CONCAT(D522,"-",B522)</f>
        <v>CE - 0000-22355</v>
      </c>
      <c r="F522" s="2" t="n">
        <v>206</v>
      </c>
      <c r="G522" s="2" t="n">
        <v>7014.19</v>
      </c>
    </row>
    <row r="523" customFormat="false" ht="13.8" hidden="false" customHeight="false" outlineLevel="0" collapsed="false">
      <c r="A523" s="2" t="s">
        <v>287</v>
      </c>
      <c r="B523" s="2" t="n">
        <v>22355</v>
      </c>
      <c r="C523" s="2" t="s">
        <v>288</v>
      </c>
      <c r="D523" s="2" t="s">
        <v>68</v>
      </c>
      <c r="E523" s="2" t="str">
        <f aca="false">_xlfn.CONCAT(D523,"-",B523)</f>
        <v>CE - OL 002-22355</v>
      </c>
      <c r="F523" s="2" t="n">
        <v>11</v>
      </c>
      <c r="G523" s="2" t="n">
        <v>370.47</v>
      </c>
    </row>
    <row r="524" customFormat="false" ht="13.8" hidden="false" customHeight="false" outlineLevel="0" collapsed="false">
      <c r="A524" s="2" t="s">
        <v>287</v>
      </c>
      <c r="B524" s="2" t="n">
        <v>22355</v>
      </c>
      <c r="C524" s="2" t="s">
        <v>288</v>
      </c>
      <c r="D524" s="2" t="s">
        <v>67</v>
      </c>
      <c r="E524" s="2" t="str">
        <f aca="false">_xlfn.CONCAT(D524,"-",B524)</f>
        <v>CE - EUROFARMA G7-22355</v>
      </c>
      <c r="F524" s="2" t="n">
        <v>28</v>
      </c>
      <c r="G524" s="2" t="n">
        <v>2051.26</v>
      </c>
    </row>
    <row r="525" customFormat="false" ht="13.8" hidden="false" customHeight="false" outlineLevel="0" collapsed="false">
      <c r="A525" s="2" t="s">
        <v>289</v>
      </c>
      <c r="B525" s="2" t="n">
        <v>22356</v>
      </c>
      <c r="C525" s="2" t="s">
        <v>290</v>
      </c>
      <c r="D525" s="2" t="s">
        <v>66</v>
      </c>
      <c r="E525" s="2" t="str">
        <f aca="false">_xlfn.CONCAT(D525,"-",B525)</f>
        <v>CE - OL 001-22356</v>
      </c>
      <c r="F525" s="2" t="n">
        <v>72</v>
      </c>
      <c r="G525" s="2" t="n">
        <v>902.18</v>
      </c>
    </row>
    <row r="526" customFormat="false" ht="13.8" hidden="false" customHeight="false" outlineLevel="0" collapsed="false">
      <c r="A526" s="2" t="s">
        <v>289</v>
      </c>
      <c r="B526" s="2" t="n">
        <v>22356</v>
      </c>
      <c r="C526" s="2" t="s">
        <v>290</v>
      </c>
      <c r="D526" s="2" t="s">
        <v>65</v>
      </c>
      <c r="E526" s="2" t="str">
        <f aca="false">_xlfn.CONCAT(D526,"-",B526)</f>
        <v>CE - EURO X AUGEFARMA-22356</v>
      </c>
      <c r="F526" s="2" t="n">
        <v>31</v>
      </c>
      <c r="G526" s="2" t="n">
        <v>261.34</v>
      </c>
    </row>
    <row r="527" customFormat="false" ht="13.8" hidden="false" customHeight="false" outlineLevel="0" collapsed="false">
      <c r="A527" s="2" t="s">
        <v>289</v>
      </c>
      <c r="B527" s="2" t="n">
        <v>22356</v>
      </c>
      <c r="C527" s="2" t="s">
        <v>290</v>
      </c>
      <c r="D527" s="2" t="s">
        <v>68</v>
      </c>
      <c r="E527" s="2" t="str">
        <f aca="false">_xlfn.CONCAT(D527,"-",B527)</f>
        <v>CE - OL 002-22356</v>
      </c>
      <c r="F527" s="2" t="n">
        <v>11</v>
      </c>
      <c r="G527" s="2" t="n">
        <v>126.06</v>
      </c>
    </row>
    <row r="528" customFormat="false" ht="13.8" hidden="false" customHeight="false" outlineLevel="0" collapsed="false">
      <c r="A528" s="2" t="s">
        <v>289</v>
      </c>
      <c r="B528" s="2" t="n">
        <v>22356</v>
      </c>
      <c r="C528" s="2" t="s">
        <v>290</v>
      </c>
      <c r="D528" s="2" t="s">
        <v>67</v>
      </c>
      <c r="E528" s="2" t="str">
        <f aca="false">_xlfn.CONCAT(D528,"-",B528)</f>
        <v>CE - EUROFARMA G7-22356</v>
      </c>
      <c r="F528" s="2" t="n">
        <v>131</v>
      </c>
      <c r="G528" s="2" t="n">
        <v>4716.75</v>
      </c>
    </row>
    <row r="529" customFormat="false" ht="13.8" hidden="false" customHeight="false" outlineLevel="0" collapsed="false">
      <c r="A529" s="2" t="s">
        <v>289</v>
      </c>
      <c r="B529" s="2" t="n">
        <v>22356</v>
      </c>
      <c r="C529" s="2" t="s">
        <v>290</v>
      </c>
      <c r="D529" s="2" t="s">
        <v>64</v>
      </c>
      <c r="E529" s="2" t="str">
        <f aca="false">_xlfn.CONCAT(D529,"-",B529)</f>
        <v>CE - 0000-22356</v>
      </c>
      <c r="F529" s="2" t="n">
        <v>449</v>
      </c>
      <c r="G529" s="2" t="n">
        <v>4982.51</v>
      </c>
    </row>
    <row r="530" customFormat="false" ht="13.8" hidden="false" customHeight="false" outlineLevel="0" collapsed="false">
      <c r="A530" s="2" t="s">
        <v>291</v>
      </c>
      <c r="B530" s="2" t="n">
        <v>21798</v>
      </c>
      <c r="C530" s="2" t="s">
        <v>292</v>
      </c>
      <c r="D530" s="2" t="s">
        <v>67</v>
      </c>
      <c r="E530" s="2" t="str">
        <f aca="false">_xlfn.CONCAT(D530,"-",B530)</f>
        <v>CE - EUROFARMA G7-21798</v>
      </c>
      <c r="F530" s="2" t="n">
        <v>57</v>
      </c>
      <c r="G530" s="2" t="n">
        <v>5019.07</v>
      </c>
    </row>
    <row r="531" customFormat="false" ht="13.8" hidden="false" customHeight="false" outlineLevel="0" collapsed="false">
      <c r="A531" s="2" t="s">
        <v>293</v>
      </c>
      <c r="B531" s="2" t="n">
        <v>14696</v>
      </c>
      <c r="C531" s="2" t="s">
        <v>292</v>
      </c>
      <c r="D531" s="2" t="s">
        <v>66</v>
      </c>
      <c r="E531" s="2" t="str">
        <f aca="false">_xlfn.CONCAT(D531,"-",B531)</f>
        <v>CE - OL 001-14696</v>
      </c>
      <c r="F531" s="2" t="n">
        <v>2</v>
      </c>
      <c r="G531" s="2" t="n">
        <v>65.25</v>
      </c>
    </row>
    <row r="532" customFormat="false" ht="13.8" hidden="false" customHeight="false" outlineLevel="0" collapsed="false">
      <c r="A532" s="2" t="s">
        <v>291</v>
      </c>
      <c r="B532" s="2" t="n">
        <v>21798</v>
      </c>
      <c r="C532" s="2" t="s">
        <v>292</v>
      </c>
      <c r="D532" s="2" t="s">
        <v>66</v>
      </c>
      <c r="E532" s="2" t="str">
        <f aca="false">_xlfn.CONCAT(D532,"-",B532)</f>
        <v>CE - OL 001-21798</v>
      </c>
      <c r="F532" s="2" t="n">
        <v>79</v>
      </c>
      <c r="G532" s="2" t="n">
        <v>2910.5</v>
      </c>
    </row>
    <row r="533" customFormat="false" ht="13.8" hidden="false" customHeight="false" outlineLevel="0" collapsed="false">
      <c r="A533" s="2" t="s">
        <v>291</v>
      </c>
      <c r="B533" s="2" t="n">
        <v>21798</v>
      </c>
      <c r="C533" s="2" t="s">
        <v>292</v>
      </c>
      <c r="D533" s="2" t="s">
        <v>64</v>
      </c>
      <c r="E533" s="2" t="str">
        <f aca="false">_xlfn.CONCAT(D533,"-",B533)</f>
        <v>CE - 0000-21798</v>
      </c>
      <c r="F533" s="2" t="n">
        <v>270</v>
      </c>
      <c r="G533" s="2" t="n">
        <v>8891.41</v>
      </c>
    </row>
    <row r="534" customFormat="false" ht="13.8" hidden="false" customHeight="false" outlineLevel="0" collapsed="false">
      <c r="A534" s="2" t="s">
        <v>291</v>
      </c>
      <c r="B534" s="2" t="n">
        <v>21798</v>
      </c>
      <c r="C534" s="2" t="s">
        <v>292</v>
      </c>
      <c r="D534" s="2" t="s">
        <v>177</v>
      </c>
      <c r="E534" s="2" t="str">
        <f aca="false">_xlfn.CONCAT(D534,"-",B534)</f>
        <v>CE - OL NCO01-21798</v>
      </c>
      <c r="F534" s="2" t="n">
        <v>10</v>
      </c>
      <c r="G534" s="2" t="n">
        <v>985.14</v>
      </c>
    </row>
    <row r="535" customFormat="false" ht="13.8" hidden="false" customHeight="false" outlineLevel="0" collapsed="false">
      <c r="A535" s="2" t="s">
        <v>294</v>
      </c>
      <c r="B535" s="2" t="n">
        <v>16798</v>
      </c>
      <c r="C535" s="2" t="s">
        <v>295</v>
      </c>
      <c r="D535" s="2" t="s">
        <v>68</v>
      </c>
      <c r="E535" s="2" t="str">
        <f aca="false">_xlfn.CONCAT(D535,"-",B535)</f>
        <v>CE - OL 002-16798</v>
      </c>
      <c r="F535" s="2" t="n">
        <v>3</v>
      </c>
      <c r="G535" s="2" t="n">
        <v>152.83</v>
      </c>
    </row>
    <row r="536" customFormat="false" ht="13.8" hidden="false" customHeight="false" outlineLevel="0" collapsed="false">
      <c r="A536" s="2" t="s">
        <v>294</v>
      </c>
      <c r="B536" s="2" t="n">
        <v>16798</v>
      </c>
      <c r="C536" s="2" t="s">
        <v>295</v>
      </c>
      <c r="D536" s="2" t="s">
        <v>67</v>
      </c>
      <c r="E536" s="2" t="str">
        <f aca="false">_xlfn.CONCAT(D536,"-",B536)</f>
        <v>CE - EUROFARMA G7-16798</v>
      </c>
      <c r="F536" s="2" t="n">
        <v>44</v>
      </c>
      <c r="G536" s="2" t="n">
        <v>2244.65</v>
      </c>
    </row>
    <row r="537" customFormat="false" ht="13.8" hidden="false" customHeight="false" outlineLevel="0" collapsed="false">
      <c r="A537" s="2" t="s">
        <v>294</v>
      </c>
      <c r="B537" s="2" t="n">
        <v>16798</v>
      </c>
      <c r="C537" s="2" t="s">
        <v>295</v>
      </c>
      <c r="D537" s="2" t="s">
        <v>64</v>
      </c>
      <c r="E537" s="2" t="str">
        <f aca="false">_xlfn.CONCAT(D537,"-",B537)</f>
        <v>CE - 0000-16798</v>
      </c>
      <c r="F537" s="2" t="n">
        <v>196</v>
      </c>
      <c r="G537" s="2" t="n">
        <v>9419.4</v>
      </c>
    </row>
    <row r="538" customFormat="false" ht="13.8" hidden="false" customHeight="false" outlineLevel="0" collapsed="false">
      <c r="A538" s="2" t="s">
        <v>294</v>
      </c>
      <c r="B538" s="2" t="n">
        <v>16798</v>
      </c>
      <c r="C538" s="2" t="s">
        <v>295</v>
      </c>
      <c r="D538" s="2" t="s">
        <v>66</v>
      </c>
      <c r="E538" s="2" t="str">
        <f aca="false">_xlfn.CONCAT(D538,"-",B538)</f>
        <v>CE - OL 001-16798</v>
      </c>
      <c r="F538" s="2" t="n">
        <v>11</v>
      </c>
      <c r="G538" s="2" t="n">
        <v>558.07</v>
      </c>
    </row>
    <row r="539" customFormat="false" ht="13.8" hidden="false" customHeight="false" outlineLevel="0" collapsed="false">
      <c r="A539" s="2" t="s">
        <v>294</v>
      </c>
      <c r="B539" s="2" t="n">
        <v>16798</v>
      </c>
      <c r="C539" s="2" t="s">
        <v>295</v>
      </c>
      <c r="D539" s="2" t="s">
        <v>65</v>
      </c>
      <c r="E539" s="2" t="str">
        <f aca="false">_xlfn.CONCAT(D539,"-",B539)</f>
        <v>CE - EURO X AUGEFARMA-16798</v>
      </c>
      <c r="F539" s="2" t="n">
        <v>31</v>
      </c>
      <c r="G539" s="2" t="n">
        <v>1181.84</v>
      </c>
    </row>
    <row r="540" customFormat="false" ht="13.8" hidden="false" customHeight="false" outlineLevel="0" collapsed="false">
      <c r="A540" s="2" t="s">
        <v>296</v>
      </c>
      <c r="B540" s="2" t="n">
        <v>11901</v>
      </c>
      <c r="C540" s="2" t="s">
        <v>297</v>
      </c>
      <c r="D540" s="2" t="s">
        <v>64</v>
      </c>
      <c r="E540" s="2" t="str">
        <f aca="false">_xlfn.CONCAT(D540,"-",B540)</f>
        <v>CE - 0000-11901</v>
      </c>
      <c r="F540" s="2" t="n">
        <v>146</v>
      </c>
      <c r="G540" s="2" t="n">
        <v>14429.86</v>
      </c>
    </row>
    <row r="541" customFormat="false" ht="13.8" hidden="false" customHeight="false" outlineLevel="0" collapsed="false">
      <c r="A541" s="2" t="s">
        <v>296</v>
      </c>
      <c r="B541" s="2" t="n">
        <v>11901</v>
      </c>
      <c r="C541" s="2" t="s">
        <v>297</v>
      </c>
      <c r="D541" s="2" t="s">
        <v>66</v>
      </c>
      <c r="E541" s="2" t="str">
        <f aca="false">_xlfn.CONCAT(D541,"-",B541)</f>
        <v>CE - OL 001-11901</v>
      </c>
      <c r="F541" s="2" t="n">
        <v>11</v>
      </c>
      <c r="G541" s="2" t="n">
        <v>1191.78</v>
      </c>
    </row>
    <row r="542" customFormat="false" ht="13.8" hidden="false" customHeight="false" outlineLevel="0" collapsed="false">
      <c r="A542" s="2" t="s">
        <v>296</v>
      </c>
      <c r="B542" s="2" t="n">
        <v>11901</v>
      </c>
      <c r="C542" s="2" t="s">
        <v>297</v>
      </c>
      <c r="D542" s="2" t="s">
        <v>65</v>
      </c>
      <c r="E542" s="2" t="str">
        <f aca="false">_xlfn.CONCAT(D542,"-",B542)</f>
        <v>CE - EURO X AUGEFARMA-11901</v>
      </c>
      <c r="F542" s="2" t="n">
        <v>11</v>
      </c>
      <c r="G542" s="2" t="n">
        <v>974.21</v>
      </c>
    </row>
    <row r="543" customFormat="false" ht="13.8" hidden="false" customHeight="false" outlineLevel="0" collapsed="false">
      <c r="A543" s="2" t="s">
        <v>296</v>
      </c>
      <c r="B543" s="2" t="n">
        <v>11901</v>
      </c>
      <c r="C543" s="2" t="s">
        <v>297</v>
      </c>
      <c r="D543" s="2" t="s">
        <v>67</v>
      </c>
      <c r="E543" s="2" t="str">
        <f aca="false">_xlfn.CONCAT(D543,"-",B543)</f>
        <v>CE - EUROFARMA G7-11901</v>
      </c>
      <c r="F543" s="2" t="n">
        <v>65</v>
      </c>
      <c r="G543" s="2" t="n">
        <v>6877.94</v>
      </c>
    </row>
    <row r="544" customFormat="false" ht="13.8" hidden="false" customHeight="false" outlineLevel="0" collapsed="false">
      <c r="A544" s="2" t="s">
        <v>298</v>
      </c>
      <c r="B544" s="2" t="n">
        <v>9817</v>
      </c>
      <c r="C544" s="2" t="s">
        <v>299</v>
      </c>
      <c r="D544" s="2" t="s">
        <v>64</v>
      </c>
      <c r="E544" s="2" t="str">
        <f aca="false">_xlfn.CONCAT(D544,"-",B544)</f>
        <v>CE - 0000-9817</v>
      </c>
      <c r="F544" s="2" t="n">
        <v>525</v>
      </c>
      <c r="G544" s="2" t="n">
        <v>10206.38</v>
      </c>
    </row>
    <row r="545" customFormat="false" ht="13.8" hidden="false" customHeight="false" outlineLevel="0" collapsed="false">
      <c r="A545" s="2" t="s">
        <v>298</v>
      </c>
      <c r="B545" s="2" t="n">
        <v>9817</v>
      </c>
      <c r="C545" s="2" t="s">
        <v>299</v>
      </c>
      <c r="D545" s="2" t="s">
        <v>66</v>
      </c>
      <c r="E545" s="2" t="str">
        <f aca="false">_xlfn.CONCAT(D545,"-",B545)</f>
        <v>CE - OL 001-9817</v>
      </c>
      <c r="F545" s="2" t="n">
        <v>13</v>
      </c>
      <c r="G545" s="2" t="n">
        <v>284.23</v>
      </c>
    </row>
    <row r="546" customFormat="false" ht="13.8" hidden="false" customHeight="false" outlineLevel="0" collapsed="false">
      <c r="A546" s="2" t="s">
        <v>298</v>
      </c>
      <c r="B546" s="2" t="n">
        <v>9817</v>
      </c>
      <c r="C546" s="2" t="s">
        <v>299</v>
      </c>
      <c r="D546" s="2" t="s">
        <v>67</v>
      </c>
      <c r="E546" s="2" t="str">
        <f aca="false">_xlfn.CONCAT(D546,"-",B546)</f>
        <v>CE - EUROFARMA G7-9817</v>
      </c>
      <c r="F546" s="2" t="n">
        <v>40</v>
      </c>
      <c r="G546" s="2" t="n">
        <v>820.62</v>
      </c>
    </row>
    <row r="547" customFormat="false" ht="13.8" hidden="false" customHeight="false" outlineLevel="0" collapsed="false">
      <c r="A547" s="2" t="s">
        <v>300</v>
      </c>
      <c r="B547" s="2" t="n">
        <v>21791</v>
      </c>
      <c r="C547" s="2" t="s">
        <v>301</v>
      </c>
      <c r="D547" s="2" t="s">
        <v>64</v>
      </c>
      <c r="E547" s="2" t="str">
        <f aca="false">_xlfn.CONCAT(D547,"-",B547)</f>
        <v>CE - 0000-21791</v>
      </c>
      <c r="F547" s="2" t="n">
        <v>70562</v>
      </c>
      <c r="G547" s="2" t="n">
        <v>728737.05</v>
      </c>
    </row>
    <row r="548" customFormat="false" ht="13.8" hidden="false" customHeight="false" outlineLevel="0" collapsed="false">
      <c r="A548" s="2" t="s">
        <v>300</v>
      </c>
      <c r="B548" s="2" t="n">
        <v>21791</v>
      </c>
      <c r="C548" s="2" t="s">
        <v>301</v>
      </c>
      <c r="D548" s="2" t="s">
        <v>66</v>
      </c>
      <c r="E548" s="2" t="str">
        <f aca="false">_xlfn.CONCAT(D548,"-",B548)</f>
        <v>CE - OL 001-21791</v>
      </c>
      <c r="F548" s="2" t="n">
        <v>11083</v>
      </c>
      <c r="G548" s="2" t="n">
        <v>133188.07</v>
      </c>
    </row>
    <row r="549" customFormat="false" ht="13.8" hidden="false" customHeight="false" outlineLevel="0" collapsed="false">
      <c r="A549" s="2" t="s">
        <v>300</v>
      </c>
      <c r="B549" s="2" t="n">
        <v>21791</v>
      </c>
      <c r="C549" s="2" t="s">
        <v>301</v>
      </c>
      <c r="D549" s="2" t="s">
        <v>65</v>
      </c>
      <c r="E549" s="2" t="str">
        <f aca="false">_xlfn.CONCAT(D549,"-",B549)</f>
        <v>CE - EURO X AUGEFARMA-21791</v>
      </c>
      <c r="F549" s="2" t="n">
        <v>566</v>
      </c>
      <c r="G549" s="2" t="n">
        <v>5629.99</v>
      </c>
    </row>
    <row r="550" customFormat="false" ht="13.8" hidden="false" customHeight="false" outlineLevel="0" collapsed="false">
      <c r="A550" s="2" t="s">
        <v>300</v>
      </c>
      <c r="B550" s="2" t="n">
        <v>21791</v>
      </c>
      <c r="C550" s="2" t="s">
        <v>301</v>
      </c>
      <c r="D550" s="2" t="s">
        <v>67</v>
      </c>
      <c r="E550" s="2" t="str">
        <f aca="false">_xlfn.CONCAT(D550,"-",B550)</f>
        <v>CE - EUROFARMA G7-21791</v>
      </c>
      <c r="F550" s="2" t="n">
        <v>12133</v>
      </c>
      <c r="G550" s="2" t="n">
        <v>131794.76</v>
      </c>
    </row>
    <row r="551" customFormat="false" ht="13.8" hidden="false" customHeight="false" outlineLevel="0" collapsed="false">
      <c r="A551" s="2" t="s">
        <v>300</v>
      </c>
      <c r="B551" s="2" t="n">
        <v>21791</v>
      </c>
      <c r="C551" s="2" t="s">
        <v>301</v>
      </c>
      <c r="D551" s="2" t="s">
        <v>68</v>
      </c>
      <c r="E551" s="2" t="str">
        <f aca="false">_xlfn.CONCAT(D551,"-",B551)</f>
        <v>CE - OL 002-21791</v>
      </c>
      <c r="F551" s="2" t="n">
        <v>1526</v>
      </c>
      <c r="G551" s="2" t="n">
        <v>18308.55</v>
      </c>
    </row>
    <row r="552" customFormat="false" ht="13.8" hidden="false" customHeight="false" outlineLevel="0" collapsed="false">
      <c r="A552" s="2" t="s">
        <v>302</v>
      </c>
      <c r="B552" s="2" t="n">
        <v>12733</v>
      </c>
      <c r="C552" s="2" t="s">
        <v>303</v>
      </c>
      <c r="D552" s="2" t="s">
        <v>68</v>
      </c>
      <c r="E552" s="2" t="str">
        <f aca="false">_xlfn.CONCAT(D552,"-",B552)</f>
        <v>CE - OL 002-12733</v>
      </c>
      <c r="F552" s="2" t="n">
        <v>33</v>
      </c>
      <c r="G552" s="2" t="n">
        <v>964.56</v>
      </c>
    </row>
    <row r="553" customFormat="false" ht="13.8" hidden="false" customHeight="false" outlineLevel="0" collapsed="false">
      <c r="A553" s="2" t="s">
        <v>302</v>
      </c>
      <c r="B553" s="2" t="n">
        <v>12733</v>
      </c>
      <c r="C553" s="2" t="s">
        <v>303</v>
      </c>
      <c r="D553" s="2" t="s">
        <v>66</v>
      </c>
      <c r="E553" s="2" t="str">
        <f aca="false">_xlfn.CONCAT(D553,"-",B553)</f>
        <v>CE - OL 001-12733</v>
      </c>
      <c r="F553" s="2" t="n">
        <v>28</v>
      </c>
      <c r="G553" s="2" t="n">
        <v>721.66</v>
      </c>
    </row>
    <row r="554" customFormat="false" ht="13.8" hidden="false" customHeight="false" outlineLevel="0" collapsed="false">
      <c r="A554" s="2" t="s">
        <v>302</v>
      </c>
      <c r="B554" s="2" t="n">
        <v>12733</v>
      </c>
      <c r="C554" s="2" t="s">
        <v>303</v>
      </c>
      <c r="D554" s="2" t="s">
        <v>65</v>
      </c>
      <c r="E554" s="2" t="str">
        <f aca="false">_xlfn.CONCAT(D554,"-",B554)</f>
        <v>CE - EURO X AUGEFARMA-12733</v>
      </c>
      <c r="F554" s="2" t="n">
        <v>17</v>
      </c>
      <c r="G554" s="2" t="n">
        <v>334.25</v>
      </c>
    </row>
    <row r="555" customFormat="false" ht="13.8" hidden="false" customHeight="false" outlineLevel="0" collapsed="false">
      <c r="A555" s="2" t="s">
        <v>302</v>
      </c>
      <c r="B555" s="2" t="n">
        <v>12733</v>
      </c>
      <c r="C555" s="2" t="s">
        <v>303</v>
      </c>
      <c r="D555" s="2" t="s">
        <v>64</v>
      </c>
      <c r="E555" s="2" t="str">
        <f aca="false">_xlfn.CONCAT(D555,"-",B555)</f>
        <v>CE - 0000-12733</v>
      </c>
      <c r="F555" s="2" t="n">
        <v>156</v>
      </c>
      <c r="G555" s="2" t="n">
        <v>3862.16</v>
      </c>
    </row>
    <row r="556" customFormat="false" ht="13.8" hidden="false" customHeight="false" outlineLevel="0" collapsed="false">
      <c r="A556" s="2" t="s">
        <v>304</v>
      </c>
      <c r="B556" s="2" t="n">
        <v>13449</v>
      </c>
      <c r="C556" s="2" t="s">
        <v>305</v>
      </c>
      <c r="D556" s="2" t="s">
        <v>67</v>
      </c>
      <c r="E556" s="2" t="str">
        <f aca="false">_xlfn.CONCAT(D556,"-",B556)</f>
        <v>CE - EUROFARMA G7-13449</v>
      </c>
      <c r="F556" s="2" t="n">
        <v>256</v>
      </c>
      <c r="G556" s="2" t="n">
        <v>5447.59</v>
      </c>
    </row>
    <row r="557" customFormat="false" ht="13.8" hidden="false" customHeight="false" outlineLevel="0" collapsed="false">
      <c r="A557" s="2" t="s">
        <v>304</v>
      </c>
      <c r="B557" s="2" t="n">
        <v>13449</v>
      </c>
      <c r="C557" s="2" t="s">
        <v>305</v>
      </c>
      <c r="D557" s="2" t="s">
        <v>69</v>
      </c>
      <c r="E557" s="2" t="str">
        <f aca="false">_xlfn.CONCAT(D557,"-",B557)</f>
        <v>CE - EUROFARMA 6%-13449</v>
      </c>
      <c r="F557" s="2" t="n">
        <v>4</v>
      </c>
      <c r="G557" s="2" t="n">
        <v>104.23</v>
      </c>
    </row>
    <row r="558" customFormat="false" ht="13.8" hidden="false" customHeight="false" outlineLevel="0" collapsed="false">
      <c r="A558" s="2" t="s">
        <v>304</v>
      </c>
      <c r="B558" s="2" t="n">
        <v>13449</v>
      </c>
      <c r="C558" s="2" t="s">
        <v>305</v>
      </c>
      <c r="D558" s="2" t="s">
        <v>64</v>
      </c>
      <c r="E558" s="2" t="str">
        <f aca="false">_xlfn.CONCAT(D558,"-",B558)</f>
        <v>CE - 0000-13449</v>
      </c>
      <c r="F558" s="2" t="n">
        <v>485</v>
      </c>
      <c r="G558" s="2" t="n">
        <v>9805.69</v>
      </c>
    </row>
    <row r="559" customFormat="false" ht="13.8" hidden="false" customHeight="false" outlineLevel="0" collapsed="false">
      <c r="A559" s="2" t="s">
        <v>304</v>
      </c>
      <c r="B559" s="2" t="n">
        <v>13449</v>
      </c>
      <c r="C559" s="2" t="s">
        <v>305</v>
      </c>
      <c r="D559" s="2" t="s">
        <v>68</v>
      </c>
      <c r="E559" s="2" t="str">
        <f aca="false">_xlfn.CONCAT(D559,"-",B559)</f>
        <v>CE - OL 002-13449</v>
      </c>
      <c r="F559" s="2" t="n">
        <v>28</v>
      </c>
      <c r="G559" s="2" t="n">
        <v>617.57</v>
      </c>
    </row>
    <row r="560" customFormat="false" ht="13.8" hidden="false" customHeight="false" outlineLevel="0" collapsed="false">
      <c r="A560" s="2" t="s">
        <v>304</v>
      </c>
      <c r="B560" s="2" t="n">
        <v>13449</v>
      </c>
      <c r="C560" s="2" t="s">
        <v>305</v>
      </c>
      <c r="D560" s="2" t="s">
        <v>66</v>
      </c>
      <c r="E560" s="2" t="str">
        <f aca="false">_xlfn.CONCAT(D560,"-",B560)</f>
        <v>CE - OL 001-13449</v>
      </c>
      <c r="F560" s="2" t="n">
        <v>61</v>
      </c>
      <c r="G560" s="2" t="n">
        <v>1296.85</v>
      </c>
    </row>
    <row r="561" customFormat="false" ht="13.8" hidden="false" customHeight="false" outlineLevel="0" collapsed="false">
      <c r="A561" s="2" t="s">
        <v>304</v>
      </c>
      <c r="B561" s="2" t="n">
        <v>13449</v>
      </c>
      <c r="C561" s="2" t="s">
        <v>305</v>
      </c>
      <c r="D561" s="2" t="s">
        <v>65</v>
      </c>
      <c r="E561" s="2" t="str">
        <f aca="false">_xlfn.CONCAT(D561,"-",B561)</f>
        <v>CE - EURO X AUGEFARMA-13449</v>
      </c>
      <c r="F561" s="2" t="n">
        <v>37</v>
      </c>
      <c r="G561" s="2" t="n">
        <v>504.46</v>
      </c>
    </row>
    <row r="562" customFormat="false" ht="13.8" hidden="false" customHeight="false" outlineLevel="0" collapsed="false">
      <c r="A562" s="2" t="s">
        <v>306</v>
      </c>
      <c r="B562" s="2" t="n">
        <v>5196</v>
      </c>
      <c r="C562" s="2" t="s">
        <v>307</v>
      </c>
      <c r="D562" s="2" t="s">
        <v>66</v>
      </c>
      <c r="E562" s="2" t="str">
        <f aca="false">_xlfn.CONCAT(D562,"-",B562)</f>
        <v>CE - OL 001-5196</v>
      </c>
      <c r="F562" s="2" t="n">
        <v>3475</v>
      </c>
      <c r="G562" s="2" t="n">
        <v>33585.25</v>
      </c>
    </row>
    <row r="563" customFormat="false" ht="13.8" hidden="false" customHeight="false" outlineLevel="0" collapsed="false">
      <c r="A563" s="2" t="s">
        <v>306</v>
      </c>
      <c r="B563" s="2" t="n">
        <v>5196</v>
      </c>
      <c r="C563" s="2" t="s">
        <v>307</v>
      </c>
      <c r="D563" s="2" t="s">
        <v>64</v>
      </c>
      <c r="E563" s="2" t="str">
        <f aca="false">_xlfn.CONCAT(D563,"-",B563)</f>
        <v>CE - 0000-5196</v>
      </c>
      <c r="F563" s="2" t="n">
        <v>10127</v>
      </c>
      <c r="G563" s="2" t="n">
        <v>89075.58</v>
      </c>
    </row>
    <row r="564" customFormat="false" ht="13.8" hidden="false" customHeight="false" outlineLevel="0" collapsed="false">
      <c r="A564" s="2" t="s">
        <v>306</v>
      </c>
      <c r="B564" s="2" t="n">
        <v>5196</v>
      </c>
      <c r="C564" s="2" t="s">
        <v>307</v>
      </c>
      <c r="D564" s="2" t="s">
        <v>68</v>
      </c>
      <c r="E564" s="2" t="str">
        <f aca="false">_xlfn.CONCAT(D564,"-",B564)</f>
        <v>CE - OL 002-5196</v>
      </c>
      <c r="F564" s="2" t="n">
        <v>346</v>
      </c>
      <c r="G564" s="2" t="n">
        <v>3996.12</v>
      </c>
    </row>
    <row r="565" customFormat="false" ht="13.8" hidden="false" customHeight="false" outlineLevel="0" collapsed="false">
      <c r="A565" s="2" t="s">
        <v>306</v>
      </c>
      <c r="B565" s="2" t="n">
        <v>5196</v>
      </c>
      <c r="C565" s="2" t="s">
        <v>307</v>
      </c>
      <c r="D565" s="2" t="s">
        <v>65</v>
      </c>
      <c r="E565" s="2" t="str">
        <f aca="false">_xlfn.CONCAT(D565,"-",B565)</f>
        <v>CE - EURO X AUGEFARMA-5196</v>
      </c>
      <c r="F565" s="2" t="n">
        <v>308</v>
      </c>
      <c r="G565" s="2" t="n">
        <v>2419.92</v>
      </c>
    </row>
    <row r="566" customFormat="false" ht="13.8" hidden="false" customHeight="false" outlineLevel="0" collapsed="false">
      <c r="A566" s="2" t="s">
        <v>306</v>
      </c>
      <c r="B566" s="2" t="n">
        <v>5196</v>
      </c>
      <c r="C566" s="2" t="s">
        <v>307</v>
      </c>
      <c r="D566" s="2" t="s">
        <v>69</v>
      </c>
      <c r="E566" s="2" t="str">
        <f aca="false">_xlfn.CONCAT(D566,"-",B566)</f>
        <v>CE - EUROFARMA 6%-5196</v>
      </c>
      <c r="F566" s="2" t="n">
        <v>4</v>
      </c>
      <c r="G566" s="2" t="n">
        <v>36.56</v>
      </c>
    </row>
    <row r="567" customFormat="false" ht="13.8" hidden="false" customHeight="false" outlineLevel="0" collapsed="false">
      <c r="A567" s="2" t="s">
        <v>306</v>
      </c>
      <c r="B567" s="2" t="n">
        <v>5196</v>
      </c>
      <c r="C567" s="2" t="s">
        <v>307</v>
      </c>
      <c r="D567" s="2" t="s">
        <v>67</v>
      </c>
      <c r="E567" s="2" t="str">
        <f aca="false">_xlfn.CONCAT(D567,"-",B567)</f>
        <v>CE - EUROFARMA G7-5196</v>
      </c>
      <c r="F567" s="2" t="n">
        <v>763</v>
      </c>
      <c r="G567" s="2" t="n">
        <v>6974.32</v>
      </c>
    </row>
    <row r="568" customFormat="false" ht="13.8" hidden="false" customHeight="false" outlineLevel="0" collapsed="false">
      <c r="A568" s="2" t="s">
        <v>308</v>
      </c>
      <c r="B568" s="2" t="n">
        <v>5356</v>
      </c>
      <c r="C568" s="2" t="s">
        <v>309</v>
      </c>
      <c r="D568" s="2" t="s">
        <v>64</v>
      </c>
      <c r="E568" s="2" t="str">
        <f aca="false">_xlfn.CONCAT(D568,"-",B568)</f>
        <v>CE - 0000-5356</v>
      </c>
      <c r="F568" s="2" t="n">
        <v>669</v>
      </c>
      <c r="G568" s="2" t="n">
        <v>10711.01</v>
      </c>
    </row>
    <row r="569" customFormat="false" ht="13.8" hidden="false" customHeight="false" outlineLevel="0" collapsed="false">
      <c r="A569" s="2" t="s">
        <v>308</v>
      </c>
      <c r="B569" s="2" t="n">
        <v>5356</v>
      </c>
      <c r="C569" s="2" t="s">
        <v>309</v>
      </c>
      <c r="D569" s="2" t="s">
        <v>67</v>
      </c>
      <c r="E569" s="2" t="str">
        <f aca="false">_xlfn.CONCAT(D569,"-",B569)</f>
        <v>CE - EUROFARMA G7-5356</v>
      </c>
      <c r="F569" s="2" t="n">
        <v>58</v>
      </c>
      <c r="G569" s="2" t="n">
        <v>985.69</v>
      </c>
    </row>
    <row r="570" customFormat="false" ht="13.8" hidden="false" customHeight="false" outlineLevel="0" collapsed="false">
      <c r="A570" s="2" t="s">
        <v>308</v>
      </c>
      <c r="B570" s="2" t="n">
        <v>5356</v>
      </c>
      <c r="C570" s="2" t="s">
        <v>309</v>
      </c>
      <c r="D570" s="2" t="s">
        <v>65</v>
      </c>
      <c r="E570" s="2" t="str">
        <f aca="false">_xlfn.CONCAT(D570,"-",B570)</f>
        <v>CE - EURO X AUGEFARMA-5356</v>
      </c>
      <c r="F570" s="2" t="n">
        <v>12</v>
      </c>
      <c r="G570" s="2" t="n">
        <v>172.57</v>
      </c>
    </row>
    <row r="571" customFormat="false" ht="13.8" hidden="false" customHeight="false" outlineLevel="0" collapsed="false">
      <c r="A571" s="2" t="s">
        <v>308</v>
      </c>
      <c r="B571" s="2" t="n">
        <v>5356</v>
      </c>
      <c r="C571" s="2" t="s">
        <v>309</v>
      </c>
      <c r="D571" s="2" t="s">
        <v>68</v>
      </c>
      <c r="E571" s="2" t="str">
        <f aca="false">_xlfn.CONCAT(D571,"-",B571)</f>
        <v>CE - OL 002-5356</v>
      </c>
      <c r="F571" s="2" t="n">
        <v>26</v>
      </c>
      <c r="G571" s="2" t="n">
        <v>536.64</v>
      </c>
    </row>
    <row r="572" customFormat="false" ht="13.8" hidden="false" customHeight="false" outlineLevel="0" collapsed="false">
      <c r="A572" s="2" t="s">
        <v>308</v>
      </c>
      <c r="B572" s="2" t="n">
        <v>5356</v>
      </c>
      <c r="C572" s="2" t="s">
        <v>309</v>
      </c>
      <c r="D572" s="2" t="s">
        <v>66</v>
      </c>
      <c r="E572" s="2" t="str">
        <f aca="false">_xlfn.CONCAT(D572,"-",B572)</f>
        <v>CE - OL 001-5356</v>
      </c>
      <c r="F572" s="2" t="n">
        <v>208</v>
      </c>
      <c r="G572" s="2" t="n">
        <v>3513.84</v>
      </c>
    </row>
    <row r="573" customFormat="false" ht="13.8" hidden="false" customHeight="false" outlineLevel="0" collapsed="false">
      <c r="A573" s="2" t="s">
        <v>310</v>
      </c>
      <c r="B573" s="2" t="n">
        <v>8418</v>
      </c>
      <c r="C573" s="2" t="s">
        <v>311</v>
      </c>
      <c r="D573" s="2" t="s">
        <v>69</v>
      </c>
      <c r="E573" s="2" t="str">
        <f aca="false">_xlfn.CONCAT(D573,"-",B573)</f>
        <v>CE - EUROFARMA 6%-8418</v>
      </c>
      <c r="F573" s="2" t="n">
        <v>1</v>
      </c>
      <c r="G573" s="2" t="n">
        <v>19.16</v>
      </c>
    </row>
    <row r="574" customFormat="false" ht="13.8" hidden="false" customHeight="false" outlineLevel="0" collapsed="false">
      <c r="A574" s="2" t="s">
        <v>310</v>
      </c>
      <c r="B574" s="2" t="n">
        <v>8418</v>
      </c>
      <c r="C574" s="2" t="s">
        <v>311</v>
      </c>
      <c r="D574" s="2" t="s">
        <v>66</v>
      </c>
      <c r="E574" s="2" t="str">
        <f aca="false">_xlfn.CONCAT(D574,"-",B574)</f>
        <v>CE - OL 001-8418</v>
      </c>
      <c r="F574" s="2" t="n">
        <v>199</v>
      </c>
      <c r="G574" s="2" t="n">
        <v>4064.95</v>
      </c>
    </row>
    <row r="575" customFormat="false" ht="13.8" hidden="false" customHeight="false" outlineLevel="0" collapsed="false">
      <c r="A575" s="2" t="s">
        <v>310</v>
      </c>
      <c r="B575" s="2" t="n">
        <v>8418</v>
      </c>
      <c r="C575" s="2" t="s">
        <v>311</v>
      </c>
      <c r="D575" s="2" t="s">
        <v>68</v>
      </c>
      <c r="E575" s="2" t="str">
        <f aca="false">_xlfn.CONCAT(D575,"-",B575)</f>
        <v>CE - OL 002-8418</v>
      </c>
      <c r="F575" s="2" t="n">
        <v>36</v>
      </c>
      <c r="G575" s="2" t="n">
        <v>986.51</v>
      </c>
    </row>
    <row r="576" customFormat="false" ht="13.8" hidden="false" customHeight="false" outlineLevel="0" collapsed="false">
      <c r="A576" s="2" t="s">
        <v>310</v>
      </c>
      <c r="B576" s="2" t="n">
        <v>8418</v>
      </c>
      <c r="C576" s="2" t="s">
        <v>311</v>
      </c>
      <c r="D576" s="2" t="s">
        <v>65</v>
      </c>
      <c r="E576" s="2" t="str">
        <f aca="false">_xlfn.CONCAT(D576,"-",B576)</f>
        <v>CE - EURO X AUGEFARMA-8418</v>
      </c>
      <c r="F576" s="2" t="n">
        <v>14</v>
      </c>
      <c r="G576" s="2" t="n">
        <v>233.66</v>
      </c>
    </row>
    <row r="577" customFormat="false" ht="13.8" hidden="false" customHeight="false" outlineLevel="0" collapsed="false">
      <c r="A577" s="2" t="s">
        <v>310</v>
      </c>
      <c r="B577" s="2" t="n">
        <v>8418</v>
      </c>
      <c r="C577" s="2" t="s">
        <v>311</v>
      </c>
      <c r="D577" s="2" t="s">
        <v>64</v>
      </c>
      <c r="E577" s="2" t="str">
        <f aca="false">_xlfn.CONCAT(D577,"-",B577)</f>
        <v>CE - 0000-8418</v>
      </c>
      <c r="F577" s="2" t="n">
        <v>728</v>
      </c>
      <c r="G577" s="2" t="n">
        <v>13507.97</v>
      </c>
    </row>
    <row r="578" customFormat="false" ht="13.8" hidden="false" customHeight="false" outlineLevel="0" collapsed="false">
      <c r="A578" s="2" t="s">
        <v>310</v>
      </c>
      <c r="B578" s="2" t="n">
        <v>8418</v>
      </c>
      <c r="C578" s="2" t="s">
        <v>311</v>
      </c>
      <c r="D578" s="2" t="s">
        <v>67</v>
      </c>
      <c r="E578" s="2" t="str">
        <f aca="false">_xlfn.CONCAT(D578,"-",B578)</f>
        <v>CE - EUROFARMA G7-8418</v>
      </c>
      <c r="F578" s="2" t="n">
        <v>244</v>
      </c>
      <c r="G578" s="2" t="n">
        <v>4729.13</v>
      </c>
    </row>
    <row r="579" customFormat="false" ht="13.8" hidden="false" customHeight="false" outlineLevel="0" collapsed="false">
      <c r="A579" s="2" t="s">
        <v>312</v>
      </c>
      <c r="B579" s="2" t="n">
        <v>1574</v>
      </c>
      <c r="C579" s="2" t="s">
        <v>313</v>
      </c>
      <c r="D579" s="2" t="s">
        <v>67</v>
      </c>
      <c r="E579" s="2" t="str">
        <f aca="false">_xlfn.CONCAT(D579,"-",B579)</f>
        <v>CE - EUROFARMA G7-1574</v>
      </c>
      <c r="F579" s="2" t="n">
        <v>211</v>
      </c>
      <c r="G579" s="2" t="n">
        <v>2683.17</v>
      </c>
    </row>
    <row r="580" customFormat="false" ht="13.8" hidden="false" customHeight="false" outlineLevel="0" collapsed="false">
      <c r="A580" s="2" t="s">
        <v>312</v>
      </c>
      <c r="B580" s="2" t="n">
        <v>1574</v>
      </c>
      <c r="C580" s="2" t="s">
        <v>313</v>
      </c>
      <c r="D580" s="2" t="s">
        <v>69</v>
      </c>
      <c r="E580" s="2" t="str">
        <f aca="false">_xlfn.CONCAT(D580,"-",B580)</f>
        <v>CE - EUROFARMA 6%-1574</v>
      </c>
      <c r="F580" s="2" t="n">
        <v>67</v>
      </c>
      <c r="G580" s="2" t="n">
        <v>1001.71</v>
      </c>
    </row>
    <row r="581" customFormat="false" ht="13.8" hidden="false" customHeight="false" outlineLevel="0" collapsed="false">
      <c r="A581" s="2" t="s">
        <v>312</v>
      </c>
      <c r="B581" s="2" t="n">
        <v>1574</v>
      </c>
      <c r="C581" s="2" t="s">
        <v>313</v>
      </c>
      <c r="D581" s="2" t="s">
        <v>64</v>
      </c>
      <c r="E581" s="2" t="str">
        <f aca="false">_xlfn.CONCAT(D581,"-",B581)</f>
        <v>CE - 0000-1574</v>
      </c>
      <c r="F581" s="2" t="n">
        <v>1017</v>
      </c>
      <c r="G581" s="2" t="n">
        <v>13137.92</v>
      </c>
    </row>
    <row r="582" customFormat="false" ht="13.8" hidden="false" customHeight="false" outlineLevel="0" collapsed="false">
      <c r="A582" s="2" t="s">
        <v>312</v>
      </c>
      <c r="B582" s="2" t="n">
        <v>1574</v>
      </c>
      <c r="C582" s="2" t="s">
        <v>313</v>
      </c>
      <c r="D582" s="2" t="s">
        <v>65</v>
      </c>
      <c r="E582" s="2" t="str">
        <f aca="false">_xlfn.CONCAT(D582,"-",B582)</f>
        <v>CE - EURO X AUGEFARMA-1574</v>
      </c>
      <c r="F582" s="2" t="n">
        <v>54</v>
      </c>
      <c r="G582" s="2" t="n">
        <v>33.5</v>
      </c>
    </row>
    <row r="583" customFormat="false" ht="13.8" hidden="false" customHeight="false" outlineLevel="0" collapsed="false">
      <c r="A583" s="2" t="s">
        <v>312</v>
      </c>
      <c r="B583" s="2" t="n">
        <v>1574</v>
      </c>
      <c r="C583" s="2" t="s">
        <v>313</v>
      </c>
      <c r="D583" s="2" t="s">
        <v>68</v>
      </c>
      <c r="E583" s="2" t="str">
        <f aca="false">_xlfn.CONCAT(D583,"-",B583)</f>
        <v>CE - OL 002-1574</v>
      </c>
      <c r="F583" s="2" t="n">
        <v>35</v>
      </c>
      <c r="G583" s="2" t="n">
        <v>430.26</v>
      </c>
    </row>
    <row r="584" customFormat="false" ht="13.8" hidden="false" customHeight="false" outlineLevel="0" collapsed="false">
      <c r="A584" s="2" t="s">
        <v>312</v>
      </c>
      <c r="B584" s="2" t="n">
        <v>1574</v>
      </c>
      <c r="C584" s="2" t="s">
        <v>313</v>
      </c>
      <c r="D584" s="2" t="s">
        <v>66</v>
      </c>
      <c r="E584" s="2" t="str">
        <f aca="false">_xlfn.CONCAT(D584,"-",B584)</f>
        <v>CE - OL 001-1574</v>
      </c>
      <c r="F584" s="2" t="n">
        <v>20</v>
      </c>
      <c r="G584" s="2" t="n">
        <v>336.85</v>
      </c>
    </row>
    <row r="585" customFormat="false" ht="13.8" hidden="false" customHeight="false" outlineLevel="0" collapsed="false">
      <c r="A585" s="2" t="s">
        <v>314</v>
      </c>
      <c r="B585" s="2" t="n">
        <v>1575</v>
      </c>
      <c r="C585" s="2" t="s">
        <v>315</v>
      </c>
      <c r="D585" s="2" t="s">
        <v>65</v>
      </c>
      <c r="E585" s="2" t="str">
        <f aca="false">_xlfn.CONCAT(D585,"-",B585)</f>
        <v>CE - EURO X AUGEFARMA-1575</v>
      </c>
      <c r="F585" s="2" t="n">
        <v>29</v>
      </c>
      <c r="G585" s="2" t="n">
        <v>0.54</v>
      </c>
    </row>
    <row r="586" customFormat="false" ht="13.8" hidden="false" customHeight="false" outlineLevel="0" collapsed="false">
      <c r="A586" s="2" t="s">
        <v>314</v>
      </c>
      <c r="B586" s="2" t="n">
        <v>1575</v>
      </c>
      <c r="C586" s="2" t="s">
        <v>315</v>
      </c>
      <c r="D586" s="2" t="s">
        <v>69</v>
      </c>
      <c r="E586" s="2" t="str">
        <f aca="false">_xlfn.CONCAT(D586,"-",B586)</f>
        <v>CE - EUROFARMA 6%-1575</v>
      </c>
      <c r="F586" s="2" t="n">
        <v>12</v>
      </c>
      <c r="G586" s="2" t="n">
        <v>222.49</v>
      </c>
    </row>
    <row r="587" customFormat="false" ht="13.8" hidden="false" customHeight="false" outlineLevel="0" collapsed="false">
      <c r="A587" s="2" t="s">
        <v>314</v>
      </c>
      <c r="B587" s="2" t="n">
        <v>1575</v>
      </c>
      <c r="C587" s="2" t="s">
        <v>315</v>
      </c>
      <c r="D587" s="2" t="s">
        <v>64</v>
      </c>
      <c r="E587" s="2" t="str">
        <f aca="false">_xlfn.CONCAT(D587,"-",B587)</f>
        <v>CE - 0000-1575</v>
      </c>
      <c r="F587" s="2" t="n">
        <v>894</v>
      </c>
      <c r="G587" s="2" t="n">
        <v>13675.46</v>
      </c>
    </row>
    <row r="588" customFormat="false" ht="13.8" hidden="false" customHeight="false" outlineLevel="0" collapsed="false">
      <c r="A588" s="2" t="s">
        <v>314</v>
      </c>
      <c r="B588" s="2" t="n">
        <v>1575</v>
      </c>
      <c r="C588" s="2" t="s">
        <v>315</v>
      </c>
      <c r="D588" s="2" t="s">
        <v>67</v>
      </c>
      <c r="E588" s="2" t="str">
        <f aca="false">_xlfn.CONCAT(D588,"-",B588)</f>
        <v>CE - EUROFARMA G7-1575</v>
      </c>
      <c r="F588" s="2" t="n">
        <v>120</v>
      </c>
      <c r="G588" s="2" t="n">
        <v>1854.74</v>
      </c>
    </row>
    <row r="589" customFormat="false" ht="13.8" hidden="false" customHeight="false" outlineLevel="0" collapsed="false">
      <c r="A589" s="2" t="s">
        <v>316</v>
      </c>
      <c r="B589" s="2" t="n">
        <v>2007</v>
      </c>
      <c r="C589" s="2" t="s">
        <v>317</v>
      </c>
      <c r="D589" s="2" t="s">
        <v>65</v>
      </c>
      <c r="E589" s="2" t="str">
        <f aca="false">_xlfn.CONCAT(D589,"-",B589)</f>
        <v>CE - EURO X AUGEFARMA-2007</v>
      </c>
      <c r="F589" s="2" t="n">
        <v>44</v>
      </c>
      <c r="G589" s="2" t="n">
        <v>633.11</v>
      </c>
    </row>
    <row r="590" customFormat="false" ht="13.8" hidden="false" customHeight="false" outlineLevel="0" collapsed="false">
      <c r="A590" s="2" t="s">
        <v>316</v>
      </c>
      <c r="B590" s="2" t="n">
        <v>2007</v>
      </c>
      <c r="C590" s="2" t="s">
        <v>317</v>
      </c>
      <c r="D590" s="2" t="s">
        <v>64</v>
      </c>
      <c r="E590" s="2" t="str">
        <f aca="false">_xlfn.CONCAT(D590,"-",B590)</f>
        <v>CE - 0000-2007</v>
      </c>
      <c r="F590" s="2" t="n">
        <v>671</v>
      </c>
      <c r="G590" s="2" t="n">
        <v>13174.73</v>
      </c>
    </row>
    <row r="591" customFormat="false" ht="13.8" hidden="false" customHeight="false" outlineLevel="0" collapsed="false">
      <c r="A591" s="2" t="s">
        <v>316</v>
      </c>
      <c r="B591" s="2" t="n">
        <v>2007</v>
      </c>
      <c r="C591" s="2" t="s">
        <v>317</v>
      </c>
      <c r="D591" s="2" t="s">
        <v>67</v>
      </c>
      <c r="E591" s="2" t="str">
        <f aca="false">_xlfn.CONCAT(D591,"-",B591)</f>
        <v>CE - EUROFARMA G7-2007</v>
      </c>
      <c r="F591" s="2" t="n">
        <v>13</v>
      </c>
      <c r="G591" s="2" t="n">
        <v>268.21</v>
      </c>
    </row>
    <row r="592" customFormat="false" ht="13.8" hidden="false" customHeight="false" outlineLevel="0" collapsed="false">
      <c r="A592" s="2" t="s">
        <v>316</v>
      </c>
      <c r="B592" s="2" t="n">
        <v>2007</v>
      </c>
      <c r="C592" s="2" t="s">
        <v>317</v>
      </c>
      <c r="D592" s="2" t="s">
        <v>66</v>
      </c>
      <c r="E592" s="2" t="str">
        <f aca="false">_xlfn.CONCAT(D592,"-",B592)</f>
        <v>CE - OL 001-2007</v>
      </c>
      <c r="F592" s="2" t="n">
        <v>71</v>
      </c>
      <c r="G592" s="2" t="n">
        <v>1476.39</v>
      </c>
    </row>
    <row r="593" customFormat="false" ht="13.8" hidden="false" customHeight="false" outlineLevel="0" collapsed="false">
      <c r="A593" s="2" t="s">
        <v>318</v>
      </c>
      <c r="B593" s="2" t="n">
        <v>10796</v>
      </c>
      <c r="C593" s="2" t="s">
        <v>319</v>
      </c>
      <c r="D593" s="2" t="s">
        <v>65</v>
      </c>
      <c r="E593" s="2" t="str">
        <f aca="false">_xlfn.CONCAT(D593,"-",B593)</f>
        <v>CE - EURO X AUGEFARMA-10796</v>
      </c>
      <c r="F593" s="2" t="n">
        <v>140</v>
      </c>
      <c r="G593" s="2" t="n">
        <v>775.89</v>
      </c>
    </row>
    <row r="594" customFormat="false" ht="13.8" hidden="false" customHeight="false" outlineLevel="0" collapsed="false">
      <c r="A594" s="2" t="s">
        <v>318</v>
      </c>
      <c r="B594" s="2" t="n">
        <v>10796</v>
      </c>
      <c r="C594" s="2" t="s">
        <v>319</v>
      </c>
      <c r="D594" s="2" t="s">
        <v>68</v>
      </c>
      <c r="E594" s="2" t="str">
        <f aca="false">_xlfn.CONCAT(D594,"-",B594)</f>
        <v>CE - OL 002-10796</v>
      </c>
      <c r="F594" s="2" t="n">
        <v>2</v>
      </c>
      <c r="G594" s="2" t="n">
        <v>17.08</v>
      </c>
    </row>
    <row r="595" customFormat="false" ht="13.8" hidden="false" customHeight="false" outlineLevel="0" collapsed="false">
      <c r="A595" s="2" t="s">
        <v>318</v>
      </c>
      <c r="B595" s="2" t="n">
        <v>10796</v>
      </c>
      <c r="C595" s="2" t="s">
        <v>319</v>
      </c>
      <c r="D595" s="2" t="s">
        <v>67</v>
      </c>
      <c r="E595" s="2" t="str">
        <f aca="false">_xlfn.CONCAT(D595,"-",B595)</f>
        <v>CE - EUROFARMA G7-10796</v>
      </c>
      <c r="F595" s="2" t="n">
        <v>439</v>
      </c>
      <c r="G595" s="2" t="n">
        <v>3462.94</v>
      </c>
    </row>
    <row r="596" customFormat="false" ht="13.8" hidden="false" customHeight="false" outlineLevel="0" collapsed="false">
      <c r="A596" s="2" t="s">
        <v>318</v>
      </c>
      <c r="B596" s="2" t="n">
        <v>10796</v>
      </c>
      <c r="C596" s="2" t="s">
        <v>319</v>
      </c>
      <c r="D596" s="2" t="s">
        <v>64</v>
      </c>
      <c r="E596" s="2" t="str">
        <f aca="false">_xlfn.CONCAT(D596,"-",B596)</f>
        <v>CE - 0000-10796</v>
      </c>
      <c r="F596" s="2" t="n">
        <v>1697</v>
      </c>
      <c r="G596" s="2" t="n">
        <v>13068.74</v>
      </c>
    </row>
    <row r="597" customFormat="false" ht="13.8" hidden="false" customHeight="false" outlineLevel="0" collapsed="false">
      <c r="A597" s="2" t="s">
        <v>318</v>
      </c>
      <c r="B597" s="2" t="n">
        <v>10796</v>
      </c>
      <c r="C597" s="2" t="s">
        <v>319</v>
      </c>
      <c r="D597" s="2" t="s">
        <v>66</v>
      </c>
      <c r="E597" s="2" t="str">
        <f aca="false">_xlfn.CONCAT(D597,"-",B597)</f>
        <v>CE - OL 001-10796</v>
      </c>
      <c r="F597" s="2" t="n">
        <v>46</v>
      </c>
      <c r="G597" s="2" t="n">
        <v>375.57</v>
      </c>
    </row>
    <row r="598" customFormat="false" ht="13.8" hidden="false" customHeight="false" outlineLevel="0" collapsed="false">
      <c r="A598" s="2" t="s">
        <v>320</v>
      </c>
      <c r="B598" s="2" t="n">
        <v>22850</v>
      </c>
      <c r="C598" s="2" t="s">
        <v>321</v>
      </c>
      <c r="D598" s="2" t="s">
        <v>68</v>
      </c>
      <c r="E598" s="2" t="str">
        <f aca="false">_xlfn.CONCAT(D598,"-",B598)</f>
        <v>CE - OL 002-22850</v>
      </c>
      <c r="F598" s="2" t="n">
        <v>21</v>
      </c>
      <c r="G598" s="2" t="n">
        <v>321.79</v>
      </c>
    </row>
    <row r="599" customFormat="false" ht="13.8" hidden="false" customHeight="false" outlineLevel="0" collapsed="false">
      <c r="A599" s="2" t="s">
        <v>322</v>
      </c>
      <c r="B599" s="2" t="n">
        <v>9855</v>
      </c>
      <c r="C599" s="2" t="s">
        <v>323</v>
      </c>
      <c r="D599" s="2" t="s">
        <v>67</v>
      </c>
      <c r="E599" s="2" t="str">
        <f aca="false">_xlfn.CONCAT(D599,"-",B599)</f>
        <v>CE - EUROFARMA G7-9855</v>
      </c>
      <c r="F599" s="2" t="n">
        <v>13</v>
      </c>
      <c r="G599" s="2" t="n">
        <v>63.38</v>
      </c>
    </row>
    <row r="600" customFormat="false" ht="13.8" hidden="false" customHeight="false" outlineLevel="0" collapsed="false">
      <c r="A600" s="2" t="s">
        <v>322</v>
      </c>
      <c r="B600" s="2" t="n">
        <v>9855</v>
      </c>
      <c r="C600" s="2" t="s">
        <v>323</v>
      </c>
      <c r="D600" s="2" t="s">
        <v>64</v>
      </c>
      <c r="E600" s="2" t="str">
        <f aca="false">_xlfn.CONCAT(D600,"-",B600)</f>
        <v>CE - 0000-9855</v>
      </c>
      <c r="F600" s="2" t="n">
        <v>290</v>
      </c>
      <c r="G600" s="2" t="n">
        <v>1384.3</v>
      </c>
    </row>
    <row r="601" customFormat="false" ht="13.8" hidden="false" customHeight="false" outlineLevel="0" collapsed="false">
      <c r="A601" s="2" t="s">
        <v>322</v>
      </c>
      <c r="B601" s="2" t="n">
        <v>9855</v>
      </c>
      <c r="C601" s="2" t="s">
        <v>323</v>
      </c>
      <c r="D601" s="2" t="s">
        <v>66</v>
      </c>
      <c r="E601" s="2" t="str">
        <f aca="false">_xlfn.CONCAT(D601,"-",B601)</f>
        <v>CE - OL 001-9855</v>
      </c>
      <c r="F601" s="2" t="n">
        <v>83</v>
      </c>
      <c r="G601" s="2" t="n">
        <v>444.55</v>
      </c>
    </row>
    <row r="602" customFormat="false" ht="13.8" hidden="false" customHeight="false" outlineLevel="0" collapsed="false">
      <c r="A602" s="2" t="s">
        <v>322</v>
      </c>
      <c r="B602" s="2" t="n">
        <v>9855</v>
      </c>
      <c r="C602" s="2" t="s">
        <v>323</v>
      </c>
      <c r="D602" s="2" t="s">
        <v>68</v>
      </c>
      <c r="E602" s="2" t="str">
        <f aca="false">_xlfn.CONCAT(D602,"-",B602)</f>
        <v>CE - OL 002-9855</v>
      </c>
      <c r="F602" s="2" t="n">
        <v>20</v>
      </c>
      <c r="G602" s="2" t="n">
        <v>102.53</v>
      </c>
    </row>
    <row r="603" customFormat="false" ht="13.8" hidden="false" customHeight="false" outlineLevel="0" collapsed="false">
      <c r="A603" s="2" t="s">
        <v>322</v>
      </c>
      <c r="B603" s="2" t="n">
        <v>9855</v>
      </c>
      <c r="C603" s="2" t="s">
        <v>323</v>
      </c>
      <c r="D603" s="2" t="s">
        <v>65</v>
      </c>
      <c r="E603" s="2" t="str">
        <f aca="false">_xlfn.CONCAT(D603,"-",B603)</f>
        <v>CE - EURO X AUGEFARMA-9855</v>
      </c>
      <c r="F603" s="2" t="n">
        <v>42</v>
      </c>
      <c r="G603" s="2" t="n">
        <v>140</v>
      </c>
    </row>
    <row r="604" customFormat="false" ht="13.8" hidden="false" customHeight="false" outlineLevel="0" collapsed="false">
      <c r="A604" s="2" t="s">
        <v>324</v>
      </c>
      <c r="B604" s="2" t="n">
        <v>5573</v>
      </c>
      <c r="C604" s="2" t="s">
        <v>325</v>
      </c>
      <c r="D604" s="2" t="s">
        <v>64</v>
      </c>
      <c r="E604" s="2" t="str">
        <f aca="false">_xlfn.CONCAT(D604,"-",B604)</f>
        <v>CE - 0000-5573</v>
      </c>
      <c r="F604" s="2" t="n">
        <v>305</v>
      </c>
      <c r="G604" s="2" t="n">
        <v>1749.81</v>
      </c>
    </row>
    <row r="605" customFormat="false" ht="13.8" hidden="false" customHeight="false" outlineLevel="0" collapsed="false">
      <c r="A605" s="2" t="s">
        <v>324</v>
      </c>
      <c r="B605" s="2" t="n">
        <v>5573</v>
      </c>
      <c r="C605" s="2" t="s">
        <v>325</v>
      </c>
      <c r="D605" s="2" t="s">
        <v>65</v>
      </c>
      <c r="E605" s="2" t="str">
        <f aca="false">_xlfn.CONCAT(D605,"-",B605)</f>
        <v>CE - EURO X AUGEFARMA-5573</v>
      </c>
      <c r="F605" s="2" t="n">
        <v>42</v>
      </c>
      <c r="G605" s="2" t="n">
        <v>132.36</v>
      </c>
    </row>
    <row r="606" customFormat="false" ht="13.8" hidden="false" customHeight="false" outlineLevel="0" collapsed="false">
      <c r="A606" s="2" t="s">
        <v>324</v>
      </c>
      <c r="B606" s="2" t="n">
        <v>5573</v>
      </c>
      <c r="C606" s="2" t="s">
        <v>325</v>
      </c>
      <c r="D606" s="2" t="s">
        <v>66</v>
      </c>
      <c r="E606" s="2" t="str">
        <f aca="false">_xlfn.CONCAT(D606,"-",B606)</f>
        <v>CE - OL 001-5573</v>
      </c>
      <c r="F606" s="2" t="n">
        <v>44</v>
      </c>
      <c r="G606" s="2" t="n">
        <v>300.16</v>
      </c>
    </row>
    <row r="607" customFormat="false" ht="13.8" hidden="false" customHeight="false" outlineLevel="0" collapsed="false">
      <c r="A607" s="2" t="s">
        <v>324</v>
      </c>
      <c r="B607" s="2" t="n">
        <v>5573</v>
      </c>
      <c r="C607" s="2" t="s">
        <v>325</v>
      </c>
      <c r="D607" s="2" t="s">
        <v>67</v>
      </c>
      <c r="E607" s="2" t="str">
        <f aca="false">_xlfn.CONCAT(D607,"-",B607)</f>
        <v>CE - EUROFARMA G7-5573</v>
      </c>
      <c r="F607" s="2" t="n">
        <v>72</v>
      </c>
      <c r="G607" s="2" t="n">
        <v>426.09</v>
      </c>
    </row>
    <row r="608" customFormat="false" ht="13.8" hidden="false" customHeight="false" outlineLevel="0" collapsed="false">
      <c r="A608" s="2" t="s">
        <v>324</v>
      </c>
      <c r="B608" s="2" t="n">
        <v>5573</v>
      </c>
      <c r="C608" s="2" t="s">
        <v>325</v>
      </c>
      <c r="D608" s="2" t="s">
        <v>68</v>
      </c>
      <c r="E608" s="2" t="str">
        <f aca="false">_xlfn.CONCAT(D608,"-",B608)</f>
        <v>CE - OL 002-5573</v>
      </c>
      <c r="F608" s="2" t="n">
        <v>22</v>
      </c>
      <c r="G608" s="2" t="n">
        <v>133.96</v>
      </c>
    </row>
    <row r="609" customFormat="false" ht="13.8" hidden="false" customHeight="false" outlineLevel="0" collapsed="false">
      <c r="A609" s="2" t="s">
        <v>326</v>
      </c>
      <c r="B609" s="2" t="n">
        <v>22569</v>
      </c>
      <c r="C609" s="2" t="s">
        <v>327</v>
      </c>
      <c r="D609" s="2" t="s">
        <v>64</v>
      </c>
      <c r="E609" s="2" t="str">
        <f aca="false">_xlfn.CONCAT(D609,"-",B609)</f>
        <v>CE - 0000-22569</v>
      </c>
      <c r="F609" s="2" t="n">
        <v>128</v>
      </c>
      <c r="G609" s="2" t="n">
        <v>6106.26</v>
      </c>
    </row>
    <row r="610" customFormat="false" ht="13.8" hidden="false" customHeight="false" outlineLevel="0" collapsed="false">
      <c r="A610" s="2" t="s">
        <v>326</v>
      </c>
      <c r="B610" s="2" t="n">
        <v>22569</v>
      </c>
      <c r="C610" s="2" t="s">
        <v>327</v>
      </c>
      <c r="D610" s="2" t="s">
        <v>65</v>
      </c>
      <c r="E610" s="2" t="str">
        <f aca="false">_xlfn.CONCAT(D610,"-",B610)</f>
        <v>CE - EURO X AUGEFARMA-22569</v>
      </c>
      <c r="F610" s="2" t="n">
        <v>3</v>
      </c>
      <c r="G610" s="2" t="n">
        <v>124.74</v>
      </c>
    </row>
    <row r="611" customFormat="false" ht="13.8" hidden="false" customHeight="false" outlineLevel="0" collapsed="false">
      <c r="A611" s="2" t="s">
        <v>326</v>
      </c>
      <c r="B611" s="2" t="n">
        <v>22569</v>
      </c>
      <c r="C611" s="2" t="s">
        <v>327</v>
      </c>
      <c r="D611" s="2" t="s">
        <v>68</v>
      </c>
      <c r="E611" s="2" t="str">
        <f aca="false">_xlfn.CONCAT(D611,"-",B611)</f>
        <v>CE - OL 002-22569</v>
      </c>
      <c r="F611" s="2" t="n">
        <v>2</v>
      </c>
      <c r="G611" s="2" t="n">
        <v>144.16</v>
      </c>
    </row>
    <row r="612" customFormat="false" ht="13.8" hidden="false" customHeight="false" outlineLevel="0" collapsed="false">
      <c r="A612" s="2" t="s">
        <v>326</v>
      </c>
      <c r="B612" s="2" t="n">
        <v>22569</v>
      </c>
      <c r="C612" s="2" t="s">
        <v>327</v>
      </c>
      <c r="D612" s="2" t="s">
        <v>66</v>
      </c>
      <c r="E612" s="2" t="str">
        <f aca="false">_xlfn.CONCAT(D612,"-",B612)</f>
        <v>CE - OL 001-22569</v>
      </c>
      <c r="F612" s="2" t="n">
        <v>2</v>
      </c>
      <c r="G612" s="2" t="n">
        <v>98.48</v>
      </c>
    </row>
    <row r="613" customFormat="false" ht="13.8" hidden="false" customHeight="false" outlineLevel="0" collapsed="false">
      <c r="A613" s="2" t="s">
        <v>326</v>
      </c>
      <c r="B613" s="2" t="n">
        <v>22569</v>
      </c>
      <c r="C613" s="2" t="s">
        <v>327</v>
      </c>
      <c r="D613" s="2" t="s">
        <v>67</v>
      </c>
      <c r="E613" s="2" t="str">
        <f aca="false">_xlfn.CONCAT(D613,"-",B613)</f>
        <v>CE - EUROFARMA G7-22569</v>
      </c>
      <c r="F613" s="2" t="n">
        <v>9</v>
      </c>
      <c r="G613" s="2" t="n">
        <v>644.21</v>
      </c>
    </row>
    <row r="614" customFormat="false" ht="13.8" hidden="false" customHeight="false" outlineLevel="0" collapsed="false">
      <c r="A614" s="2" t="s">
        <v>328</v>
      </c>
      <c r="B614" s="2" t="n">
        <v>38</v>
      </c>
      <c r="C614" s="2" t="s">
        <v>329</v>
      </c>
      <c r="D614" s="2" t="s">
        <v>69</v>
      </c>
      <c r="E614" s="2" t="str">
        <f aca="false">_xlfn.CONCAT(D614,"-",B614)</f>
        <v>CE - EUROFARMA 6%-38</v>
      </c>
      <c r="F614" s="2" t="n">
        <v>16</v>
      </c>
      <c r="G614" s="2" t="n">
        <v>257.71</v>
      </c>
    </row>
    <row r="615" customFormat="false" ht="13.8" hidden="false" customHeight="false" outlineLevel="0" collapsed="false">
      <c r="A615" s="2" t="s">
        <v>328</v>
      </c>
      <c r="B615" s="2" t="n">
        <v>38</v>
      </c>
      <c r="C615" s="2" t="s">
        <v>329</v>
      </c>
      <c r="D615" s="2" t="s">
        <v>64</v>
      </c>
      <c r="E615" s="2" t="str">
        <f aca="false">_xlfn.CONCAT(D615,"-",B615)</f>
        <v>CE - 0000-38</v>
      </c>
      <c r="F615" s="2" t="n">
        <v>451</v>
      </c>
      <c r="G615" s="2" t="n">
        <v>7178.45</v>
      </c>
    </row>
    <row r="616" customFormat="false" ht="13.8" hidden="false" customHeight="false" outlineLevel="0" collapsed="false">
      <c r="A616" s="2" t="s">
        <v>328</v>
      </c>
      <c r="B616" s="2" t="n">
        <v>38</v>
      </c>
      <c r="C616" s="2" t="s">
        <v>329</v>
      </c>
      <c r="D616" s="2" t="s">
        <v>66</v>
      </c>
      <c r="E616" s="2" t="str">
        <f aca="false">_xlfn.CONCAT(D616,"-",B616)</f>
        <v>CE - OL 001-38</v>
      </c>
      <c r="F616" s="2" t="n">
        <v>10</v>
      </c>
      <c r="G616" s="2" t="n">
        <v>163.38</v>
      </c>
    </row>
    <row r="617" customFormat="false" ht="13.8" hidden="false" customHeight="false" outlineLevel="0" collapsed="false">
      <c r="A617" s="2" t="s">
        <v>330</v>
      </c>
      <c r="B617" s="2" t="n">
        <v>22219</v>
      </c>
      <c r="C617" s="2" t="s">
        <v>329</v>
      </c>
      <c r="D617" s="2" t="s">
        <v>64</v>
      </c>
      <c r="E617" s="2" t="str">
        <f aca="false">_xlfn.CONCAT(D617,"-",B617)</f>
        <v>CE - 0000-22219</v>
      </c>
      <c r="F617" s="2" t="n">
        <v>226</v>
      </c>
      <c r="G617" s="2" t="n">
        <v>3669.47</v>
      </c>
    </row>
    <row r="618" customFormat="false" ht="13.8" hidden="false" customHeight="false" outlineLevel="0" collapsed="false">
      <c r="A618" s="2" t="s">
        <v>330</v>
      </c>
      <c r="B618" s="2" t="n">
        <v>22219</v>
      </c>
      <c r="C618" s="2" t="s">
        <v>329</v>
      </c>
      <c r="D618" s="2" t="s">
        <v>67</v>
      </c>
      <c r="E618" s="2" t="str">
        <f aca="false">_xlfn.CONCAT(D618,"-",B618)</f>
        <v>CE - EUROFARMA G7-22219</v>
      </c>
      <c r="F618" s="2" t="n">
        <v>14</v>
      </c>
      <c r="G618" s="2" t="n">
        <v>234.29</v>
      </c>
    </row>
    <row r="619" customFormat="false" ht="13.8" hidden="false" customHeight="false" outlineLevel="0" collapsed="false">
      <c r="A619" s="2" t="s">
        <v>330</v>
      </c>
      <c r="B619" s="2" t="n">
        <v>22219</v>
      </c>
      <c r="C619" s="2" t="s">
        <v>329</v>
      </c>
      <c r="D619" s="2" t="s">
        <v>66</v>
      </c>
      <c r="E619" s="2" t="str">
        <f aca="false">_xlfn.CONCAT(D619,"-",B619)</f>
        <v>CE - OL 001-22219</v>
      </c>
      <c r="F619" s="2" t="n">
        <v>23</v>
      </c>
      <c r="G619" s="2" t="n">
        <v>410.64</v>
      </c>
    </row>
    <row r="620" customFormat="false" ht="13.8" hidden="false" customHeight="false" outlineLevel="0" collapsed="false">
      <c r="A620" s="2" t="s">
        <v>331</v>
      </c>
      <c r="B620" s="2" t="n">
        <v>2149</v>
      </c>
      <c r="C620" s="2" t="s">
        <v>332</v>
      </c>
      <c r="D620" s="2" t="s">
        <v>66</v>
      </c>
      <c r="E620" s="2" t="str">
        <f aca="false">_xlfn.CONCAT(D620,"-",B620)</f>
        <v>CE - OL 001-2149</v>
      </c>
      <c r="F620" s="2" t="n">
        <v>37</v>
      </c>
      <c r="G620" s="2" t="n">
        <v>547.21</v>
      </c>
    </row>
    <row r="621" customFormat="false" ht="13.8" hidden="false" customHeight="false" outlineLevel="0" collapsed="false">
      <c r="A621" s="2" t="s">
        <v>331</v>
      </c>
      <c r="B621" s="2" t="n">
        <v>2149</v>
      </c>
      <c r="C621" s="2" t="s">
        <v>332</v>
      </c>
      <c r="D621" s="2" t="s">
        <v>64</v>
      </c>
      <c r="E621" s="2" t="str">
        <f aca="false">_xlfn.CONCAT(D621,"-",B621)</f>
        <v>CE - 0000-2149</v>
      </c>
      <c r="F621" s="2" t="n">
        <v>515</v>
      </c>
      <c r="G621" s="2" t="n">
        <v>7008.07</v>
      </c>
    </row>
    <row r="622" customFormat="false" ht="13.8" hidden="false" customHeight="false" outlineLevel="0" collapsed="false">
      <c r="A622" s="2" t="s">
        <v>331</v>
      </c>
      <c r="B622" s="2" t="n">
        <v>2149</v>
      </c>
      <c r="C622" s="2" t="s">
        <v>332</v>
      </c>
      <c r="D622" s="2" t="s">
        <v>68</v>
      </c>
      <c r="E622" s="2" t="str">
        <f aca="false">_xlfn.CONCAT(D622,"-",B622)</f>
        <v>CE - OL 002-2149</v>
      </c>
      <c r="F622" s="2" t="n">
        <v>3</v>
      </c>
      <c r="G622" s="2" t="n">
        <v>44.81</v>
      </c>
    </row>
    <row r="623" customFormat="false" ht="13.8" hidden="false" customHeight="false" outlineLevel="0" collapsed="false">
      <c r="A623" s="2" t="s">
        <v>331</v>
      </c>
      <c r="B623" s="2" t="n">
        <v>2149</v>
      </c>
      <c r="C623" s="2" t="s">
        <v>332</v>
      </c>
      <c r="D623" s="2" t="s">
        <v>65</v>
      </c>
      <c r="E623" s="2" t="str">
        <f aca="false">_xlfn.CONCAT(D623,"-",B623)</f>
        <v>CE - EURO X AUGEFARMA-2149</v>
      </c>
      <c r="F623" s="2" t="n">
        <v>36</v>
      </c>
      <c r="G623" s="2" t="n">
        <v>365.32</v>
      </c>
    </row>
    <row r="624" customFormat="false" ht="13.8" hidden="false" customHeight="false" outlineLevel="0" collapsed="false">
      <c r="A624" s="2" t="s">
        <v>331</v>
      </c>
      <c r="B624" s="2" t="n">
        <v>2149</v>
      </c>
      <c r="C624" s="2" t="s">
        <v>332</v>
      </c>
      <c r="D624" s="2" t="s">
        <v>69</v>
      </c>
      <c r="E624" s="2" t="str">
        <f aca="false">_xlfn.CONCAT(D624,"-",B624)</f>
        <v>CE - EUROFARMA 6%-2149</v>
      </c>
      <c r="F624" s="2" t="n">
        <v>23</v>
      </c>
      <c r="G624" s="2" t="n">
        <v>369.87</v>
      </c>
    </row>
    <row r="625" customFormat="false" ht="13.8" hidden="false" customHeight="false" outlineLevel="0" collapsed="false">
      <c r="A625" s="2" t="s">
        <v>331</v>
      </c>
      <c r="B625" s="2" t="n">
        <v>2149</v>
      </c>
      <c r="C625" s="2" t="s">
        <v>332</v>
      </c>
      <c r="D625" s="2" t="s">
        <v>67</v>
      </c>
      <c r="E625" s="2" t="str">
        <f aca="false">_xlfn.CONCAT(D625,"-",B625)</f>
        <v>CE - EUROFARMA G7-2149</v>
      </c>
      <c r="F625" s="2" t="n">
        <v>17</v>
      </c>
      <c r="G625" s="2" t="n">
        <v>243.76</v>
      </c>
    </row>
    <row r="626" customFormat="false" ht="13.8" hidden="false" customHeight="false" outlineLevel="0" collapsed="false">
      <c r="A626" s="2" t="s">
        <v>333</v>
      </c>
      <c r="B626" s="2" t="n">
        <v>9690</v>
      </c>
      <c r="C626" s="2" t="s">
        <v>334</v>
      </c>
      <c r="D626" s="2" t="s">
        <v>64</v>
      </c>
      <c r="E626" s="2" t="str">
        <f aca="false">_xlfn.CONCAT(D626,"-",B626)</f>
        <v>CE - 0000-9690</v>
      </c>
      <c r="F626" s="2" t="n">
        <v>6029</v>
      </c>
      <c r="G626" s="2" t="n">
        <v>41562.51</v>
      </c>
    </row>
    <row r="627" customFormat="false" ht="13.8" hidden="false" customHeight="false" outlineLevel="0" collapsed="false">
      <c r="A627" s="2" t="s">
        <v>333</v>
      </c>
      <c r="B627" s="2" t="n">
        <v>9690</v>
      </c>
      <c r="C627" s="2" t="s">
        <v>334</v>
      </c>
      <c r="D627" s="2" t="s">
        <v>69</v>
      </c>
      <c r="E627" s="2" t="str">
        <f aca="false">_xlfn.CONCAT(D627,"-",B627)</f>
        <v>CE - EUROFARMA 6%-9690</v>
      </c>
      <c r="F627" s="2" t="n">
        <v>21</v>
      </c>
      <c r="G627" s="2" t="n">
        <v>164.67</v>
      </c>
    </row>
    <row r="628" customFormat="false" ht="13.8" hidden="false" customHeight="false" outlineLevel="0" collapsed="false">
      <c r="A628" s="2" t="s">
        <v>333</v>
      </c>
      <c r="B628" s="2" t="n">
        <v>9690</v>
      </c>
      <c r="C628" s="2" t="s">
        <v>334</v>
      </c>
      <c r="D628" s="2" t="s">
        <v>67</v>
      </c>
      <c r="E628" s="2" t="str">
        <f aca="false">_xlfn.CONCAT(D628,"-",B628)</f>
        <v>CE - EUROFARMA G7-9690</v>
      </c>
      <c r="F628" s="2" t="n">
        <v>1870</v>
      </c>
      <c r="G628" s="2" t="n">
        <v>13425.85</v>
      </c>
    </row>
    <row r="629" customFormat="false" ht="13.8" hidden="false" customHeight="false" outlineLevel="0" collapsed="false">
      <c r="A629" s="2" t="s">
        <v>333</v>
      </c>
      <c r="B629" s="2" t="n">
        <v>9690</v>
      </c>
      <c r="C629" s="2" t="s">
        <v>334</v>
      </c>
      <c r="D629" s="2" t="s">
        <v>65</v>
      </c>
      <c r="E629" s="2" t="str">
        <f aca="false">_xlfn.CONCAT(D629,"-",B629)</f>
        <v>CE - EURO X AUGEFARMA-9690</v>
      </c>
      <c r="F629" s="2" t="n">
        <v>89</v>
      </c>
      <c r="G629" s="2" t="n">
        <v>504.77</v>
      </c>
    </row>
    <row r="630" customFormat="false" ht="13.8" hidden="false" customHeight="false" outlineLevel="0" collapsed="false">
      <c r="A630" s="2" t="s">
        <v>333</v>
      </c>
      <c r="B630" s="2" t="n">
        <v>9690</v>
      </c>
      <c r="C630" s="2" t="s">
        <v>334</v>
      </c>
      <c r="D630" s="2" t="s">
        <v>66</v>
      </c>
      <c r="E630" s="2" t="str">
        <f aca="false">_xlfn.CONCAT(D630,"-",B630)</f>
        <v>CE - OL 001-9690</v>
      </c>
      <c r="F630" s="2" t="n">
        <v>809</v>
      </c>
      <c r="G630" s="2" t="n">
        <v>6268.19</v>
      </c>
    </row>
    <row r="631" customFormat="false" ht="13.8" hidden="false" customHeight="false" outlineLevel="0" collapsed="false">
      <c r="A631" s="2" t="s">
        <v>333</v>
      </c>
      <c r="B631" s="2" t="n">
        <v>9690</v>
      </c>
      <c r="C631" s="2" t="s">
        <v>334</v>
      </c>
      <c r="D631" s="2" t="s">
        <v>68</v>
      </c>
      <c r="E631" s="2" t="str">
        <f aca="false">_xlfn.CONCAT(D631,"-",B631)</f>
        <v>CE - OL 002-9690</v>
      </c>
      <c r="F631" s="2" t="n">
        <v>263</v>
      </c>
      <c r="G631" s="2" t="n">
        <v>2048.4</v>
      </c>
    </row>
    <row r="632" customFormat="false" ht="13.8" hidden="false" customHeight="false" outlineLevel="0" collapsed="false">
      <c r="A632" s="2" t="s">
        <v>335</v>
      </c>
      <c r="B632" s="2" t="n">
        <v>12521</v>
      </c>
      <c r="C632" s="2" t="s">
        <v>336</v>
      </c>
      <c r="D632" s="2" t="s">
        <v>64</v>
      </c>
      <c r="E632" s="2" t="str">
        <f aca="false">_xlfn.CONCAT(D632,"-",B632)</f>
        <v>CE - 0000-12521</v>
      </c>
      <c r="F632" s="2" t="n">
        <v>134</v>
      </c>
      <c r="G632" s="2" t="n">
        <v>1665.07</v>
      </c>
    </row>
    <row r="633" customFormat="false" ht="13.8" hidden="false" customHeight="false" outlineLevel="0" collapsed="false">
      <c r="A633" s="2" t="s">
        <v>335</v>
      </c>
      <c r="B633" s="2" t="n">
        <v>12521</v>
      </c>
      <c r="C633" s="2" t="s">
        <v>336</v>
      </c>
      <c r="D633" s="2" t="s">
        <v>66</v>
      </c>
      <c r="E633" s="2" t="str">
        <f aca="false">_xlfn.CONCAT(D633,"-",B633)</f>
        <v>CE - OL 001-12521</v>
      </c>
      <c r="F633" s="2" t="n">
        <v>9</v>
      </c>
      <c r="G633" s="2" t="n">
        <v>121.03</v>
      </c>
    </row>
    <row r="634" customFormat="false" ht="13.8" hidden="false" customHeight="false" outlineLevel="0" collapsed="false">
      <c r="A634" s="2" t="s">
        <v>335</v>
      </c>
      <c r="B634" s="2" t="n">
        <v>12521</v>
      </c>
      <c r="C634" s="2" t="s">
        <v>336</v>
      </c>
      <c r="D634" s="2" t="s">
        <v>68</v>
      </c>
      <c r="E634" s="2" t="str">
        <f aca="false">_xlfn.CONCAT(D634,"-",B634)</f>
        <v>CE - OL 002-12521</v>
      </c>
      <c r="F634" s="2" t="n">
        <v>17</v>
      </c>
      <c r="G634" s="2" t="n">
        <v>237.22</v>
      </c>
    </row>
    <row r="635" customFormat="false" ht="13.8" hidden="false" customHeight="false" outlineLevel="0" collapsed="false">
      <c r="A635" s="2" t="s">
        <v>337</v>
      </c>
      <c r="B635" s="2" t="n">
        <v>14252</v>
      </c>
      <c r="C635" s="2" t="s">
        <v>338</v>
      </c>
      <c r="D635" s="2" t="s">
        <v>67</v>
      </c>
      <c r="E635" s="2" t="str">
        <f aca="false">_xlfn.CONCAT(D635,"-",B635)</f>
        <v>CE - EUROFARMA G7-14252</v>
      </c>
      <c r="F635" s="2" t="n">
        <v>2</v>
      </c>
      <c r="G635" s="2" t="n">
        <v>153.1</v>
      </c>
    </row>
    <row r="636" customFormat="false" ht="13.8" hidden="false" customHeight="false" outlineLevel="0" collapsed="false">
      <c r="A636" s="2" t="s">
        <v>337</v>
      </c>
      <c r="B636" s="2" t="n">
        <v>14252</v>
      </c>
      <c r="C636" s="2" t="s">
        <v>338</v>
      </c>
      <c r="D636" s="2" t="s">
        <v>64</v>
      </c>
      <c r="E636" s="2" t="str">
        <f aca="false">_xlfn.CONCAT(D636,"-",B636)</f>
        <v>CE - 0000-14252</v>
      </c>
      <c r="F636" s="2" t="n">
        <v>98</v>
      </c>
      <c r="G636" s="2" t="n">
        <v>7208.71</v>
      </c>
    </row>
    <row r="637" customFormat="false" ht="13.8" hidden="false" customHeight="false" outlineLevel="0" collapsed="false">
      <c r="A637" s="2" t="s">
        <v>337</v>
      </c>
      <c r="B637" s="2" t="n">
        <v>14252</v>
      </c>
      <c r="C637" s="2" t="s">
        <v>338</v>
      </c>
      <c r="D637" s="2" t="s">
        <v>65</v>
      </c>
      <c r="E637" s="2" t="str">
        <f aca="false">_xlfn.CONCAT(D637,"-",B637)</f>
        <v>CE - EURO X AUGEFARMA-14252</v>
      </c>
      <c r="F637" s="2" t="n">
        <v>3</v>
      </c>
      <c r="G637" s="2" t="n">
        <v>206.67</v>
      </c>
    </row>
    <row r="638" customFormat="false" ht="13.8" hidden="false" customHeight="false" outlineLevel="0" collapsed="false">
      <c r="A638" s="2" t="s">
        <v>337</v>
      </c>
      <c r="B638" s="2" t="n">
        <v>14252</v>
      </c>
      <c r="C638" s="2" t="s">
        <v>338</v>
      </c>
      <c r="D638" s="2" t="s">
        <v>66</v>
      </c>
      <c r="E638" s="2" t="str">
        <f aca="false">_xlfn.CONCAT(D638,"-",B638)</f>
        <v>CE - OL 001-14252</v>
      </c>
      <c r="F638" s="2" t="n">
        <v>12</v>
      </c>
      <c r="G638" s="2" t="n">
        <v>929.09</v>
      </c>
    </row>
    <row r="639" customFormat="false" ht="13.8" hidden="false" customHeight="false" outlineLevel="0" collapsed="false">
      <c r="A639" s="2" t="s">
        <v>339</v>
      </c>
      <c r="B639" s="2" t="n">
        <v>14253</v>
      </c>
      <c r="C639" s="2" t="s">
        <v>340</v>
      </c>
      <c r="D639" s="2" t="s">
        <v>67</v>
      </c>
      <c r="E639" s="2" t="str">
        <f aca="false">_xlfn.CONCAT(D639,"-",B639)</f>
        <v>CE - EUROFARMA G7-14253</v>
      </c>
      <c r="F639" s="2" t="n">
        <v>6</v>
      </c>
      <c r="G639" s="2" t="n">
        <v>461.49</v>
      </c>
    </row>
    <row r="640" customFormat="false" ht="13.8" hidden="false" customHeight="false" outlineLevel="0" collapsed="false">
      <c r="A640" s="2" t="s">
        <v>339</v>
      </c>
      <c r="B640" s="2" t="n">
        <v>14253</v>
      </c>
      <c r="C640" s="2" t="s">
        <v>340</v>
      </c>
      <c r="D640" s="2" t="s">
        <v>66</v>
      </c>
      <c r="E640" s="2" t="str">
        <f aca="false">_xlfn.CONCAT(D640,"-",B640)</f>
        <v>CE - OL 001-14253</v>
      </c>
      <c r="F640" s="2" t="n">
        <v>21</v>
      </c>
      <c r="G640" s="2" t="n">
        <v>1246.06</v>
      </c>
    </row>
    <row r="641" customFormat="false" ht="13.8" hidden="false" customHeight="false" outlineLevel="0" collapsed="false">
      <c r="A641" s="2" t="s">
        <v>339</v>
      </c>
      <c r="B641" s="2" t="n">
        <v>14253</v>
      </c>
      <c r="C641" s="2" t="s">
        <v>340</v>
      </c>
      <c r="D641" s="2" t="s">
        <v>64</v>
      </c>
      <c r="E641" s="2" t="str">
        <f aca="false">_xlfn.CONCAT(D641,"-",B641)</f>
        <v>CE - 0000-14253</v>
      </c>
      <c r="F641" s="2" t="n">
        <v>68</v>
      </c>
      <c r="G641" s="2" t="n">
        <v>5036.73</v>
      </c>
    </row>
    <row r="642" customFormat="false" ht="13.8" hidden="false" customHeight="false" outlineLevel="0" collapsed="false">
      <c r="A642" s="2" t="s">
        <v>339</v>
      </c>
      <c r="B642" s="2" t="n">
        <v>14253</v>
      </c>
      <c r="C642" s="2" t="s">
        <v>340</v>
      </c>
      <c r="D642" s="2" t="s">
        <v>65</v>
      </c>
      <c r="E642" s="2" t="str">
        <f aca="false">_xlfn.CONCAT(D642,"-",B642)</f>
        <v>CE - EURO X AUGEFARMA-14253</v>
      </c>
      <c r="F642" s="2" t="n">
        <v>3</v>
      </c>
      <c r="G642" s="2" t="n">
        <v>206.99</v>
      </c>
    </row>
    <row r="643" customFormat="false" ht="13.8" hidden="false" customHeight="false" outlineLevel="0" collapsed="false">
      <c r="A643" s="2" t="s">
        <v>341</v>
      </c>
      <c r="B643" s="2" t="n">
        <v>16187</v>
      </c>
      <c r="C643" s="2" t="s">
        <v>342</v>
      </c>
      <c r="D643" s="2" t="s">
        <v>68</v>
      </c>
      <c r="E643" s="2" t="str">
        <f aca="false">_xlfn.CONCAT(D643,"-",B643)</f>
        <v>CE - OL 002-16187</v>
      </c>
      <c r="F643" s="2" t="n">
        <v>6</v>
      </c>
      <c r="G643" s="2" t="n">
        <v>310.88</v>
      </c>
    </row>
    <row r="644" customFormat="false" ht="13.8" hidden="false" customHeight="false" outlineLevel="0" collapsed="false">
      <c r="A644" s="2" t="s">
        <v>341</v>
      </c>
      <c r="B644" s="2" t="n">
        <v>16187</v>
      </c>
      <c r="C644" s="2" t="s">
        <v>342</v>
      </c>
      <c r="D644" s="2" t="s">
        <v>64</v>
      </c>
      <c r="E644" s="2" t="str">
        <f aca="false">_xlfn.CONCAT(D644,"-",B644)</f>
        <v>CE - 0000-16187</v>
      </c>
      <c r="F644" s="2" t="n">
        <v>652</v>
      </c>
      <c r="G644" s="2" t="n">
        <v>29671.56</v>
      </c>
    </row>
    <row r="645" customFormat="false" ht="13.8" hidden="false" customHeight="false" outlineLevel="0" collapsed="false">
      <c r="A645" s="2" t="s">
        <v>341</v>
      </c>
      <c r="B645" s="2" t="n">
        <v>16187</v>
      </c>
      <c r="C645" s="2" t="s">
        <v>342</v>
      </c>
      <c r="D645" s="2" t="s">
        <v>65</v>
      </c>
      <c r="E645" s="2" t="str">
        <f aca="false">_xlfn.CONCAT(D645,"-",B645)</f>
        <v>CE - EURO X AUGEFARMA-16187</v>
      </c>
      <c r="F645" s="2" t="n">
        <v>16</v>
      </c>
      <c r="G645" s="2" t="n">
        <v>639.75</v>
      </c>
    </row>
    <row r="646" customFormat="false" ht="13.8" hidden="false" customHeight="false" outlineLevel="0" collapsed="false">
      <c r="A646" s="2" t="s">
        <v>341</v>
      </c>
      <c r="B646" s="2" t="n">
        <v>16187</v>
      </c>
      <c r="C646" s="2" t="s">
        <v>342</v>
      </c>
      <c r="D646" s="2" t="s">
        <v>66</v>
      </c>
      <c r="E646" s="2" t="str">
        <f aca="false">_xlfn.CONCAT(D646,"-",B646)</f>
        <v>CE - OL 001-16187</v>
      </c>
      <c r="F646" s="2" t="n">
        <v>110</v>
      </c>
      <c r="G646" s="2" t="n">
        <v>5406.59</v>
      </c>
    </row>
    <row r="647" customFormat="false" ht="13.8" hidden="false" customHeight="false" outlineLevel="0" collapsed="false">
      <c r="A647" s="2" t="s">
        <v>341</v>
      </c>
      <c r="B647" s="2" t="n">
        <v>16187</v>
      </c>
      <c r="C647" s="2" t="s">
        <v>342</v>
      </c>
      <c r="D647" s="2" t="s">
        <v>67</v>
      </c>
      <c r="E647" s="2" t="str">
        <f aca="false">_xlfn.CONCAT(D647,"-",B647)</f>
        <v>CE - EUROFARMA G7-16187</v>
      </c>
      <c r="F647" s="2" t="n">
        <v>73</v>
      </c>
      <c r="G647" s="2" t="n">
        <v>3537.09</v>
      </c>
    </row>
    <row r="648" customFormat="false" ht="13.8" hidden="false" customHeight="false" outlineLevel="0" collapsed="false">
      <c r="A648" s="2" t="s">
        <v>343</v>
      </c>
      <c r="B648" s="2" t="n">
        <v>10674</v>
      </c>
      <c r="C648" s="2" t="s">
        <v>344</v>
      </c>
      <c r="D648" s="2" t="s">
        <v>65</v>
      </c>
      <c r="E648" s="2" t="str">
        <f aca="false">_xlfn.CONCAT(D648,"-",B648)</f>
        <v>CE - EURO X AUGEFARMA-10674</v>
      </c>
      <c r="F648" s="2" t="n">
        <v>8</v>
      </c>
      <c r="G648" s="2" t="n">
        <v>194.17</v>
      </c>
    </row>
    <row r="649" customFormat="false" ht="13.8" hidden="false" customHeight="false" outlineLevel="0" collapsed="false">
      <c r="A649" s="2" t="s">
        <v>343</v>
      </c>
      <c r="B649" s="2" t="n">
        <v>10674</v>
      </c>
      <c r="C649" s="2" t="s">
        <v>344</v>
      </c>
      <c r="D649" s="2" t="s">
        <v>67</v>
      </c>
      <c r="E649" s="2" t="str">
        <f aca="false">_xlfn.CONCAT(D649,"-",B649)</f>
        <v>CE - EUROFARMA G7-10674</v>
      </c>
      <c r="F649" s="2" t="n">
        <v>1</v>
      </c>
      <c r="G649" s="2" t="n">
        <v>32.89</v>
      </c>
    </row>
    <row r="650" customFormat="false" ht="13.8" hidden="false" customHeight="false" outlineLevel="0" collapsed="false">
      <c r="A650" s="2" t="s">
        <v>343</v>
      </c>
      <c r="B650" s="2" t="n">
        <v>10674</v>
      </c>
      <c r="C650" s="2" t="s">
        <v>344</v>
      </c>
      <c r="D650" s="2" t="s">
        <v>64</v>
      </c>
      <c r="E650" s="2" t="str">
        <f aca="false">_xlfn.CONCAT(D650,"-",B650)</f>
        <v>CE - 0000-10674</v>
      </c>
      <c r="F650" s="2" t="n">
        <v>280</v>
      </c>
      <c r="G650" s="2" t="n">
        <v>8432.67</v>
      </c>
    </row>
    <row r="651" customFormat="false" ht="13.8" hidden="false" customHeight="false" outlineLevel="0" collapsed="false">
      <c r="A651" s="2" t="s">
        <v>343</v>
      </c>
      <c r="B651" s="2" t="n">
        <v>10674</v>
      </c>
      <c r="C651" s="2" t="s">
        <v>344</v>
      </c>
      <c r="D651" s="2" t="s">
        <v>69</v>
      </c>
      <c r="E651" s="2" t="str">
        <f aca="false">_xlfn.CONCAT(D651,"-",B651)</f>
        <v>CE - EUROFARMA 6%-10674</v>
      </c>
      <c r="F651" s="2" t="n">
        <v>8</v>
      </c>
      <c r="G651" s="2" t="n">
        <v>248.88</v>
      </c>
    </row>
    <row r="652" customFormat="false" ht="13.8" hidden="false" customHeight="false" outlineLevel="0" collapsed="false">
      <c r="A652" s="2" t="s">
        <v>343</v>
      </c>
      <c r="B652" s="2" t="n">
        <v>10674</v>
      </c>
      <c r="C652" s="2" t="s">
        <v>344</v>
      </c>
      <c r="D652" s="2" t="s">
        <v>66</v>
      </c>
      <c r="E652" s="2" t="str">
        <f aca="false">_xlfn.CONCAT(D652,"-",B652)</f>
        <v>CE - OL 001-10674</v>
      </c>
      <c r="F652" s="2" t="n">
        <v>62</v>
      </c>
      <c r="G652" s="2" t="n">
        <v>1698.18</v>
      </c>
    </row>
    <row r="653" customFormat="false" ht="13.8" hidden="false" customHeight="false" outlineLevel="0" collapsed="false">
      <c r="A653" s="2" t="s">
        <v>345</v>
      </c>
      <c r="B653" s="2" t="n">
        <v>10753</v>
      </c>
      <c r="C653" s="2" t="s">
        <v>346</v>
      </c>
      <c r="D653" s="2" t="s">
        <v>65</v>
      </c>
      <c r="E653" s="2" t="str">
        <f aca="false">_xlfn.CONCAT(D653,"-",B653)</f>
        <v>CE - EURO X AUGEFARMA-10753</v>
      </c>
      <c r="F653" s="2" t="n">
        <v>11</v>
      </c>
      <c r="G653" s="2" t="n">
        <v>76.74</v>
      </c>
    </row>
    <row r="654" customFormat="false" ht="13.8" hidden="false" customHeight="false" outlineLevel="0" collapsed="false">
      <c r="A654" s="2" t="s">
        <v>345</v>
      </c>
      <c r="B654" s="2" t="n">
        <v>10753</v>
      </c>
      <c r="C654" s="2" t="s">
        <v>346</v>
      </c>
      <c r="D654" s="2" t="s">
        <v>64</v>
      </c>
      <c r="E654" s="2" t="str">
        <f aca="false">_xlfn.CONCAT(D654,"-",B654)</f>
        <v>CE - 0000-10753</v>
      </c>
      <c r="F654" s="2" t="n">
        <v>438</v>
      </c>
      <c r="G654" s="2" t="n">
        <v>3985.72</v>
      </c>
    </row>
    <row r="655" customFormat="false" ht="13.8" hidden="false" customHeight="false" outlineLevel="0" collapsed="false">
      <c r="A655" s="2" t="s">
        <v>345</v>
      </c>
      <c r="B655" s="2" t="n">
        <v>10753</v>
      </c>
      <c r="C655" s="2" t="s">
        <v>346</v>
      </c>
      <c r="D655" s="2" t="s">
        <v>68</v>
      </c>
      <c r="E655" s="2" t="str">
        <f aca="false">_xlfn.CONCAT(D655,"-",B655)</f>
        <v>CE - OL 002-10753</v>
      </c>
      <c r="F655" s="2" t="n">
        <v>3</v>
      </c>
      <c r="G655" s="2" t="n">
        <v>30.5</v>
      </c>
    </row>
    <row r="656" customFormat="false" ht="13.8" hidden="false" customHeight="false" outlineLevel="0" collapsed="false">
      <c r="A656" s="2" t="s">
        <v>345</v>
      </c>
      <c r="B656" s="2" t="n">
        <v>10753</v>
      </c>
      <c r="C656" s="2" t="s">
        <v>346</v>
      </c>
      <c r="D656" s="2" t="s">
        <v>66</v>
      </c>
      <c r="E656" s="2" t="str">
        <f aca="false">_xlfn.CONCAT(D656,"-",B656)</f>
        <v>CE - OL 001-10753</v>
      </c>
      <c r="F656" s="2" t="n">
        <v>76</v>
      </c>
      <c r="G656" s="2" t="n">
        <v>766.75</v>
      </c>
    </row>
    <row r="657" customFormat="false" ht="13.8" hidden="false" customHeight="false" outlineLevel="0" collapsed="false">
      <c r="A657" s="2" t="s">
        <v>345</v>
      </c>
      <c r="B657" s="2" t="n">
        <v>10753</v>
      </c>
      <c r="C657" s="2" t="s">
        <v>346</v>
      </c>
      <c r="D657" s="2" t="s">
        <v>69</v>
      </c>
      <c r="E657" s="2" t="str">
        <f aca="false">_xlfn.CONCAT(D657,"-",B657)</f>
        <v>CE - EUROFARMA 6%-10753</v>
      </c>
      <c r="F657" s="2" t="n">
        <v>6</v>
      </c>
      <c r="G657" s="2" t="n">
        <v>61.38</v>
      </c>
    </row>
    <row r="658" customFormat="false" ht="13.8" hidden="false" customHeight="false" outlineLevel="0" collapsed="false">
      <c r="A658" s="2" t="s">
        <v>345</v>
      </c>
      <c r="B658" s="2" t="n">
        <v>10753</v>
      </c>
      <c r="C658" s="2" t="s">
        <v>346</v>
      </c>
      <c r="D658" s="2" t="s">
        <v>67</v>
      </c>
      <c r="E658" s="2" t="str">
        <f aca="false">_xlfn.CONCAT(D658,"-",B658)</f>
        <v>CE - EUROFARMA G7-10753</v>
      </c>
      <c r="F658" s="2" t="n">
        <v>2</v>
      </c>
      <c r="G658" s="2" t="n">
        <v>18.16</v>
      </c>
    </row>
    <row r="659" customFormat="false" ht="13.8" hidden="false" customHeight="false" outlineLevel="0" collapsed="false">
      <c r="A659" s="2" t="s">
        <v>347</v>
      </c>
      <c r="B659" s="2" t="n">
        <v>10799</v>
      </c>
      <c r="C659" s="2" t="s">
        <v>348</v>
      </c>
      <c r="D659" s="2" t="s">
        <v>67</v>
      </c>
      <c r="E659" s="2" t="str">
        <f aca="false">_xlfn.CONCAT(D659,"-",B659)</f>
        <v>CE - EUROFARMA G7-10799</v>
      </c>
      <c r="F659" s="2" t="n">
        <v>75</v>
      </c>
      <c r="G659" s="2" t="n">
        <v>1578.41</v>
      </c>
    </row>
    <row r="660" customFormat="false" ht="13.8" hidden="false" customHeight="false" outlineLevel="0" collapsed="false">
      <c r="A660" s="2" t="s">
        <v>347</v>
      </c>
      <c r="B660" s="2" t="n">
        <v>10799</v>
      </c>
      <c r="C660" s="2" t="s">
        <v>348</v>
      </c>
      <c r="D660" s="2" t="s">
        <v>64</v>
      </c>
      <c r="E660" s="2" t="str">
        <f aca="false">_xlfn.CONCAT(D660,"-",B660)</f>
        <v>CE - 0000-10799</v>
      </c>
      <c r="F660" s="2" t="n">
        <v>530</v>
      </c>
      <c r="G660" s="2" t="n">
        <v>10896.58</v>
      </c>
    </row>
    <row r="661" customFormat="false" ht="13.8" hidden="false" customHeight="false" outlineLevel="0" collapsed="false">
      <c r="A661" s="2" t="s">
        <v>349</v>
      </c>
      <c r="B661" s="2" t="n">
        <v>10797</v>
      </c>
      <c r="C661" s="2" t="s">
        <v>350</v>
      </c>
      <c r="D661" s="2" t="s">
        <v>66</v>
      </c>
      <c r="E661" s="2" t="str">
        <f aca="false">_xlfn.CONCAT(D661,"-",B661)</f>
        <v>CE - OL 001-10797</v>
      </c>
      <c r="F661" s="2" t="n">
        <v>127</v>
      </c>
      <c r="G661" s="2" t="n">
        <v>1003.39</v>
      </c>
    </row>
    <row r="662" customFormat="false" ht="13.8" hidden="false" customHeight="false" outlineLevel="0" collapsed="false">
      <c r="A662" s="2" t="s">
        <v>349</v>
      </c>
      <c r="B662" s="2" t="n">
        <v>10797</v>
      </c>
      <c r="C662" s="2" t="s">
        <v>350</v>
      </c>
      <c r="D662" s="2" t="s">
        <v>65</v>
      </c>
      <c r="E662" s="2" t="str">
        <f aca="false">_xlfn.CONCAT(D662,"-",B662)</f>
        <v>CE - EURO X AUGEFARMA-10797</v>
      </c>
      <c r="F662" s="2" t="n">
        <v>63</v>
      </c>
      <c r="G662" s="2" t="n">
        <v>303.1</v>
      </c>
    </row>
    <row r="663" customFormat="false" ht="13.8" hidden="false" customHeight="false" outlineLevel="0" collapsed="false">
      <c r="A663" s="2" t="s">
        <v>349</v>
      </c>
      <c r="B663" s="2" t="n">
        <v>10797</v>
      </c>
      <c r="C663" s="2" t="s">
        <v>350</v>
      </c>
      <c r="D663" s="2" t="s">
        <v>67</v>
      </c>
      <c r="E663" s="2" t="str">
        <f aca="false">_xlfn.CONCAT(D663,"-",B663)</f>
        <v>CE - EUROFARMA G7-10797</v>
      </c>
      <c r="F663" s="2" t="n">
        <v>122</v>
      </c>
      <c r="G663" s="2" t="n">
        <v>902.81</v>
      </c>
    </row>
    <row r="664" customFormat="false" ht="13.8" hidden="false" customHeight="false" outlineLevel="0" collapsed="false">
      <c r="A664" s="2" t="s">
        <v>349</v>
      </c>
      <c r="B664" s="2" t="n">
        <v>10797</v>
      </c>
      <c r="C664" s="2" t="s">
        <v>350</v>
      </c>
      <c r="D664" s="2" t="s">
        <v>64</v>
      </c>
      <c r="E664" s="2" t="str">
        <f aca="false">_xlfn.CONCAT(D664,"-",B664)</f>
        <v>CE - 0000-10797</v>
      </c>
      <c r="F664" s="2" t="n">
        <v>801</v>
      </c>
      <c r="G664" s="2" t="n">
        <v>5760.4</v>
      </c>
    </row>
    <row r="665" customFormat="false" ht="13.8" hidden="false" customHeight="false" outlineLevel="0" collapsed="false">
      <c r="A665" s="2" t="s">
        <v>349</v>
      </c>
      <c r="B665" s="2" t="n">
        <v>10797</v>
      </c>
      <c r="C665" s="2" t="s">
        <v>350</v>
      </c>
      <c r="D665" s="2" t="s">
        <v>68</v>
      </c>
      <c r="E665" s="2" t="str">
        <f aca="false">_xlfn.CONCAT(D665,"-",B665)</f>
        <v>CE - OL 002-10797</v>
      </c>
      <c r="F665" s="2" t="n">
        <v>54</v>
      </c>
      <c r="G665" s="2" t="n">
        <v>725.12</v>
      </c>
    </row>
    <row r="666" customFormat="false" ht="13.8" hidden="false" customHeight="false" outlineLevel="0" collapsed="false">
      <c r="A666" s="2" t="s">
        <v>351</v>
      </c>
      <c r="B666" s="2" t="n">
        <v>10798</v>
      </c>
      <c r="C666" s="2" t="s">
        <v>352</v>
      </c>
      <c r="D666" s="2" t="s">
        <v>65</v>
      </c>
      <c r="E666" s="2" t="str">
        <f aca="false">_xlfn.CONCAT(D666,"-",B666)</f>
        <v>CE - EURO X AUGEFARMA-10798</v>
      </c>
      <c r="F666" s="2" t="n">
        <v>30</v>
      </c>
      <c r="G666" s="2" t="n">
        <v>237.79</v>
      </c>
    </row>
    <row r="667" customFormat="false" ht="13.8" hidden="false" customHeight="false" outlineLevel="0" collapsed="false">
      <c r="A667" s="2" t="s">
        <v>351</v>
      </c>
      <c r="B667" s="2" t="n">
        <v>10798</v>
      </c>
      <c r="C667" s="2" t="s">
        <v>352</v>
      </c>
      <c r="D667" s="2" t="s">
        <v>68</v>
      </c>
      <c r="E667" s="2" t="str">
        <f aca="false">_xlfn.CONCAT(D667,"-",B667)</f>
        <v>CE - OL 002-10798</v>
      </c>
      <c r="F667" s="2" t="n">
        <v>39</v>
      </c>
      <c r="G667" s="2" t="n">
        <v>873.66</v>
      </c>
    </row>
    <row r="668" customFormat="false" ht="13.8" hidden="false" customHeight="false" outlineLevel="0" collapsed="false">
      <c r="A668" s="2" t="s">
        <v>351</v>
      </c>
      <c r="B668" s="2" t="n">
        <v>10798</v>
      </c>
      <c r="C668" s="2" t="s">
        <v>352</v>
      </c>
      <c r="D668" s="2" t="s">
        <v>67</v>
      </c>
      <c r="E668" s="2" t="str">
        <f aca="false">_xlfn.CONCAT(D668,"-",B668)</f>
        <v>CE - EUROFARMA G7-10798</v>
      </c>
      <c r="F668" s="2" t="n">
        <v>134</v>
      </c>
      <c r="G668" s="2" t="n">
        <v>1612.98</v>
      </c>
    </row>
    <row r="669" customFormat="false" ht="13.8" hidden="false" customHeight="false" outlineLevel="0" collapsed="false">
      <c r="A669" s="2" t="s">
        <v>351</v>
      </c>
      <c r="B669" s="2" t="n">
        <v>10798</v>
      </c>
      <c r="C669" s="2" t="s">
        <v>352</v>
      </c>
      <c r="D669" s="2" t="s">
        <v>64</v>
      </c>
      <c r="E669" s="2" t="str">
        <f aca="false">_xlfn.CONCAT(D669,"-",B669)</f>
        <v>CE - 0000-10798</v>
      </c>
      <c r="F669" s="2" t="n">
        <v>465</v>
      </c>
      <c r="G669" s="2" t="n">
        <v>5455.58</v>
      </c>
    </row>
    <row r="670" customFormat="false" ht="13.8" hidden="false" customHeight="false" outlineLevel="0" collapsed="false">
      <c r="A670" s="2" t="s">
        <v>351</v>
      </c>
      <c r="B670" s="2" t="n">
        <v>10798</v>
      </c>
      <c r="C670" s="2" t="s">
        <v>352</v>
      </c>
      <c r="D670" s="2" t="s">
        <v>66</v>
      </c>
      <c r="E670" s="2" t="str">
        <f aca="false">_xlfn.CONCAT(D670,"-",B670)</f>
        <v>CE - OL 001-10798</v>
      </c>
      <c r="F670" s="2" t="n">
        <v>100</v>
      </c>
      <c r="G670" s="2" t="n">
        <v>1254.14</v>
      </c>
    </row>
    <row r="671" customFormat="false" ht="13.8" hidden="false" customHeight="false" outlineLevel="0" collapsed="false">
      <c r="A671" s="2" t="s">
        <v>353</v>
      </c>
      <c r="B671" s="2" t="n">
        <v>22468</v>
      </c>
      <c r="C671" s="2" t="s">
        <v>354</v>
      </c>
      <c r="D671" s="2" t="s">
        <v>66</v>
      </c>
      <c r="E671" s="2" t="str">
        <f aca="false">_xlfn.CONCAT(D671,"-",B671)</f>
        <v>CE - OL 001-22468</v>
      </c>
      <c r="F671" s="2" t="n">
        <v>12</v>
      </c>
      <c r="G671" s="2" t="n">
        <v>355.34</v>
      </c>
    </row>
    <row r="672" customFormat="false" ht="13.8" hidden="false" customHeight="false" outlineLevel="0" collapsed="false">
      <c r="A672" s="2" t="s">
        <v>353</v>
      </c>
      <c r="B672" s="2" t="n">
        <v>22468</v>
      </c>
      <c r="C672" s="2" t="s">
        <v>354</v>
      </c>
      <c r="D672" s="2" t="s">
        <v>68</v>
      </c>
      <c r="E672" s="2" t="str">
        <f aca="false">_xlfn.CONCAT(D672,"-",B672)</f>
        <v>CE - OL 002-22468</v>
      </c>
      <c r="F672" s="2" t="n">
        <v>6</v>
      </c>
      <c r="G672" s="2" t="n">
        <v>178.66</v>
      </c>
    </row>
    <row r="673" customFormat="false" ht="13.8" hidden="false" customHeight="false" outlineLevel="0" collapsed="false">
      <c r="A673" s="2" t="s">
        <v>353</v>
      </c>
      <c r="B673" s="2" t="n">
        <v>22468</v>
      </c>
      <c r="C673" s="2" t="s">
        <v>354</v>
      </c>
      <c r="D673" s="2" t="s">
        <v>64</v>
      </c>
      <c r="E673" s="2" t="str">
        <f aca="false">_xlfn.CONCAT(D673,"-",B673)</f>
        <v>CE - 0000-22468</v>
      </c>
      <c r="F673" s="2" t="n">
        <v>696</v>
      </c>
      <c r="G673" s="2" t="n">
        <v>18436.06</v>
      </c>
    </row>
    <row r="674" customFormat="false" ht="13.8" hidden="false" customHeight="false" outlineLevel="0" collapsed="false">
      <c r="A674" s="2" t="s">
        <v>353</v>
      </c>
      <c r="B674" s="2" t="n">
        <v>22468</v>
      </c>
      <c r="C674" s="2" t="s">
        <v>354</v>
      </c>
      <c r="D674" s="2" t="s">
        <v>67</v>
      </c>
      <c r="E674" s="2" t="str">
        <f aca="false">_xlfn.CONCAT(D674,"-",B674)</f>
        <v>CE - EUROFARMA G7-22468</v>
      </c>
      <c r="F674" s="2" t="n">
        <v>154</v>
      </c>
      <c r="G674" s="2" t="n">
        <v>4184.89</v>
      </c>
    </row>
    <row r="675" customFormat="false" ht="13.8" hidden="false" customHeight="false" outlineLevel="0" collapsed="false">
      <c r="A675" s="2" t="s">
        <v>355</v>
      </c>
      <c r="B675" s="2" t="n">
        <v>14724</v>
      </c>
      <c r="C675" s="2" t="s">
        <v>356</v>
      </c>
      <c r="D675" s="2" t="s">
        <v>67</v>
      </c>
      <c r="E675" s="2" t="str">
        <f aca="false">_xlfn.CONCAT(D675,"-",B675)</f>
        <v>CE - EUROFARMA G7-14724</v>
      </c>
      <c r="F675" s="2" t="n">
        <v>30</v>
      </c>
      <c r="G675" s="2" t="n">
        <v>816.85</v>
      </c>
    </row>
    <row r="676" customFormat="false" ht="13.8" hidden="false" customHeight="false" outlineLevel="0" collapsed="false">
      <c r="A676" s="2" t="s">
        <v>355</v>
      </c>
      <c r="B676" s="2" t="n">
        <v>14724</v>
      </c>
      <c r="C676" s="2" t="s">
        <v>356</v>
      </c>
      <c r="D676" s="2" t="s">
        <v>64</v>
      </c>
      <c r="E676" s="2" t="str">
        <f aca="false">_xlfn.CONCAT(D676,"-",B676)</f>
        <v>CE - 0000-14724</v>
      </c>
      <c r="F676" s="2" t="n">
        <v>336</v>
      </c>
      <c r="G676" s="2" t="n">
        <v>8578.64</v>
      </c>
    </row>
    <row r="677" customFormat="false" ht="13.8" hidden="false" customHeight="false" outlineLevel="0" collapsed="false">
      <c r="A677" s="2" t="s">
        <v>355</v>
      </c>
      <c r="B677" s="2" t="n">
        <v>14724</v>
      </c>
      <c r="C677" s="2" t="s">
        <v>356</v>
      </c>
      <c r="D677" s="2" t="s">
        <v>69</v>
      </c>
      <c r="E677" s="2" t="str">
        <f aca="false">_xlfn.CONCAT(D677,"-",B677)</f>
        <v>CE - EUROFARMA 6%-14724</v>
      </c>
      <c r="F677" s="2" t="n">
        <v>2</v>
      </c>
      <c r="G677" s="2" t="n">
        <v>51.58</v>
      </c>
    </row>
    <row r="678" customFormat="false" ht="13.8" hidden="false" customHeight="false" outlineLevel="0" collapsed="false">
      <c r="A678" s="2" t="s">
        <v>355</v>
      </c>
      <c r="B678" s="2" t="n">
        <v>14724</v>
      </c>
      <c r="C678" s="2" t="s">
        <v>356</v>
      </c>
      <c r="D678" s="2" t="s">
        <v>66</v>
      </c>
      <c r="E678" s="2" t="str">
        <f aca="false">_xlfn.CONCAT(D678,"-",B678)</f>
        <v>CE - OL 001-14724</v>
      </c>
      <c r="F678" s="2" t="n">
        <v>32</v>
      </c>
      <c r="G678" s="2" t="n">
        <v>872.88</v>
      </c>
    </row>
    <row r="679" customFormat="false" ht="13.8" hidden="false" customHeight="false" outlineLevel="0" collapsed="false">
      <c r="A679" s="2" t="s">
        <v>357</v>
      </c>
      <c r="B679" s="2" t="n">
        <v>5859</v>
      </c>
      <c r="C679" s="2" t="s">
        <v>358</v>
      </c>
      <c r="D679" s="2" t="s">
        <v>68</v>
      </c>
      <c r="E679" s="2" t="str">
        <f aca="false">_xlfn.CONCAT(D679,"-",B679)</f>
        <v>CE - OL 002-5859</v>
      </c>
      <c r="F679" s="2" t="n">
        <v>26</v>
      </c>
      <c r="G679" s="2" t="n">
        <v>780.81</v>
      </c>
    </row>
    <row r="680" customFormat="false" ht="13.8" hidden="false" customHeight="false" outlineLevel="0" collapsed="false">
      <c r="A680" s="2" t="s">
        <v>357</v>
      </c>
      <c r="B680" s="2" t="n">
        <v>5859</v>
      </c>
      <c r="C680" s="2" t="s">
        <v>358</v>
      </c>
      <c r="D680" s="2" t="s">
        <v>64</v>
      </c>
      <c r="E680" s="2" t="str">
        <f aca="false">_xlfn.CONCAT(D680,"-",B680)</f>
        <v>CE - 0000-5859</v>
      </c>
      <c r="F680" s="2" t="n">
        <v>3068</v>
      </c>
      <c r="G680" s="2" t="n">
        <v>72970.24</v>
      </c>
    </row>
    <row r="681" customFormat="false" ht="13.8" hidden="false" customHeight="false" outlineLevel="0" collapsed="false">
      <c r="A681" s="2" t="s">
        <v>357</v>
      </c>
      <c r="B681" s="2" t="n">
        <v>5859</v>
      </c>
      <c r="C681" s="2" t="s">
        <v>358</v>
      </c>
      <c r="D681" s="2" t="s">
        <v>66</v>
      </c>
      <c r="E681" s="2" t="str">
        <f aca="false">_xlfn.CONCAT(D681,"-",B681)</f>
        <v>CE - OL 001-5859</v>
      </c>
      <c r="F681" s="2" t="n">
        <v>361</v>
      </c>
      <c r="G681" s="2" t="n">
        <v>9430.48</v>
      </c>
    </row>
    <row r="682" customFormat="false" ht="13.8" hidden="false" customHeight="false" outlineLevel="0" collapsed="false">
      <c r="A682" s="2" t="s">
        <v>357</v>
      </c>
      <c r="B682" s="2" t="n">
        <v>5859</v>
      </c>
      <c r="C682" s="2" t="s">
        <v>358</v>
      </c>
      <c r="D682" s="2" t="s">
        <v>65</v>
      </c>
      <c r="E682" s="2" t="str">
        <f aca="false">_xlfn.CONCAT(D682,"-",B682)</f>
        <v>CE - EURO X AUGEFARMA-5859</v>
      </c>
      <c r="F682" s="2" t="n">
        <v>41</v>
      </c>
      <c r="G682" s="2" t="n">
        <v>939.19</v>
      </c>
    </row>
    <row r="683" customFormat="false" ht="13.8" hidden="false" customHeight="false" outlineLevel="0" collapsed="false">
      <c r="A683" s="2" t="s">
        <v>357</v>
      </c>
      <c r="B683" s="2" t="n">
        <v>5859</v>
      </c>
      <c r="C683" s="2" t="s">
        <v>358</v>
      </c>
      <c r="D683" s="2" t="s">
        <v>69</v>
      </c>
      <c r="E683" s="2" t="str">
        <f aca="false">_xlfn.CONCAT(D683,"-",B683)</f>
        <v>CE - EUROFARMA 6%-5859</v>
      </c>
      <c r="F683" s="2" t="n">
        <v>73</v>
      </c>
      <c r="G683" s="2" t="n">
        <v>1726.86</v>
      </c>
    </row>
    <row r="684" customFormat="false" ht="13.8" hidden="false" customHeight="false" outlineLevel="0" collapsed="false">
      <c r="A684" s="2" t="s">
        <v>357</v>
      </c>
      <c r="B684" s="2" t="n">
        <v>5859</v>
      </c>
      <c r="C684" s="2" t="s">
        <v>358</v>
      </c>
      <c r="D684" s="2" t="s">
        <v>67</v>
      </c>
      <c r="E684" s="2" t="str">
        <f aca="false">_xlfn.CONCAT(D684,"-",B684)</f>
        <v>CE - EUROFARMA G7-5859</v>
      </c>
      <c r="F684" s="2" t="n">
        <v>735</v>
      </c>
      <c r="G684" s="2" t="n">
        <v>18466.79</v>
      </c>
    </row>
    <row r="685" customFormat="false" ht="13.8" hidden="false" customHeight="false" outlineLevel="0" collapsed="false">
      <c r="A685" s="2" t="s">
        <v>359</v>
      </c>
      <c r="B685" s="2" t="n">
        <v>5478</v>
      </c>
      <c r="C685" s="2" t="s">
        <v>360</v>
      </c>
      <c r="D685" s="2" t="s">
        <v>64</v>
      </c>
      <c r="E685" s="2" t="str">
        <f aca="false">_xlfn.CONCAT(D685,"-",B685)</f>
        <v>CE - 0000-5478</v>
      </c>
      <c r="F685" s="2" t="n">
        <v>4099</v>
      </c>
      <c r="G685" s="2" t="n">
        <v>42619.07</v>
      </c>
    </row>
    <row r="686" customFormat="false" ht="13.8" hidden="false" customHeight="false" outlineLevel="0" collapsed="false">
      <c r="A686" s="2" t="s">
        <v>359</v>
      </c>
      <c r="B686" s="2" t="n">
        <v>5478</v>
      </c>
      <c r="C686" s="2" t="s">
        <v>360</v>
      </c>
      <c r="D686" s="2" t="s">
        <v>66</v>
      </c>
      <c r="E686" s="2" t="str">
        <f aca="false">_xlfn.CONCAT(D686,"-",B686)</f>
        <v>CE - OL 001-5478</v>
      </c>
      <c r="F686" s="2" t="n">
        <v>278</v>
      </c>
      <c r="G686" s="2" t="n">
        <v>3238.46</v>
      </c>
    </row>
    <row r="687" customFormat="false" ht="13.8" hidden="false" customHeight="false" outlineLevel="0" collapsed="false">
      <c r="A687" s="2" t="s">
        <v>359</v>
      </c>
      <c r="B687" s="2" t="n">
        <v>5478</v>
      </c>
      <c r="C687" s="2" t="s">
        <v>360</v>
      </c>
      <c r="D687" s="2" t="s">
        <v>65</v>
      </c>
      <c r="E687" s="2" t="str">
        <f aca="false">_xlfn.CONCAT(D687,"-",B687)</f>
        <v>CE - EURO X AUGEFARMA-5478</v>
      </c>
      <c r="F687" s="2" t="n">
        <v>354</v>
      </c>
      <c r="G687" s="2" t="n">
        <v>1364.86</v>
      </c>
    </row>
    <row r="688" customFormat="false" ht="13.8" hidden="false" customHeight="false" outlineLevel="0" collapsed="false">
      <c r="A688" s="2" t="s">
        <v>359</v>
      </c>
      <c r="B688" s="2" t="n">
        <v>5478</v>
      </c>
      <c r="C688" s="2" t="s">
        <v>360</v>
      </c>
      <c r="D688" s="2" t="s">
        <v>68</v>
      </c>
      <c r="E688" s="2" t="str">
        <f aca="false">_xlfn.CONCAT(D688,"-",B688)</f>
        <v>CE - OL 002-5478</v>
      </c>
      <c r="F688" s="2" t="n">
        <v>102</v>
      </c>
      <c r="G688" s="2" t="n">
        <v>1661.73</v>
      </c>
    </row>
    <row r="689" customFormat="false" ht="13.8" hidden="false" customHeight="false" outlineLevel="0" collapsed="false">
      <c r="A689" s="2" t="s">
        <v>359</v>
      </c>
      <c r="B689" s="2" t="n">
        <v>5478</v>
      </c>
      <c r="C689" s="2" t="s">
        <v>360</v>
      </c>
      <c r="D689" s="2" t="s">
        <v>69</v>
      </c>
      <c r="E689" s="2" t="str">
        <f aca="false">_xlfn.CONCAT(D689,"-",B689)</f>
        <v>CE - EUROFARMA 6%-5478</v>
      </c>
      <c r="F689" s="2" t="n">
        <v>8</v>
      </c>
      <c r="G689" s="2" t="n">
        <v>136.55</v>
      </c>
    </row>
    <row r="690" customFormat="false" ht="13.8" hidden="false" customHeight="false" outlineLevel="0" collapsed="false">
      <c r="A690" s="2" t="s">
        <v>359</v>
      </c>
      <c r="B690" s="2" t="n">
        <v>5478</v>
      </c>
      <c r="C690" s="2" t="s">
        <v>360</v>
      </c>
      <c r="D690" s="2" t="s">
        <v>67</v>
      </c>
      <c r="E690" s="2" t="str">
        <f aca="false">_xlfn.CONCAT(D690,"-",B690)</f>
        <v>CE - EUROFARMA G7-5478</v>
      </c>
      <c r="F690" s="2" t="n">
        <v>388</v>
      </c>
      <c r="G690" s="2" t="n">
        <v>4192.33</v>
      </c>
    </row>
    <row r="691" customFormat="false" ht="13.8" hidden="false" customHeight="false" outlineLevel="0" collapsed="false">
      <c r="A691" s="2" t="s">
        <v>361</v>
      </c>
      <c r="B691" s="2" t="n">
        <v>3283</v>
      </c>
      <c r="C691" s="2" t="s">
        <v>362</v>
      </c>
      <c r="D691" s="2" t="s">
        <v>67</v>
      </c>
      <c r="E691" s="2" t="str">
        <f aca="false">_xlfn.CONCAT(D691,"-",B691)</f>
        <v>CE - EUROFARMA G7-3283</v>
      </c>
      <c r="F691" s="2" t="n">
        <v>908</v>
      </c>
      <c r="G691" s="2" t="n">
        <v>6843.49</v>
      </c>
    </row>
    <row r="692" customFormat="false" ht="13.8" hidden="false" customHeight="false" outlineLevel="0" collapsed="false">
      <c r="A692" s="2" t="s">
        <v>361</v>
      </c>
      <c r="B692" s="2" t="n">
        <v>3283</v>
      </c>
      <c r="C692" s="2" t="s">
        <v>362</v>
      </c>
      <c r="D692" s="2" t="s">
        <v>65</v>
      </c>
      <c r="E692" s="2" t="str">
        <f aca="false">_xlfn.CONCAT(D692,"-",B692)</f>
        <v>CE - EURO X AUGEFARMA-3283</v>
      </c>
      <c r="F692" s="2" t="n">
        <v>899</v>
      </c>
      <c r="G692" s="2" t="n">
        <v>2481.04</v>
      </c>
    </row>
    <row r="693" customFormat="false" ht="13.8" hidden="false" customHeight="false" outlineLevel="0" collapsed="false">
      <c r="A693" s="2" t="s">
        <v>361</v>
      </c>
      <c r="B693" s="2" t="n">
        <v>3283</v>
      </c>
      <c r="C693" s="2" t="s">
        <v>362</v>
      </c>
      <c r="D693" s="2" t="s">
        <v>64</v>
      </c>
      <c r="E693" s="2" t="str">
        <f aca="false">_xlfn.CONCAT(D693,"-",B693)</f>
        <v>CE - 0000-3283</v>
      </c>
      <c r="F693" s="2" t="n">
        <v>7673</v>
      </c>
      <c r="G693" s="2" t="n">
        <v>56457.46</v>
      </c>
    </row>
    <row r="694" customFormat="false" ht="13.8" hidden="false" customHeight="false" outlineLevel="0" collapsed="false">
      <c r="A694" s="2" t="s">
        <v>361</v>
      </c>
      <c r="B694" s="2" t="n">
        <v>3283</v>
      </c>
      <c r="C694" s="2" t="s">
        <v>362</v>
      </c>
      <c r="D694" s="2" t="s">
        <v>69</v>
      </c>
      <c r="E694" s="2" t="str">
        <f aca="false">_xlfn.CONCAT(D694,"-",B694)</f>
        <v>CE - EUROFARMA 6%-3283</v>
      </c>
      <c r="F694" s="2" t="n">
        <v>6</v>
      </c>
      <c r="G694" s="2" t="n">
        <v>71.94</v>
      </c>
    </row>
    <row r="695" customFormat="false" ht="13.8" hidden="false" customHeight="false" outlineLevel="0" collapsed="false">
      <c r="A695" s="2" t="s">
        <v>361</v>
      </c>
      <c r="B695" s="2" t="n">
        <v>3283</v>
      </c>
      <c r="C695" s="2" t="s">
        <v>362</v>
      </c>
      <c r="D695" s="2" t="s">
        <v>66</v>
      </c>
      <c r="E695" s="2" t="str">
        <f aca="false">_xlfn.CONCAT(D695,"-",B695)</f>
        <v>CE - OL 001-3283</v>
      </c>
      <c r="F695" s="2" t="n">
        <v>614</v>
      </c>
      <c r="G695" s="2" t="n">
        <v>4989.95</v>
      </c>
    </row>
    <row r="696" customFormat="false" ht="13.8" hidden="false" customHeight="false" outlineLevel="0" collapsed="false">
      <c r="A696" s="2" t="s">
        <v>361</v>
      </c>
      <c r="B696" s="2" t="n">
        <v>3283</v>
      </c>
      <c r="C696" s="2" t="s">
        <v>362</v>
      </c>
      <c r="D696" s="2" t="s">
        <v>68</v>
      </c>
      <c r="E696" s="2" t="str">
        <f aca="false">_xlfn.CONCAT(D696,"-",B696)</f>
        <v>CE - OL 002-3283</v>
      </c>
      <c r="F696" s="2" t="n">
        <v>68</v>
      </c>
      <c r="G696" s="2" t="n">
        <v>558.02</v>
      </c>
    </row>
    <row r="697" customFormat="false" ht="13.8" hidden="false" customHeight="false" outlineLevel="0" collapsed="false">
      <c r="A697" s="2" t="s">
        <v>363</v>
      </c>
      <c r="B697" s="2" t="n">
        <v>12134</v>
      </c>
      <c r="C697" s="2" t="s">
        <v>364</v>
      </c>
      <c r="D697" s="2" t="s">
        <v>67</v>
      </c>
      <c r="E697" s="2" t="str">
        <f aca="false">_xlfn.CONCAT(D697,"-",B697)</f>
        <v>CE - EUROFARMA G7-12134</v>
      </c>
      <c r="F697" s="2" t="n">
        <v>529</v>
      </c>
      <c r="G697" s="2" t="n">
        <v>12523.26</v>
      </c>
    </row>
    <row r="698" customFormat="false" ht="13.8" hidden="false" customHeight="false" outlineLevel="0" collapsed="false">
      <c r="A698" s="2" t="s">
        <v>363</v>
      </c>
      <c r="B698" s="2" t="n">
        <v>12134</v>
      </c>
      <c r="C698" s="2" t="s">
        <v>364</v>
      </c>
      <c r="D698" s="2" t="s">
        <v>65</v>
      </c>
      <c r="E698" s="2" t="str">
        <f aca="false">_xlfn.CONCAT(D698,"-",B698)</f>
        <v>CE - EURO X AUGEFARMA-12134</v>
      </c>
      <c r="F698" s="2" t="n">
        <v>55</v>
      </c>
      <c r="G698" s="2" t="n">
        <v>1159.62</v>
      </c>
    </row>
    <row r="699" customFormat="false" ht="13.8" hidden="false" customHeight="false" outlineLevel="0" collapsed="false">
      <c r="A699" s="2" t="s">
        <v>363</v>
      </c>
      <c r="B699" s="2" t="n">
        <v>12134</v>
      </c>
      <c r="C699" s="2" t="s">
        <v>364</v>
      </c>
      <c r="D699" s="2" t="s">
        <v>69</v>
      </c>
      <c r="E699" s="2" t="str">
        <f aca="false">_xlfn.CONCAT(D699,"-",B699)</f>
        <v>CE - EUROFARMA 6%-12134</v>
      </c>
      <c r="F699" s="2" t="n">
        <v>12</v>
      </c>
      <c r="G699" s="2" t="n">
        <v>296.46</v>
      </c>
    </row>
    <row r="700" customFormat="false" ht="13.8" hidden="false" customHeight="false" outlineLevel="0" collapsed="false">
      <c r="A700" s="2" t="s">
        <v>363</v>
      </c>
      <c r="B700" s="2" t="n">
        <v>12134</v>
      </c>
      <c r="C700" s="2" t="s">
        <v>364</v>
      </c>
      <c r="D700" s="2" t="s">
        <v>64</v>
      </c>
      <c r="E700" s="2" t="str">
        <f aca="false">_xlfn.CONCAT(D700,"-",B700)</f>
        <v>CE - 0000-12134</v>
      </c>
      <c r="F700" s="2" t="n">
        <v>2267</v>
      </c>
      <c r="G700" s="2" t="n">
        <v>52065.03</v>
      </c>
    </row>
    <row r="701" customFormat="false" ht="13.8" hidden="false" customHeight="false" outlineLevel="0" collapsed="false">
      <c r="A701" s="2" t="s">
        <v>363</v>
      </c>
      <c r="B701" s="2" t="n">
        <v>12134</v>
      </c>
      <c r="C701" s="2" t="s">
        <v>364</v>
      </c>
      <c r="D701" s="2" t="s">
        <v>66</v>
      </c>
      <c r="E701" s="2" t="str">
        <f aca="false">_xlfn.CONCAT(D701,"-",B701)</f>
        <v>CE - OL 001-12134</v>
      </c>
      <c r="F701" s="2" t="n">
        <v>355</v>
      </c>
      <c r="G701" s="2" t="n">
        <v>8912.79</v>
      </c>
    </row>
    <row r="702" customFormat="false" ht="13.8" hidden="false" customHeight="false" outlineLevel="0" collapsed="false">
      <c r="A702" s="2" t="s">
        <v>363</v>
      </c>
      <c r="B702" s="2" t="n">
        <v>12134</v>
      </c>
      <c r="C702" s="2" t="s">
        <v>364</v>
      </c>
      <c r="D702" s="2" t="s">
        <v>68</v>
      </c>
      <c r="E702" s="2" t="str">
        <f aca="false">_xlfn.CONCAT(D702,"-",B702)</f>
        <v>CE - OL 002-12134</v>
      </c>
      <c r="F702" s="2" t="n">
        <v>46</v>
      </c>
      <c r="G702" s="2" t="n">
        <v>1696.28</v>
      </c>
    </row>
    <row r="703" customFormat="false" ht="13.8" hidden="false" customHeight="false" outlineLevel="0" collapsed="false">
      <c r="A703" s="2" t="s">
        <v>365</v>
      </c>
      <c r="B703" s="2" t="n">
        <v>12135</v>
      </c>
      <c r="C703" s="2" t="s">
        <v>366</v>
      </c>
      <c r="D703" s="2" t="s">
        <v>65</v>
      </c>
      <c r="E703" s="2" t="str">
        <f aca="false">_xlfn.CONCAT(D703,"-",B703)</f>
        <v>CE - EURO X AUGEFARMA-12135</v>
      </c>
      <c r="F703" s="2" t="n">
        <v>80</v>
      </c>
      <c r="G703" s="2" t="n">
        <v>2363.86</v>
      </c>
    </row>
    <row r="704" customFormat="false" ht="13.8" hidden="false" customHeight="false" outlineLevel="0" collapsed="false">
      <c r="A704" s="2" t="s">
        <v>365</v>
      </c>
      <c r="B704" s="2" t="n">
        <v>12135</v>
      </c>
      <c r="C704" s="2" t="s">
        <v>366</v>
      </c>
      <c r="D704" s="2" t="s">
        <v>69</v>
      </c>
      <c r="E704" s="2" t="str">
        <f aca="false">_xlfn.CONCAT(D704,"-",B704)</f>
        <v>CE - EUROFARMA 6%-12135</v>
      </c>
      <c r="F704" s="2" t="n">
        <v>18</v>
      </c>
      <c r="G704" s="2" t="n">
        <v>623.02</v>
      </c>
    </row>
    <row r="705" customFormat="false" ht="13.8" hidden="false" customHeight="false" outlineLevel="0" collapsed="false">
      <c r="A705" s="2" t="s">
        <v>365</v>
      </c>
      <c r="B705" s="2" t="n">
        <v>12135</v>
      </c>
      <c r="C705" s="2" t="s">
        <v>366</v>
      </c>
      <c r="D705" s="2" t="s">
        <v>64</v>
      </c>
      <c r="E705" s="2" t="str">
        <f aca="false">_xlfn.CONCAT(D705,"-",B705)</f>
        <v>CE - 0000-12135</v>
      </c>
      <c r="F705" s="2" t="n">
        <v>2699</v>
      </c>
      <c r="G705" s="2" t="n">
        <v>86894.05</v>
      </c>
    </row>
    <row r="706" customFormat="false" ht="13.8" hidden="false" customHeight="false" outlineLevel="0" collapsed="false">
      <c r="A706" s="2" t="s">
        <v>365</v>
      </c>
      <c r="B706" s="2" t="n">
        <v>12135</v>
      </c>
      <c r="C706" s="2" t="s">
        <v>366</v>
      </c>
      <c r="D706" s="2" t="s">
        <v>66</v>
      </c>
      <c r="E706" s="2" t="str">
        <f aca="false">_xlfn.CONCAT(D706,"-",B706)</f>
        <v>CE - OL 001-12135</v>
      </c>
      <c r="F706" s="2" t="n">
        <v>422</v>
      </c>
      <c r="G706" s="2" t="n">
        <v>15205.98</v>
      </c>
    </row>
    <row r="707" customFormat="false" ht="13.8" hidden="false" customHeight="false" outlineLevel="0" collapsed="false">
      <c r="A707" s="2" t="s">
        <v>365</v>
      </c>
      <c r="B707" s="2" t="n">
        <v>12135</v>
      </c>
      <c r="C707" s="2" t="s">
        <v>366</v>
      </c>
      <c r="D707" s="2" t="s">
        <v>68</v>
      </c>
      <c r="E707" s="2" t="str">
        <f aca="false">_xlfn.CONCAT(D707,"-",B707)</f>
        <v>CE - OL 002-12135</v>
      </c>
      <c r="F707" s="2" t="n">
        <v>55</v>
      </c>
      <c r="G707" s="2" t="n">
        <v>2039.65</v>
      </c>
    </row>
    <row r="708" customFormat="false" ht="13.8" hidden="false" customHeight="false" outlineLevel="0" collapsed="false">
      <c r="A708" s="2" t="s">
        <v>365</v>
      </c>
      <c r="B708" s="2" t="n">
        <v>12135</v>
      </c>
      <c r="C708" s="2" t="s">
        <v>366</v>
      </c>
      <c r="D708" s="2" t="s">
        <v>67</v>
      </c>
      <c r="E708" s="2" t="str">
        <f aca="false">_xlfn.CONCAT(D708,"-",B708)</f>
        <v>CE - EUROFARMA G7-12135</v>
      </c>
      <c r="F708" s="2" t="n">
        <v>1014</v>
      </c>
      <c r="G708" s="2" t="n">
        <v>33247.76</v>
      </c>
    </row>
    <row r="709" customFormat="false" ht="13.8" hidden="false" customHeight="false" outlineLevel="0" collapsed="false">
      <c r="A709" s="2" t="s">
        <v>367</v>
      </c>
      <c r="B709" s="2" t="n">
        <v>4266</v>
      </c>
      <c r="C709" s="2" t="s">
        <v>368</v>
      </c>
      <c r="D709" s="2" t="s">
        <v>64</v>
      </c>
      <c r="E709" s="2" t="str">
        <f aca="false">_xlfn.CONCAT(D709,"-",B709)</f>
        <v>CE - 0000-4266</v>
      </c>
      <c r="F709" s="2" t="n">
        <v>108629</v>
      </c>
      <c r="G709" s="2" t="n">
        <v>215844.11</v>
      </c>
    </row>
    <row r="710" customFormat="false" ht="13.8" hidden="false" customHeight="false" outlineLevel="0" collapsed="false">
      <c r="A710" s="2" t="s">
        <v>367</v>
      </c>
      <c r="B710" s="2" t="n">
        <v>4266</v>
      </c>
      <c r="C710" s="2" t="s">
        <v>368</v>
      </c>
      <c r="D710" s="2" t="s">
        <v>69</v>
      </c>
      <c r="E710" s="2" t="str">
        <f aca="false">_xlfn.CONCAT(D710,"-",B710)</f>
        <v>CE - EUROFARMA 6%-4266</v>
      </c>
      <c r="F710" s="2" t="n">
        <v>100</v>
      </c>
      <c r="G710" s="2" t="n">
        <v>363.93</v>
      </c>
    </row>
    <row r="711" customFormat="false" ht="13.8" hidden="false" customHeight="false" outlineLevel="0" collapsed="false">
      <c r="A711" s="2" t="s">
        <v>367</v>
      </c>
      <c r="B711" s="2" t="n">
        <v>4266</v>
      </c>
      <c r="C711" s="2" t="s">
        <v>368</v>
      </c>
      <c r="D711" s="2" t="s">
        <v>67</v>
      </c>
      <c r="E711" s="2" t="str">
        <f aca="false">_xlfn.CONCAT(D711,"-",B711)</f>
        <v>CE - EUROFARMA G7-4266</v>
      </c>
      <c r="F711" s="2" t="n">
        <v>55797</v>
      </c>
      <c r="G711" s="2" t="n">
        <v>102912.58</v>
      </c>
    </row>
    <row r="712" customFormat="false" ht="13.8" hidden="false" customHeight="false" outlineLevel="0" collapsed="false">
      <c r="A712" s="2" t="s">
        <v>367</v>
      </c>
      <c r="B712" s="2" t="n">
        <v>4266</v>
      </c>
      <c r="C712" s="2" t="s">
        <v>368</v>
      </c>
      <c r="D712" s="2" t="s">
        <v>66</v>
      </c>
      <c r="E712" s="2" t="str">
        <f aca="false">_xlfn.CONCAT(D712,"-",B712)</f>
        <v>CE - OL 001-4266</v>
      </c>
      <c r="F712" s="2" t="n">
        <v>5116</v>
      </c>
      <c r="G712" s="2" t="n">
        <v>11831.37</v>
      </c>
    </row>
    <row r="713" customFormat="false" ht="13.8" hidden="false" customHeight="false" outlineLevel="0" collapsed="false">
      <c r="A713" s="2" t="s">
        <v>367</v>
      </c>
      <c r="B713" s="2" t="n">
        <v>4266</v>
      </c>
      <c r="C713" s="2" t="s">
        <v>368</v>
      </c>
      <c r="D713" s="2" t="s">
        <v>68</v>
      </c>
      <c r="E713" s="2" t="str">
        <f aca="false">_xlfn.CONCAT(D713,"-",B713)</f>
        <v>CE - OL 002-4266</v>
      </c>
      <c r="F713" s="2" t="n">
        <v>222</v>
      </c>
      <c r="G713" s="2" t="n">
        <v>597.93</v>
      </c>
    </row>
    <row r="714" customFormat="false" ht="13.8" hidden="false" customHeight="false" outlineLevel="0" collapsed="false">
      <c r="A714" s="2" t="s">
        <v>369</v>
      </c>
      <c r="B714" s="2" t="n">
        <v>5858</v>
      </c>
      <c r="C714" s="2" t="s">
        <v>370</v>
      </c>
      <c r="D714" s="2" t="s">
        <v>67</v>
      </c>
      <c r="E714" s="2" t="str">
        <f aca="false">_xlfn.CONCAT(D714,"-",B714)</f>
        <v>CE - EUROFARMA G7-5858</v>
      </c>
      <c r="F714" s="2" t="n">
        <v>34</v>
      </c>
      <c r="G714" s="2" t="n">
        <v>510.73</v>
      </c>
    </row>
    <row r="715" customFormat="false" ht="13.8" hidden="false" customHeight="false" outlineLevel="0" collapsed="false">
      <c r="A715" s="2" t="s">
        <v>369</v>
      </c>
      <c r="B715" s="2" t="n">
        <v>5858</v>
      </c>
      <c r="C715" s="2" t="s">
        <v>370</v>
      </c>
      <c r="D715" s="2" t="s">
        <v>64</v>
      </c>
      <c r="E715" s="2" t="str">
        <f aca="false">_xlfn.CONCAT(D715,"-",B715)</f>
        <v>CE - 0000-5858</v>
      </c>
      <c r="F715" s="2" t="n">
        <v>437</v>
      </c>
      <c r="G715" s="2" t="n">
        <v>6463.54</v>
      </c>
    </row>
    <row r="716" customFormat="false" ht="13.8" hidden="false" customHeight="false" outlineLevel="0" collapsed="false">
      <c r="A716" s="2" t="s">
        <v>369</v>
      </c>
      <c r="B716" s="2" t="n">
        <v>5858</v>
      </c>
      <c r="C716" s="2" t="s">
        <v>370</v>
      </c>
      <c r="D716" s="2" t="s">
        <v>66</v>
      </c>
      <c r="E716" s="2" t="str">
        <f aca="false">_xlfn.CONCAT(D716,"-",B716)</f>
        <v>CE - OL 001-5858</v>
      </c>
      <c r="F716" s="2" t="n">
        <v>139</v>
      </c>
      <c r="G716" s="2" t="n">
        <v>2183.1</v>
      </c>
    </row>
    <row r="717" customFormat="false" ht="13.8" hidden="false" customHeight="false" outlineLevel="0" collapsed="false">
      <c r="A717" s="2" t="s">
        <v>369</v>
      </c>
      <c r="B717" s="2" t="n">
        <v>5858</v>
      </c>
      <c r="C717" s="2" t="s">
        <v>370</v>
      </c>
      <c r="D717" s="2" t="s">
        <v>65</v>
      </c>
      <c r="E717" s="2" t="str">
        <f aca="false">_xlfn.CONCAT(D717,"-",B717)</f>
        <v>CE - EURO X AUGEFARMA-5858</v>
      </c>
      <c r="F717" s="2" t="n">
        <v>108</v>
      </c>
      <c r="G717" s="2" t="n">
        <v>1129</v>
      </c>
    </row>
    <row r="718" customFormat="false" ht="13.8" hidden="false" customHeight="false" outlineLevel="0" collapsed="false">
      <c r="A718" s="2" t="s">
        <v>371</v>
      </c>
      <c r="B718" s="2" t="n">
        <v>5479</v>
      </c>
      <c r="C718" s="2" t="s">
        <v>372</v>
      </c>
      <c r="D718" s="2" t="s">
        <v>65</v>
      </c>
      <c r="E718" s="2" t="str">
        <f aca="false">_xlfn.CONCAT(D718,"-",B718)</f>
        <v>CE - EURO X AUGEFARMA-5479</v>
      </c>
      <c r="F718" s="2" t="n">
        <v>147</v>
      </c>
      <c r="G718" s="2" t="n">
        <v>669.69</v>
      </c>
    </row>
    <row r="719" customFormat="false" ht="13.8" hidden="false" customHeight="false" outlineLevel="0" collapsed="false">
      <c r="A719" s="2" t="s">
        <v>371</v>
      </c>
      <c r="B719" s="2" t="n">
        <v>5479</v>
      </c>
      <c r="C719" s="2" t="s">
        <v>372</v>
      </c>
      <c r="D719" s="2" t="s">
        <v>67</v>
      </c>
      <c r="E719" s="2" t="str">
        <f aca="false">_xlfn.CONCAT(D719,"-",B719)</f>
        <v>CE - EUROFARMA G7-5479</v>
      </c>
      <c r="F719" s="2" t="n">
        <v>8</v>
      </c>
      <c r="G719" s="2" t="n">
        <v>62.61</v>
      </c>
    </row>
    <row r="720" customFormat="false" ht="13.8" hidden="false" customHeight="false" outlineLevel="0" collapsed="false">
      <c r="A720" s="2" t="s">
        <v>371</v>
      </c>
      <c r="B720" s="2" t="n">
        <v>5479</v>
      </c>
      <c r="C720" s="2" t="s">
        <v>372</v>
      </c>
      <c r="D720" s="2" t="s">
        <v>64</v>
      </c>
      <c r="E720" s="2" t="str">
        <f aca="false">_xlfn.CONCAT(D720,"-",B720)</f>
        <v>CE - 0000-5479</v>
      </c>
      <c r="F720" s="2" t="n">
        <v>531</v>
      </c>
      <c r="G720" s="2" t="n">
        <v>4169.36</v>
      </c>
    </row>
    <row r="721" customFormat="false" ht="13.8" hidden="false" customHeight="false" outlineLevel="0" collapsed="false">
      <c r="A721" s="2" t="s">
        <v>371</v>
      </c>
      <c r="B721" s="2" t="n">
        <v>5479</v>
      </c>
      <c r="C721" s="2" t="s">
        <v>372</v>
      </c>
      <c r="D721" s="2" t="s">
        <v>66</v>
      </c>
      <c r="E721" s="2" t="str">
        <f aca="false">_xlfn.CONCAT(D721,"-",B721)</f>
        <v>CE - OL 001-5479</v>
      </c>
      <c r="F721" s="2" t="n">
        <v>50</v>
      </c>
      <c r="G721" s="2" t="n">
        <v>463</v>
      </c>
    </row>
    <row r="722" customFormat="false" ht="13.8" hidden="false" customHeight="false" outlineLevel="0" collapsed="false">
      <c r="A722" s="2" t="s">
        <v>373</v>
      </c>
      <c r="B722" s="2" t="n">
        <v>3284</v>
      </c>
      <c r="C722" s="2" t="s">
        <v>374</v>
      </c>
      <c r="D722" s="2" t="s">
        <v>66</v>
      </c>
      <c r="E722" s="2" t="str">
        <f aca="false">_xlfn.CONCAT(D722,"-",B722)</f>
        <v>CE - OL 001-3284</v>
      </c>
      <c r="F722" s="2" t="n">
        <v>271</v>
      </c>
      <c r="G722" s="2" t="n">
        <v>800.24</v>
      </c>
    </row>
    <row r="723" customFormat="false" ht="13.8" hidden="false" customHeight="false" outlineLevel="0" collapsed="false">
      <c r="A723" s="2" t="s">
        <v>373</v>
      </c>
      <c r="B723" s="2" t="n">
        <v>3284</v>
      </c>
      <c r="C723" s="2" t="s">
        <v>374</v>
      </c>
      <c r="D723" s="2" t="s">
        <v>65</v>
      </c>
      <c r="E723" s="2" t="str">
        <f aca="false">_xlfn.CONCAT(D723,"-",B723)</f>
        <v>CE - EURO X AUGEFARMA-3284</v>
      </c>
      <c r="F723" s="2" t="n">
        <v>680</v>
      </c>
      <c r="G723" s="2" t="n">
        <v>909.49</v>
      </c>
    </row>
    <row r="724" customFormat="false" ht="13.8" hidden="false" customHeight="false" outlineLevel="0" collapsed="false">
      <c r="A724" s="2" t="s">
        <v>373</v>
      </c>
      <c r="B724" s="2" t="n">
        <v>3284</v>
      </c>
      <c r="C724" s="2" t="s">
        <v>374</v>
      </c>
      <c r="D724" s="2" t="s">
        <v>64</v>
      </c>
      <c r="E724" s="2" t="str">
        <f aca="false">_xlfn.CONCAT(D724,"-",B724)</f>
        <v>CE - 0000-3284</v>
      </c>
      <c r="F724" s="2" t="n">
        <v>6461</v>
      </c>
      <c r="G724" s="2" t="n">
        <v>16372.3</v>
      </c>
    </row>
    <row r="725" customFormat="false" ht="13.8" hidden="false" customHeight="false" outlineLevel="0" collapsed="false">
      <c r="A725" s="2" t="s">
        <v>373</v>
      </c>
      <c r="B725" s="2" t="n">
        <v>3284</v>
      </c>
      <c r="C725" s="2" t="s">
        <v>374</v>
      </c>
      <c r="D725" s="2" t="s">
        <v>68</v>
      </c>
      <c r="E725" s="2" t="str">
        <f aca="false">_xlfn.CONCAT(D725,"-",B725)</f>
        <v>CE - OL 002-3284</v>
      </c>
      <c r="F725" s="2" t="n">
        <v>62</v>
      </c>
      <c r="G725" s="2" t="n">
        <v>175.74</v>
      </c>
    </row>
    <row r="726" customFormat="false" ht="13.8" hidden="false" customHeight="false" outlineLevel="0" collapsed="false">
      <c r="A726" s="2" t="s">
        <v>373</v>
      </c>
      <c r="B726" s="2" t="n">
        <v>3284</v>
      </c>
      <c r="C726" s="2" t="s">
        <v>374</v>
      </c>
      <c r="D726" s="2" t="s">
        <v>67</v>
      </c>
      <c r="E726" s="2" t="str">
        <f aca="false">_xlfn.CONCAT(D726,"-",B726)</f>
        <v>CE - EUROFARMA G7-3284</v>
      </c>
      <c r="F726" s="2" t="n">
        <v>577</v>
      </c>
      <c r="G726" s="2" t="n">
        <v>1435.53</v>
      </c>
    </row>
    <row r="727" customFormat="false" ht="13.8" hidden="false" customHeight="false" outlineLevel="0" collapsed="false">
      <c r="A727" s="2" t="s">
        <v>375</v>
      </c>
      <c r="B727" s="2" t="n">
        <v>3323</v>
      </c>
      <c r="C727" s="2" t="s">
        <v>376</v>
      </c>
      <c r="D727" s="2" t="s">
        <v>64</v>
      </c>
      <c r="E727" s="2" t="str">
        <f aca="false">_xlfn.CONCAT(D727,"-",B727)</f>
        <v>CE - 0000-3323</v>
      </c>
      <c r="F727" s="2" t="n">
        <v>682</v>
      </c>
      <c r="G727" s="2" t="n">
        <v>18466.31</v>
      </c>
    </row>
    <row r="728" customFormat="false" ht="13.8" hidden="false" customHeight="false" outlineLevel="0" collapsed="false">
      <c r="A728" s="2" t="s">
        <v>375</v>
      </c>
      <c r="B728" s="2" t="n">
        <v>3323</v>
      </c>
      <c r="C728" s="2" t="s">
        <v>376</v>
      </c>
      <c r="D728" s="2" t="s">
        <v>65</v>
      </c>
      <c r="E728" s="2" t="str">
        <f aca="false">_xlfn.CONCAT(D728,"-",B728)</f>
        <v>CE - EURO X AUGEFARMA-3323</v>
      </c>
      <c r="F728" s="2" t="n">
        <v>15</v>
      </c>
      <c r="G728" s="2" t="n">
        <v>380.21</v>
      </c>
    </row>
    <row r="729" customFormat="false" ht="13.8" hidden="false" customHeight="false" outlineLevel="0" collapsed="false">
      <c r="A729" s="2" t="s">
        <v>375</v>
      </c>
      <c r="B729" s="2" t="n">
        <v>3323</v>
      </c>
      <c r="C729" s="2" t="s">
        <v>376</v>
      </c>
      <c r="D729" s="2" t="s">
        <v>68</v>
      </c>
      <c r="E729" s="2" t="str">
        <f aca="false">_xlfn.CONCAT(D729,"-",B729)</f>
        <v>CE - OL 002-3323</v>
      </c>
      <c r="F729" s="2" t="n">
        <v>3</v>
      </c>
      <c r="G729" s="2" t="n">
        <v>89.71</v>
      </c>
    </row>
    <row r="730" customFormat="false" ht="13.8" hidden="false" customHeight="false" outlineLevel="0" collapsed="false">
      <c r="A730" s="2" t="s">
        <v>375</v>
      </c>
      <c r="B730" s="2" t="n">
        <v>3323</v>
      </c>
      <c r="C730" s="2" t="s">
        <v>376</v>
      </c>
      <c r="D730" s="2" t="s">
        <v>66</v>
      </c>
      <c r="E730" s="2" t="str">
        <f aca="false">_xlfn.CONCAT(D730,"-",B730)</f>
        <v>CE - OL 001-3323</v>
      </c>
      <c r="F730" s="2" t="n">
        <v>53</v>
      </c>
      <c r="G730" s="2" t="n">
        <v>1555.07</v>
      </c>
    </row>
    <row r="731" customFormat="false" ht="13.8" hidden="false" customHeight="false" outlineLevel="0" collapsed="false">
      <c r="A731" s="2" t="s">
        <v>375</v>
      </c>
      <c r="B731" s="2" t="n">
        <v>3323</v>
      </c>
      <c r="C731" s="2" t="s">
        <v>376</v>
      </c>
      <c r="D731" s="2" t="s">
        <v>69</v>
      </c>
      <c r="E731" s="2" t="str">
        <f aca="false">_xlfn.CONCAT(D731,"-",B731)</f>
        <v>CE - EUROFARMA 6%-3323</v>
      </c>
      <c r="F731" s="2" t="n">
        <v>1</v>
      </c>
      <c r="G731" s="2" t="n">
        <v>26.28</v>
      </c>
    </row>
    <row r="732" customFormat="false" ht="13.8" hidden="false" customHeight="false" outlineLevel="0" collapsed="false">
      <c r="A732" s="2" t="s">
        <v>377</v>
      </c>
      <c r="B732" s="2" t="n">
        <v>4123</v>
      </c>
      <c r="C732" s="2" t="s">
        <v>378</v>
      </c>
      <c r="D732" s="2" t="s">
        <v>65</v>
      </c>
      <c r="E732" s="2" t="str">
        <f aca="false">_xlfn.CONCAT(D732,"-",B732)</f>
        <v>CE - EURO X AUGEFARMA-4123</v>
      </c>
      <c r="F732" s="2" t="n">
        <v>29</v>
      </c>
      <c r="G732" s="2" t="n">
        <v>99.05</v>
      </c>
    </row>
    <row r="733" customFormat="false" ht="13.8" hidden="false" customHeight="false" outlineLevel="0" collapsed="false">
      <c r="A733" s="2" t="s">
        <v>377</v>
      </c>
      <c r="B733" s="2" t="n">
        <v>4123</v>
      </c>
      <c r="C733" s="2" t="s">
        <v>378</v>
      </c>
      <c r="D733" s="2" t="s">
        <v>64</v>
      </c>
      <c r="E733" s="2" t="str">
        <f aca="false">_xlfn.CONCAT(D733,"-",B733)</f>
        <v>CE - 0000-4123</v>
      </c>
      <c r="F733" s="2" t="n">
        <v>371</v>
      </c>
      <c r="G733" s="2" t="n">
        <v>1631.95</v>
      </c>
    </row>
    <row r="734" customFormat="false" ht="13.8" hidden="false" customHeight="false" outlineLevel="0" collapsed="false">
      <c r="A734" s="2" t="s">
        <v>377</v>
      </c>
      <c r="B734" s="2" t="n">
        <v>4123</v>
      </c>
      <c r="C734" s="2" t="s">
        <v>378</v>
      </c>
      <c r="D734" s="2" t="s">
        <v>68</v>
      </c>
      <c r="E734" s="2" t="str">
        <f aca="false">_xlfn.CONCAT(D734,"-",B734)</f>
        <v>CE - OL 002-4123</v>
      </c>
      <c r="F734" s="2" t="n">
        <v>8</v>
      </c>
      <c r="G734" s="2" t="n">
        <v>38.64</v>
      </c>
    </row>
    <row r="735" customFormat="false" ht="13.8" hidden="false" customHeight="false" outlineLevel="0" collapsed="false">
      <c r="A735" s="2" t="s">
        <v>377</v>
      </c>
      <c r="B735" s="2" t="n">
        <v>4123</v>
      </c>
      <c r="C735" s="2" t="s">
        <v>378</v>
      </c>
      <c r="D735" s="2" t="s">
        <v>67</v>
      </c>
      <c r="E735" s="2" t="str">
        <f aca="false">_xlfn.CONCAT(D735,"-",B735)</f>
        <v>CE - EUROFARMA G7-4123</v>
      </c>
      <c r="F735" s="2" t="n">
        <v>35</v>
      </c>
      <c r="G735" s="2" t="n">
        <v>162.7</v>
      </c>
    </row>
    <row r="736" customFormat="false" ht="13.8" hidden="false" customHeight="false" outlineLevel="0" collapsed="false">
      <c r="A736" s="2" t="s">
        <v>377</v>
      </c>
      <c r="B736" s="2" t="n">
        <v>4123</v>
      </c>
      <c r="C736" s="2" t="s">
        <v>378</v>
      </c>
      <c r="D736" s="2" t="s">
        <v>66</v>
      </c>
      <c r="E736" s="2" t="str">
        <f aca="false">_xlfn.CONCAT(D736,"-",B736)</f>
        <v>CE - OL 001-4123</v>
      </c>
      <c r="F736" s="2" t="n">
        <v>26</v>
      </c>
      <c r="G736" s="2" t="n">
        <v>117.17</v>
      </c>
    </row>
    <row r="737" customFormat="false" ht="13.8" hidden="false" customHeight="false" outlineLevel="0" collapsed="false">
      <c r="A737" s="2" t="s">
        <v>379</v>
      </c>
      <c r="B737" s="2" t="n">
        <v>10802</v>
      </c>
      <c r="C737" s="2" t="s">
        <v>380</v>
      </c>
      <c r="D737" s="2" t="s">
        <v>69</v>
      </c>
      <c r="E737" s="2" t="str">
        <f aca="false">_xlfn.CONCAT(D737,"-",B737)</f>
        <v>CE - EUROFARMA 6%-10802</v>
      </c>
      <c r="F737" s="2" t="n">
        <v>4</v>
      </c>
      <c r="G737" s="2" t="n">
        <v>56.76</v>
      </c>
    </row>
    <row r="738" customFormat="false" ht="13.8" hidden="false" customHeight="false" outlineLevel="0" collapsed="false">
      <c r="A738" s="2" t="s">
        <v>379</v>
      </c>
      <c r="B738" s="2" t="n">
        <v>10802</v>
      </c>
      <c r="C738" s="2" t="s">
        <v>380</v>
      </c>
      <c r="D738" s="2" t="s">
        <v>67</v>
      </c>
      <c r="E738" s="2" t="str">
        <f aca="false">_xlfn.CONCAT(D738,"-",B738)</f>
        <v>CE - EUROFARMA G7-10802</v>
      </c>
      <c r="F738" s="2" t="n">
        <v>141</v>
      </c>
      <c r="G738" s="2" t="n">
        <v>1719.71</v>
      </c>
    </row>
    <row r="739" customFormat="false" ht="13.8" hidden="false" customHeight="false" outlineLevel="0" collapsed="false">
      <c r="A739" s="2" t="s">
        <v>379</v>
      </c>
      <c r="B739" s="2" t="n">
        <v>10802</v>
      </c>
      <c r="C739" s="2" t="s">
        <v>380</v>
      </c>
      <c r="D739" s="2" t="s">
        <v>64</v>
      </c>
      <c r="E739" s="2" t="str">
        <f aca="false">_xlfn.CONCAT(D739,"-",B739)</f>
        <v>CE - 0000-10802</v>
      </c>
      <c r="F739" s="2" t="n">
        <v>411</v>
      </c>
      <c r="G739" s="2" t="n">
        <v>4240.79</v>
      </c>
    </row>
    <row r="740" customFormat="false" ht="13.8" hidden="false" customHeight="false" outlineLevel="0" collapsed="false">
      <c r="A740" s="2" t="s">
        <v>379</v>
      </c>
      <c r="B740" s="2" t="n">
        <v>10802</v>
      </c>
      <c r="C740" s="2" t="s">
        <v>380</v>
      </c>
      <c r="D740" s="2" t="s">
        <v>65</v>
      </c>
      <c r="E740" s="2" t="str">
        <f aca="false">_xlfn.CONCAT(D740,"-",B740)</f>
        <v>CE - EURO X AUGEFARMA-10802</v>
      </c>
      <c r="F740" s="2" t="n">
        <v>86</v>
      </c>
      <c r="G740" s="2" t="n">
        <v>624.43</v>
      </c>
    </row>
    <row r="741" customFormat="false" ht="13.8" hidden="false" customHeight="false" outlineLevel="0" collapsed="false">
      <c r="A741" s="2" t="s">
        <v>379</v>
      </c>
      <c r="B741" s="2" t="n">
        <v>10802</v>
      </c>
      <c r="C741" s="2" t="s">
        <v>380</v>
      </c>
      <c r="D741" s="2" t="s">
        <v>66</v>
      </c>
      <c r="E741" s="2" t="str">
        <f aca="false">_xlfn.CONCAT(D741,"-",B741)</f>
        <v>CE - OL 001-10802</v>
      </c>
      <c r="F741" s="2" t="n">
        <v>98</v>
      </c>
      <c r="G741" s="2" t="n">
        <v>996.95</v>
      </c>
    </row>
    <row r="742" customFormat="false" ht="13.8" hidden="false" customHeight="false" outlineLevel="0" collapsed="false">
      <c r="A742" s="2" t="s">
        <v>379</v>
      </c>
      <c r="B742" s="2" t="n">
        <v>10802</v>
      </c>
      <c r="C742" s="2" t="s">
        <v>380</v>
      </c>
      <c r="D742" s="2" t="s">
        <v>68</v>
      </c>
      <c r="E742" s="2" t="str">
        <f aca="false">_xlfn.CONCAT(D742,"-",B742)</f>
        <v>CE - OL 002-10802</v>
      </c>
      <c r="F742" s="2" t="n">
        <v>9</v>
      </c>
      <c r="G742" s="2" t="n">
        <v>99.24</v>
      </c>
    </row>
    <row r="743" customFormat="false" ht="13.8" hidden="false" customHeight="false" outlineLevel="0" collapsed="false">
      <c r="A743" s="2" t="s">
        <v>381</v>
      </c>
      <c r="B743" s="2" t="n">
        <v>45</v>
      </c>
      <c r="C743" s="2" t="s">
        <v>382</v>
      </c>
      <c r="D743" s="2" t="s">
        <v>64</v>
      </c>
      <c r="E743" s="2" t="str">
        <f aca="false">_xlfn.CONCAT(D743,"-",B743)</f>
        <v>CE - 0000-45</v>
      </c>
      <c r="F743" s="2" t="n">
        <v>83</v>
      </c>
      <c r="G743" s="2" t="n">
        <v>1768.48</v>
      </c>
    </row>
    <row r="744" customFormat="false" ht="13.8" hidden="false" customHeight="false" outlineLevel="0" collapsed="false">
      <c r="A744" s="2" t="s">
        <v>381</v>
      </c>
      <c r="B744" s="2" t="n">
        <v>45</v>
      </c>
      <c r="C744" s="2" t="s">
        <v>382</v>
      </c>
      <c r="D744" s="2" t="s">
        <v>66</v>
      </c>
      <c r="E744" s="2" t="str">
        <f aca="false">_xlfn.CONCAT(D744,"-",B744)</f>
        <v>CE - OL 001-45</v>
      </c>
      <c r="F744" s="2" t="n">
        <v>9</v>
      </c>
      <c r="G744" s="2" t="n">
        <v>190.49</v>
      </c>
    </row>
    <row r="745" customFormat="false" ht="13.8" hidden="false" customHeight="false" outlineLevel="0" collapsed="false">
      <c r="A745" s="2" t="s">
        <v>383</v>
      </c>
      <c r="B745" s="2" t="n">
        <v>15268</v>
      </c>
      <c r="C745" s="2" t="s">
        <v>384</v>
      </c>
      <c r="D745" s="2" t="s">
        <v>64</v>
      </c>
      <c r="E745" s="2" t="str">
        <f aca="false">_xlfn.CONCAT(D745,"-",B745)</f>
        <v>CE - 0000-15268</v>
      </c>
      <c r="F745" s="2" t="n">
        <v>2399</v>
      </c>
      <c r="G745" s="2" t="n">
        <v>26360.96</v>
      </c>
    </row>
    <row r="746" customFormat="false" ht="13.8" hidden="false" customHeight="false" outlineLevel="0" collapsed="false">
      <c r="A746" s="2" t="s">
        <v>383</v>
      </c>
      <c r="B746" s="2" t="n">
        <v>15268</v>
      </c>
      <c r="C746" s="2" t="s">
        <v>384</v>
      </c>
      <c r="D746" s="2" t="s">
        <v>67</v>
      </c>
      <c r="E746" s="2" t="str">
        <f aca="false">_xlfn.CONCAT(D746,"-",B746)</f>
        <v>CE - EUROFARMA G7-15268</v>
      </c>
      <c r="F746" s="2" t="n">
        <v>15</v>
      </c>
      <c r="G746" s="2" t="n">
        <v>162.84</v>
      </c>
    </row>
    <row r="747" customFormat="false" ht="13.8" hidden="false" customHeight="false" outlineLevel="0" collapsed="false">
      <c r="A747" s="2" t="s">
        <v>383</v>
      </c>
      <c r="B747" s="2" t="n">
        <v>15268</v>
      </c>
      <c r="C747" s="2" t="s">
        <v>384</v>
      </c>
      <c r="D747" s="2" t="s">
        <v>66</v>
      </c>
      <c r="E747" s="2" t="str">
        <f aca="false">_xlfn.CONCAT(D747,"-",B747)</f>
        <v>CE - OL 001-15268</v>
      </c>
      <c r="F747" s="2" t="n">
        <v>838</v>
      </c>
      <c r="G747" s="2" t="n">
        <v>9896.72</v>
      </c>
    </row>
    <row r="748" customFormat="false" ht="13.8" hidden="false" customHeight="false" outlineLevel="0" collapsed="false">
      <c r="A748" s="2" t="s">
        <v>383</v>
      </c>
      <c r="B748" s="2" t="n">
        <v>15268</v>
      </c>
      <c r="C748" s="2" t="s">
        <v>384</v>
      </c>
      <c r="D748" s="2" t="s">
        <v>69</v>
      </c>
      <c r="E748" s="2" t="str">
        <f aca="false">_xlfn.CONCAT(D748,"-",B748)</f>
        <v>CE - EUROFARMA 6%-15268</v>
      </c>
      <c r="F748" s="2" t="n">
        <v>5</v>
      </c>
      <c r="G748" s="2" t="n">
        <v>52.69</v>
      </c>
    </row>
    <row r="749" customFormat="false" ht="13.8" hidden="false" customHeight="false" outlineLevel="0" collapsed="false">
      <c r="A749" s="2" t="s">
        <v>385</v>
      </c>
      <c r="B749" s="2" t="n">
        <v>15269</v>
      </c>
      <c r="C749" s="2" t="s">
        <v>386</v>
      </c>
      <c r="D749" s="2" t="s">
        <v>66</v>
      </c>
      <c r="E749" s="2" t="str">
        <f aca="false">_xlfn.CONCAT(D749,"-",B749)</f>
        <v>CE - OL 001-15269</v>
      </c>
      <c r="F749" s="2" t="n">
        <v>63</v>
      </c>
      <c r="G749" s="2" t="n">
        <v>1463.67</v>
      </c>
    </row>
    <row r="750" customFormat="false" ht="13.8" hidden="false" customHeight="false" outlineLevel="0" collapsed="false">
      <c r="A750" s="2" t="s">
        <v>387</v>
      </c>
      <c r="B750" s="2" t="n">
        <v>15857</v>
      </c>
      <c r="C750" s="2" t="s">
        <v>388</v>
      </c>
      <c r="D750" s="2" t="s">
        <v>64</v>
      </c>
      <c r="E750" s="2" t="str">
        <f aca="false">_xlfn.CONCAT(D750,"-",B750)</f>
        <v>CE - 0000-15857</v>
      </c>
      <c r="F750" s="2" t="n">
        <v>3341</v>
      </c>
      <c r="G750" s="2" t="n">
        <v>96039.54</v>
      </c>
    </row>
    <row r="751" customFormat="false" ht="13.8" hidden="false" customHeight="false" outlineLevel="0" collapsed="false">
      <c r="A751" s="2" t="s">
        <v>387</v>
      </c>
      <c r="B751" s="2" t="n">
        <v>15857</v>
      </c>
      <c r="C751" s="2" t="s">
        <v>388</v>
      </c>
      <c r="D751" s="2" t="s">
        <v>68</v>
      </c>
      <c r="E751" s="2" t="str">
        <f aca="false">_xlfn.CONCAT(D751,"-",B751)</f>
        <v>CE - OL 002-15857</v>
      </c>
      <c r="F751" s="2" t="n">
        <v>32</v>
      </c>
      <c r="G751" s="2" t="n">
        <v>1043.78</v>
      </c>
    </row>
    <row r="752" customFormat="false" ht="13.8" hidden="false" customHeight="false" outlineLevel="0" collapsed="false">
      <c r="A752" s="2" t="s">
        <v>387</v>
      </c>
      <c r="B752" s="2" t="n">
        <v>15857</v>
      </c>
      <c r="C752" s="2" t="s">
        <v>388</v>
      </c>
      <c r="D752" s="2" t="s">
        <v>65</v>
      </c>
      <c r="E752" s="2" t="str">
        <f aca="false">_xlfn.CONCAT(D752,"-",B752)</f>
        <v>CE - EURO X AUGEFARMA-15857</v>
      </c>
      <c r="F752" s="2" t="n">
        <v>87</v>
      </c>
      <c r="G752" s="2" t="n">
        <v>2370.74</v>
      </c>
    </row>
    <row r="753" customFormat="false" ht="13.8" hidden="false" customHeight="false" outlineLevel="0" collapsed="false">
      <c r="A753" s="2" t="s">
        <v>387</v>
      </c>
      <c r="B753" s="2" t="n">
        <v>15857</v>
      </c>
      <c r="C753" s="2" t="s">
        <v>388</v>
      </c>
      <c r="D753" s="2" t="s">
        <v>177</v>
      </c>
      <c r="E753" s="2" t="str">
        <f aca="false">_xlfn.CONCAT(D753,"-",B753)</f>
        <v>CE - OL NCO01-15857</v>
      </c>
      <c r="F753" s="2" t="n">
        <v>1</v>
      </c>
      <c r="G753" s="2" t="n">
        <v>41.85</v>
      </c>
    </row>
    <row r="754" customFormat="false" ht="13.8" hidden="false" customHeight="false" outlineLevel="0" collapsed="false">
      <c r="A754" s="2" t="s">
        <v>387</v>
      </c>
      <c r="B754" s="2" t="n">
        <v>15857</v>
      </c>
      <c r="C754" s="2" t="s">
        <v>388</v>
      </c>
      <c r="D754" s="2" t="s">
        <v>66</v>
      </c>
      <c r="E754" s="2" t="str">
        <f aca="false">_xlfn.CONCAT(D754,"-",B754)</f>
        <v>CE - OL 001-15857</v>
      </c>
      <c r="F754" s="2" t="n">
        <v>527</v>
      </c>
      <c r="G754" s="2" t="n">
        <v>16254.83</v>
      </c>
    </row>
    <row r="755" customFormat="false" ht="13.8" hidden="false" customHeight="false" outlineLevel="0" collapsed="false">
      <c r="A755" s="2" t="s">
        <v>387</v>
      </c>
      <c r="B755" s="2" t="n">
        <v>15857</v>
      </c>
      <c r="C755" s="2" t="s">
        <v>388</v>
      </c>
      <c r="D755" s="2" t="s">
        <v>67</v>
      </c>
      <c r="E755" s="2" t="str">
        <f aca="false">_xlfn.CONCAT(D755,"-",B755)</f>
        <v>CE - EUROFARMA G7-15857</v>
      </c>
      <c r="F755" s="2" t="n">
        <v>580</v>
      </c>
      <c r="G755" s="2" t="n">
        <v>17618.42</v>
      </c>
    </row>
    <row r="756" customFormat="false" ht="13.8" hidden="false" customHeight="false" outlineLevel="0" collapsed="false">
      <c r="A756" s="2" t="s">
        <v>389</v>
      </c>
      <c r="B756" s="2" t="n">
        <v>15856</v>
      </c>
      <c r="C756" s="2" t="s">
        <v>390</v>
      </c>
      <c r="D756" s="2" t="s">
        <v>66</v>
      </c>
      <c r="E756" s="2" t="str">
        <f aca="false">_xlfn.CONCAT(D756,"-",B756)</f>
        <v>CE - OL 001-15856</v>
      </c>
      <c r="F756" s="2" t="n">
        <v>189</v>
      </c>
      <c r="G756" s="2" t="n">
        <v>4340</v>
      </c>
    </row>
    <row r="757" customFormat="false" ht="13.8" hidden="false" customHeight="false" outlineLevel="0" collapsed="false">
      <c r="A757" s="2" t="s">
        <v>389</v>
      </c>
      <c r="B757" s="2" t="n">
        <v>15856</v>
      </c>
      <c r="C757" s="2" t="s">
        <v>390</v>
      </c>
      <c r="D757" s="2" t="s">
        <v>65</v>
      </c>
      <c r="E757" s="2" t="str">
        <f aca="false">_xlfn.CONCAT(D757,"-",B757)</f>
        <v>CE - EURO X AUGEFARMA-15856</v>
      </c>
      <c r="F757" s="2" t="n">
        <v>121</v>
      </c>
      <c r="G757" s="2" t="n">
        <v>2323.72</v>
      </c>
    </row>
    <row r="758" customFormat="false" ht="13.8" hidden="false" customHeight="false" outlineLevel="0" collapsed="false">
      <c r="A758" s="2" t="s">
        <v>389</v>
      </c>
      <c r="B758" s="2" t="n">
        <v>15856</v>
      </c>
      <c r="C758" s="2" t="s">
        <v>390</v>
      </c>
      <c r="D758" s="2" t="s">
        <v>64</v>
      </c>
      <c r="E758" s="2" t="str">
        <f aca="false">_xlfn.CONCAT(D758,"-",B758)</f>
        <v>CE - 0000-15856</v>
      </c>
      <c r="F758" s="2" t="n">
        <v>1245</v>
      </c>
      <c r="G758" s="2" t="n">
        <v>25514.73</v>
      </c>
    </row>
    <row r="759" customFormat="false" ht="13.8" hidden="false" customHeight="false" outlineLevel="0" collapsed="false">
      <c r="A759" s="2" t="s">
        <v>389</v>
      </c>
      <c r="B759" s="2" t="n">
        <v>15856</v>
      </c>
      <c r="C759" s="2" t="s">
        <v>390</v>
      </c>
      <c r="D759" s="2" t="s">
        <v>67</v>
      </c>
      <c r="E759" s="2" t="str">
        <f aca="false">_xlfn.CONCAT(D759,"-",B759)</f>
        <v>CE - EUROFARMA G7-15856</v>
      </c>
      <c r="F759" s="2" t="n">
        <v>128</v>
      </c>
      <c r="G759" s="2" t="n">
        <v>2748.38</v>
      </c>
    </row>
    <row r="760" customFormat="false" ht="13.8" hidden="false" customHeight="false" outlineLevel="0" collapsed="false">
      <c r="A760" s="2" t="s">
        <v>389</v>
      </c>
      <c r="B760" s="2" t="n">
        <v>15856</v>
      </c>
      <c r="C760" s="2" t="s">
        <v>390</v>
      </c>
      <c r="D760" s="2" t="s">
        <v>68</v>
      </c>
      <c r="E760" s="2" t="str">
        <f aca="false">_xlfn.CONCAT(D760,"-",B760)</f>
        <v>CE - OL 002-15856</v>
      </c>
      <c r="F760" s="2" t="n">
        <v>36</v>
      </c>
      <c r="G760" s="2" t="n">
        <v>823.83</v>
      </c>
    </row>
    <row r="761" customFormat="false" ht="13.8" hidden="false" customHeight="false" outlineLevel="0" collapsed="false">
      <c r="A761" s="2" t="s">
        <v>391</v>
      </c>
      <c r="B761" s="2" t="n">
        <v>42</v>
      </c>
      <c r="C761" s="2" t="s">
        <v>392</v>
      </c>
      <c r="D761" s="2" t="s">
        <v>67</v>
      </c>
      <c r="E761" s="2" t="str">
        <f aca="false">_xlfn.CONCAT(D761,"-",B761)</f>
        <v>CE - EUROFARMA G7-42</v>
      </c>
      <c r="F761" s="2" t="n">
        <v>204</v>
      </c>
      <c r="G761" s="2" t="n">
        <v>5246.64</v>
      </c>
    </row>
    <row r="762" customFormat="false" ht="13.8" hidden="false" customHeight="false" outlineLevel="0" collapsed="false">
      <c r="A762" s="2" t="s">
        <v>391</v>
      </c>
      <c r="B762" s="2" t="n">
        <v>42</v>
      </c>
      <c r="C762" s="2" t="s">
        <v>392</v>
      </c>
      <c r="D762" s="2" t="s">
        <v>64</v>
      </c>
      <c r="E762" s="2" t="str">
        <f aca="false">_xlfn.CONCAT(D762,"-",B762)</f>
        <v>CE - 0000-42</v>
      </c>
      <c r="F762" s="2" t="n">
        <v>794</v>
      </c>
      <c r="G762" s="2" t="n">
        <v>19468.38</v>
      </c>
    </row>
    <row r="763" customFormat="false" ht="13.8" hidden="false" customHeight="false" outlineLevel="0" collapsed="false">
      <c r="A763" s="2" t="s">
        <v>391</v>
      </c>
      <c r="B763" s="2" t="n">
        <v>42</v>
      </c>
      <c r="C763" s="2" t="s">
        <v>392</v>
      </c>
      <c r="D763" s="2" t="s">
        <v>65</v>
      </c>
      <c r="E763" s="2" t="str">
        <f aca="false">_xlfn.CONCAT(D763,"-",B763)</f>
        <v>CE - EURO X AUGEFARMA-42</v>
      </c>
      <c r="F763" s="2" t="n">
        <v>18</v>
      </c>
      <c r="G763" s="2" t="n">
        <v>362.68</v>
      </c>
    </row>
    <row r="764" customFormat="false" ht="13.8" hidden="false" customHeight="false" outlineLevel="0" collapsed="false">
      <c r="A764" s="2" t="s">
        <v>391</v>
      </c>
      <c r="B764" s="2" t="n">
        <v>42</v>
      </c>
      <c r="C764" s="2" t="s">
        <v>392</v>
      </c>
      <c r="D764" s="2" t="s">
        <v>66</v>
      </c>
      <c r="E764" s="2" t="str">
        <f aca="false">_xlfn.CONCAT(D764,"-",B764)</f>
        <v>CE - OL 001-42</v>
      </c>
      <c r="F764" s="2" t="n">
        <v>23</v>
      </c>
      <c r="G764" s="2" t="n">
        <v>624.43</v>
      </c>
    </row>
    <row r="765" customFormat="false" ht="13.8" hidden="false" customHeight="false" outlineLevel="0" collapsed="false">
      <c r="A765" s="2" t="s">
        <v>391</v>
      </c>
      <c r="B765" s="2" t="n">
        <v>42</v>
      </c>
      <c r="C765" s="2" t="s">
        <v>392</v>
      </c>
      <c r="D765" s="2" t="s">
        <v>69</v>
      </c>
      <c r="E765" s="2" t="str">
        <f aca="false">_xlfn.CONCAT(D765,"-",B765)</f>
        <v>CE - EUROFARMA 6%-42</v>
      </c>
      <c r="F765" s="2" t="n">
        <v>22</v>
      </c>
      <c r="G765" s="2" t="n">
        <v>594.48</v>
      </c>
    </row>
    <row r="766" customFormat="false" ht="13.8" hidden="false" customHeight="false" outlineLevel="0" collapsed="false">
      <c r="A766" s="2" t="s">
        <v>393</v>
      </c>
      <c r="B766" s="2" t="n">
        <v>21065</v>
      </c>
      <c r="C766" s="2" t="s">
        <v>394</v>
      </c>
      <c r="D766" s="2" t="s">
        <v>64</v>
      </c>
      <c r="E766" s="2" t="str">
        <f aca="false">_xlfn.CONCAT(D766,"-",B766)</f>
        <v>CE - 0000-21065</v>
      </c>
      <c r="F766" s="2" t="n">
        <v>25</v>
      </c>
      <c r="G766" s="2" t="n">
        <v>1155.24</v>
      </c>
    </row>
    <row r="767" customFormat="false" ht="13.8" hidden="false" customHeight="false" outlineLevel="0" collapsed="false">
      <c r="A767" s="2" t="s">
        <v>395</v>
      </c>
      <c r="B767" s="2" t="n">
        <v>21063</v>
      </c>
      <c r="C767" s="2" t="s">
        <v>396</v>
      </c>
      <c r="D767" s="2" t="s">
        <v>66</v>
      </c>
      <c r="E767" s="2" t="str">
        <f aca="false">_xlfn.CONCAT(D767,"-",B767)</f>
        <v>CE - OL 001-21063</v>
      </c>
      <c r="F767" s="2" t="n">
        <v>8</v>
      </c>
      <c r="G767" s="2" t="n">
        <v>615.61</v>
      </c>
    </row>
    <row r="768" customFormat="false" ht="13.8" hidden="false" customHeight="false" outlineLevel="0" collapsed="false">
      <c r="A768" s="2" t="s">
        <v>395</v>
      </c>
      <c r="B768" s="2" t="n">
        <v>21063</v>
      </c>
      <c r="C768" s="2" t="s">
        <v>396</v>
      </c>
      <c r="D768" s="2" t="s">
        <v>64</v>
      </c>
      <c r="E768" s="2" t="str">
        <f aca="false">_xlfn.CONCAT(D768,"-",B768)</f>
        <v>CE - 0000-21063</v>
      </c>
      <c r="F768" s="2" t="n">
        <v>46</v>
      </c>
      <c r="G768" s="2" t="n">
        <v>3309.29</v>
      </c>
    </row>
    <row r="769" customFormat="false" ht="13.8" hidden="false" customHeight="false" outlineLevel="0" collapsed="false">
      <c r="A769" s="2" t="s">
        <v>395</v>
      </c>
      <c r="B769" s="2" t="n">
        <v>21063</v>
      </c>
      <c r="C769" s="2" t="s">
        <v>396</v>
      </c>
      <c r="D769" s="2" t="s">
        <v>67</v>
      </c>
      <c r="E769" s="2" t="str">
        <f aca="false">_xlfn.CONCAT(D769,"-",B769)</f>
        <v>CE - EUROFARMA G7-21063</v>
      </c>
      <c r="F769" s="2" t="n">
        <v>4</v>
      </c>
      <c r="G769" s="2" t="n">
        <v>322.44</v>
      </c>
    </row>
    <row r="770" customFormat="false" ht="13.8" hidden="false" customHeight="false" outlineLevel="0" collapsed="false">
      <c r="A770" s="2" t="s">
        <v>395</v>
      </c>
      <c r="B770" s="2" t="n">
        <v>21063</v>
      </c>
      <c r="C770" s="2" t="s">
        <v>396</v>
      </c>
      <c r="D770" s="2" t="s">
        <v>65</v>
      </c>
      <c r="E770" s="2" t="str">
        <f aca="false">_xlfn.CONCAT(D770,"-",B770)</f>
        <v>CE - EURO X AUGEFARMA-21063</v>
      </c>
      <c r="F770" s="2" t="n">
        <v>1</v>
      </c>
      <c r="G770" s="2" t="n">
        <v>70.5</v>
      </c>
    </row>
    <row r="771" customFormat="false" ht="13.8" hidden="false" customHeight="false" outlineLevel="0" collapsed="false">
      <c r="A771" s="2" t="s">
        <v>397</v>
      </c>
      <c r="B771" s="2" t="n">
        <v>21064</v>
      </c>
      <c r="C771" s="2" t="s">
        <v>398</v>
      </c>
      <c r="D771" s="2" t="s">
        <v>64</v>
      </c>
      <c r="E771" s="2" t="str">
        <f aca="false">_xlfn.CONCAT(D771,"-",B771)</f>
        <v>CE - 0000-21064</v>
      </c>
      <c r="F771" s="2" t="n">
        <v>7</v>
      </c>
      <c r="G771" s="2" t="n">
        <v>594.2</v>
      </c>
    </row>
    <row r="772" customFormat="false" ht="13.8" hidden="false" customHeight="false" outlineLevel="0" collapsed="false">
      <c r="A772" s="2" t="s">
        <v>397</v>
      </c>
      <c r="B772" s="2" t="n">
        <v>21064</v>
      </c>
      <c r="C772" s="2" t="s">
        <v>398</v>
      </c>
      <c r="D772" s="2" t="s">
        <v>66</v>
      </c>
      <c r="E772" s="2" t="str">
        <f aca="false">_xlfn.CONCAT(D772,"-",B772)</f>
        <v>CE - OL 001-21064</v>
      </c>
      <c r="F772" s="2" t="n">
        <v>5</v>
      </c>
      <c r="G772" s="2" t="n">
        <v>441.66</v>
      </c>
    </row>
    <row r="773" customFormat="false" ht="13.8" hidden="false" customHeight="false" outlineLevel="0" collapsed="false">
      <c r="A773" s="2" t="s">
        <v>399</v>
      </c>
      <c r="B773" s="2" t="n">
        <v>10529</v>
      </c>
      <c r="C773" s="2" t="s">
        <v>400</v>
      </c>
      <c r="D773" s="2" t="s">
        <v>64</v>
      </c>
      <c r="E773" s="2" t="str">
        <f aca="false">_xlfn.CONCAT(D773,"-",B773)</f>
        <v>CE - 0000-10529</v>
      </c>
      <c r="F773" s="2" t="n">
        <v>696</v>
      </c>
      <c r="G773" s="2" t="n">
        <v>29126.81</v>
      </c>
    </row>
    <row r="774" customFormat="false" ht="13.8" hidden="false" customHeight="false" outlineLevel="0" collapsed="false">
      <c r="A774" s="2" t="s">
        <v>399</v>
      </c>
      <c r="B774" s="2" t="n">
        <v>10529</v>
      </c>
      <c r="C774" s="2" t="s">
        <v>400</v>
      </c>
      <c r="D774" s="2" t="s">
        <v>65</v>
      </c>
      <c r="E774" s="2" t="str">
        <f aca="false">_xlfn.CONCAT(D774,"-",B774)</f>
        <v>CE - EURO X AUGEFARMA-10529</v>
      </c>
      <c r="F774" s="2" t="n">
        <v>20</v>
      </c>
      <c r="G774" s="2" t="n">
        <v>754.98</v>
      </c>
    </row>
    <row r="775" customFormat="false" ht="13.8" hidden="false" customHeight="false" outlineLevel="0" collapsed="false">
      <c r="A775" s="2" t="s">
        <v>399</v>
      </c>
      <c r="B775" s="2" t="n">
        <v>10529</v>
      </c>
      <c r="C775" s="2" t="s">
        <v>400</v>
      </c>
      <c r="D775" s="2" t="s">
        <v>68</v>
      </c>
      <c r="E775" s="2" t="str">
        <f aca="false">_xlfn.CONCAT(D775,"-",B775)</f>
        <v>CE - OL 002-10529</v>
      </c>
      <c r="F775" s="2" t="n">
        <v>8</v>
      </c>
      <c r="G775" s="2" t="n">
        <v>371.31</v>
      </c>
    </row>
    <row r="776" customFormat="false" ht="13.8" hidden="false" customHeight="false" outlineLevel="0" collapsed="false">
      <c r="A776" s="2" t="s">
        <v>399</v>
      </c>
      <c r="B776" s="2" t="n">
        <v>10529</v>
      </c>
      <c r="C776" s="2" t="s">
        <v>400</v>
      </c>
      <c r="D776" s="2" t="s">
        <v>67</v>
      </c>
      <c r="E776" s="2" t="str">
        <f aca="false">_xlfn.CONCAT(D776,"-",B776)</f>
        <v>CE - EUROFARMA G7-10529</v>
      </c>
      <c r="F776" s="2" t="n">
        <v>156</v>
      </c>
      <c r="G776" s="2" t="n">
        <v>6857.54</v>
      </c>
    </row>
    <row r="777" customFormat="false" ht="13.8" hidden="false" customHeight="false" outlineLevel="0" collapsed="false">
      <c r="A777" s="2" t="s">
        <v>399</v>
      </c>
      <c r="B777" s="2" t="n">
        <v>10529</v>
      </c>
      <c r="C777" s="2" t="s">
        <v>400</v>
      </c>
      <c r="D777" s="2" t="s">
        <v>66</v>
      </c>
      <c r="E777" s="2" t="str">
        <f aca="false">_xlfn.CONCAT(D777,"-",B777)</f>
        <v>CE - OL 001-10529</v>
      </c>
      <c r="F777" s="2" t="n">
        <v>174</v>
      </c>
      <c r="G777" s="2" t="n">
        <v>7748.54</v>
      </c>
    </row>
    <row r="778" customFormat="false" ht="13.8" hidden="false" customHeight="false" outlineLevel="0" collapsed="false">
      <c r="A778" s="2" t="s">
        <v>401</v>
      </c>
      <c r="B778" s="2" t="n">
        <v>14509</v>
      </c>
      <c r="C778" s="2" t="s">
        <v>402</v>
      </c>
      <c r="D778" s="2" t="s">
        <v>66</v>
      </c>
      <c r="E778" s="2" t="str">
        <f aca="false">_xlfn.CONCAT(D778,"-",B778)</f>
        <v>CE - OL 001-14509</v>
      </c>
      <c r="F778" s="2" t="n">
        <v>14</v>
      </c>
      <c r="G778" s="2" t="n">
        <v>799.06</v>
      </c>
    </row>
    <row r="779" customFormat="false" ht="13.8" hidden="false" customHeight="false" outlineLevel="0" collapsed="false">
      <c r="A779" s="2" t="s">
        <v>401</v>
      </c>
      <c r="B779" s="2" t="n">
        <v>14509</v>
      </c>
      <c r="C779" s="2" t="s">
        <v>402</v>
      </c>
      <c r="D779" s="2" t="s">
        <v>69</v>
      </c>
      <c r="E779" s="2" t="str">
        <f aca="false">_xlfn.CONCAT(D779,"-",B779)</f>
        <v>CE - EUROFARMA 6%-14509</v>
      </c>
      <c r="F779" s="2" t="n">
        <v>1</v>
      </c>
      <c r="G779" s="2" t="n">
        <v>50.03</v>
      </c>
    </row>
    <row r="780" customFormat="false" ht="13.8" hidden="false" customHeight="false" outlineLevel="0" collapsed="false">
      <c r="A780" s="2" t="s">
        <v>401</v>
      </c>
      <c r="B780" s="2" t="n">
        <v>14509</v>
      </c>
      <c r="C780" s="2" t="s">
        <v>402</v>
      </c>
      <c r="D780" s="2" t="s">
        <v>68</v>
      </c>
      <c r="E780" s="2" t="str">
        <f aca="false">_xlfn.CONCAT(D780,"-",B780)</f>
        <v>CE - OL 002-14509</v>
      </c>
      <c r="F780" s="2" t="n">
        <v>2</v>
      </c>
      <c r="G780" s="2" t="n">
        <v>114.38</v>
      </c>
    </row>
    <row r="781" customFormat="false" ht="13.8" hidden="false" customHeight="false" outlineLevel="0" collapsed="false">
      <c r="A781" s="2" t="s">
        <v>401</v>
      </c>
      <c r="B781" s="2" t="n">
        <v>14509</v>
      </c>
      <c r="C781" s="2" t="s">
        <v>402</v>
      </c>
      <c r="D781" s="2" t="s">
        <v>67</v>
      </c>
      <c r="E781" s="2" t="str">
        <f aca="false">_xlfn.CONCAT(D781,"-",B781)</f>
        <v>CE - EUROFARMA G7-14509</v>
      </c>
      <c r="F781" s="2" t="n">
        <v>55</v>
      </c>
      <c r="G781" s="2" t="n">
        <v>3031.53</v>
      </c>
    </row>
    <row r="782" customFormat="false" ht="13.8" hidden="false" customHeight="false" outlineLevel="0" collapsed="false">
      <c r="A782" s="2" t="s">
        <v>401</v>
      </c>
      <c r="B782" s="2" t="n">
        <v>14509</v>
      </c>
      <c r="C782" s="2" t="s">
        <v>402</v>
      </c>
      <c r="D782" s="2" t="s">
        <v>64</v>
      </c>
      <c r="E782" s="2" t="str">
        <f aca="false">_xlfn.CONCAT(D782,"-",B782)</f>
        <v>CE - 0000-14509</v>
      </c>
      <c r="F782" s="2" t="n">
        <v>239</v>
      </c>
      <c r="G782" s="2" t="n">
        <v>12451.81</v>
      </c>
    </row>
    <row r="783" customFormat="false" ht="13.8" hidden="false" customHeight="false" outlineLevel="0" collapsed="false">
      <c r="A783" s="2" t="s">
        <v>403</v>
      </c>
      <c r="B783" s="2" t="n">
        <v>10530</v>
      </c>
      <c r="C783" s="2" t="s">
        <v>404</v>
      </c>
      <c r="D783" s="2" t="s">
        <v>65</v>
      </c>
      <c r="E783" s="2" t="str">
        <f aca="false">_xlfn.CONCAT(D783,"-",B783)</f>
        <v>CE - EURO X AUGEFARMA-10530</v>
      </c>
      <c r="F783" s="2" t="n">
        <v>26</v>
      </c>
      <c r="G783" s="2" t="n">
        <v>822.56</v>
      </c>
    </row>
    <row r="784" customFormat="false" ht="13.8" hidden="false" customHeight="false" outlineLevel="0" collapsed="false">
      <c r="A784" s="2" t="s">
        <v>403</v>
      </c>
      <c r="B784" s="2" t="n">
        <v>10530</v>
      </c>
      <c r="C784" s="2" t="s">
        <v>404</v>
      </c>
      <c r="D784" s="2" t="s">
        <v>64</v>
      </c>
      <c r="E784" s="2" t="str">
        <f aca="false">_xlfn.CONCAT(D784,"-",B784)</f>
        <v>CE - 0000-10530</v>
      </c>
      <c r="F784" s="2" t="n">
        <v>907</v>
      </c>
      <c r="G784" s="2" t="n">
        <v>32325.8</v>
      </c>
    </row>
    <row r="785" customFormat="false" ht="13.8" hidden="false" customHeight="false" outlineLevel="0" collapsed="false">
      <c r="A785" s="2" t="s">
        <v>403</v>
      </c>
      <c r="B785" s="2" t="n">
        <v>10530</v>
      </c>
      <c r="C785" s="2" t="s">
        <v>404</v>
      </c>
      <c r="D785" s="2" t="s">
        <v>69</v>
      </c>
      <c r="E785" s="2" t="str">
        <f aca="false">_xlfn.CONCAT(D785,"-",B785)</f>
        <v>CE - EUROFARMA 6%-10530</v>
      </c>
      <c r="F785" s="2" t="n">
        <v>3</v>
      </c>
      <c r="G785" s="2" t="n">
        <v>111.04</v>
      </c>
    </row>
    <row r="786" customFormat="false" ht="13.8" hidden="false" customHeight="false" outlineLevel="0" collapsed="false">
      <c r="A786" s="2" t="s">
        <v>403</v>
      </c>
      <c r="B786" s="2" t="n">
        <v>10530</v>
      </c>
      <c r="C786" s="2" t="s">
        <v>404</v>
      </c>
      <c r="D786" s="2" t="s">
        <v>68</v>
      </c>
      <c r="E786" s="2" t="str">
        <f aca="false">_xlfn.CONCAT(D786,"-",B786)</f>
        <v>CE - OL 002-10530</v>
      </c>
      <c r="F786" s="2" t="n">
        <v>7</v>
      </c>
      <c r="G786" s="2" t="n">
        <v>278.23</v>
      </c>
    </row>
    <row r="787" customFormat="false" ht="13.8" hidden="false" customHeight="false" outlineLevel="0" collapsed="false">
      <c r="A787" s="2" t="s">
        <v>403</v>
      </c>
      <c r="B787" s="2" t="n">
        <v>10530</v>
      </c>
      <c r="C787" s="2" t="s">
        <v>404</v>
      </c>
      <c r="D787" s="2" t="s">
        <v>67</v>
      </c>
      <c r="E787" s="2" t="str">
        <f aca="false">_xlfn.CONCAT(D787,"-",B787)</f>
        <v>CE - EUROFARMA G7-10530</v>
      </c>
      <c r="F787" s="2" t="n">
        <v>496</v>
      </c>
      <c r="G787" s="2" t="n">
        <v>18280.23</v>
      </c>
    </row>
    <row r="788" customFormat="false" ht="13.8" hidden="false" customHeight="false" outlineLevel="0" collapsed="false">
      <c r="A788" s="2" t="s">
        <v>403</v>
      </c>
      <c r="B788" s="2" t="n">
        <v>10530</v>
      </c>
      <c r="C788" s="2" t="s">
        <v>404</v>
      </c>
      <c r="D788" s="2" t="s">
        <v>66</v>
      </c>
      <c r="E788" s="2" t="str">
        <f aca="false">_xlfn.CONCAT(D788,"-",B788)</f>
        <v>CE - OL 001-10530</v>
      </c>
      <c r="F788" s="2" t="n">
        <v>207</v>
      </c>
      <c r="G788" s="2" t="n">
        <v>8001.45</v>
      </c>
    </row>
    <row r="789" customFormat="false" ht="13.8" hidden="false" customHeight="false" outlineLevel="0" collapsed="false">
      <c r="A789" s="2" t="s">
        <v>405</v>
      </c>
      <c r="B789" s="2" t="n">
        <v>10675</v>
      </c>
      <c r="C789" s="2" t="s">
        <v>406</v>
      </c>
      <c r="D789" s="2" t="s">
        <v>67</v>
      </c>
      <c r="E789" s="2" t="str">
        <f aca="false">_xlfn.CONCAT(D789,"-",B789)</f>
        <v>CE - EUROFARMA G7-10675</v>
      </c>
      <c r="F789" s="2" t="n">
        <v>27</v>
      </c>
      <c r="G789" s="2" t="n">
        <v>1027.99</v>
      </c>
    </row>
    <row r="790" customFormat="false" ht="13.8" hidden="false" customHeight="false" outlineLevel="0" collapsed="false">
      <c r="A790" s="2" t="s">
        <v>405</v>
      </c>
      <c r="B790" s="2" t="n">
        <v>10675</v>
      </c>
      <c r="C790" s="2" t="s">
        <v>406</v>
      </c>
      <c r="D790" s="2" t="s">
        <v>64</v>
      </c>
      <c r="E790" s="2" t="str">
        <f aca="false">_xlfn.CONCAT(D790,"-",B790)</f>
        <v>CE - 0000-10675</v>
      </c>
      <c r="F790" s="2" t="n">
        <v>136</v>
      </c>
      <c r="G790" s="2" t="n">
        <v>4978.8</v>
      </c>
    </row>
    <row r="791" customFormat="false" ht="13.8" hidden="false" customHeight="false" outlineLevel="0" collapsed="false">
      <c r="A791" s="2" t="s">
        <v>405</v>
      </c>
      <c r="B791" s="2" t="n">
        <v>10675</v>
      </c>
      <c r="C791" s="2" t="s">
        <v>406</v>
      </c>
      <c r="D791" s="2" t="s">
        <v>66</v>
      </c>
      <c r="E791" s="2" t="str">
        <f aca="false">_xlfn.CONCAT(D791,"-",B791)</f>
        <v>CE - OL 001-10675</v>
      </c>
      <c r="F791" s="2" t="n">
        <v>11</v>
      </c>
      <c r="G791" s="2" t="n">
        <v>428.25</v>
      </c>
    </row>
    <row r="792" customFormat="false" ht="13.8" hidden="false" customHeight="false" outlineLevel="0" collapsed="false">
      <c r="A792" s="2" t="s">
        <v>405</v>
      </c>
      <c r="B792" s="2" t="n">
        <v>10675</v>
      </c>
      <c r="C792" s="2" t="s">
        <v>406</v>
      </c>
      <c r="D792" s="2" t="s">
        <v>65</v>
      </c>
      <c r="E792" s="2" t="str">
        <f aca="false">_xlfn.CONCAT(D792,"-",B792)</f>
        <v>CE - EURO X AUGEFARMA-10675</v>
      </c>
      <c r="F792" s="2" t="n">
        <v>3</v>
      </c>
      <c r="G792" s="2" t="n">
        <v>92.17</v>
      </c>
    </row>
    <row r="793" customFormat="false" ht="13.8" hidden="false" customHeight="false" outlineLevel="0" collapsed="false">
      <c r="A793" s="2" t="s">
        <v>405</v>
      </c>
      <c r="B793" s="2" t="n">
        <v>10675</v>
      </c>
      <c r="C793" s="2" t="s">
        <v>406</v>
      </c>
      <c r="D793" s="2" t="s">
        <v>68</v>
      </c>
      <c r="E793" s="2" t="str">
        <f aca="false">_xlfn.CONCAT(D793,"-",B793)</f>
        <v>CE - OL 002-10675</v>
      </c>
      <c r="F793" s="2" t="n">
        <v>6</v>
      </c>
      <c r="G793" s="2" t="n">
        <v>244.72</v>
      </c>
    </row>
    <row r="794" customFormat="false" ht="13.8" hidden="false" customHeight="false" outlineLevel="0" collapsed="false">
      <c r="A794" s="2" t="s">
        <v>407</v>
      </c>
      <c r="B794" s="2" t="n">
        <v>10676</v>
      </c>
      <c r="C794" s="2" t="s">
        <v>408</v>
      </c>
      <c r="D794" s="2" t="s">
        <v>64</v>
      </c>
      <c r="E794" s="2" t="str">
        <f aca="false">_xlfn.CONCAT(D794,"-",B794)</f>
        <v>CE - 0000-10676</v>
      </c>
      <c r="F794" s="2" t="n">
        <v>238</v>
      </c>
      <c r="G794" s="2" t="n">
        <v>11084.64</v>
      </c>
    </row>
    <row r="795" customFormat="false" ht="13.8" hidden="false" customHeight="false" outlineLevel="0" collapsed="false">
      <c r="A795" s="2" t="s">
        <v>407</v>
      </c>
      <c r="B795" s="2" t="n">
        <v>10676</v>
      </c>
      <c r="C795" s="2" t="s">
        <v>408</v>
      </c>
      <c r="D795" s="2" t="s">
        <v>69</v>
      </c>
      <c r="E795" s="2" t="str">
        <f aca="false">_xlfn.CONCAT(D795,"-",B795)</f>
        <v>CE - EUROFARMA 6%-10676</v>
      </c>
      <c r="F795" s="2" t="n">
        <v>2</v>
      </c>
      <c r="G795" s="2" t="n">
        <v>101.52</v>
      </c>
    </row>
    <row r="796" customFormat="false" ht="13.8" hidden="false" customHeight="false" outlineLevel="0" collapsed="false">
      <c r="A796" s="2" t="s">
        <v>407</v>
      </c>
      <c r="B796" s="2" t="n">
        <v>10676</v>
      </c>
      <c r="C796" s="2" t="s">
        <v>408</v>
      </c>
      <c r="D796" s="2" t="s">
        <v>65</v>
      </c>
      <c r="E796" s="2" t="str">
        <f aca="false">_xlfn.CONCAT(D796,"-",B796)</f>
        <v>CE - EURO X AUGEFARMA-10676</v>
      </c>
      <c r="F796" s="2" t="n">
        <v>7</v>
      </c>
      <c r="G796" s="2" t="n">
        <v>271.89</v>
      </c>
    </row>
    <row r="797" customFormat="false" ht="13.8" hidden="false" customHeight="false" outlineLevel="0" collapsed="false">
      <c r="A797" s="2" t="s">
        <v>407</v>
      </c>
      <c r="B797" s="2" t="n">
        <v>10676</v>
      </c>
      <c r="C797" s="2" t="s">
        <v>408</v>
      </c>
      <c r="D797" s="2" t="s">
        <v>66</v>
      </c>
      <c r="E797" s="2" t="str">
        <f aca="false">_xlfn.CONCAT(D797,"-",B797)</f>
        <v>CE - OL 001-10676</v>
      </c>
      <c r="F797" s="2" t="n">
        <v>9</v>
      </c>
      <c r="G797" s="2" t="n">
        <v>433.12</v>
      </c>
    </row>
    <row r="798" customFormat="false" ht="13.8" hidden="false" customHeight="false" outlineLevel="0" collapsed="false">
      <c r="A798" s="2" t="s">
        <v>407</v>
      </c>
      <c r="B798" s="2" t="n">
        <v>10676</v>
      </c>
      <c r="C798" s="2" t="s">
        <v>408</v>
      </c>
      <c r="D798" s="2" t="s">
        <v>68</v>
      </c>
      <c r="E798" s="2" t="str">
        <f aca="false">_xlfn.CONCAT(D798,"-",B798)</f>
        <v>CE - OL 002-10676</v>
      </c>
      <c r="F798" s="2" t="n">
        <v>2</v>
      </c>
      <c r="G798" s="2" t="n">
        <v>102.9</v>
      </c>
    </row>
    <row r="799" customFormat="false" ht="13.8" hidden="false" customHeight="false" outlineLevel="0" collapsed="false">
      <c r="A799" s="2" t="s">
        <v>407</v>
      </c>
      <c r="B799" s="2" t="n">
        <v>10676</v>
      </c>
      <c r="C799" s="2" t="s">
        <v>408</v>
      </c>
      <c r="D799" s="2" t="s">
        <v>67</v>
      </c>
      <c r="E799" s="2" t="str">
        <f aca="false">_xlfn.CONCAT(D799,"-",B799)</f>
        <v>CE - EUROFARMA G7-10676</v>
      </c>
      <c r="F799" s="2" t="n">
        <v>16</v>
      </c>
      <c r="G799" s="2" t="n">
        <v>754.16</v>
      </c>
    </row>
    <row r="800" customFormat="false" ht="13.8" hidden="false" customHeight="false" outlineLevel="0" collapsed="false">
      <c r="A800" s="2" t="s">
        <v>409</v>
      </c>
      <c r="B800" s="2" t="n">
        <v>3322</v>
      </c>
      <c r="C800" s="2" t="s">
        <v>410</v>
      </c>
      <c r="D800" s="2" t="s">
        <v>64</v>
      </c>
      <c r="E800" s="2" t="str">
        <f aca="false">_xlfn.CONCAT(D800,"-",B800)</f>
        <v>CE - 0000-3322</v>
      </c>
      <c r="F800" s="2" t="n">
        <v>5393</v>
      </c>
      <c r="G800" s="2" t="n">
        <v>22815.77</v>
      </c>
    </row>
    <row r="801" customFormat="false" ht="13.8" hidden="false" customHeight="false" outlineLevel="0" collapsed="false">
      <c r="A801" s="2" t="s">
        <v>409</v>
      </c>
      <c r="B801" s="2" t="n">
        <v>3322</v>
      </c>
      <c r="C801" s="2" t="s">
        <v>410</v>
      </c>
      <c r="D801" s="2" t="s">
        <v>65</v>
      </c>
      <c r="E801" s="2" t="str">
        <f aca="false">_xlfn.CONCAT(D801,"-",B801)</f>
        <v>CE - EURO X AUGEFARMA-3322</v>
      </c>
      <c r="F801" s="2" t="n">
        <v>229</v>
      </c>
      <c r="G801" s="2" t="n">
        <v>677.88</v>
      </c>
    </row>
    <row r="802" customFormat="false" ht="13.8" hidden="false" customHeight="false" outlineLevel="0" collapsed="false">
      <c r="A802" s="2" t="s">
        <v>409</v>
      </c>
      <c r="B802" s="2" t="n">
        <v>3322</v>
      </c>
      <c r="C802" s="2" t="s">
        <v>410</v>
      </c>
      <c r="D802" s="2" t="s">
        <v>67</v>
      </c>
      <c r="E802" s="2" t="str">
        <f aca="false">_xlfn.CONCAT(D802,"-",B802)</f>
        <v>CE - EUROFARMA G7-3322</v>
      </c>
      <c r="F802" s="2" t="n">
        <v>7</v>
      </c>
      <c r="G802" s="2" t="n">
        <v>30.46</v>
      </c>
    </row>
    <row r="803" customFormat="false" ht="13.8" hidden="false" customHeight="false" outlineLevel="0" collapsed="false">
      <c r="A803" s="2" t="s">
        <v>409</v>
      </c>
      <c r="B803" s="2" t="n">
        <v>3322</v>
      </c>
      <c r="C803" s="2" t="s">
        <v>410</v>
      </c>
      <c r="D803" s="2" t="s">
        <v>66</v>
      </c>
      <c r="E803" s="2" t="str">
        <f aca="false">_xlfn.CONCAT(D803,"-",B803)</f>
        <v>CE - OL 001-3322</v>
      </c>
      <c r="F803" s="2" t="n">
        <v>443</v>
      </c>
      <c r="G803" s="2" t="n">
        <v>1987.38</v>
      </c>
    </row>
    <row r="804" customFormat="false" ht="13.8" hidden="false" customHeight="false" outlineLevel="0" collapsed="false">
      <c r="A804" s="2" t="s">
        <v>409</v>
      </c>
      <c r="B804" s="2" t="n">
        <v>3322</v>
      </c>
      <c r="C804" s="2" t="s">
        <v>410</v>
      </c>
      <c r="D804" s="2" t="s">
        <v>68</v>
      </c>
      <c r="E804" s="2" t="str">
        <f aca="false">_xlfn.CONCAT(D804,"-",B804)</f>
        <v>CE - OL 002-3322</v>
      </c>
      <c r="F804" s="2" t="n">
        <v>40</v>
      </c>
      <c r="G804" s="2" t="n">
        <v>187.56</v>
      </c>
    </row>
    <row r="805" customFormat="false" ht="13.8" hidden="false" customHeight="false" outlineLevel="0" collapsed="false">
      <c r="A805" s="2" t="s">
        <v>411</v>
      </c>
      <c r="B805" s="2" t="n">
        <v>1946</v>
      </c>
      <c r="C805" s="2" t="s">
        <v>412</v>
      </c>
      <c r="D805" s="2" t="s">
        <v>64</v>
      </c>
      <c r="E805" s="2" t="str">
        <f aca="false">_xlfn.CONCAT(D805,"-",B805)</f>
        <v>CE - 0000-1946</v>
      </c>
      <c r="F805" s="2" t="n">
        <v>2860</v>
      </c>
      <c r="G805" s="2" t="n">
        <v>53325.07</v>
      </c>
    </row>
    <row r="806" customFormat="false" ht="13.8" hidden="false" customHeight="false" outlineLevel="0" collapsed="false">
      <c r="A806" s="2" t="s">
        <v>411</v>
      </c>
      <c r="B806" s="2" t="n">
        <v>1946</v>
      </c>
      <c r="C806" s="2" t="s">
        <v>412</v>
      </c>
      <c r="D806" s="2" t="s">
        <v>67</v>
      </c>
      <c r="E806" s="2" t="str">
        <f aca="false">_xlfn.CONCAT(D806,"-",B806)</f>
        <v>CE - EUROFARMA G7-1946</v>
      </c>
      <c r="F806" s="2" t="n">
        <v>783</v>
      </c>
      <c r="G806" s="2" t="n">
        <v>15075.04</v>
      </c>
    </row>
    <row r="807" customFormat="false" ht="13.8" hidden="false" customHeight="false" outlineLevel="0" collapsed="false">
      <c r="A807" s="2" t="s">
        <v>411</v>
      </c>
      <c r="B807" s="2" t="n">
        <v>1946</v>
      </c>
      <c r="C807" s="2" t="s">
        <v>412</v>
      </c>
      <c r="D807" s="2" t="s">
        <v>66</v>
      </c>
      <c r="E807" s="2" t="str">
        <f aca="false">_xlfn.CONCAT(D807,"-",B807)</f>
        <v>CE - OL 001-1946</v>
      </c>
      <c r="F807" s="2" t="n">
        <v>547</v>
      </c>
      <c r="G807" s="2" t="n">
        <v>11903.62</v>
      </c>
    </row>
    <row r="808" customFormat="false" ht="13.8" hidden="false" customHeight="false" outlineLevel="0" collapsed="false">
      <c r="A808" s="2" t="s">
        <v>411</v>
      </c>
      <c r="B808" s="2" t="n">
        <v>1946</v>
      </c>
      <c r="C808" s="2" t="s">
        <v>412</v>
      </c>
      <c r="D808" s="2" t="s">
        <v>68</v>
      </c>
      <c r="E808" s="2" t="str">
        <f aca="false">_xlfn.CONCAT(D808,"-",B808)</f>
        <v>CE - OL 002-1946</v>
      </c>
      <c r="F808" s="2" t="n">
        <v>112</v>
      </c>
      <c r="G808" s="2" t="n">
        <v>2449</v>
      </c>
    </row>
    <row r="809" customFormat="false" ht="13.8" hidden="false" customHeight="false" outlineLevel="0" collapsed="false">
      <c r="A809" s="2" t="s">
        <v>411</v>
      </c>
      <c r="B809" s="2" t="n">
        <v>1946</v>
      </c>
      <c r="C809" s="2" t="s">
        <v>412</v>
      </c>
      <c r="D809" s="2" t="s">
        <v>69</v>
      </c>
      <c r="E809" s="2" t="str">
        <f aca="false">_xlfn.CONCAT(D809,"-",B809)</f>
        <v>CE - EUROFARMA 6%-1946</v>
      </c>
      <c r="F809" s="2" t="n">
        <v>46</v>
      </c>
      <c r="G809" s="2" t="n">
        <v>783.89</v>
      </c>
    </row>
    <row r="810" customFormat="false" ht="13.8" hidden="false" customHeight="false" outlineLevel="0" collapsed="false">
      <c r="A810" s="2" t="s">
        <v>411</v>
      </c>
      <c r="B810" s="2" t="n">
        <v>1946</v>
      </c>
      <c r="C810" s="2" t="s">
        <v>412</v>
      </c>
      <c r="D810" s="2" t="s">
        <v>65</v>
      </c>
      <c r="E810" s="2" t="str">
        <f aca="false">_xlfn.CONCAT(D810,"-",B810)</f>
        <v>CE - EURO X AUGEFARMA-1946</v>
      </c>
      <c r="F810" s="2" t="n">
        <v>89</v>
      </c>
      <c r="G810" s="2" t="n">
        <v>1474.96</v>
      </c>
    </row>
    <row r="811" customFormat="false" ht="13.8" hidden="false" customHeight="false" outlineLevel="0" collapsed="false">
      <c r="A811" s="2" t="s">
        <v>411</v>
      </c>
      <c r="B811" s="2" t="n">
        <v>1946</v>
      </c>
      <c r="C811" s="2" t="s">
        <v>412</v>
      </c>
      <c r="D811" s="2" t="s">
        <v>177</v>
      </c>
      <c r="E811" s="2" t="str">
        <f aca="false">_xlfn.CONCAT(D811,"-",B811)</f>
        <v>CE - OL NCO01-1946</v>
      </c>
      <c r="F811" s="2" t="n">
        <v>2</v>
      </c>
      <c r="G811" s="2" t="n">
        <v>97.24</v>
      </c>
    </row>
    <row r="812" customFormat="false" ht="13.8" hidden="false" customHeight="false" outlineLevel="0" collapsed="false">
      <c r="A812" s="2" t="s">
        <v>413</v>
      </c>
      <c r="B812" s="2" t="n">
        <v>1947</v>
      </c>
      <c r="C812" s="2" t="s">
        <v>414</v>
      </c>
      <c r="D812" s="2" t="s">
        <v>68</v>
      </c>
      <c r="E812" s="2" t="str">
        <f aca="false">_xlfn.CONCAT(D812,"-",B812)</f>
        <v>CE - OL 002-1947</v>
      </c>
      <c r="F812" s="2" t="n">
        <v>190</v>
      </c>
      <c r="G812" s="2" t="n">
        <v>1768.07</v>
      </c>
    </row>
    <row r="813" customFormat="false" ht="13.8" hidden="false" customHeight="false" outlineLevel="0" collapsed="false">
      <c r="A813" s="2" t="s">
        <v>413</v>
      </c>
      <c r="B813" s="2" t="n">
        <v>1947</v>
      </c>
      <c r="C813" s="2" t="s">
        <v>414</v>
      </c>
      <c r="D813" s="2" t="s">
        <v>65</v>
      </c>
      <c r="E813" s="2" t="str">
        <f aca="false">_xlfn.CONCAT(D813,"-",B813)</f>
        <v>CE - EURO X AUGEFARMA-1947</v>
      </c>
      <c r="F813" s="2" t="n">
        <v>258</v>
      </c>
      <c r="G813" s="2" t="n">
        <v>1851</v>
      </c>
    </row>
    <row r="814" customFormat="false" ht="13.8" hidden="false" customHeight="false" outlineLevel="0" collapsed="false">
      <c r="A814" s="2" t="s">
        <v>413</v>
      </c>
      <c r="B814" s="2" t="n">
        <v>1947</v>
      </c>
      <c r="C814" s="2" t="s">
        <v>414</v>
      </c>
      <c r="D814" s="2" t="s">
        <v>69</v>
      </c>
      <c r="E814" s="2" t="str">
        <f aca="false">_xlfn.CONCAT(D814,"-",B814)</f>
        <v>CE - EUROFARMA 6%-1947</v>
      </c>
      <c r="F814" s="2" t="n">
        <v>43</v>
      </c>
      <c r="G814" s="2" t="n">
        <v>373.29</v>
      </c>
    </row>
    <row r="815" customFormat="false" ht="13.8" hidden="false" customHeight="false" outlineLevel="0" collapsed="false">
      <c r="A815" s="2" t="s">
        <v>413</v>
      </c>
      <c r="B815" s="2" t="n">
        <v>1947</v>
      </c>
      <c r="C815" s="2" t="s">
        <v>414</v>
      </c>
      <c r="D815" s="2" t="s">
        <v>64</v>
      </c>
      <c r="E815" s="2" t="str">
        <f aca="false">_xlfn.CONCAT(D815,"-",B815)</f>
        <v>CE - 0000-1947</v>
      </c>
      <c r="F815" s="2" t="n">
        <v>9958</v>
      </c>
      <c r="G815" s="2" t="n">
        <v>80452.84</v>
      </c>
    </row>
    <row r="816" customFormat="false" ht="13.8" hidden="false" customHeight="false" outlineLevel="0" collapsed="false">
      <c r="A816" s="2" t="s">
        <v>413</v>
      </c>
      <c r="B816" s="2" t="n">
        <v>1947</v>
      </c>
      <c r="C816" s="2" t="s">
        <v>414</v>
      </c>
      <c r="D816" s="2" t="s">
        <v>177</v>
      </c>
      <c r="E816" s="2" t="str">
        <f aca="false">_xlfn.CONCAT(D816,"-",B816)</f>
        <v>CE - OL NCO01-1947</v>
      </c>
      <c r="F816" s="2" t="n">
        <v>1</v>
      </c>
      <c r="G816" s="2" t="n">
        <v>23.44</v>
      </c>
    </row>
    <row r="817" customFormat="false" ht="13.8" hidden="false" customHeight="false" outlineLevel="0" collapsed="false">
      <c r="A817" s="2" t="s">
        <v>413</v>
      </c>
      <c r="B817" s="2" t="n">
        <v>1947</v>
      </c>
      <c r="C817" s="2" t="s">
        <v>414</v>
      </c>
      <c r="D817" s="2" t="s">
        <v>67</v>
      </c>
      <c r="E817" s="2" t="str">
        <f aca="false">_xlfn.CONCAT(D817,"-",B817)</f>
        <v>CE - EUROFARMA G7-1947</v>
      </c>
      <c r="F817" s="2" t="n">
        <v>1832</v>
      </c>
      <c r="G817" s="2" t="n">
        <v>15416.46</v>
      </c>
    </row>
    <row r="818" customFormat="false" ht="13.8" hidden="false" customHeight="false" outlineLevel="0" collapsed="false">
      <c r="A818" s="2" t="s">
        <v>413</v>
      </c>
      <c r="B818" s="2" t="n">
        <v>1947</v>
      </c>
      <c r="C818" s="2" t="s">
        <v>414</v>
      </c>
      <c r="D818" s="2" t="s">
        <v>66</v>
      </c>
      <c r="E818" s="2" t="str">
        <f aca="false">_xlfn.CONCAT(D818,"-",B818)</f>
        <v>CE - OL 001-1947</v>
      </c>
      <c r="F818" s="2" t="n">
        <v>1760</v>
      </c>
      <c r="G818" s="2" t="n">
        <v>17584.7</v>
      </c>
    </row>
    <row r="819" customFormat="false" ht="13.8" hidden="false" customHeight="false" outlineLevel="0" collapsed="false">
      <c r="A819" s="2" t="s">
        <v>415</v>
      </c>
      <c r="B819" s="2" t="n">
        <v>10816</v>
      </c>
      <c r="C819" s="2" t="s">
        <v>416</v>
      </c>
      <c r="D819" s="2" t="s">
        <v>67</v>
      </c>
      <c r="E819" s="2" t="str">
        <f aca="false">_xlfn.CONCAT(D819,"-",B819)</f>
        <v>CE - EUROFARMA G7-10816</v>
      </c>
      <c r="F819" s="2" t="n">
        <v>674</v>
      </c>
      <c r="G819" s="2" t="n">
        <v>9016.96</v>
      </c>
    </row>
    <row r="820" customFormat="false" ht="13.8" hidden="false" customHeight="false" outlineLevel="0" collapsed="false">
      <c r="A820" s="2" t="s">
        <v>415</v>
      </c>
      <c r="B820" s="2" t="n">
        <v>10816</v>
      </c>
      <c r="C820" s="2" t="s">
        <v>416</v>
      </c>
      <c r="D820" s="2" t="s">
        <v>69</v>
      </c>
      <c r="E820" s="2" t="str">
        <f aca="false">_xlfn.CONCAT(D820,"-",B820)</f>
        <v>CE - EUROFARMA 6%-10816</v>
      </c>
      <c r="F820" s="2" t="n">
        <v>26</v>
      </c>
      <c r="G820" s="2" t="n">
        <v>346.37</v>
      </c>
    </row>
    <row r="821" customFormat="false" ht="13.8" hidden="false" customHeight="false" outlineLevel="0" collapsed="false">
      <c r="A821" s="2" t="s">
        <v>415</v>
      </c>
      <c r="B821" s="2" t="n">
        <v>10816</v>
      </c>
      <c r="C821" s="2" t="s">
        <v>416</v>
      </c>
      <c r="D821" s="2" t="s">
        <v>64</v>
      </c>
      <c r="E821" s="2" t="str">
        <f aca="false">_xlfn.CONCAT(D821,"-",B821)</f>
        <v>CE - 0000-10816</v>
      </c>
      <c r="F821" s="2" t="n">
        <v>2477</v>
      </c>
      <c r="G821" s="2" t="n">
        <v>32141.49</v>
      </c>
    </row>
    <row r="822" customFormat="false" ht="13.8" hidden="false" customHeight="false" outlineLevel="0" collapsed="false">
      <c r="A822" s="2" t="s">
        <v>415</v>
      </c>
      <c r="B822" s="2" t="n">
        <v>10816</v>
      </c>
      <c r="C822" s="2" t="s">
        <v>416</v>
      </c>
      <c r="D822" s="2" t="s">
        <v>66</v>
      </c>
      <c r="E822" s="2" t="str">
        <f aca="false">_xlfn.CONCAT(D822,"-",B822)</f>
        <v>CE - OL 001-10816</v>
      </c>
      <c r="F822" s="2" t="n">
        <v>765</v>
      </c>
      <c r="G822" s="2" t="n">
        <v>11293.76</v>
      </c>
    </row>
    <row r="823" customFormat="false" ht="13.8" hidden="false" customHeight="false" outlineLevel="0" collapsed="false">
      <c r="A823" s="2" t="s">
        <v>415</v>
      </c>
      <c r="B823" s="2" t="n">
        <v>10816</v>
      </c>
      <c r="C823" s="2" t="s">
        <v>416</v>
      </c>
      <c r="D823" s="2" t="s">
        <v>65</v>
      </c>
      <c r="E823" s="2" t="str">
        <f aca="false">_xlfn.CONCAT(D823,"-",B823)</f>
        <v>CE - EURO X AUGEFARMA-10816</v>
      </c>
      <c r="F823" s="2" t="n">
        <v>102</v>
      </c>
      <c r="G823" s="2" t="n">
        <v>1187.15</v>
      </c>
    </row>
    <row r="824" customFormat="false" ht="13.8" hidden="false" customHeight="false" outlineLevel="0" collapsed="false">
      <c r="A824" s="2" t="s">
        <v>415</v>
      </c>
      <c r="B824" s="2" t="n">
        <v>10816</v>
      </c>
      <c r="C824" s="2" t="s">
        <v>416</v>
      </c>
      <c r="D824" s="2" t="s">
        <v>68</v>
      </c>
      <c r="E824" s="2" t="str">
        <f aca="false">_xlfn.CONCAT(D824,"-",B824)</f>
        <v>CE - OL 002-10816</v>
      </c>
      <c r="F824" s="2" t="n">
        <v>143</v>
      </c>
      <c r="G824" s="2" t="n">
        <v>2487.94</v>
      </c>
    </row>
    <row r="825" customFormat="false" ht="13.8" hidden="false" customHeight="false" outlineLevel="0" collapsed="false">
      <c r="A825" s="2" t="s">
        <v>417</v>
      </c>
      <c r="B825" s="2" t="n">
        <v>10819</v>
      </c>
      <c r="C825" s="2" t="s">
        <v>418</v>
      </c>
      <c r="D825" s="2" t="s">
        <v>65</v>
      </c>
      <c r="E825" s="2" t="str">
        <f aca="false">_xlfn.CONCAT(D825,"-",B825)</f>
        <v>CE - EURO X AUGEFARMA-10819</v>
      </c>
      <c r="F825" s="2" t="n">
        <v>52</v>
      </c>
      <c r="G825" s="2" t="n">
        <v>1271.7</v>
      </c>
    </row>
    <row r="826" customFormat="false" ht="13.8" hidden="false" customHeight="false" outlineLevel="0" collapsed="false">
      <c r="A826" s="2" t="s">
        <v>417</v>
      </c>
      <c r="B826" s="2" t="n">
        <v>10819</v>
      </c>
      <c r="C826" s="2" t="s">
        <v>418</v>
      </c>
      <c r="D826" s="2" t="s">
        <v>67</v>
      </c>
      <c r="E826" s="2" t="str">
        <f aca="false">_xlfn.CONCAT(D826,"-",B826)</f>
        <v>CE - EUROFARMA G7-10819</v>
      </c>
      <c r="F826" s="2" t="n">
        <v>134</v>
      </c>
      <c r="G826" s="2" t="n">
        <v>7762.53</v>
      </c>
    </row>
    <row r="827" customFormat="false" ht="13.8" hidden="false" customHeight="false" outlineLevel="0" collapsed="false">
      <c r="A827" s="2" t="s">
        <v>417</v>
      </c>
      <c r="B827" s="2" t="n">
        <v>10819</v>
      </c>
      <c r="C827" s="2" t="s">
        <v>418</v>
      </c>
      <c r="D827" s="2" t="s">
        <v>64</v>
      </c>
      <c r="E827" s="2" t="str">
        <f aca="false">_xlfn.CONCAT(D827,"-",B827)</f>
        <v>CE - 0000-10819</v>
      </c>
      <c r="F827" s="2" t="n">
        <v>722</v>
      </c>
      <c r="G827" s="2" t="n">
        <v>40415.24</v>
      </c>
    </row>
    <row r="828" customFormat="false" ht="13.8" hidden="false" customHeight="false" outlineLevel="0" collapsed="false">
      <c r="A828" s="2" t="s">
        <v>417</v>
      </c>
      <c r="B828" s="2" t="n">
        <v>10819</v>
      </c>
      <c r="C828" s="2" t="s">
        <v>418</v>
      </c>
      <c r="D828" s="2" t="s">
        <v>66</v>
      </c>
      <c r="E828" s="2" t="str">
        <f aca="false">_xlfn.CONCAT(D828,"-",B828)</f>
        <v>CE - OL 001-10819</v>
      </c>
      <c r="F828" s="2" t="n">
        <v>22</v>
      </c>
      <c r="G828" s="2" t="n">
        <v>1289.67</v>
      </c>
    </row>
    <row r="829" customFormat="false" ht="13.8" hidden="false" customHeight="false" outlineLevel="0" collapsed="false">
      <c r="A829" s="2" t="s">
        <v>417</v>
      </c>
      <c r="B829" s="2" t="n">
        <v>10819</v>
      </c>
      <c r="C829" s="2" t="s">
        <v>418</v>
      </c>
      <c r="D829" s="2" t="s">
        <v>69</v>
      </c>
      <c r="E829" s="2" t="str">
        <f aca="false">_xlfn.CONCAT(D829,"-",B829)</f>
        <v>CE - EUROFARMA 6%-10819</v>
      </c>
      <c r="F829" s="2" t="n">
        <v>1</v>
      </c>
      <c r="G829" s="2" t="n">
        <v>84.88</v>
      </c>
    </row>
    <row r="830" customFormat="false" ht="13.8" hidden="false" customHeight="false" outlineLevel="0" collapsed="false">
      <c r="A830" s="2" t="s">
        <v>419</v>
      </c>
      <c r="B830" s="2" t="n">
        <v>10817</v>
      </c>
      <c r="C830" s="2" t="s">
        <v>420</v>
      </c>
      <c r="D830" s="2" t="s">
        <v>67</v>
      </c>
      <c r="E830" s="2" t="str">
        <f aca="false">_xlfn.CONCAT(D830,"-",B830)</f>
        <v>CE - EUROFARMA G7-10817</v>
      </c>
      <c r="F830" s="2" t="n">
        <v>83</v>
      </c>
      <c r="G830" s="2" t="n">
        <v>1064.91</v>
      </c>
    </row>
    <row r="831" customFormat="false" ht="13.8" hidden="false" customHeight="false" outlineLevel="0" collapsed="false">
      <c r="A831" s="2" t="s">
        <v>419</v>
      </c>
      <c r="B831" s="2" t="n">
        <v>10817</v>
      </c>
      <c r="C831" s="2" t="s">
        <v>420</v>
      </c>
      <c r="D831" s="2" t="s">
        <v>66</v>
      </c>
      <c r="E831" s="2" t="str">
        <f aca="false">_xlfn.CONCAT(D831,"-",B831)</f>
        <v>CE - OL 001-10817</v>
      </c>
      <c r="F831" s="2" t="n">
        <v>128</v>
      </c>
      <c r="G831" s="2" t="n">
        <v>2298.68</v>
      </c>
    </row>
    <row r="832" customFormat="false" ht="13.8" hidden="false" customHeight="false" outlineLevel="0" collapsed="false">
      <c r="A832" s="2" t="s">
        <v>419</v>
      </c>
      <c r="B832" s="2" t="n">
        <v>10817</v>
      </c>
      <c r="C832" s="2" t="s">
        <v>420</v>
      </c>
      <c r="D832" s="2" t="s">
        <v>68</v>
      </c>
      <c r="E832" s="2" t="str">
        <f aca="false">_xlfn.CONCAT(D832,"-",B832)</f>
        <v>CE - OL 002-10817</v>
      </c>
      <c r="F832" s="2" t="n">
        <v>25</v>
      </c>
      <c r="G832" s="2" t="n">
        <v>872.66</v>
      </c>
    </row>
    <row r="833" customFormat="false" ht="13.8" hidden="false" customHeight="false" outlineLevel="0" collapsed="false">
      <c r="A833" s="2" t="s">
        <v>419</v>
      </c>
      <c r="B833" s="2" t="n">
        <v>10817</v>
      </c>
      <c r="C833" s="2" t="s">
        <v>420</v>
      </c>
      <c r="D833" s="2" t="s">
        <v>64</v>
      </c>
      <c r="E833" s="2" t="str">
        <f aca="false">_xlfn.CONCAT(D833,"-",B833)</f>
        <v>CE - 0000-10817</v>
      </c>
      <c r="F833" s="2" t="n">
        <v>939</v>
      </c>
      <c r="G833" s="2" t="n">
        <v>14773.03</v>
      </c>
    </row>
    <row r="834" customFormat="false" ht="13.8" hidden="false" customHeight="false" outlineLevel="0" collapsed="false">
      <c r="A834" s="2" t="s">
        <v>419</v>
      </c>
      <c r="B834" s="2" t="n">
        <v>10817</v>
      </c>
      <c r="C834" s="2" t="s">
        <v>420</v>
      </c>
      <c r="D834" s="2" t="s">
        <v>65</v>
      </c>
      <c r="E834" s="2" t="str">
        <f aca="false">_xlfn.CONCAT(D834,"-",B834)</f>
        <v>CE - EURO X AUGEFARMA-10817</v>
      </c>
      <c r="F834" s="2" t="n">
        <v>39</v>
      </c>
      <c r="G834" s="2" t="n">
        <v>93.82</v>
      </c>
    </row>
    <row r="835" customFormat="false" ht="13.8" hidden="false" customHeight="false" outlineLevel="0" collapsed="false">
      <c r="A835" s="2" t="s">
        <v>421</v>
      </c>
      <c r="B835" s="2" t="n">
        <v>10818</v>
      </c>
      <c r="C835" s="2" t="s">
        <v>422</v>
      </c>
      <c r="D835" s="2" t="s">
        <v>67</v>
      </c>
      <c r="E835" s="2" t="str">
        <f aca="false">_xlfn.CONCAT(D835,"-",B835)</f>
        <v>CE - EUROFARMA G7-10818</v>
      </c>
      <c r="F835" s="2" t="n">
        <v>240</v>
      </c>
      <c r="G835" s="2" t="n">
        <v>6873.06</v>
      </c>
    </row>
    <row r="836" customFormat="false" ht="13.8" hidden="false" customHeight="false" outlineLevel="0" collapsed="false">
      <c r="A836" s="2" t="s">
        <v>421</v>
      </c>
      <c r="B836" s="2" t="n">
        <v>10818</v>
      </c>
      <c r="C836" s="2" t="s">
        <v>422</v>
      </c>
      <c r="D836" s="2" t="s">
        <v>64</v>
      </c>
      <c r="E836" s="2" t="str">
        <f aca="false">_xlfn.CONCAT(D836,"-",B836)</f>
        <v>CE - 0000-10818</v>
      </c>
      <c r="F836" s="2" t="n">
        <v>1295</v>
      </c>
      <c r="G836" s="2" t="n">
        <v>35808.41</v>
      </c>
    </row>
    <row r="837" customFormat="false" ht="13.8" hidden="false" customHeight="false" outlineLevel="0" collapsed="false">
      <c r="A837" s="2" t="s">
        <v>421</v>
      </c>
      <c r="B837" s="2" t="n">
        <v>10818</v>
      </c>
      <c r="C837" s="2" t="s">
        <v>422</v>
      </c>
      <c r="D837" s="2" t="s">
        <v>65</v>
      </c>
      <c r="E837" s="2" t="str">
        <f aca="false">_xlfn.CONCAT(D837,"-",B837)</f>
        <v>CE - EURO X AUGEFARMA-10818</v>
      </c>
      <c r="F837" s="2" t="n">
        <v>27</v>
      </c>
      <c r="G837" s="2" t="n">
        <v>342.84</v>
      </c>
    </row>
    <row r="838" customFormat="false" ht="13.8" hidden="false" customHeight="false" outlineLevel="0" collapsed="false">
      <c r="A838" s="2" t="s">
        <v>421</v>
      </c>
      <c r="B838" s="2" t="n">
        <v>10818</v>
      </c>
      <c r="C838" s="2" t="s">
        <v>422</v>
      </c>
      <c r="D838" s="2" t="s">
        <v>68</v>
      </c>
      <c r="E838" s="2" t="str">
        <f aca="false">_xlfn.CONCAT(D838,"-",B838)</f>
        <v>CE - OL 002-10818</v>
      </c>
      <c r="F838" s="2" t="n">
        <v>5</v>
      </c>
      <c r="G838" s="2" t="n">
        <v>152.78</v>
      </c>
    </row>
    <row r="839" customFormat="false" ht="13.8" hidden="false" customHeight="false" outlineLevel="0" collapsed="false">
      <c r="A839" s="2" t="s">
        <v>421</v>
      </c>
      <c r="B839" s="2" t="n">
        <v>10818</v>
      </c>
      <c r="C839" s="2" t="s">
        <v>422</v>
      </c>
      <c r="D839" s="2" t="s">
        <v>69</v>
      </c>
      <c r="E839" s="2" t="str">
        <f aca="false">_xlfn.CONCAT(D839,"-",B839)</f>
        <v>CE - EUROFARMA 6%-10818</v>
      </c>
      <c r="F839" s="2" t="n">
        <v>2</v>
      </c>
      <c r="G839" s="2" t="n">
        <v>84.88</v>
      </c>
    </row>
    <row r="840" customFormat="false" ht="13.8" hidden="false" customHeight="false" outlineLevel="0" collapsed="false">
      <c r="A840" s="2" t="s">
        <v>421</v>
      </c>
      <c r="B840" s="2" t="n">
        <v>10818</v>
      </c>
      <c r="C840" s="2" t="s">
        <v>422</v>
      </c>
      <c r="D840" s="2" t="s">
        <v>66</v>
      </c>
      <c r="E840" s="2" t="str">
        <f aca="false">_xlfn.CONCAT(D840,"-",B840)</f>
        <v>CE - OL 001-10818</v>
      </c>
      <c r="F840" s="2" t="n">
        <v>160</v>
      </c>
      <c r="G840" s="2" t="n">
        <v>4557.12</v>
      </c>
    </row>
    <row r="841" customFormat="false" ht="13.8" hidden="false" customHeight="false" outlineLevel="0" collapsed="false">
      <c r="A841" s="2" t="s">
        <v>423</v>
      </c>
      <c r="B841" s="2" t="n">
        <v>10367</v>
      </c>
      <c r="C841" s="2" t="s">
        <v>424</v>
      </c>
      <c r="D841" s="2" t="s">
        <v>69</v>
      </c>
      <c r="E841" s="2" t="str">
        <f aca="false">_xlfn.CONCAT(D841,"-",B841)</f>
        <v>CE - EUROFARMA 6%-10367</v>
      </c>
      <c r="F841" s="2" t="n">
        <v>30</v>
      </c>
      <c r="G841" s="2" t="n">
        <v>643.74</v>
      </c>
    </row>
    <row r="842" customFormat="false" ht="13.8" hidden="false" customHeight="false" outlineLevel="0" collapsed="false">
      <c r="A842" s="2" t="s">
        <v>423</v>
      </c>
      <c r="B842" s="2" t="n">
        <v>10367</v>
      </c>
      <c r="C842" s="2" t="s">
        <v>424</v>
      </c>
      <c r="D842" s="2" t="s">
        <v>64</v>
      </c>
      <c r="E842" s="2" t="str">
        <f aca="false">_xlfn.CONCAT(D842,"-",B842)</f>
        <v>CE - 0000-10367</v>
      </c>
      <c r="F842" s="2" t="n">
        <v>3432</v>
      </c>
      <c r="G842" s="2" t="n">
        <v>70545.03</v>
      </c>
    </row>
    <row r="843" customFormat="false" ht="13.8" hidden="false" customHeight="false" outlineLevel="0" collapsed="false">
      <c r="A843" s="2" t="s">
        <v>423</v>
      </c>
      <c r="B843" s="2" t="n">
        <v>10367</v>
      </c>
      <c r="C843" s="2" t="s">
        <v>424</v>
      </c>
      <c r="D843" s="2" t="s">
        <v>66</v>
      </c>
      <c r="E843" s="2" t="str">
        <f aca="false">_xlfn.CONCAT(D843,"-",B843)</f>
        <v>CE - OL 001-10367</v>
      </c>
      <c r="F843" s="2" t="n">
        <v>449</v>
      </c>
      <c r="G843" s="2" t="n">
        <v>11020.57</v>
      </c>
    </row>
    <row r="844" customFormat="false" ht="13.8" hidden="false" customHeight="false" outlineLevel="0" collapsed="false">
      <c r="A844" s="2" t="s">
        <v>423</v>
      </c>
      <c r="B844" s="2" t="n">
        <v>10367</v>
      </c>
      <c r="C844" s="2" t="s">
        <v>424</v>
      </c>
      <c r="D844" s="2" t="s">
        <v>65</v>
      </c>
      <c r="E844" s="2" t="str">
        <f aca="false">_xlfn.CONCAT(D844,"-",B844)</f>
        <v>CE - EURO X AUGEFARMA-10367</v>
      </c>
      <c r="F844" s="2" t="n">
        <v>136</v>
      </c>
      <c r="G844" s="2" t="n">
        <v>2333.59</v>
      </c>
    </row>
    <row r="845" customFormat="false" ht="13.8" hidden="false" customHeight="false" outlineLevel="0" collapsed="false">
      <c r="A845" s="2" t="s">
        <v>423</v>
      </c>
      <c r="B845" s="2" t="n">
        <v>10367</v>
      </c>
      <c r="C845" s="2" t="s">
        <v>424</v>
      </c>
      <c r="D845" s="2" t="s">
        <v>68</v>
      </c>
      <c r="E845" s="2" t="str">
        <f aca="false">_xlfn.CONCAT(D845,"-",B845)</f>
        <v>CE - OL 002-10367</v>
      </c>
      <c r="F845" s="2" t="n">
        <v>67</v>
      </c>
      <c r="G845" s="2" t="n">
        <v>1537.08</v>
      </c>
    </row>
    <row r="846" customFormat="false" ht="13.8" hidden="false" customHeight="false" outlineLevel="0" collapsed="false">
      <c r="A846" s="2" t="s">
        <v>423</v>
      </c>
      <c r="B846" s="2" t="n">
        <v>10367</v>
      </c>
      <c r="C846" s="2" t="s">
        <v>424</v>
      </c>
      <c r="D846" s="2" t="s">
        <v>67</v>
      </c>
      <c r="E846" s="2" t="str">
        <f aca="false">_xlfn.CONCAT(D846,"-",B846)</f>
        <v>CE - EUROFARMA G7-10367</v>
      </c>
      <c r="F846" s="2" t="n">
        <v>711</v>
      </c>
      <c r="G846" s="2" t="n">
        <v>13569.66</v>
      </c>
    </row>
    <row r="847" customFormat="false" ht="13.8" hidden="false" customHeight="false" outlineLevel="0" collapsed="false">
      <c r="A847" s="2" t="s">
        <v>425</v>
      </c>
      <c r="B847" s="2" t="n">
        <v>10514</v>
      </c>
      <c r="C847" s="2" t="s">
        <v>426</v>
      </c>
      <c r="D847" s="2" t="s">
        <v>69</v>
      </c>
      <c r="E847" s="2" t="str">
        <f aca="false">_xlfn.CONCAT(D847,"-",B847)</f>
        <v>CE - EUROFARMA 6%-10514</v>
      </c>
      <c r="F847" s="2" t="n">
        <v>27</v>
      </c>
      <c r="G847" s="2" t="n">
        <v>631.69</v>
      </c>
    </row>
    <row r="848" customFormat="false" ht="13.8" hidden="false" customHeight="false" outlineLevel="0" collapsed="false">
      <c r="A848" s="2" t="s">
        <v>425</v>
      </c>
      <c r="B848" s="2" t="n">
        <v>10514</v>
      </c>
      <c r="C848" s="2" t="s">
        <v>426</v>
      </c>
      <c r="D848" s="2" t="s">
        <v>68</v>
      </c>
      <c r="E848" s="2" t="str">
        <f aca="false">_xlfn.CONCAT(D848,"-",B848)</f>
        <v>CE - OL 002-10514</v>
      </c>
      <c r="F848" s="2" t="n">
        <v>105</v>
      </c>
      <c r="G848" s="2" t="n">
        <v>2758.88</v>
      </c>
    </row>
    <row r="849" customFormat="false" ht="13.8" hidden="false" customHeight="false" outlineLevel="0" collapsed="false">
      <c r="A849" s="2" t="s">
        <v>425</v>
      </c>
      <c r="B849" s="2" t="n">
        <v>10514</v>
      </c>
      <c r="C849" s="2" t="s">
        <v>426</v>
      </c>
      <c r="D849" s="2" t="s">
        <v>65</v>
      </c>
      <c r="E849" s="2" t="str">
        <f aca="false">_xlfn.CONCAT(D849,"-",B849)</f>
        <v>CE - EURO X AUGEFARMA-10514</v>
      </c>
      <c r="F849" s="2" t="n">
        <v>183</v>
      </c>
      <c r="G849" s="2" t="n">
        <v>3478.69</v>
      </c>
    </row>
    <row r="850" customFormat="false" ht="13.8" hidden="false" customHeight="false" outlineLevel="0" collapsed="false">
      <c r="A850" s="2" t="s">
        <v>425</v>
      </c>
      <c r="B850" s="2" t="n">
        <v>10514</v>
      </c>
      <c r="C850" s="2" t="s">
        <v>426</v>
      </c>
      <c r="D850" s="2" t="s">
        <v>67</v>
      </c>
      <c r="E850" s="2" t="str">
        <f aca="false">_xlfn.CONCAT(D850,"-",B850)</f>
        <v>CE - EUROFARMA G7-10514</v>
      </c>
      <c r="F850" s="2" t="n">
        <v>1030</v>
      </c>
      <c r="G850" s="2" t="n">
        <v>21843.37</v>
      </c>
    </row>
    <row r="851" customFormat="false" ht="13.8" hidden="false" customHeight="false" outlineLevel="0" collapsed="false">
      <c r="A851" s="2" t="s">
        <v>425</v>
      </c>
      <c r="B851" s="2" t="n">
        <v>10514</v>
      </c>
      <c r="C851" s="2" t="s">
        <v>426</v>
      </c>
      <c r="D851" s="2" t="s">
        <v>64</v>
      </c>
      <c r="E851" s="2" t="str">
        <f aca="false">_xlfn.CONCAT(D851,"-",B851)</f>
        <v>CE - 0000-10514</v>
      </c>
      <c r="F851" s="2" t="n">
        <v>4016</v>
      </c>
      <c r="G851" s="2" t="n">
        <v>93240.69</v>
      </c>
    </row>
    <row r="852" customFormat="false" ht="13.8" hidden="false" customHeight="false" outlineLevel="0" collapsed="false">
      <c r="A852" s="2" t="s">
        <v>425</v>
      </c>
      <c r="B852" s="2" t="n">
        <v>10514</v>
      </c>
      <c r="C852" s="2" t="s">
        <v>426</v>
      </c>
      <c r="D852" s="2" t="s">
        <v>66</v>
      </c>
      <c r="E852" s="2" t="str">
        <f aca="false">_xlfn.CONCAT(D852,"-",B852)</f>
        <v>CE - OL 001-10514</v>
      </c>
      <c r="F852" s="2" t="n">
        <v>636</v>
      </c>
      <c r="G852" s="2" t="n">
        <v>17284.57</v>
      </c>
    </row>
    <row r="853" customFormat="false" ht="13.8" hidden="false" customHeight="false" outlineLevel="0" collapsed="false">
      <c r="A853" s="2" t="s">
        <v>427</v>
      </c>
      <c r="B853" s="2" t="n">
        <v>10521</v>
      </c>
      <c r="C853" s="2" t="s">
        <v>428</v>
      </c>
      <c r="D853" s="2" t="s">
        <v>69</v>
      </c>
      <c r="E853" s="2" t="str">
        <f aca="false">_xlfn.CONCAT(D853,"-",B853)</f>
        <v>CE - EUROFARMA 6%-10521</v>
      </c>
      <c r="F853" s="2" t="n">
        <v>34</v>
      </c>
      <c r="G853" s="2" t="n">
        <v>813.54</v>
      </c>
    </row>
    <row r="854" customFormat="false" ht="13.8" hidden="false" customHeight="false" outlineLevel="0" collapsed="false">
      <c r="A854" s="2" t="s">
        <v>427</v>
      </c>
      <c r="B854" s="2" t="n">
        <v>10521</v>
      </c>
      <c r="C854" s="2" t="s">
        <v>428</v>
      </c>
      <c r="D854" s="2" t="s">
        <v>67</v>
      </c>
      <c r="E854" s="2" t="str">
        <f aca="false">_xlfn.CONCAT(D854,"-",B854)</f>
        <v>CE - EUROFARMA G7-10521</v>
      </c>
      <c r="F854" s="2" t="n">
        <v>1613</v>
      </c>
      <c r="G854" s="2" t="n">
        <v>34342.53</v>
      </c>
    </row>
    <row r="855" customFormat="false" ht="13.8" hidden="false" customHeight="false" outlineLevel="0" collapsed="false">
      <c r="A855" s="2" t="s">
        <v>427</v>
      </c>
      <c r="B855" s="2" t="n">
        <v>10521</v>
      </c>
      <c r="C855" s="2" t="s">
        <v>428</v>
      </c>
      <c r="D855" s="2" t="s">
        <v>64</v>
      </c>
      <c r="E855" s="2" t="str">
        <f aca="false">_xlfn.CONCAT(D855,"-",B855)</f>
        <v>CE - 0000-10521</v>
      </c>
      <c r="F855" s="2" t="n">
        <v>5506</v>
      </c>
      <c r="G855" s="2" t="n">
        <v>123515.66</v>
      </c>
    </row>
    <row r="856" customFormat="false" ht="13.8" hidden="false" customHeight="false" outlineLevel="0" collapsed="false">
      <c r="A856" s="2" t="s">
        <v>427</v>
      </c>
      <c r="B856" s="2" t="n">
        <v>10521</v>
      </c>
      <c r="C856" s="2" t="s">
        <v>428</v>
      </c>
      <c r="D856" s="2" t="s">
        <v>68</v>
      </c>
      <c r="E856" s="2" t="str">
        <f aca="false">_xlfn.CONCAT(D856,"-",B856)</f>
        <v>CE - OL 002-10521</v>
      </c>
      <c r="F856" s="2" t="n">
        <v>108</v>
      </c>
      <c r="G856" s="2" t="n">
        <v>2752.49</v>
      </c>
    </row>
    <row r="857" customFormat="false" ht="13.8" hidden="false" customHeight="false" outlineLevel="0" collapsed="false">
      <c r="A857" s="2" t="s">
        <v>427</v>
      </c>
      <c r="B857" s="2" t="n">
        <v>10521</v>
      </c>
      <c r="C857" s="2" t="s">
        <v>428</v>
      </c>
      <c r="D857" s="2" t="s">
        <v>66</v>
      </c>
      <c r="E857" s="2" t="str">
        <f aca="false">_xlfn.CONCAT(D857,"-",B857)</f>
        <v>CE - OL 001-10521</v>
      </c>
      <c r="F857" s="2" t="n">
        <v>706</v>
      </c>
      <c r="G857" s="2" t="n">
        <v>19255.43</v>
      </c>
    </row>
    <row r="858" customFormat="false" ht="13.8" hidden="false" customHeight="false" outlineLevel="0" collapsed="false">
      <c r="A858" s="2" t="s">
        <v>427</v>
      </c>
      <c r="B858" s="2" t="n">
        <v>10521</v>
      </c>
      <c r="C858" s="2" t="s">
        <v>428</v>
      </c>
      <c r="D858" s="2" t="s">
        <v>65</v>
      </c>
      <c r="E858" s="2" t="str">
        <f aca="false">_xlfn.CONCAT(D858,"-",B858)</f>
        <v>CE - EURO X AUGEFARMA-10521</v>
      </c>
      <c r="F858" s="2" t="n">
        <v>195</v>
      </c>
      <c r="G858" s="2" t="n">
        <v>3705.59</v>
      </c>
    </row>
    <row r="859" customFormat="false" ht="13.8" hidden="false" customHeight="false" outlineLevel="0" collapsed="false">
      <c r="A859" s="2" t="s">
        <v>429</v>
      </c>
      <c r="B859" s="2" t="n">
        <v>11392</v>
      </c>
      <c r="C859" s="2" t="s">
        <v>430</v>
      </c>
      <c r="D859" s="2" t="s">
        <v>68</v>
      </c>
      <c r="E859" s="2" t="str">
        <f aca="false">_xlfn.CONCAT(D859,"-",B859)</f>
        <v>CE - OL 002-11392</v>
      </c>
      <c r="F859" s="2" t="n">
        <v>69</v>
      </c>
      <c r="G859" s="2" t="n">
        <v>1773.78</v>
      </c>
    </row>
    <row r="860" customFormat="false" ht="13.8" hidden="false" customHeight="false" outlineLevel="0" collapsed="false">
      <c r="A860" s="2" t="s">
        <v>429</v>
      </c>
      <c r="B860" s="2" t="n">
        <v>11392</v>
      </c>
      <c r="C860" s="2" t="s">
        <v>430</v>
      </c>
      <c r="D860" s="2" t="s">
        <v>66</v>
      </c>
      <c r="E860" s="2" t="str">
        <f aca="false">_xlfn.CONCAT(D860,"-",B860)</f>
        <v>CE - OL 001-11392</v>
      </c>
      <c r="F860" s="2" t="n">
        <v>401</v>
      </c>
      <c r="G860" s="2" t="n">
        <v>10528.39</v>
      </c>
    </row>
    <row r="861" customFormat="false" ht="13.8" hidden="false" customHeight="false" outlineLevel="0" collapsed="false">
      <c r="A861" s="2" t="s">
        <v>429</v>
      </c>
      <c r="B861" s="2" t="n">
        <v>11392</v>
      </c>
      <c r="C861" s="2" t="s">
        <v>430</v>
      </c>
      <c r="D861" s="2" t="s">
        <v>67</v>
      </c>
      <c r="E861" s="2" t="str">
        <f aca="false">_xlfn.CONCAT(D861,"-",B861)</f>
        <v>CE - EUROFARMA G7-11392</v>
      </c>
      <c r="F861" s="2" t="n">
        <v>1055</v>
      </c>
      <c r="G861" s="2" t="n">
        <v>23403.22</v>
      </c>
    </row>
    <row r="862" customFormat="false" ht="13.8" hidden="false" customHeight="false" outlineLevel="0" collapsed="false">
      <c r="A862" s="2" t="s">
        <v>429</v>
      </c>
      <c r="B862" s="2" t="n">
        <v>11392</v>
      </c>
      <c r="C862" s="2" t="s">
        <v>430</v>
      </c>
      <c r="D862" s="2" t="s">
        <v>64</v>
      </c>
      <c r="E862" s="2" t="str">
        <f aca="false">_xlfn.CONCAT(D862,"-",B862)</f>
        <v>CE - 0000-11392</v>
      </c>
      <c r="F862" s="2" t="n">
        <v>3052</v>
      </c>
      <c r="G862" s="2" t="n">
        <v>70012.27</v>
      </c>
    </row>
    <row r="863" customFormat="false" ht="13.8" hidden="false" customHeight="false" outlineLevel="0" collapsed="false">
      <c r="A863" s="2" t="s">
        <v>429</v>
      </c>
      <c r="B863" s="2" t="n">
        <v>11392</v>
      </c>
      <c r="C863" s="2" t="s">
        <v>430</v>
      </c>
      <c r="D863" s="2" t="s">
        <v>69</v>
      </c>
      <c r="E863" s="2" t="str">
        <f aca="false">_xlfn.CONCAT(D863,"-",B863)</f>
        <v>CE - EUROFARMA 6%-11392</v>
      </c>
      <c r="F863" s="2" t="n">
        <v>38</v>
      </c>
      <c r="G863" s="2" t="n">
        <v>977.21</v>
      </c>
    </row>
    <row r="864" customFormat="false" ht="13.8" hidden="false" customHeight="false" outlineLevel="0" collapsed="false">
      <c r="A864" s="2" t="s">
        <v>429</v>
      </c>
      <c r="B864" s="2" t="n">
        <v>11392</v>
      </c>
      <c r="C864" s="2" t="s">
        <v>430</v>
      </c>
      <c r="D864" s="2" t="s">
        <v>65</v>
      </c>
      <c r="E864" s="2" t="str">
        <f aca="false">_xlfn.CONCAT(D864,"-",B864)</f>
        <v>CE - EURO X AUGEFARMA-11392</v>
      </c>
      <c r="F864" s="2" t="n">
        <v>48</v>
      </c>
      <c r="G864" s="2" t="n">
        <v>987.13</v>
      </c>
    </row>
    <row r="865" customFormat="false" ht="13.8" hidden="false" customHeight="false" outlineLevel="0" collapsed="false">
      <c r="A865" s="2" t="s">
        <v>429</v>
      </c>
      <c r="B865" s="2" t="n">
        <v>11392</v>
      </c>
      <c r="C865" s="2" t="s">
        <v>430</v>
      </c>
      <c r="D865" s="2" t="s">
        <v>177</v>
      </c>
      <c r="E865" s="2" t="str">
        <f aca="false">_xlfn.CONCAT(D865,"-",B865)</f>
        <v>CE - OL NCO01-11392</v>
      </c>
      <c r="F865" s="2" t="n">
        <v>1</v>
      </c>
      <c r="G865" s="2" t="n">
        <v>38.95</v>
      </c>
    </row>
    <row r="866" customFormat="false" ht="13.8" hidden="false" customHeight="false" outlineLevel="0" collapsed="false">
      <c r="A866" s="2" t="s">
        <v>431</v>
      </c>
      <c r="B866" s="2" t="n">
        <v>11697</v>
      </c>
      <c r="C866" s="2" t="s">
        <v>432</v>
      </c>
      <c r="D866" s="2" t="s">
        <v>68</v>
      </c>
      <c r="E866" s="2" t="str">
        <f aca="false">_xlfn.CONCAT(D866,"-",B866)</f>
        <v>CE - OL 002-11697</v>
      </c>
      <c r="F866" s="2" t="n">
        <v>92</v>
      </c>
      <c r="G866" s="2" t="n">
        <v>2493.21</v>
      </c>
    </row>
    <row r="867" customFormat="false" ht="13.8" hidden="false" customHeight="false" outlineLevel="0" collapsed="false">
      <c r="A867" s="2" t="s">
        <v>431</v>
      </c>
      <c r="B867" s="2" t="n">
        <v>11697</v>
      </c>
      <c r="C867" s="2" t="s">
        <v>432</v>
      </c>
      <c r="D867" s="2" t="s">
        <v>65</v>
      </c>
      <c r="E867" s="2" t="str">
        <f aca="false">_xlfn.CONCAT(D867,"-",B867)</f>
        <v>CE - EURO X AUGEFARMA-11697</v>
      </c>
      <c r="F867" s="2" t="n">
        <v>105</v>
      </c>
      <c r="G867" s="2" t="n">
        <v>2270.82</v>
      </c>
    </row>
    <row r="868" customFormat="false" ht="13.8" hidden="false" customHeight="false" outlineLevel="0" collapsed="false">
      <c r="A868" s="2" t="s">
        <v>431</v>
      </c>
      <c r="B868" s="2" t="n">
        <v>11697</v>
      </c>
      <c r="C868" s="2" t="s">
        <v>432</v>
      </c>
      <c r="D868" s="2" t="s">
        <v>177</v>
      </c>
      <c r="E868" s="2" t="str">
        <f aca="false">_xlfn.CONCAT(D868,"-",B868)</f>
        <v>CE - OL NCO01-11697</v>
      </c>
      <c r="F868" s="2" t="n">
        <v>1</v>
      </c>
      <c r="G868" s="2" t="n">
        <v>40.95</v>
      </c>
    </row>
    <row r="869" customFormat="false" ht="13.8" hidden="false" customHeight="false" outlineLevel="0" collapsed="false">
      <c r="A869" s="2" t="s">
        <v>431</v>
      </c>
      <c r="B869" s="2" t="n">
        <v>11697</v>
      </c>
      <c r="C869" s="2" t="s">
        <v>432</v>
      </c>
      <c r="D869" s="2" t="s">
        <v>64</v>
      </c>
      <c r="E869" s="2" t="str">
        <f aca="false">_xlfn.CONCAT(D869,"-",B869)</f>
        <v>CE - 0000-11697</v>
      </c>
      <c r="F869" s="2" t="n">
        <v>3934</v>
      </c>
      <c r="G869" s="2" t="n">
        <v>95401.73</v>
      </c>
    </row>
    <row r="870" customFormat="false" ht="13.8" hidden="false" customHeight="false" outlineLevel="0" collapsed="false">
      <c r="A870" s="2" t="s">
        <v>431</v>
      </c>
      <c r="B870" s="2" t="n">
        <v>11697</v>
      </c>
      <c r="C870" s="2" t="s">
        <v>432</v>
      </c>
      <c r="D870" s="2" t="s">
        <v>66</v>
      </c>
      <c r="E870" s="2" t="str">
        <f aca="false">_xlfn.CONCAT(D870,"-",B870)</f>
        <v>CE - OL 001-11697</v>
      </c>
      <c r="F870" s="2" t="n">
        <v>519</v>
      </c>
      <c r="G870" s="2" t="n">
        <v>14199.97</v>
      </c>
    </row>
    <row r="871" customFormat="false" ht="13.8" hidden="false" customHeight="false" outlineLevel="0" collapsed="false">
      <c r="A871" s="2" t="s">
        <v>431</v>
      </c>
      <c r="B871" s="2" t="n">
        <v>11697</v>
      </c>
      <c r="C871" s="2" t="s">
        <v>432</v>
      </c>
      <c r="D871" s="2" t="s">
        <v>67</v>
      </c>
      <c r="E871" s="2" t="str">
        <f aca="false">_xlfn.CONCAT(D871,"-",B871)</f>
        <v>CE - EUROFARMA G7-11697</v>
      </c>
      <c r="F871" s="2" t="n">
        <v>1365</v>
      </c>
      <c r="G871" s="2" t="n">
        <v>31568.16</v>
      </c>
    </row>
    <row r="872" customFormat="false" ht="13.8" hidden="false" customHeight="false" outlineLevel="0" collapsed="false">
      <c r="A872" s="2" t="s">
        <v>431</v>
      </c>
      <c r="B872" s="2" t="n">
        <v>11697</v>
      </c>
      <c r="C872" s="2" t="s">
        <v>432</v>
      </c>
      <c r="D872" s="2" t="s">
        <v>69</v>
      </c>
      <c r="E872" s="2" t="str">
        <f aca="false">_xlfn.CONCAT(D872,"-",B872)</f>
        <v>CE - EUROFARMA 6%-11697</v>
      </c>
      <c r="F872" s="2" t="n">
        <v>64</v>
      </c>
      <c r="G872" s="2" t="n">
        <v>1731.08</v>
      </c>
    </row>
    <row r="873" customFormat="false" ht="13.8" hidden="false" customHeight="false" outlineLevel="0" collapsed="false">
      <c r="A873" s="2" t="s">
        <v>433</v>
      </c>
      <c r="B873" s="2" t="n">
        <v>10794</v>
      </c>
      <c r="C873" s="2" t="s">
        <v>434</v>
      </c>
      <c r="D873" s="2" t="s">
        <v>67</v>
      </c>
      <c r="E873" s="2" t="str">
        <f aca="false">_xlfn.CONCAT(D873,"-",B873)</f>
        <v>CE - EUROFARMA G7-10794</v>
      </c>
      <c r="F873" s="2" t="n">
        <v>2360</v>
      </c>
      <c r="G873" s="2" t="n">
        <v>22281.53</v>
      </c>
    </row>
    <row r="874" customFormat="false" ht="13.8" hidden="false" customHeight="false" outlineLevel="0" collapsed="false">
      <c r="A874" s="2" t="s">
        <v>433</v>
      </c>
      <c r="B874" s="2" t="n">
        <v>10794</v>
      </c>
      <c r="C874" s="2" t="s">
        <v>434</v>
      </c>
      <c r="D874" s="2" t="s">
        <v>66</v>
      </c>
      <c r="E874" s="2" t="str">
        <f aca="false">_xlfn.CONCAT(D874,"-",B874)</f>
        <v>CE - OL 001-10794</v>
      </c>
      <c r="F874" s="2" t="n">
        <v>346</v>
      </c>
      <c r="G874" s="2" t="n">
        <v>3343.55</v>
      </c>
    </row>
    <row r="875" customFormat="false" ht="13.8" hidden="false" customHeight="false" outlineLevel="0" collapsed="false">
      <c r="A875" s="2" t="s">
        <v>433</v>
      </c>
      <c r="B875" s="2" t="n">
        <v>10794</v>
      </c>
      <c r="C875" s="2" t="s">
        <v>434</v>
      </c>
      <c r="D875" s="2" t="s">
        <v>65</v>
      </c>
      <c r="E875" s="2" t="str">
        <f aca="false">_xlfn.CONCAT(D875,"-",B875)</f>
        <v>CE - EURO X AUGEFARMA-10794</v>
      </c>
      <c r="F875" s="2" t="n">
        <v>229</v>
      </c>
      <c r="G875" s="2" t="n">
        <v>1536.96</v>
      </c>
    </row>
    <row r="876" customFormat="false" ht="13.8" hidden="false" customHeight="false" outlineLevel="0" collapsed="false">
      <c r="A876" s="2" t="s">
        <v>433</v>
      </c>
      <c r="B876" s="2" t="n">
        <v>10794</v>
      </c>
      <c r="C876" s="2" t="s">
        <v>434</v>
      </c>
      <c r="D876" s="2" t="s">
        <v>64</v>
      </c>
      <c r="E876" s="2" t="str">
        <f aca="false">_xlfn.CONCAT(D876,"-",B876)</f>
        <v>CE - 0000-10794</v>
      </c>
      <c r="F876" s="2" t="n">
        <v>4395</v>
      </c>
      <c r="G876" s="2" t="n">
        <v>40171.3</v>
      </c>
    </row>
    <row r="877" customFormat="false" ht="13.8" hidden="false" customHeight="false" outlineLevel="0" collapsed="false">
      <c r="A877" s="2" t="s">
        <v>433</v>
      </c>
      <c r="B877" s="2" t="n">
        <v>10794</v>
      </c>
      <c r="C877" s="2" t="s">
        <v>434</v>
      </c>
      <c r="D877" s="2" t="s">
        <v>69</v>
      </c>
      <c r="E877" s="2" t="str">
        <f aca="false">_xlfn.CONCAT(D877,"-",B877)</f>
        <v>CE - EUROFARMA 6%-10794</v>
      </c>
      <c r="F877" s="2" t="n">
        <v>35</v>
      </c>
      <c r="G877" s="2" t="n">
        <v>385.87</v>
      </c>
    </row>
    <row r="878" customFormat="false" ht="13.8" hidden="false" customHeight="false" outlineLevel="0" collapsed="false">
      <c r="A878" s="2" t="s">
        <v>433</v>
      </c>
      <c r="B878" s="2" t="n">
        <v>10794</v>
      </c>
      <c r="C878" s="2" t="s">
        <v>434</v>
      </c>
      <c r="D878" s="2" t="s">
        <v>68</v>
      </c>
      <c r="E878" s="2" t="str">
        <f aca="false">_xlfn.CONCAT(D878,"-",B878)</f>
        <v>CE - OL 002-10794</v>
      </c>
      <c r="F878" s="2" t="n">
        <v>46</v>
      </c>
      <c r="G878" s="2" t="n">
        <v>489.4</v>
      </c>
    </row>
    <row r="879" customFormat="false" ht="13.8" hidden="false" customHeight="false" outlineLevel="0" collapsed="false">
      <c r="A879" s="2" t="s">
        <v>435</v>
      </c>
      <c r="B879" s="2" t="n">
        <v>10795</v>
      </c>
      <c r="C879" s="2" t="s">
        <v>436</v>
      </c>
      <c r="D879" s="2" t="s">
        <v>69</v>
      </c>
      <c r="E879" s="2" t="str">
        <f aca="false">_xlfn.CONCAT(D879,"-",B879)</f>
        <v>CE - EUROFARMA 6%-10795</v>
      </c>
      <c r="F879" s="2" t="n">
        <v>18</v>
      </c>
      <c r="G879" s="2" t="n">
        <v>567.69</v>
      </c>
    </row>
    <row r="880" customFormat="false" ht="13.8" hidden="false" customHeight="false" outlineLevel="0" collapsed="false">
      <c r="A880" s="2" t="s">
        <v>435</v>
      </c>
      <c r="B880" s="2" t="n">
        <v>10795</v>
      </c>
      <c r="C880" s="2" t="s">
        <v>436</v>
      </c>
      <c r="D880" s="2" t="s">
        <v>66</v>
      </c>
      <c r="E880" s="2" t="str">
        <f aca="false">_xlfn.CONCAT(D880,"-",B880)</f>
        <v>CE - OL 001-10795</v>
      </c>
      <c r="F880" s="2" t="n">
        <v>81</v>
      </c>
      <c r="G880" s="2" t="n">
        <v>1962.79</v>
      </c>
    </row>
    <row r="881" customFormat="false" ht="13.8" hidden="false" customHeight="false" outlineLevel="0" collapsed="false">
      <c r="A881" s="2" t="s">
        <v>435</v>
      </c>
      <c r="B881" s="2" t="n">
        <v>10795</v>
      </c>
      <c r="C881" s="2" t="s">
        <v>436</v>
      </c>
      <c r="D881" s="2" t="s">
        <v>64</v>
      </c>
      <c r="E881" s="2" t="str">
        <f aca="false">_xlfn.CONCAT(D881,"-",B881)</f>
        <v>CE - 0000-10795</v>
      </c>
      <c r="F881" s="2" t="n">
        <v>1461</v>
      </c>
      <c r="G881" s="2" t="n">
        <v>33247.08</v>
      </c>
    </row>
    <row r="882" customFormat="false" ht="13.8" hidden="false" customHeight="false" outlineLevel="0" collapsed="false">
      <c r="A882" s="2" t="s">
        <v>435</v>
      </c>
      <c r="B882" s="2" t="n">
        <v>10795</v>
      </c>
      <c r="C882" s="2" t="s">
        <v>436</v>
      </c>
      <c r="D882" s="2" t="s">
        <v>65</v>
      </c>
      <c r="E882" s="2" t="str">
        <f aca="false">_xlfn.CONCAT(D882,"-",B882)</f>
        <v>CE - EURO X AUGEFARMA-10795</v>
      </c>
      <c r="F882" s="2" t="n">
        <v>166</v>
      </c>
      <c r="G882" s="2" t="n">
        <v>1158.75</v>
      </c>
    </row>
    <row r="883" customFormat="false" ht="13.8" hidden="false" customHeight="false" outlineLevel="0" collapsed="false">
      <c r="A883" s="2" t="s">
        <v>435</v>
      </c>
      <c r="B883" s="2" t="n">
        <v>10795</v>
      </c>
      <c r="C883" s="2" t="s">
        <v>436</v>
      </c>
      <c r="D883" s="2" t="s">
        <v>67</v>
      </c>
      <c r="E883" s="2" t="str">
        <f aca="false">_xlfn.CONCAT(D883,"-",B883)</f>
        <v>CE - EUROFARMA G7-10795</v>
      </c>
      <c r="F883" s="2" t="n">
        <v>754</v>
      </c>
      <c r="G883" s="2" t="n">
        <v>17559.23</v>
      </c>
    </row>
    <row r="884" customFormat="false" ht="13.8" hidden="false" customHeight="false" outlineLevel="0" collapsed="false">
      <c r="A884" s="2" t="s">
        <v>437</v>
      </c>
      <c r="B884" s="2" t="n">
        <v>21968</v>
      </c>
      <c r="C884" s="2" t="s">
        <v>438</v>
      </c>
      <c r="D884" s="2" t="s">
        <v>68</v>
      </c>
      <c r="E884" s="2" t="str">
        <f aca="false">_xlfn.CONCAT(D884,"-",B884)</f>
        <v>CE - OL 002-21968</v>
      </c>
      <c r="F884" s="2" t="n">
        <v>405</v>
      </c>
      <c r="G884" s="2" t="n">
        <v>1849.97</v>
      </c>
    </row>
    <row r="885" customFormat="false" ht="13.8" hidden="false" customHeight="false" outlineLevel="0" collapsed="false">
      <c r="A885" s="2" t="s">
        <v>437</v>
      </c>
      <c r="B885" s="2" t="n">
        <v>21968</v>
      </c>
      <c r="C885" s="2" t="s">
        <v>438</v>
      </c>
      <c r="D885" s="2" t="s">
        <v>64</v>
      </c>
      <c r="E885" s="2" t="str">
        <f aca="false">_xlfn.CONCAT(D885,"-",B885)</f>
        <v>CE - 0000-21968</v>
      </c>
      <c r="F885" s="2" t="n">
        <v>6978</v>
      </c>
      <c r="G885" s="2" t="n">
        <v>29813.94</v>
      </c>
    </row>
    <row r="886" customFormat="false" ht="13.8" hidden="false" customHeight="false" outlineLevel="0" collapsed="false">
      <c r="A886" s="2" t="s">
        <v>437</v>
      </c>
      <c r="B886" s="2" t="n">
        <v>21968</v>
      </c>
      <c r="C886" s="2" t="s">
        <v>438</v>
      </c>
      <c r="D886" s="2" t="s">
        <v>66</v>
      </c>
      <c r="E886" s="2" t="str">
        <f aca="false">_xlfn.CONCAT(D886,"-",B886)</f>
        <v>CE - OL 001-21968</v>
      </c>
      <c r="F886" s="2" t="n">
        <v>123</v>
      </c>
      <c r="G886" s="2" t="n">
        <v>691.26</v>
      </c>
    </row>
    <row r="887" customFormat="false" ht="13.8" hidden="false" customHeight="false" outlineLevel="0" collapsed="false">
      <c r="A887" s="2" t="s">
        <v>437</v>
      </c>
      <c r="B887" s="2" t="n">
        <v>21968</v>
      </c>
      <c r="C887" s="2" t="s">
        <v>438</v>
      </c>
      <c r="D887" s="2" t="s">
        <v>67</v>
      </c>
      <c r="E887" s="2" t="str">
        <f aca="false">_xlfn.CONCAT(D887,"-",B887)</f>
        <v>CE - EUROFARMA G7-21968</v>
      </c>
      <c r="F887" s="2" t="n">
        <v>2756</v>
      </c>
      <c r="G887" s="2" t="n">
        <v>16183.99</v>
      </c>
    </row>
    <row r="888" customFormat="false" ht="13.8" hidden="false" customHeight="false" outlineLevel="0" collapsed="false">
      <c r="A888" s="2" t="s">
        <v>439</v>
      </c>
      <c r="B888" s="2" t="n">
        <v>21165</v>
      </c>
      <c r="C888" s="2" t="s">
        <v>440</v>
      </c>
      <c r="D888" s="2" t="s">
        <v>64</v>
      </c>
      <c r="E888" s="2" t="str">
        <f aca="false">_xlfn.CONCAT(D888,"-",B888)</f>
        <v>CE - 0000-21165</v>
      </c>
      <c r="F888" s="2" t="n">
        <v>9647</v>
      </c>
      <c r="G888" s="2" t="n">
        <v>84880.39</v>
      </c>
    </row>
    <row r="889" customFormat="false" ht="13.8" hidden="false" customHeight="false" outlineLevel="0" collapsed="false">
      <c r="A889" s="2" t="s">
        <v>439</v>
      </c>
      <c r="B889" s="2" t="n">
        <v>21165</v>
      </c>
      <c r="C889" s="2" t="s">
        <v>440</v>
      </c>
      <c r="D889" s="2" t="s">
        <v>67</v>
      </c>
      <c r="E889" s="2" t="str">
        <f aca="false">_xlfn.CONCAT(D889,"-",B889)</f>
        <v>CE - EUROFARMA G7-21165</v>
      </c>
      <c r="F889" s="2" t="n">
        <v>6179</v>
      </c>
      <c r="G889" s="2" t="n">
        <v>50334.62</v>
      </c>
    </row>
    <row r="890" customFormat="false" ht="13.8" hidden="false" customHeight="false" outlineLevel="0" collapsed="false">
      <c r="A890" s="2" t="s">
        <v>439</v>
      </c>
      <c r="B890" s="2" t="n">
        <v>21165</v>
      </c>
      <c r="C890" s="2" t="s">
        <v>440</v>
      </c>
      <c r="D890" s="2" t="s">
        <v>66</v>
      </c>
      <c r="E890" s="2" t="str">
        <f aca="false">_xlfn.CONCAT(D890,"-",B890)</f>
        <v>CE - OL 001-21165</v>
      </c>
      <c r="F890" s="2" t="n">
        <v>547</v>
      </c>
      <c r="G890" s="2" t="n">
        <v>5325.49</v>
      </c>
    </row>
    <row r="891" customFormat="false" ht="13.8" hidden="false" customHeight="false" outlineLevel="0" collapsed="false">
      <c r="A891" s="2" t="s">
        <v>439</v>
      </c>
      <c r="B891" s="2" t="n">
        <v>21165</v>
      </c>
      <c r="C891" s="2" t="s">
        <v>440</v>
      </c>
      <c r="D891" s="2" t="s">
        <v>68</v>
      </c>
      <c r="E891" s="2" t="str">
        <f aca="false">_xlfn.CONCAT(D891,"-",B891)</f>
        <v>CE - OL 002-21165</v>
      </c>
      <c r="F891" s="2" t="n">
        <v>139</v>
      </c>
      <c r="G891" s="2" t="n">
        <v>1284.08</v>
      </c>
    </row>
    <row r="892" customFormat="false" ht="13.8" hidden="false" customHeight="false" outlineLevel="0" collapsed="false">
      <c r="A892" s="2" t="s">
        <v>441</v>
      </c>
      <c r="B892" s="2" t="n">
        <v>10814</v>
      </c>
      <c r="C892" s="2" t="s">
        <v>442</v>
      </c>
      <c r="D892" s="2" t="s">
        <v>66</v>
      </c>
      <c r="E892" s="2" t="str">
        <f aca="false">_xlfn.CONCAT(D892,"-",B892)</f>
        <v>CE - OL 001-10814</v>
      </c>
      <c r="F892" s="2" t="n">
        <v>57</v>
      </c>
      <c r="G892" s="2" t="n">
        <v>572.6</v>
      </c>
    </row>
    <row r="893" customFormat="false" ht="13.8" hidden="false" customHeight="false" outlineLevel="0" collapsed="false">
      <c r="A893" s="2" t="s">
        <v>441</v>
      </c>
      <c r="B893" s="2" t="n">
        <v>10814</v>
      </c>
      <c r="C893" s="2" t="s">
        <v>442</v>
      </c>
      <c r="D893" s="2" t="s">
        <v>64</v>
      </c>
      <c r="E893" s="2" t="str">
        <f aca="false">_xlfn.CONCAT(D893,"-",B893)</f>
        <v>CE - 0000-10814</v>
      </c>
      <c r="F893" s="2" t="n">
        <v>919</v>
      </c>
      <c r="G893" s="2" t="n">
        <v>8679.8</v>
      </c>
    </row>
    <row r="894" customFormat="false" ht="13.8" hidden="false" customHeight="false" outlineLevel="0" collapsed="false">
      <c r="A894" s="2" t="s">
        <v>441</v>
      </c>
      <c r="B894" s="2" t="n">
        <v>10814</v>
      </c>
      <c r="C894" s="2" t="s">
        <v>442</v>
      </c>
      <c r="D894" s="2" t="s">
        <v>65</v>
      </c>
      <c r="E894" s="2" t="str">
        <f aca="false">_xlfn.CONCAT(D894,"-",B894)</f>
        <v>CE - EURO X AUGEFARMA-10814</v>
      </c>
      <c r="F894" s="2" t="n">
        <v>85</v>
      </c>
      <c r="G894" s="2" t="n">
        <v>745.69</v>
      </c>
    </row>
    <row r="895" customFormat="false" ht="13.8" hidden="false" customHeight="false" outlineLevel="0" collapsed="false">
      <c r="A895" s="2" t="s">
        <v>441</v>
      </c>
      <c r="B895" s="2" t="n">
        <v>10814</v>
      </c>
      <c r="C895" s="2" t="s">
        <v>442</v>
      </c>
      <c r="D895" s="2" t="s">
        <v>69</v>
      </c>
      <c r="E895" s="2" t="str">
        <f aca="false">_xlfn.CONCAT(D895,"-",B895)</f>
        <v>CE - EUROFARMA 6%-10814</v>
      </c>
      <c r="F895" s="2" t="n">
        <v>17</v>
      </c>
      <c r="G895" s="2" t="n">
        <v>162.71</v>
      </c>
    </row>
    <row r="896" customFormat="false" ht="13.8" hidden="false" customHeight="false" outlineLevel="0" collapsed="false">
      <c r="A896" s="2" t="s">
        <v>441</v>
      </c>
      <c r="B896" s="2" t="n">
        <v>10814</v>
      </c>
      <c r="C896" s="2" t="s">
        <v>442</v>
      </c>
      <c r="D896" s="2" t="s">
        <v>67</v>
      </c>
      <c r="E896" s="2" t="str">
        <f aca="false">_xlfn.CONCAT(D896,"-",B896)</f>
        <v>CE - EUROFARMA G7-10814</v>
      </c>
      <c r="F896" s="2" t="n">
        <v>185</v>
      </c>
      <c r="G896" s="2" t="n">
        <v>1841.13</v>
      </c>
    </row>
    <row r="897" customFormat="false" ht="13.8" hidden="false" customHeight="false" outlineLevel="0" collapsed="false">
      <c r="A897" s="2" t="s">
        <v>443</v>
      </c>
      <c r="B897" s="2" t="n">
        <v>10820</v>
      </c>
      <c r="C897" s="2" t="s">
        <v>444</v>
      </c>
      <c r="D897" s="2" t="s">
        <v>67</v>
      </c>
      <c r="E897" s="2" t="str">
        <f aca="false">_xlfn.CONCAT(D897,"-",B897)</f>
        <v>CE - EUROFARMA G7-10820</v>
      </c>
      <c r="F897" s="2" t="n">
        <v>433</v>
      </c>
      <c r="G897" s="2" t="n">
        <v>8365.94</v>
      </c>
    </row>
    <row r="898" customFormat="false" ht="13.8" hidden="false" customHeight="false" outlineLevel="0" collapsed="false">
      <c r="A898" s="2" t="s">
        <v>443</v>
      </c>
      <c r="B898" s="2" t="n">
        <v>10820</v>
      </c>
      <c r="C898" s="2" t="s">
        <v>444</v>
      </c>
      <c r="D898" s="2" t="s">
        <v>65</v>
      </c>
      <c r="E898" s="2" t="str">
        <f aca="false">_xlfn.CONCAT(D898,"-",B898)</f>
        <v>CE - EURO X AUGEFARMA-10820</v>
      </c>
      <c r="F898" s="2" t="n">
        <v>38</v>
      </c>
      <c r="G898" s="2" t="n">
        <v>642.14</v>
      </c>
    </row>
    <row r="899" customFormat="false" ht="13.8" hidden="false" customHeight="false" outlineLevel="0" collapsed="false">
      <c r="A899" s="2" t="s">
        <v>443</v>
      </c>
      <c r="B899" s="2" t="n">
        <v>10820</v>
      </c>
      <c r="C899" s="2" t="s">
        <v>444</v>
      </c>
      <c r="D899" s="2" t="s">
        <v>64</v>
      </c>
      <c r="E899" s="2" t="str">
        <f aca="false">_xlfn.CONCAT(D899,"-",B899)</f>
        <v>CE - 0000-10820</v>
      </c>
      <c r="F899" s="2" t="n">
        <v>754</v>
      </c>
      <c r="G899" s="2" t="n">
        <v>13835.28</v>
      </c>
    </row>
    <row r="900" customFormat="false" ht="13.8" hidden="false" customHeight="false" outlineLevel="0" collapsed="false">
      <c r="A900" s="2" t="s">
        <v>443</v>
      </c>
      <c r="B900" s="2" t="n">
        <v>10820</v>
      </c>
      <c r="C900" s="2" t="s">
        <v>444</v>
      </c>
      <c r="D900" s="2" t="s">
        <v>66</v>
      </c>
      <c r="E900" s="2" t="str">
        <f aca="false">_xlfn.CONCAT(D900,"-",B900)</f>
        <v>CE - OL 001-10820</v>
      </c>
      <c r="F900" s="2" t="n">
        <v>53</v>
      </c>
      <c r="G900" s="2" t="n">
        <v>1023.86</v>
      </c>
    </row>
    <row r="901" customFormat="false" ht="13.8" hidden="false" customHeight="false" outlineLevel="0" collapsed="false">
      <c r="A901" s="2" t="s">
        <v>443</v>
      </c>
      <c r="B901" s="2" t="n">
        <v>10820</v>
      </c>
      <c r="C901" s="2" t="s">
        <v>444</v>
      </c>
      <c r="D901" s="2" t="s">
        <v>69</v>
      </c>
      <c r="E901" s="2" t="str">
        <f aca="false">_xlfn.CONCAT(D901,"-",B901)</f>
        <v>CE - EUROFARMA 6%-10820</v>
      </c>
      <c r="F901" s="2" t="n">
        <v>33</v>
      </c>
      <c r="G901" s="2" t="n">
        <v>625.56</v>
      </c>
    </row>
    <row r="902" customFormat="false" ht="13.8" hidden="false" customHeight="false" outlineLevel="0" collapsed="false">
      <c r="A902" s="2" t="s">
        <v>445</v>
      </c>
      <c r="B902" s="2" t="n">
        <v>35</v>
      </c>
      <c r="C902" s="2" t="s">
        <v>446</v>
      </c>
      <c r="D902" s="2" t="s">
        <v>64</v>
      </c>
      <c r="E902" s="2" t="str">
        <f aca="false">_xlfn.CONCAT(D902,"-",B902)</f>
        <v>CE - 0000-35</v>
      </c>
      <c r="F902" s="2" t="n">
        <v>86</v>
      </c>
      <c r="G902" s="2" t="n">
        <v>2394.42</v>
      </c>
    </row>
    <row r="903" customFormat="false" ht="13.8" hidden="false" customHeight="false" outlineLevel="0" collapsed="false">
      <c r="A903" s="2" t="s">
        <v>445</v>
      </c>
      <c r="B903" s="2" t="n">
        <v>35</v>
      </c>
      <c r="C903" s="2" t="s">
        <v>446</v>
      </c>
      <c r="D903" s="2" t="s">
        <v>67</v>
      </c>
      <c r="E903" s="2" t="str">
        <f aca="false">_xlfn.CONCAT(D903,"-",B903)</f>
        <v>CE - EUROFARMA G7-35</v>
      </c>
      <c r="F903" s="2" t="n">
        <v>39</v>
      </c>
      <c r="G903" s="2" t="n">
        <v>1161.15</v>
      </c>
    </row>
    <row r="904" customFormat="false" ht="13.8" hidden="false" customHeight="false" outlineLevel="0" collapsed="false">
      <c r="A904" s="2" t="s">
        <v>445</v>
      </c>
      <c r="B904" s="2" t="n">
        <v>35</v>
      </c>
      <c r="C904" s="2" t="s">
        <v>446</v>
      </c>
      <c r="D904" s="2" t="s">
        <v>65</v>
      </c>
      <c r="E904" s="2" t="str">
        <f aca="false">_xlfn.CONCAT(D904,"-",B904)</f>
        <v>CE - EURO X AUGEFARMA-35</v>
      </c>
      <c r="F904" s="2" t="n">
        <v>9</v>
      </c>
      <c r="G904" s="2" t="n">
        <v>220.7</v>
      </c>
    </row>
    <row r="905" customFormat="false" ht="13.8" hidden="false" customHeight="false" outlineLevel="0" collapsed="false">
      <c r="A905" s="2" t="s">
        <v>447</v>
      </c>
      <c r="B905" s="2" t="n">
        <v>10803</v>
      </c>
      <c r="C905" s="2" t="s">
        <v>448</v>
      </c>
      <c r="D905" s="2" t="s">
        <v>64</v>
      </c>
      <c r="E905" s="2" t="str">
        <f aca="false">_xlfn.CONCAT(D905,"-",B905)</f>
        <v>CE - 0000-10803</v>
      </c>
      <c r="F905" s="2" t="n">
        <v>722</v>
      </c>
      <c r="G905" s="2" t="n">
        <v>11448.89</v>
      </c>
    </row>
    <row r="906" customFormat="false" ht="13.8" hidden="false" customHeight="false" outlineLevel="0" collapsed="false">
      <c r="A906" s="2" t="s">
        <v>447</v>
      </c>
      <c r="B906" s="2" t="n">
        <v>10803</v>
      </c>
      <c r="C906" s="2" t="s">
        <v>448</v>
      </c>
      <c r="D906" s="2" t="s">
        <v>65</v>
      </c>
      <c r="E906" s="2" t="str">
        <f aca="false">_xlfn.CONCAT(D906,"-",B906)</f>
        <v>CE - EURO X AUGEFARMA-10803</v>
      </c>
      <c r="F906" s="2" t="n">
        <v>38</v>
      </c>
      <c r="G906" s="2" t="n">
        <v>502</v>
      </c>
    </row>
    <row r="907" customFormat="false" ht="13.8" hidden="false" customHeight="false" outlineLevel="0" collapsed="false">
      <c r="A907" s="2" t="s">
        <v>447</v>
      </c>
      <c r="B907" s="2" t="n">
        <v>10803</v>
      </c>
      <c r="C907" s="2" t="s">
        <v>448</v>
      </c>
      <c r="D907" s="2" t="s">
        <v>68</v>
      </c>
      <c r="E907" s="2" t="str">
        <f aca="false">_xlfn.CONCAT(D907,"-",B907)</f>
        <v>CE - OL 002-10803</v>
      </c>
      <c r="F907" s="2" t="n">
        <v>33</v>
      </c>
      <c r="G907" s="2" t="n">
        <v>628.72</v>
      </c>
    </row>
    <row r="908" customFormat="false" ht="13.8" hidden="false" customHeight="false" outlineLevel="0" collapsed="false">
      <c r="A908" s="2" t="s">
        <v>447</v>
      </c>
      <c r="B908" s="2" t="n">
        <v>10803</v>
      </c>
      <c r="C908" s="2" t="s">
        <v>448</v>
      </c>
      <c r="D908" s="2" t="s">
        <v>66</v>
      </c>
      <c r="E908" s="2" t="str">
        <f aca="false">_xlfn.CONCAT(D908,"-",B908)</f>
        <v>CE - OL 001-10803</v>
      </c>
      <c r="F908" s="2" t="n">
        <v>13</v>
      </c>
      <c r="G908" s="2" t="n">
        <v>229</v>
      </c>
    </row>
    <row r="909" customFormat="false" ht="13.8" hidden="false" customHeight="false" outlineLevel="0" collapsed="false">
      <c r="A909" s="2" t="s">
        <v>447</v>
      </c>
      <c r="B909" s="2" t="n">
        <v>10803</v>
      </c>
      <c r="C909" s="2" t="s">
        <v>448</v>
      </c>
      <c r="D909" s="2" t="s">
        <v>67</v>
      </c>
      <c r="E909" s="2" t="str">
        <f aca="false">_xlfn.CONCAT(D909,"-",B909)</f>
        <v>CE - EUROFARMA G7-10803</v>
      </c>
      <c r="F909" s="2" t="n">
        <v>631</v>
      </c>
      <c r="G909" s="2" t="n">
        <v>10471.5</v>
      </c>
    </row>
    <row r="910" customFormat="false" ht="13.8" hidden="false" customHeight="false" outlineLevel="0" collapsed="false">
      <c r="A910" s="2" t="s">
        <v>449</v>
      </c>
      <c r="B910" s="2" t="n">
        <v>873</v>
      </c>
      <c r="C910" s="2" t="s">
        <v>450</v>
      </c>
      <c r="D910" s="2" t="s">
        <v>64</v>
      </c>
      <c r="E910" s="2" t="str">
        <f aca="false">_xlfn.CONCAT(D910,"-",B910)</f>
        <v>CE - 0000-873</v>
      </c>
      <c r="F910" s="2" t="n">
        <v>216</v>
      </c>
      <c r="G910" s="2" t="n">
        <v>13249.28</v>
      </c>
    </row>
    <row r="911" customFormat="false" ht="13.8" hidden="false" customHeight="false" outlineLevel="0" collapsed="false">
      <c r="A911" s="2" t="s">
        <v>449</v>
      </c>
      <c r="B911" s="2" t="n">
        <v>873</v>
      </c>
      <c r="C911" s="2" t="s">
        <v>450</v>
      </c>
      <c r="D911" s="2" t="s">
        <v>67</v>
      </c>
      <c r="E911" s="2" t="str">
        <f aca="false">_xlfn.CONCAT(D911,"-",B911)</f>
        <v>CE - EUROFARMA G7-873</v>
      </c>
      <c r="F911" s="2" t="n">
        <v>37</v>
      </c>
      <c r="G911" s="2" t="n">
        <v>2424.39</v>
      </c>
    </row>
    <row r="912" customFormat="false" ht="13.8" hidden="false" customHeight="false" outlineLevel="0" collapsed="false">
      <c r="A912" s="2" t="s">
        <v>449</v>
      </c>
      <c r="B912" s="2" t="n">
        <v>873</v>
      </c>
      <c r="C912" s="2" t="s">
        <v>450</v>
      </c>
      <c r="D912" s="2" t="s">
        <v>65</v>
      </c>
      <c r="E912" s="2" t="str">
        <f aca="false">_xlfn.CONCAT(D912,"-",B912)</f>
        <v>CE - EURO X AUGEFARMA-873</v>
      </c>
      <c r="F912" s="2" t="n">
        <v>2</v>
      </c>
      <c r="G912" s="2" t="n">
        <v>115.24</v>
      </c>
    </row>
    <row r="913" customFormat="false" ht="13.8" hidden="false" customHeight="false" outlineLevel="0" collapsed="false">
      <c r="A913" s="2" t="s">
        <v>449</v>
      </c>
      <c r="B913" s="2" t="n">
        <v>873</v>
      </c>
      <c r="C913" s="2" t="s">
        <v>450</v>
      </c>
      <c r="D913" s="2" t="s">
        <v>66</v>
      </c>
      <c r="E913" s="2" t="str">
        <f aca="false">_xlfn.CONCAT(D913,"-",B913)</f>
        <v>CE - OL 001-873</v>
      </c>
      <c r="F913" s="2" t="n">
        <v>9</v>
      </c>
      <c r="G913" s="2" t="n">
        <v>601.68</v>
      </c>
    </row>
    <row r="914" customFormat="false" ht="13.8" hidden="false" customHeight="false" outlineLevel="0" collapsed="false">
      <c r="A914" s="2" t="s">
        <v>449</v>
      </c>
      <c r="B914" s="2" t="n">
        <v>873</v>
      </c>
      <c r="C914" s="2" t="s">
        <v>450</v>
      </c>
      <c r="D914" s="2" t="s">
        <v>69</v>
      </c>
      <c r="E914" s="2" t="str">
        <f aca="false">_xlfn.CONCAT(D914,"-",B914)</f>
        <v>CE - EUROFARMA 6%-873</v>
      </c>
      <c r="F914" s="2" t="n">
        <v>5</v>
      </c>
      <c r="G914" s="2" t="n">
        <v>293.9</v>
      </c>
    </row>
    <row r="915" customFormat="false" ht="13.8" hidden="false" customHeight="false" outlineLevel="0" collapsed="false">
      <c r="A915" s="2" t="s">
        <v>449</v>
      </c>
      <c r="B915" s="2" t="n">
        <v>873</v>
      </c>
      <c r="C915" s="2" t="s">
        <v>450</v>
      </c>
      <c r="D915" s="2" t="s">
        <v>68</v>
      </c>
      <c r="E915" s="2" t="str">
        <f aca="false">_xlfn.CONCAT(D915,"-",B915)</f>
        <v>CE - OL 002-873</v>
      </c>
      <c r="F915" s="2" t="n">
        <v>1</v>
      </c>
      <c r="G915" s="2" t="n">
        <v>68.26</v>
      </c>
    </row>
    <row r="916" customFormat="false" ht="13.8" hidden="false" customHeight="false" outlineLevel="0" collapsed="false">
      <c r="A916" s="2" t="s">
        <v>451</v>
      </c>
      <c r="B916" s="2" t="n">
        <v>14291</v>
      </c>
      <c r="C916" s="2" t="s">
        <v>452</v>
      </c>
      <c r="D916" s="2" t="s">
        <v>64</v>
      </c>
      <c r="E916" s="2" t="str">
        <f aca="false">_xlfn.CONCAT(D916,"-",B916)</f>
        <v>CE - 0000-14291</v>
      </c>
      <c r="F916" s="2" t="n">
        <v>102</v>
      </c>
      <c r="G916" s="2" t="n">
        <v>3319.22</v>
      </c>
    </row>
    <row r="917" customFormat="false" ht="13.8" hidden="false" customHeight="false" outlineLevel="0" collapsed="false">
      <c r="A917" s="2" t="s">
        <v>451</v>
      </c>
      <c r="B917" s="2" t="n">
        <v>14291</v>
      </c>
      <c r="C917" s="2" t="s">
        <v>452</v>
      </c>
      <c r="D917" s="2" t="s">
        <v>66</v>
      </c>
      <c r="E917" s="2" t="str">
        <f aca="false">_xlfn.CONCAT(D917,"-",B917)</f>
        <v>CE - OL 001-14291</v>
      </c>
      <c r="F917" s="2" t="n">
        <v>7</v>
      </c>
      <c r="G917" s="2" t="n">
        <v>252.59</v>
      </c>
    </row>
    <row r="918" customFormat="false" ht="13.8" hidden="false" customHeight="false" outlineLevel="0" collapsed="false">
      <c r="A918" s="2" t="s">
        <v>451</v>
      </c>
      <c r="B918" s="2" t="n">
        <v>14291</v>
      </c>
      <c r="C918" s="2" t="s">
        <v>452</v>
      </c>
      <c r="D918" s="2" t="s">
        <v>65</v>
      </c>
      <c r="E918" s="2" t="str">
        <f aca="false">_xlfn.CONCAT(D918,"-",B918)</f>
        <v>CE - EURO X AUGEFARMA-14291</v>
      </c>
      <c r="F918" s="2" t="n">
        <v>11</v>
      </c>
      <c r="G918" s="2" t="n">
        <v>318.5</v>
      </c>
    </row>
    <row r="919" customFormat="false" ht="13.8" hidden="false" customHeight="false" outlineLevel="0" collapsed="false">
      <c r="A919" s="2" t="s">
        <v>451</v>
      </c>
      <c r="B919" s="2" t="n">
        <v>14291</v>
      </c>
      <c r="C919" s="2" t="s">
        <v>452</v>
      </c>
      <c r="D919" s="2" t="s">
        <v>67</v>
      </c>
      <c r="E919" s="2" t="str">
        <f aca="false">_xlfn.CONCAT(D919,"-",B919)</f>
        <v>CE - EUROFARMA G7-14291</v>
      </c>
      <c r="F919" s="2" t="n">
        <v>15</v>
      </c>
      <c r="G919" s="2" t="n">
        <v>522.59</v>
      </c>
    </row>
    <row r="920" customFormat="false" ht="13.8" hidden="false" customHeight="false" outlineLevel="0" collapsed="false">
      <c r="A920" s="2" t="s">
        <v>453</v>
      </c>
      <c r="B920" s="2" t="n">
        <v>14292</v>
      </c>
      <c r="C920" s="2" t="s">
        <v>454</v>
      </c>
      <c r="D920" s="2" t="s">
        <v>64</v>
      </c>
      <c r="E920" s="2" t="str">
        <f aca="false">_xlfn.CONCAT(D920,"-",B920)</f>
        <v>CE - 0000-14292</v>
      </c>
      <c r="F920" s="2" t="n">
        <v>23</v>
      </c>
      <c r="G920" s="2" t="n">
        <v>3040.05</v>
      </c>
    </row>
    <row r="921" customFormat="false" ht="13.8" hidden="false" customHeight="false" outlineLevel="0" collapsed="false">
      <c r="A921" s="2" t="s">
        <v>453</v>
      </c>
      <c r="B921" s="2" t="n">
        <v>14292</v>
      </c>
      <c r="C921" s="2" t="s">
        <v>454</v>
      </c>
      <c r="D921" s="2" t="s">
        <v>67</v>
      </c>
      <c r="E921" s="2" t="str">
        <f aca="false">_xlfn.CONCAT(D921,"-",B921)</f>
        <v>CE - EUROFARMA G7-14292</v>
      </c>
      <c r="F921" s="2" t="n">
        <v>2</v>
      </c>
      <c r="G921" s="2" t="n">
        <v>281.78</v>
      </c>
    </row>
    <row r="922" customFormat="false" ht="13.8" hidden="false" customHeight="false" outlineLevel="0" collapsed="false">
      <c r="A922" s="2" t="s">
        <v>455</v>
      </c>
      <c r="B922" s="2" t="n">
        <v>3156</v>
      </c>
      <c r="C922" s="2" t="s">
        <v>456</v>
      </c>
      <c r="D922" s="2" t="s">
        <v>66</v>
      </c>
      <c r="E922" s="2" t="str">
        <f aca="false">_xlfn.CONCAT(D922,"-",B922)</f>
        <v>CE - OL 001-3156</v>
      </c>
      <c r="F922" s="2" t="n">
        <v>17</v>
      </c>
      <c r="G922" s="2" t="n">
        <v>313.22</v>
      </c>
    </row>
    <row r="923" customFormat="false" ht="13.8" hidden="false" customHeight="false" outlineLevel="0" collapsed="false">
      <c r="A923" s="2" t="s">
        <v>455</v>
      </c>
      <c r="B923" s="2" t="n">
        <v>3156</v>
      </c>
      <c r="C923" s="2" t="s">
        <v>456</v>
      </c>
      <c r="D923" s="2" t="s">
        <v>68</v>
      </c>
      <c r="E923" s="2" t="str">
        <f aca="false">_xlfn.CONCAT(D923,"-",B923)</f>
        <v>CE - OL 002-3156</v>
      </c>
      <c r="F923" s="2" t="n">
        <v>3</v>
      </c>
      <c r="G923" s="2" t="n">
        <v>55.07</v>
      </c>
    </row>
    <row r="924" customFormat="false" ht="13.8" hidden="false" customHeight="false" outlineLevel="0" collapsed="false">
      <c r="A924" s="2" t="s">
        <v>455</v>
      </c>
      <c r="B924" s="2" t="n">
        <v>3156</v>
      </c>
      <c r="C924" s="2" t="s">
        <v>456</v>
      </c>
      <c r="D924" s="2" t="s">
        <v>64</v>
      </c>
      <c r="E924" s="2" t="str">
        <f aca="false">_xlfn.CONCAT(D924,"-",B924)</f>
        <v>CE - 0000-3156</v>
      </c>
      <c r="F924" s="2" t="n">
        <v>192</v>
      </c>
      <c r="G924" s="2" t="n">
        <v>3192.55</v>
      </c>
    </row>
    <row r="925" customFormat="false" ht="13.8" hidden="false" customHeight="false" outlineLevel="0" collapsed="false">
      <c r="A925" s="2" t="s">
        <v>457</v>
      </c>
      <c r="B925" s="2" t="n">
        <v>458</v>
      </c>
      <c r="C925" s="2" t="s">
        <v>458</v>
      </c>
      <c r="D925" s="2" t="s">
        <v>64</v>
      </c>
      <c r="E925" s="2" t="str">
        <f aca="false">_xlfn.CONCAT(D925,"-",B925)</f>
        <v>CE - 0000-458</v>
      </c>
      <c r="F925" s="2" t="n">
        <v>5119</v>
      </c>
      <c r="G925" s="2" t="n">
        <v>30990.9</v>
      </c>
    </row>
    <row r="926" customFormat="false" ht="13.8" hidden="false" customHeight="false" outlineLevel="0" collapsed="false">
      <c r="A926" s="2" t="s">
        <v>457</v>
      </c>
      <c r="B926" s="2" t="n">
        <v>458</v>
      </c>
      <c r="C926" s="2" t="s">
        <v>458</v>
      </c>
      <c r="D926" s="2" t="s">
        <v>66</v>
      </c>
      <c r="E926" s="2" t="str">
        <f aca="false">_xlfn.CONCAT(D926,"-",B926)</f>
        <v>CE - OL 001-458</v>
      </c>
      <c r="F926" s="2" t="n">
        <v>426</v>
      </c>
      <c r="G926" s="2" t="n">
        <v>2872.88</v>
      </c>
    </row>
    <row r="927" customFormat="false" ht="13.8" hidden="false" customHeight="false" outlineLevel="0" collapsed="false">
      <c r="A927" s="2" t="s">
        <v>457</v>
      </c>
      <c r="B927" s="2" t="n">
        <v>458</v>
      </c>
      <c r="C927" s="2" t="s">
        <v>458</v>
      </c>
      <c r="D927" s="2" t="s">
        <v>68</v>
      </c>
      <c r="E927" s="2" t="str">
        <f aca="false">_xlfn.CONCAT(D927,"-",B927)</f>
        <v>CE - OL 002-458</v>
      </c>
      <c r="F927" s="2" t="n">
        <v>92</v>
      </c>
      <c r="G927" s="2" t="n">
        <v>671.64</v>
      </c>
    </row>
    <row r="928" customFormat="false" ht="13.8" hidden="false" customHeight="false" outlineLevel="0" collapsed="false">
      <c r="A928" s="2" t="s">
        <v>457</v>
      </c>
      <c r="B928" s="2" t="n">
        <v>458</v>
      </c>
      <c r="C928" s="2" t="s">
        <v>458</v>
      </c>
      <c r="D928" s="2" t="s">
        <v>65</v>
      </c>
      <c r="E928" s="2" t="str">
        <f aca="false">_xlfn.CONCAT(D928,"-",B928)</f>
        <v>CE - EURO X AUGEFARMA-458</v>
      </c>
      <c r="F928" s="2" t="n">
        <v>198</v>
      </c>
      <c r="G928" s="2" t="n">
        <v>1030.58</v>
      </c>
    </row>
    <row r="929" customFormat="false" ht="13.8" hidden="false" customHeight="false" outlineLevel="0" collapsed="false">
      <c r="A929" s="2" t="s">
        <v>457</v>
      </c>
      <c r="B929" s="2" t="n">
        <v>458</v>
      </c>
      <c r="C929" s="2" t="s">
        <v>458</v>
      </c>
      <c r="D929" s="2" t="s">
        <v>67</v>
      </c>
      <c r="E929" s="2" t="str">
        <f aca="false">_xlfn.CONCAT(D929,"-",B929)</f>
        <v>CE - EUROFARMA G7-458</v>
      </c>
      <c r="F929" s="2" t="n">
        <v>960</v>
      </c>
      <c r="G929" s="2" t="n">
        <v>5961.84</v>
      </c>
    </row>
    <row r="930" customFormat="false" ht="13.8" hidden="false" customHeight="false" outlineLevel="0" collapsed="false">
      <c r="A930" s="2" t="s">
        <v>459</v>
      </c>
      <c r="B930" s="2" t="n">
        <v>1420</v>
      </c>
      <c r="C930" s="2" t="s">
        <v>460</v>
      </c>
      <c r="D930" s="2" t="s">
        <v>66</v>
      </c>
      <c r="E930" s="2" t="str">
        <f aca="false">_xlfn.CONCAT(D930,"-",B930)</f>
        <v>CE - OL 001-1420</v>
      </c>
      <c r="F930" s="2" t="n">
        <v>197</v>
      </c>
      <c r="G930" s="2" t="n">
        <v>4200.63</v>
      </c>
    </row>
    <row r="931" customFormat="false" ht="13.8" hidden="false" customHeight="false" outlineLevel="0" collapsed="false">
      <c r="A931" s="2" t="s">
        <v>459</v>
      </c>
      <c r="B931" s="2" t="n">
        <v>1420</v>
      </c>
      <c r="C931" s="2" t="s">
        <v>460</v>
      </c>
      <c r="D931" s="2" t="s">
        <v>64</v>
      </c>
      <c r="E931" s="2" t="str">
        <f aca="false">_xlfn.CONCAT(D931,"-",B931)</f>
        <v>CE - 0000-1420</v>
      </c>
      <c r="F931" s="2" t="n">
        <v>398</v>
      </c>
      <c r="G931" s="2" t="n">
        <v>7797.35</v>
      </c>
    </row>
    <row r="932" customFormat="false" ht="13.8" hidden="false" customHeight="false" outlineLevel="0" collapsed="false">
      <c r="A932" s="2" t="s">
        <v>459</v>
      </c>
      <c r="B932" s="2" t="n">
        <v>1420</v>
      </c>
      <c r="C932" s="2" t="s">
        <v>460</v>
      </c>
      <c r="D932" s="2" t="s">
        <v>65</v>
      </c>
      <c r="E932" s="2" t="str">
        <f aca="false">_xlfn.CONCAT(D932,"-",B932)</f>
        <v>CE - EURO X AUGEFARMA-1420</v>
      </c>
      <c r="F932" s="2" t="n">
        <v>10</v>
      </c>
      <c r="G932" s="2" t="n">
        <v>180.98</v>
      </c>
    </row>
    <row r="933" customFormat="false" ht="13.8" hidden="false" customHeight="false" outlineLevel="0" collapsed="false">
      <c r="A933" s="2" t="s">
        <v>459</v>
      </c>
      <c r="B933" s="2" t="n">
        <v>1420</v>
      </c>
      <c r="C933" s="2" t="s">
        <v>460</v>
      </c>
      <c r="D933" s="2" t="s">
        <v>69</v>
      </c>
      <c r="E933" s="2" t="str">
        <f aca="false">_xlfn.CONCAT(D933,"-",B933)</f>
        <v>CE - EUROFARMA 6%-1420</v>
      </c>
      <c r="F933" s="2" t="n">
        <v>6</v>
      </c>
      <c r="G933" s="2" t="n">
        <v>113.56</v>
      </c>
    </row>
    <row r="934" customFormat="false" ht="13.8" hidden="false" customHeight="false" outlineLevel="0" collapsed="false">
      <c r="A934" s="2" t="s">
        <v>459</v>
      </c>
      <c r="B934" s="2" t="n">
        <v>1420</v>
      </c>
      <c r="C934" s="2" t="s">
        <v>460</v>
      </c>
      <c r="D934" s="2" t="s">
        <v>68</v>
      </c>
      <c r="E934" s="2" t="str">
        <f aca="false">_xlfn.CONCAT(D934,"-",B934)</f>
        <v>CE - OL 002-1420</v>
      </c>
      <c r="F934" s="2" t="n">
        <v>6</v>
      </c>
      <c r="G934" s="2" t="n">
        <v>128.6</v>
      </c>
    </row>
    <row r="935" customFormat="false" ht="13.8" hidden="false" customHeight="false" outlineLevel="0" collapsed="false">
      <c r="A935" s="2" t="s">
        <v>461</v>
      </c>
      <c r="B935" s="2" t="n">
        <v>1419</v>
      </c>
      <c r="C935" s="2" t="s">
        <v>462</v>
      </c>
      <c r="D935" s="2" t="s">
        <v>64</v>
      </c>
      <c r="E935" s="2" t="str">
        <f aca="false">_xlfn.CONCAT(D935,"-",B935)</f>
        <v>CE - 0000-1419</v>
      </c>
      <c r="F935" s="2" t="n">
        <v>734</v>
      </c>
      <c r="G935" s="2" t="n">
        <v>8450.39</v>
      </c>
    </row>
    <row r="936" customFormat="false" ht="13.8" hidden="false" customHeight="false" outlineLevel="0" collapsed="false">
      <c r="A936" s="2" t="s">
        <v>461</v>
      </c>
      <c r="B936" s="2" t="n">
        <v>1419</v>
      </c>
      <c r="C936" s="2" t="s">
        <v>462</v>
      </c>
      <c r="D936" s="2" t="s">
        <v>68</v>
      </c>
      <c r="E936" s="2" t="str">
        <f aca="false">_xlfn.CONCAT(D936,"-",B936)</f>
        <v>CE - OL 002-1419</v>
      </c>
      <c r="F936" s="2" t="n">
        <v>213</v>
      </c>
      <c r="G936" s="2" t="n">
        <v>2753.46</v>
      </c>
    </row>
    <row r="937" customFormat="false" ht="13.8" hidden="false" customHeight="false" outlineLevel="0" collapsed="false">
      <c r="A937" s="2" t="s">
        <v>461</v>
      </c>
      <c r="B937" s="2" t="n">
        <v>1419</v>
      </c>
      <c r="C937" s="2" t="s">
        <v>462</v>
      </c>
      <c r="D937" s="2" t="s">
        <v>65</v>
      </c>
      <c r="E937" s="2" t="str">
        <f aca="false">_xlfn.CONCAT(D937,"-",B937)</f>
        <v>CE - EURO X AUGEFARMA-1419</v>
      </c>
      <c r="F937" s="2" t="n">
        <v>52</v>
      </c>
      <c r="G937" s="2" t="n">
        <v>558.04</v>
      </c>
    </row>
    <row r="938" customFormat="false" ht="13.8" hidden="false" customHeight="false" outlineLevel="0" collapsed="false">
      <c r="A938" s="2" t="s">
        <v>461</v>
      </c>
      <c r="B938" s="2" t="n">
        <v>1419</v>
      </c>
      <c r="C938" s="2" t="s">
        <v>462</v>
      </c>
      <c r="D938" s="2" t="s">
        <v>463</v>
      </c>
      <c r="E938" s="2" t="str">
        <f aca="false">_xlfn.CONCAT(D938,"-",B938)</f>
        <v>CE - EURO 6%-1419</v>
      </c>
      <c r="F938" s="2" t="n">
        <v>48</v>
      </c>
      <c r="G938" s="2" t="n">
        <v>525.5</v>
      </c>
    </row>
    <row r="939" customFormat="false" ht="13.8" hidden="false" customHeight="false" outlineLevel="0" collapsed="false">
      <c r="A939" s="2" t="s">
        <v>461</v>
      </c>
      <c r="B939" s="2" t="n">
        <v>1419</v>
      </c>
      <c r="C939" s="2" t="s">
        <v>462</v>
      </c>
      <c r="D939" s="2" t="s">
        <v>69</v>
      </c>
      <c r="E939" s="2" t="str">
        <f aca="false">_xlfn.CONCAT(D939,"-",B939)</f>
        <v>CE - EUROFARMA 6%-1419</v>
      </c>
      <c r="F939" s="2" t="n">
        <v>6</v>
      </c>
      <c r="G939" s="2" t="n">
        <v>65.74</v>
      </c>
    </row>
    <row r="940" customFormat="false" ht="13.8" hidden="false" customHeight="false" outlineLevel="0" collapsed="false">
      <c r="A940" s="2" t="s">
        <v>461</v>
      </c>
      <c r="B940" s="2" t="n">
        <v>1419</v>
      </c>
      <c r="C940" s="2" t="s">
        <v>462</v>
      </c>
      <c r="D940" s="2" t="s">
        <v>66</v>
      </c>
      <c r="E940" s="2" t="str">
        <f aca="false">_xlfn.CONCAT(D940,"-",B940)</f>
        <v>CE - OL 001-1419</v>
      </c>
      <c r="F940" s="2" t="n">
        <v>162</v>
      </c>
      <c r="G940" s="2" t="n">
        <v>2037.66</v>
      </c>
    </row>
    <row r="941" customFormat="false" ht="13.8" hidden="false" customHeight="false" outlineLevel="0" collapsed="false">
      <c r="A941" s="2" t="s">
        <v>461</v>
      </c>
      <c r="B941" s="2" t="n">
        <v>1419</v>
      </c>
      <c r="C941" s="2" t="s">
        <v>462</v>
      </c>
      <c r="D941" s="2" t="s">
        <v>67</v>
      </c>
      <c r="E941" s="2" t="str">
        <f aca="false">_xlfn.CONCAT(D941,"-",B941)</f>
        <v>CE - EUROFARMA G7-1419</v>
      </c>
      <c r="F941" s="2" t="n">
        <v>1</v>
      </c>
      <c r="G941" s="2" t="n">
        <v>11.29</v>
      </c>
    </row>
    <row r="942" customFormat="false" ht="13.8" hidden="false" customHeight="false" outlineLevel="0" collapsed="false">
      <c r="A942" s="2" t="s">
        <v>464</v>
      </c>
      <c r="B942" s="2" t="n">
        <v>457</v>
      </c>
      <c r="C942" s="2" t="s">
        <v>465</v>
      </c>
      <c r="D942" s="2" t="s">
        <v>69</v>
      </c>
      <c r="E942" s="2" t="str">
        <f aca="false">_xlfn.CONCAT(D942,"-",B942)</f>
        <v>CE - EUROFARMA 6%-457</v>
      </c>
      <c r="F942" s="2" t="n">
        <v>39</v>
      </c>
      <c r="G942" s="2" t="n">
        <v>540.37</v>
      </c>
    </row>
    <row r="943" customFormat="false" ht="13.8" hidden="false" customHeight="false" outlineLevel="0" collapsed="false">
      <c r="A943" s="2" t="s">
        <v>464</v>
      </c>
      <c r="B943" s="2" t="n">
        <v>457</v>
      </c>
      <c r="C943" s="2" t="s">
        <v>465</v>
      </c>
      <c r="D943" s="2" t="s">
        <v>66</v>
      </c>
      <c r="E943" s="2" t="str">
        <f aca="false">_xlfn.CONCAT(D943,"-",B943)</f>
        <v>CE - OL 001-457</v>
      </c>
      <c r="F943" s="2" t="n">
        <v>724</v>
      </c>
      <c r="G943" s="2" t="n">
        <v>10556.47</v>
      </c>
    </row>
    <row r="944" customFormat="false" ht="13.8" hidden="false" customHeight="false" outlineLevel="0" collapsed="false">
      <c r="A944" s="2" t="s">
        <v>464</v>
      </c>
      <c r="B944" s="2" t="n">
        <v>457</v>
      </c>
      <c r="C944" s="2" t="s">
        <v>465</v>
      </c>
      <c r="D944" s="2" t="s">
        <v>65</v>
      </c>
      <c r="E944" s="2" t="str">
        <f aca="false">_xlfn.CONCAT(D944,"-",B944)</f>
        <v>CE - EURO X AUGEFARMA-457</v>
      </c>
      <c r="F944" s="2" t="n">
        <v>123</v>
      </c>
      <c r="G944" s="2" t="n">
        <v>1469.71</v>
      </c>
    </row>
    <row r="945" customFormat="false" ht="13.8" hidden="false" customHeight="false" outlineLevel="0" collapsed="false">
      <c r="A945" s="2" t="s">
        <v>464</v>
      </c>
      <c r="B945" s="2" t="n">
        <v>457</v>
      </c>
      <c r="C945" s="2" t="s">
        <v>465</v>
      </c>
      <c r="D945" s="2" t="s">
        <v>67</v>
      </c>
      <c r="E945" s="2" t="str">
        <f aca="false">_xlfn.CONCAT(D945,"-",B945)</f>
        <v>CE - EUROFARMA G7-457</v>
      </c>
      <c r="F945" s="2" t="n">
        <v>592</v>
      </c>
      <c r="G945" s="2" t="n">
        <v>8307.49</v>
      </c>
    </row>
    <row r="946" customFormat="false" ht="13.8" hidden="false" customHeight="false" outlineLevel="0" collapsed="false">
      <c r="A946" s="2" t="s">
        <v>464</v>
      </c>
      <c r="B946" s="2" t="n">
        <v>457</v>
      </c>
      <c r="C946" s="2" t="s">
        <v>465</v>
      </c>
      <c r="D946" s="2" t="s">
        <v>68</v>
      </c>
      <c r="E946" s="2" t="str">
        <f aca="false">_xlfn.CONCAT(D946,"-",B946)</f>
        <v>CE - OL 002-457</v>
      </c>
      <c r="F946" s="2" t="n">
        <v>92</v>
      </c>
      <c r="G946" s="2" t="n">
        <v>1372.27</v>
      </c>
    </row>
    <row r="947" customFormat="false" ht="13.8" hidden="false" customHeight="false" outlineLevel="0" collapsed="false">
      <c r="A947" s="2" t="s">
        <v>464</v>
      </c>
      <c r="B947" s="2" t="n">
        <v>457</v>
      </c>
      <c r="C947" s="2" t="s">
        <v>465</v>
      </c>
      <c r="D947" s="2" t="s">
        <v>64</v>
      </c>
      <c r="E947" s="2" t="str">
        <f aca="false">_xlfn.CONCAT(D947,"-",B947)</f>
        <v>CE - 0000-457</v>
      </c>
      <c r="F947" s="2" t="n">
        <v>4945</v>
      </c>
      <c r="G947" s="2" t="n">
        <v>66378.61</v>
      </c>
    </row>
    <row r="948" customFormat="false" ht="13.8" hidden="false" customHeight="false" outlineLevel="0" collapsed="false">
      <c r="A948" s="2" t="s">
        <v>466</v>
      </c>
      <c r="B948" s="2" t="n">
        <v>459</v>
      </c>
      <c r="C948" s="2" t="s">
        <v>467</v>
      </c>
      <c r="D948" s="2" t="s">
        <v>64</v>
      </c>
      <c r="E948" s="2" t="str">
        <f aca="false">_xlfn.CONCAT(D948,"-",B948)</f>
        <v>CE - 0000-459</v>
      </c>
      <c r="F948" s="2" t="n">
        <v>766</v>
      </c>
      <c r="G948" s="2" t="n">
        <v>4019.52</v>
      </c>
    </row>
    <row r="949" customFormat="false" ht="13.8" hidden="false" customHeight="false" outlineLevel="0" collapsed="false">
      <c r="A949" s="2" t="s">
        <v>466</v>
      </c>
      <c r="B949" s="2" t="n">
        <v>459</v>
      </c>
      <c r="C949" s="2" t="s">
        <v>467</v>
      </c>
      <c r="D949" s="2" t="s">
        <v>69</v>
      </c>
      <c r="E949" s="2" t="str">
        <f aca="false">_xlfn.CONCAT(D949,"-",B949)</f>
        <v>CE - EUROFARMA 6%-459</v>
      </c>
      <c r="F949" s="2" t="n">
        <v>24</v>
      </c>
      <c r="G949" s="2" t="n">
        <v>131.08</v>
      </c>
    </row>
    <row r="950" customFormat="false" ht="13.8" hidden="false" customHeight="false" outlineLevel="0" collapsed="false">
      <c r="A950" s="2" t="s">
        <v>466</v>
      </c>
      <c r="B950" s="2" t="n">
        <v>459</v>
      </c>
      <c r="C950" s="2" t="s">
        <v>467</v>
      </c>
      <c r="D950" s="2" t="s">
        <v>68</v>
      </c>
      <c r="E950" s="2" t="str">
        <f aca="false">_xlfn.CONCAT(D950,"-",B950)</f>
        <v>CE - OL 002-459</v>
      </c>
      <c r="F950" s="2" t="n">
        <v>7</v>
      </c>
      <c r="G950" s="2" t="n">
        <v>41.31</v>
      </c>
    </row>
    <row r="951" customFormat="false" ht="13.8" hidden="false" customHeight="false" outlineLevel="0" collapsed="false">
      <c r="A951" s="2" t="s">
        <v>466</v>
      </c>
      <c r="B951" s="2" t="n">
        <v>459</v>
      </c>
      <c r="C951" s="2" t="s">
        <v>467</v>
      </c>
      <c r="D951" s="2" t="s">
        <v>65</v>
      </c>
      <c r="E951" s="2" t="str">
        <f aca="false">_xlfn.CONCAT(D951,"-",B951)</f>
        <v>CE - EURO X AUGEFARMA-459</v>
      </c>
      <c r="F951" s="2" t="n">
        <v>17</v>
      </c>
      <c r="G951" s="2" t="n">
        <v>78.35</v>
      </c>
    </row>
    <row r="952" customFormat="false" ht="13.8" hidden="false" customHeight="false" outlineLevel="0" collapsed="false">
      <c r="A952" s="2" t="s">
        <v>466</v>
      </c>
      <c r="B952" s="2" t="n">
        <v>459</v>
      </c>
      <c r="C952" s="2" t="s">
        <v>467</v>
      </c>
      <c r="D952" s="2" t="s">
        <v>66</v>
      </c>
      <c r="E952" s="2" t="str">
        <f aca="false">_xlfn.CONCAT(D952,"-",B952)</f>
        <v>CE - OL 001-459</v>
      </c>
      <c r="F952" s="2" t="n">
        <v>257</v>
      </c>
      <c r="G952" s="2" t="n">
        <v>1464.77</v>
      </c>
    </row>
    <row r="953" customFormat="false" ht="13.8" hidden="false" customHeight="false" outlineLevel="0" collapsed="false">
      <c r="A953" s="2" t="s">
        <v>466</v>
      </c>
      <c r="B953" s="2" t="n">
        <v>459</v>
      </c>
      <c r="C953" s="2" t="s">
        <v>467</v>
      </c>
      <c r="D953" s="2" t="s">
        <v>67</v>
      </c>
      <c r="E953" s="2" t="str">
        <f aca="false">_xlfn.CONCAT(D953,"-",B953)</f>
        <v>CE - EUROFARMA G7-459</v>
      </c>
      <c r="F953" s="2" t="n">
        <v>99</v>
      </c>
      <c r="G953" s="2" t="n">
        <v>547.56</v>
      </c>
    </row>
    <row r="954" customFormat="false" ht="13.8" hidden="false" customHeight="false" outlineLevel="0" collapsed="false">
      <c r="A954" s="2" t="s">
        <v>468</v>
      </c>
      <c r="B954" s="2" t="n">
        <v>460</v>
      </c>
      <c r="C954" s="2" t="s">
        <v>469</v>
      </c>
      <c r="D954" s="2" t="s">
        <v>67</v>
      </c>
      <c r="E954" s="2" t="str">
        <f aca="false">_xlfn.CONCAT(D954,"-",B954)</f>
        <v>CE - EUROFARMA G7-460</v>
      </c>
      <c r="F954" s="2" t="n">
        <v>313</v>
      </c>
      <c r="G954" s="2" t="n">
        <v>932.26</v>
      </c>
    </row>
    <row r="955" customFormat="false" ht="13.8" hidden="false" customHeight="false" outlineLevel="0" collapsed="false">
      <c r="A955" s="2" t="s">
        <v>468</v>
      </c>
      <c r="B955" s="2" t="n">
        <v>460</v>
      </c>
      <c r="C955" s="2" t="s">
        <v>469</v>
      </c>
      <c r="D955" s="2" t="s">
        <v>64</v>
      </c>
      <c r="E955" s="2" t="str">
        <f aca="false">_xlfn.CONCAT(D955,"-",B955)</f>
        <v>CE - 0000-460</v>
      </c>
      <c r="F955" s="2" t="n">
        <v>2149</v>
      </c>
      <c r="G955" s="2" t="n">
        <v>6041.04</v>
      </c>
    </row>
    <row r="956" customFormat="false" ht="13.8" hidden="false" customHeight="false" outlineLevel="0" collapsed="false">
      <c r="A956" s="2" t="s">
        <v>468</v>
      </c>
      <c r="B956" s="2" t="n">
        <v>460</v>
      </c>
      <c r="C956" s="2" t="s">
        <v>469</v>
      </c>
      <c r="D956" s="2" t="s">
        <v>68</v>
      </c>
      <c r="E956" s="2" t="str">
        <f aca="false">_xlfn.CONCAT(D956,"-",B956)</f>
        <v>CE - OL 002-460</v>
      </c>
      <c r="F956" s="2" t="n">
        <v>65</v>
      </c>
      <c r="G956" s="2" t="n">
        <v>223.73</v>
      </c>
    </row>
    <row r="957" customFormat="false" ht="13.8" hidden="false" customHeight="false" outlineLevel="0" collapsed="false">
      <c r="A957" s="2" t="s">
        <v>468</v>
      </c>
      <c r="B957" s="2" t="n">
        <v>460</v>
      </c>
      <c r="C957" s="2" t="s">
        <v>469</v>
      </c>
      <c r="D957" s="2" t="s">
        <v>65</v>
      </c>
      <c r="E957" s="2" t="str">
        <f aca="false">_xlfn.CONCAT(D957,"-",B957)</f>
        <v>CE - EURO X AUGEFARMA-460</v>
      </c>
      <c r="F957" s="2" t="n">
        <v>4</v>
      </c>
      <c r="G957" s="2" t="n">
        <v>10.31</v>
      </c>
    </row>
    <row r="958" customFormat="false" ht="13.8" hidden="false" customHeight="false" outlineLevel="0" collapsed="false">
      <c r="A958" s="2" t="s">
        <v>468</v>
      </c>
      <c r="B958" s="2" t="n">
        <v>460</v>
      </c>
      <c r="C958" s="2" t="s">
        <v>469</v>
      </c>
      <c r="D958" s="2" t="s">
        <v>69</v>
      </c>
      <c r="E958" s="2" t="str">
        <f aca="false">_xlfn.CONCAT(D958,"-",B958)</f>
        <v>CE - EUROFARMA 6%-460</v>
      </c>
      <c r="F958" s="2" t="n">
        <v>12</v>
      </c>
      <c r="G958" s="2" t="n">
        <v>35.05</v>
      </c>
    </row>
    <row r="959" customFormat="false" ht="13.8" hidden="false" customHeight="false" outlineLevel="0" collapsed="false">
      <c r="A959" s="2" t="s">
        <v>468</v>
      </c>
      <c r="B959" s="2" t="n">
        <v>460</v>
      </c>
      <c r="C959" s="2" t="s">
        <v>469</v>
      </c>
      <c r="D959" s="2" t="s">
        <v>66</v>
      </c>
      <c r="E959" s="2" t="str">
        <f aca="false">_xlfn.CONCAT(D959,"-",B959)</f>
        <v>CE - OL 001-460</v>
      </c>
      <c r="F959" s="2" t="n">
        <v>305</v>
      </c>
      <c r="G959" s="2" t="n">
        <v>959.26</v>
      </c>
    </row>
    <row r="960" customFormat="false" ht="13.8" hidden="false" customHeight="false" outlineLevel="0" collapsed="false">
      <c r="A960" s="2" t="s">
        <v>470</v>
      </c>
      <c r="B960" s="2" t="n">
        <v>1491</v>
      </c>
      <c r="C960" s="2" t="s">
        <v>471</v>
      </c>
      <c r="D960" s="2" t="s">
        <v>65</v>
      </c>
      <c r="E960" s="2" t="str">
        <f aca="false">_xlfn.CONCAT(D960,"-",B960)</f>
        <v>CE - EURO X AUGEFARMA-1491</v>
      </c>
      <c r="F960" s="2" t="n">
        <v>34</v>
      </c>
      <c r="G960" s="2" t="n">
        <v>339.94</v>
      </c>
    </row>
    <row r="961" customFormat="false" ht="13.8" hidden="false" customHeight="false" outlineLevel="0" collapsed="false">
      <c r="A961" s="2" t="s">
        <v>470</v>
      </c>
      <c r="B961" s="2" t="n">
        <v>1491</v>
      </c>
      <c r="C961" s="2" t="s">
        <v>471</v>
      </c>
      <c r="D961" s="2" t="s">
        <v>69</v>
      </c>
      <c r="E961" s="2" t="str">
        <f aca="false">_xlfn.CONCAT(D961,"-",B961)</f>
        <v>CE - EUROFARMA 6%-1491</v>
      </c>
      <c r="F961" s="2" t="n">
        <v>10</v>
      </c>
      <c r="G961" s="2" t="n">
        <v>323.48</v>
      </c>
    </row>
    <row r="962" customFormat="false" ht="13.8" hidden="false" customHeight="false" outlineLevel="0" collapsed="false">
      <c r="A962" s="2" t="s">
        <v>470</v>
      </c>
      <c r="B962" s="2" t="n">
        <v>1491</v>
      </c>
      <c r="C962" s="2" t="s">
        <v>471</v>
      </c>
      <c r="D962" s="2" t="s">
        <v>67</v>
      </c>
      <c r="E962" s="2" t="str">
        <f aca="false">_xlfn.CONCAT(D962,"-",B962)</f>
        <v>CE - EUROFARMA G7-1491</v>
      </c>
      <c r="F962" s="2" t="n">
        <v>166</v>
      </c>
      <c r="G962" s="2" t="n">
        <v>4067.74</v>
      </c>
    </row>
    <row r="963" customFormat="false" ht="13.8" hidden="false" customHeight="false" outlineLevel="0" collapsed="false">
      <c r="A963" s="2" t="s">
        <v>470</v>
      </c>
      <c r="B963" s="2" t="n">
        <v>1491</v>
      </c>
      <c r="C963" s="2" t="s">
        <v>471</v>
      </c>
      <c r="D963" s="2" t="s">
        <v>64</v>
      </c>
      <c r="E963" s="2" t="str">
        <f aca="false">_xlfn.CONCAT(D963,"-",B963)</f>
        <v>CE - 0000-1491</v>
      </c>
      <c r="F963" s="2" t="n">
        <v>812</v>
      </c>
      <c r="G963" s="2" t="n">
        <v>18186.73</v>
      </c>
    </row>
    <row r="964" customFormat="false" ht="13.8" hidden="false" customHeight="false" outlineLevel="0" collapsed="false">
      <c r="A964" s="2" t="s">
        <v>470</v>
      </c>
      <c r="B964" s="2" t="n">
        <v>1491</v>
      </c>
      <c r="C964" s="2" t="s">
        <v>471</v>
      </c>
      <c r="D964" s="2" t="s">
        <v>68</v>
      </c>
      <c r="E964" s="2" t="str">
        <f aca="false">_xlfn.CONCAT(D964,"-",B964)</f>
        <v>CE - OL 002-1491</v>
      </c>
      <c r="F964" s="2" t="n">
        <v>26</v>
      </c>
      <c r="G964" s="2" t="n">
        <v>559.46</v>
      </c>
    </row>
    <row r="965" customFormat="false" ht="13.8" hidden="false" customHeight="false" outlineLevel="0" collapsed="false">
      <c r="A965" s="2" t="s">
        <v>470</v>
      </c>
      <c r="B965" s="2" t="n">
        <v>1491</v>
      </c>
      <c r="C965" s="2" t="s">
        <v>471</v>
      </c>
      <c r="D965" s="2" t="s">
        <v>66</v>
      </c>
      <c r="E965" s="2" t="str">
        <f aca="false">_xlfn.CONCAT(D965,"-",B965)</f>
        <v>CE - OL 001-1491</v>
      </c>
      <c r="F965" s="2" t="n">
        <v>56</v>
      </c>
      <c r="G965" s="2" t="n">
        <v>1470.71</v>
      </c>
    </row>
    <row r="966" customFormat="false" ht="13.8" hidden="false" customHeight="false" outlineLevel="0" collapsed="false">
      <c r="A966" s="2" t="s">
        <v>472</v>
      </c>
      <c r="B966" s="2" t="n">
        <v>1490</v>
      </c>
      <c r="C966" s="2" t="s">
        <v>473</v>
      </c>
      <c r="D966" s="2" t="s">
        <v>64</v>
      </c>
      <c r="E966" s="2" t="str">
        <f aca="false">_xlfn.CONCAT(D966,"-",B966)</f>
        <v>CE - 0000-1490</v>
      </c>
      <c r="F966" s="2" t="n">
        <v>7841</v>
      </c>
      <c r="G966" s="2" t="n">
        <v>75411.08</v>
      </c>
    </row>
    <row r="967" customFormat="false" ht="13.8" hidden="false" customHeight="false" outlineLevel="0" collapsed="false">
      <c r="A967" s="2" t="s">
        <v>472</v>
      </c>
      <c r="B967" s="2" t="n">
        <v>1490</v>
      </c>
      <c r="C967" s="2" t="s">
        <v>473</v>
      </c>
      <c r="D967" s="2" t="s">
        <v>69</v>
      </c>
      <c r="E967" s="2" t="str">
        <f aca="false">_xlfn.CONCAT(D967,"-",B967)</f>
        <v>CE - EUROFARMA 6%-1490</v>
      </c>
      <c r="F967" s="2" t="n">
        <v>18</v>
      </c>
      <c r="G967" s="2" t="n">
        <v>314.99</v>
      </c>
    </row>
    <row r="968" customFormat="false" ht="13.8" hidden="false" customHeight="false" outlineLevel="0" collapsed="false">
      <c r="A968" s="2" t="s">
        <v>472</v>
      </c>
      <c r="B968" s="2" t="n">
        <v>1490</v>
      </c>
      <c r="C968" s="2" t="s">
        <v>473</v>
      </c>
      <c r="D968" s="2" t="s">
        <v>65</v>
      </c>
      <c r="E968" s="2" t="str">
        <f aca="false">_xlfn.CONCAT(D968,"-",B968)</f>
        <v>CE - EURO X AUGEFARMA-1490</v>
      </c>
      <c r="F968" s="2" t="n">
        <v>2178</v>
      </c>
      <c r="G968" s="2" t="n">
        <v>6656.33</v>
      </c>
    </row>
    <row r="969" customFormat="false" ht="13.8" hidden="false" customHeight="false" outlineLevel="0" collapsed="false">
      <c r="A969" s="2" t="s">
        <v>472</v>
      </c>
      <c r="B969" s="2" t="n">
        <v>1490</v>
      </c>
      <c r="C969" s="2" t="s">
        <v>473</v>
      </c>
      <c r="D969" s="2" t="s">
        <v>68</v>
      </c>
      <c r="E969" s="2" t="str">
        <f aca="false">_xlfn.CONCAT(D969,"-",B969)</f>
        <v>CE - OL 002-1490</v>
      </c>
      <c r="F969" s="2" t="n">
        <v>1051</v>
      </c>
      <c r="G969" s="2" t="n">
        <v>12653.36</v>
      </c>
    </row>
    <row r="970" customFormat="false" ht="13.8" hidden="false" customHeight="false" outlineLevel="0" collapsed="false">
      <c r="A970" s="2" t="s">
        <v>472</v>
      </c>
      <c r="B970" s="2" t="n">
        <v>1490</v>
      </c>
      <c r="C970" s="2" t="s">
        <v>473</v>
      </c>
      <c r="D970" s="2" t="s">
        <v>177</v>
      </c>
      <c r="E970" s="2" t="str">
        <f aca="false">_xlfn.CONCAT(D970,"-",B970)</f>
        <v>CE - OL NCO01-1490</v>
      </c>
      <c r="F970" s="2" t="n">
        <v>927</v>
      </c>
      <c r="G970" s="2" t="n">
        <v>5899.53</v>
      </c>
    </row>
    <row r="971" customFormat="false" ht="13.8" hidden="false" customHeight="false" outlineLevel="0" collapsed="false">
      <c r="A971" s="2" t="s">
        <v>472</v>
      </c>
      <c r="B971" s="2" t="n">
        <v>1490</v>
      </c>
      <c r="C971" s="2" t="s">
        <v>473</v>
      </c>
      <c r="D971" s="2" t="s">
        <v>67</v>
      </c>
      <c r="E971" s="2" t="str">
        <f aca="false">_xlfn.CONCAT(D971,"-",B971)</f>
        <v>CE - EUROFARMA G7-1490</v>
      </c>
      <c r="F971" s="2" t="n">
        <v>1231</v>
      </c>
      <c r="G971" s="2" t="n">
        <v>11483.51</v>
      </c>
    </row>
    <row r="972" customFormat="false" ht="13.8" hidden="false" customHeight="false" outlineLevel="0" collapsed="false">
      <c r="A972" s="2" t="s">
        <v>472</v>
      </c>
      <c r="B972" s="2" t="n">
        <v>1490</v>
      </c>
      <c r="C972" s="2" t="s">
        <v>473</v>
      </c>
      <c r="D972" s="2" t="s">
        <v>66</v>
      </c>
      <c r="E972" s="2" t="str">
        <f aca="false">_xlfn.CONCAT(D972,"-",B972)</f>
        <v>CE - OL 001-1490</v>
      </c>
      <c r="F972" s="2" t="n">
        <v>138</v>
      </c>
      <c r="G972" s="2" t="n">
        <v>1796.01</v>
      </c>
    </row>
    <row r="973" customFormat="false" ht="13.8" hidden="false" customHeight="false" outlineLevel="0" collapsed="false">
      <c r="A973" s="2" t="s">
        <v>474</v>
      </c>
      <c r="B973" s="2" t="n">
        <v>8882</v>
      </c>
      <c r="C973" s="2" t="s">
        <v>475</v>
      </c>
      <c r="D973" s="2" t="s">
        <v>64</v>
      </c>
      <c r="E973" s="2" t="str">
        <f aca="false">_xlfn.CONCAT(D973,"-",B973)</f>
        <v>CE - 0000-8882</v>
      </c>
      <c r="F973" s="2" t="n">
        <v>2575</v>
      </c>
      <c r="G973" s="2" t="n">
        <v>105001.36</v>
      </c>
    </row>
    <row r="974" customFormat="false" ht="13.8" hidden="false" customHeight="false" outlineLevel="0" collapsed="false">
      <c r="A974" s="2" t="s">
        <v>474</v>
      </c>
      <c r="B974" s="2" t="n">
        <v>8882</v>
      </c>
      <c r="C974" s="2" t="s">
        <v>475</v>
      </c>
      <c r="D974" s="2" t="s">
        <v>65</v>
      </c>
      <c r="E974" s="2" t="str">
        <f aca="false">_xlfn.CONCAT(D974,"-",B974)</f>
        <v>CE - EURO X AUGEFARMA-8882</v>
      </c>
      <c r="F974" s="2" t="n">
        <v>118</v>
      </c>
      <c r="G974" s="2" t="n">
        <v>4534.42</v>
      </c>
    </row>
    <row r="975" customFormat="false" ht="13.8" hidden="false" customHeight="false" outlineLevel="0" collapsed="false">
      <c r="A975" s="2" t="s">
        <v>474</v>
      </c>
      <c r="B975" s="2" t="n">
        <v>8882</v>
      </c>
      <c r="C975" s="2" t="s">
        <v>475</v>
      </c>
      <c r="D975" s="2" t="s">
        <v>66</v>
      </c>
      <c r="E975" s="2" t="str">
        <f aca="false">_xlfn.CONCAT(D975,"-",B975)</f>
        <v>CE - OL 001-8882</v>
      </c>
      <c r="F975" s="2" t="n">
        <v>323</v>
      </c>
      <c r="G975" s="2" t="n">
        <v>14426.85</v>
      </c>
    </row>
    <row r="976" customFormat="false" ht="13.8" hidden="false" customHeight="false" outlineLevel="0" collapsed="false">
      <c r="A976" s="2" t="s">
        <v>474</v>
      </c>
      <c r="B976" s="2" t="n">
        <v>8882</v>
      </c>
      <c r="C976" s="2" t="s">
        <v>475</v>
      </c>
      <c r="D976" s="2" t="s">
        <v>69</v>
      </c>
      <c r="E976" s="2" t="str">
        <f aca="false">_xlfn.CONCAT(D976,"-",B976)</f>
        <v>CE - EUROFARMA 6%-8882</v>
      </c>
      <c r="F976" s="2" t="n">
        <v>58</v>
      </c>
      <c r="G976" s="2" t="n">
        <v>2349.75</v>
      </c>
    </row>
    <row r="977" customFormat="false" ht="13.8" hidden="false" customHeight="false" outlineLevel="0" collapsed="false">
      <c r="A977" s="2" t="s">
        <v>474</v>
      </c>
      <c r="B977" s="2" t="n">
        <v>8882</v>
      </c>
      <c r="C977" s="2" t="s">
        <v>475</v>
      </c>
      <c r="D977" s="2" t="s">
        <v>67</v>
      </c>
      <c r="E977" s="2" t="str">
        <f aca="false">_xlfn.CONCAT(D977,"-",B977)</f>
        <v>CE - EUROFARMA G7-8882</v>
      </c>
      <c r="F977" s="2" t="n">
        <v>641</v>
      </c>
      <c r="G977" s="2" t="n">
        <v>27084.53</v>
      </c>
    </row>
    <row r="978" customFormat="false" ht="13.8" hidden="false" customHeight="false" outlineLevel="0" collapsed="false">
      <c r="A978" s="2" t="s">
        <v>474</v>
      </c>
      <c r="B978" s="2" t="n">
        <v>8882</v>
      </c>
      <c r="C978" s="2" t="s">
        <v>475</v>
      </c>
      <c r="D978" s="2" t="s">
        <v>68</v>
      </c>
      <c r="E978" s="2" t="str">
        <f aca="false">_xlfn.CONCAT(D978,"-",B978)</f>
        <v>CE - OL 002-8882</v>
      </c>
      <c r="F978" s="2" t="n">
        <v>40</v>
      </c>
      <c r="G978" s="2" t="n">
        <v>1820.36</v>
      </c>
    </row>
    <row r="979" customFormat="false" ht="13.8" hidden="false" customHeight="false" outlineLevel="0" collapsed="false">
      <c r="A979" s="2" t="s">
        <v>476</v>
      </c>
      <c r="B979" s="2" t="n">
        <v>10833</v>
      </c>
      <c r="C979" s="2" t="s">
        <v>477</v>
      </c>
      <c r="D979" s="2" t="s">
        <v>64</v>
      </c>
      <c r="E979" s="2" t="str">
        <f aca="false">_xlfn.CONCAT(D979,"-",B979)</f>
        <v>CE - 0000-10833</v>
      </c>
      <c r="F979" s="2" t="n">
        <v>103</v>
      </c>
      <c r="G979" s="2" t="n">
        <v>3367.78</v>
      </c>
    </row>
    <row r="980" customFormat="false" ht="13.8" hidden="false" customHeight="false" outlineLevel="0" collapsed="false">
      <c r="A980" s="2" t="s">
        <v>476</v>
      </c>
      <c r="B980" s="2" t="n">
        <v>10833</v>
      </c>
      <c r="C980" s="2" t="s">
        <v>477</v>
      </c>
      <c r="D980" s="2" t="s">
        <v>67</v>
      </c>
      <c r="E980" s="2" t="str">
        <f aca="false">_xlfn.CONCAT(D980,"-",B980)</f>
        <v>CE - EUROFARMA G7-10833</v>
      </c>
      <c r="F980" s="2" t="n">
        <v>2</v>
      </c>
      <c r="G980" s="2" t="n">
        <v>70.09</v>
      </c>
    </row>
    <row r="981" customFormat="false" ht="13.8" hidden="false" customHeight="false" outlineLevel="0" collapsed="false">
      <c r="A981" s="2" t="s">
        <v>476</v>
      </c>
      <c r="B981" s="2" t="n">
        <v>10833</v>
      </c>
      <c r="C981" s="2" t="s">
        <v>477</v>
      </c>
      <c r="D981" s="2" t="s">
        <v>68</v>
      </c>
      <c r="E981" s="2" t="str">
        <f aca="false">_xlfn.CONCAT(D981,"-",B981)</f>
        <v>CE - OL 002-10833</v>
      </c>
      <c r="F981" s="2" t="n">
        <v>6</v>
      </c>
      <c r="G981" s="2" t="n">
        <v>215.07</v>
      </c>
    </row>
    <row r="982" customFormat="false" ht="13.8" hidden="false" customHeight="false" outlineLevel="0" collapsed="false">
      <c r="A982" s="2" t="s">
        <v>476</v>
      </c>
      <c r="B982" s="2" t="n">
        <v>10833</v>
      </c>
      <c r="C982" s="2" t="s">
        <v>477</v>
      </c>
      <c r="D982" s="2" t="s">
        <v>66</v>
      </c>
      <c r="E982" s="2" t="str">
        <f aca="false">_xlfn.CONCAT(D982,"-",B982)</f>
        <v>CE - OL 001-10833</v>
      </c>
      <c r="F982" s="2" t="n">
        <v>19</v>
      </c>
      <c r="G982" s="2" t="n">
        <v>681.51</v>
      </c>
    </row>
    <row r="983" customFormat="false" ht="13.8" hidden="false" customHeight="false" outlineLevel="0" collapsed="false">
      <c r="A983" s="2" t="s">
        <v>476</v>
      </c>
      <c r="B983" s="2" t="n">
        <v>10833</v>
      </c>
      <c r="C983" s="2" t="s">
        <v>477</v>
      </c>
      <c r="D983" s="2" t="s">
        <v>65</v>
      </c>
      <c r="E983" s="2" t="str">
        <f aca="false">_xlfn.CONCAT(D983,"-",B983)</f>
        <v>CE - EURO X AUGEFARMA-10833</v>
      </c>
      <c r="F983" s="2" t="n">
        <v>6</v>
      </c>
      <c r="G983" s="2" t="n">
        <v>175.12</v>
      </c>
    </row>
    <row r="984" customFormat="false" ht="13.8" hidden="false" customHeight="false" outlineLevel="0" collapsed="false">
      <c r="A984" s="2" t="s">
        <v>476</v>
      </c>
      <c r="B984" s="2" t="n">
        <v>10833</v>
      </c>
      <c r="C984" s="2" t="s">
        <v>477</v>
      </c>
      <c r="D984" s="2" t="s">
        <v>69</v>
      </c>
      <c r="E984" s="2" t="str">
        <f aca="false">_xlfn.CONCAT(D984,"-",B984)</f>
        <v>CE - EUROFARMA 6%-10833</v>
      </c>
      <c r="F984" s="2" t="n">
        <v>4</v>
      </c>
      <c r="G984" s="2" t="n">
        <v>125.41</v>
      </c>
    </row>
    <row r="985" customFormat="false" ht="13.8" hidden="false" customHeight="false" outlineLevel="0" collapsed="false">
      <c r="A985" s="2" t="s">
        <v>478</v>
      </c>
      <c r="B985" s="2" t="n">
        <v>10834</v>
      </c>
      <c r="C985" s="2" t="s">
        <v>479</v>
      </c>
      <c r="D985" s="2" t="s">
        <v>64</v>
      </c>
      <c r="E985" s="2" t="str">
        <f aca="false">_xlfn.CONCAT(D985,"-",B985)</f>
        <v>CE - 0000-10834</v>
      </c>
      <c r="F985" s="2" t="n">
        <v>20</v>
      </c>
      <c r="G985" s="2" t="n">
        <v>1277.93</v>
      </c>
    </row>
    <row r="986" customFormat="false" ht="13.8" hidden="false" customHeight="false" outlineLevel="0" collapsed="false">
      <c r="A986" s="2" t="s">
        <v>478</v>
      </c>
      <c r="B986" s="2" t="n">
        <v>10834</v>
      </c>
      <c r="C986" s="2" t="s">
        <v>479</v>
      </c>
      <c r="D986" s="2" t="s">
        <v>68</v>
      </c>
      <c r="E986" s="2" t="str">
        <f aca="false">_xlfn.CONCAT(D986,"-",B986)</f>
        <v>CE - OL 002-10834</v>
      </c>
      <c r="F986" s="2" t="n">
        <v>1</v>
      </c>
      <c r="G986" s="2" t="n">
        <v>71.35</v>
      </c>
    </row>
    <row r="987" customFormat="false" ht="13.8" hidden="false" customHeight="false" outlineLevel="0" collapsed="false">
      <c r="A987" s="2" t="s">
        <v>480</v>
      </c>
      <c r="B987" s="2" t="n">
        <v>12235</v>
      </c>
      <c r="C987" s="2" t="s">
        <v>481</v>
      </c>
      <c r="D987" s="2" t="s">
        <v>67</v>
      </c>
      <c r="E987" s="2" t="str">
        <f aca="false">_xlfn.CONCAT(D987,"-",B987)</f>
        <v>CE - EUROFARMA G7-12235</v>
      </c>
      <c r="F987" s="2" t="n">
        <v>7</v>
      </c>
      <c r="G987" s="2" t="n">
        <v>193.94</v>
      </c>
    </row>
    <row r="988" customFormat="false" ht="13.8" hidden="false" customHeight="false" outlineLevel="0" collapsed="false">
      <c r="A988" s="2" t="s">
        <v>480</v>
      </c>
      <c r="B988" s="2" t="n">
        <v>12235</v>
      </c>
      <c r="C988" s="2" t="s">
        <v>481</v>
      </c>
      <c r="D988" s="2" t="s">
        <v>64</v>
      </c>
      <c r="E988" s="2" t="str">
        <f aca="false">_xlfn.CONCAT(D988,"-",B988)</f>
        <v>CE - 0000-12235</v>
      </c>
      <c r="F988" s="2" t="n">
        <v>279</v>
      </c>
      <c r="G988" s="2" t="n">
        <v>9713.25</v>
      </c>
    </row>
    <row r="989" customFormat="false" ht="13.8" hidden="false" customHeight="false" outlineLevel="0" collapsed="false">
      <c r="A989" s="2" t="s">
        <v>480</v>
      </c>
      <c r="B989" s="2" t="n">
        <v>12235</v>
      </c>
      <c r="C989" s="2" t="s">
        <v>481</v>
      </c>
      <c r="D989" s="2" t="s">
        <v>65</v>
      </c>
      <c r="E989" s="2" t="str">
        <f aca="false">_xlfn.CONCAT(D989,"-",B989)</f>
        <v>CE - EURO X AUGEFARMA-12235</v>
      </c>
      <c r="F989" s="2" t="n">
        <v>14</v>
      </c>
      <c r="G989" s="2" t="n">
        <v>147.68</v>
      </c>
    </row>
    <row r="990" customFormat="false" ht="13.8" hidden="false" customHeight="false" outlineLevel="0" collapsed="false">
      <c r="A990" s="2" t="s">
        <v>480</v>
      </c>
      <c r="B990" s="2" t="n">
        <v>12235</v>
      </c>
      <c r="C990" s="2" t="s">
        <v>481</v>
      </c>
      <c r="D990" s="2" t="s">
        <v>66</v>
      </c>
      <c r="E990" s="2" t="str">
        <f aca="false">_xlfn.CONCAT(D990,"-",B990)</f>
        <v>CE - OL 001-12235</v>
      </c>
      <c r="F990" s="2" t="n">
        <v>18</v>
      </c>
      <c r="G990" s="2" t="n">
        <v>627.18</v>
      </c>
    </row>
    <row r="991" customFormat="false" ht="13.8" hidden="false" customHeight="false" outlineLevel="0" collapsed="false">
      <c r="A991" s="2" t="s">
        <v>482</v>
      </c>
      <c r="B991" s="2" t="n">
        <v>10801</v>
      </c>
      <c r="C991" s="2" t="s">
        <v>483</v>
      </c>
      <c r="D991" s="2" t="s">
        <v>64</v>
      </c>
      <c r="E991" s="2" t="str">
        <f aca="false">_xlfn.CONCAT(D991,"-",B991)</f>
        <v>CE - 0000-10801</v>
      </c>
      <c r="F991" s="2" t="n">
        <v>31</v>
      </c>
      <c r="G991" s="2" t="n">
        <v>2220.47</v>
      </c>
    </row>
    <row r="992" customFormat="false" ht="13.8" hidden="false" customHeight="false" outlineLevel="0" collapsed="false">
      <c r="A992" s="2" t="s">
        <v>484</v>
      </c>
      <c r="B992" s="2" t="n">
        <v>10800</v>
      </c>
      <c r="C992" s="2" t="s">
        <v>485</v>
      </c>
      <c r="D992" s="2" t="s">
        <v>65</v>
      </c>
      <c r="E992" s="2" t="str">
        <f aca="false">_xlfn.CONCAT(D992,"-",B992)</f>
        <v>CE - EURO X AUGEFARMA-10800</v>
      </c>
      <c r="F992" s="2" t="n">
        <v>57</v>
      </c>
      <c r="G992" s="2" t="n">
        <v>719.51</v>
      </c>
    </row>
    <row r="993" customFormat="false" ht="13.8" hidden="false" customHeight="false" outlineLevel="0" collapsed="false">
      <c r="A993" s="2" t="s">
        <v>484</v>
      </c>
      <c r="B993" s="2" t="n">
        <v>10800</v>
      </c>
      <c r="C993" s="2" t="s">
        <v>485</v>
      </c>
      <c r="D993" s="2" t="s">
        <v>66</v>
      </c>
      <c r="E993" s="2" t="str">
        <f aca="false">_xlfn.CONCAT(D993,"-",B993)</f>
        <v>CE - OL 001-10800</v>
      </c>
      <c r="F993" s="2" t="n">
        <v>29</v>
      </c>
      <c r="G993" s="2" t="n">
        <v>503.71</v>
      </c>
    </row>
    <row r="994" customFormat="false" ht="13.8" hidden="false" customHeight="false" outlineLevel="0" collapsed="false">
      <c r="A994" s="2" t="s">
        <v>484</v>
      </c>
      <c r="B994" s="2" t="n">
        <v>10800</v>
      </c>
      <c r="C994" s="2" t="s">
        <v>485</v>
      </c>
      <c r="D994" s="2" t="s">
        <v>68</v>
      </c>
      <c r="E994" s="2" t="str">
        <f aca="false">_xlfn.CONCAT(D994,"-",B994)</f>
        <v>CE - OL 002-10800</v>
      </c>
      <c r="F994" s="2" t="n">
        <v>2</v>
      </c>
      <c r="G994" s="2" t="n">
        <v>164.66</v>
      </c>
    </row>
    <row r="995" customFormat="false" ht="13.8" hidden="false" customHeight="false" outlineLevel="0" collapsed="false">
      <c r="A995" s="2" t="s">
        <v>484</v>
      </c>
      <c r="B995" s="2" t="n">
        <v>10800</v>
      </c>
      <c r="C995" s="2" t="s">
        <v>485</v>
      </c>
      <c r="D995" s="2" t="s">
        <v>64</v>
      </c>
      <c r="E995" s="2" t="str">
        <f aca="false">_xlfn.CONCAT(D995,"-",B995)</f>
        <v>CE - 0000-10800</v>
      </c>
      <c r="F995" s="2" t="n">
        <v>869</v>
      </c>
      <c r="G995" s="2" t="n">
        <v>14470.92</v>
      </c>
    </row>
    <row r="996" customFormat="false" ht="13.8" hidden="false" customHeight="false" outlineLevel="0" collapsed="false">
      <c r="A996" s="2" t="s">
        <v>486</v>
      </c>
      <c r="B996" s="2" t="n">
        <v>27</v>
      </c>
      <c r="C996" s="2" t="s">
        <v>487</v>
      </c>
      <c r="D996" s="2" t="s">
        <v>67</v>
      </c>
      <c r="E996" s="2" t="str">
        <f aca="false">_xlfn.CONCAT(D996,"-",B996)</f>
        <v>CE - EUROFARMA G7-27</v>
      </c>
      <c r="F996" s="2" t="n">
        <v>350</v>
      </c>
      <c r="G996" s="2" t="n">
        <v>25824.14</v>
      </c>
    </row>
    <row r="997" customFormat="false" ht="13.8" hidden="false" customHeight="false" outlineLevel="0" collapsed="false">
      <c r="A997" s="2" t="s">
        <v>486</v>
      </c>
      <c r="B997" s="2" t="n">
        <v>27</v>
      </c>
      <c r="C997" s="2" t="s">
        <v>487</v>
      </c>
      <c r="D997" s="2" t="s">
        <v>65</v>
      </c>
      <c r="E997" s="2" t="str">
        <f aca="false">_xlfn.CONCAT(D997,"-",B997)</f>
        <v>CE - EURO X AUGEFARMA-27</v>
      </c>
      <c r="F997" s="2" t="n">
        <v>65</v>
      </c>
      <c r="G997" s="2" t="n">
        <v>3978.27</v>
      </c>
    </row>
    <row r="998" customFormat="false" ht="13.8" hidden="false" customHeight="false" outlineLevel="0" collapsed="false">
      <c r="A998" s="2" t="s">
        <v>486</v>
      </c>
      <c r="B998" s="2" t="n">
        <v>27</v>
      </c>
      <c r="C998" s="2" t="s">
        <v>487</v>
      </c>
      <c r="D998" s="2" t="s">
        <v>66</v>
      </c>
      <c r="E998" s="2" t="str">
        <f aca="false">_xlfn.CONCAT(D998,"-",B998)</f>
        <v>CE - OL 001-27</v>
      </c>
      <c r="F998" s="2" t="n">
        <v>279</v>
      </c>
      <c r="G998" s="2" t="n">
        <v>21436.38</v>
      </c>
    </row>
    <row r="999" customFormat="false" ht="13.8" hidden="false" customHeight="false" outlineLevel="0" collapsed="false">
      <c r="A999" s="2" t="s">
        <v>486</v>
      </c>
      <c r="B999" s="2" t="n">
        <v>27</v>
      </c>
      <c r="C999" s="2" t="s">
        <v>487</v>
      </c>
      <c r="D999" s="2" t="s">
        <v>64</v>
      </c>
      <c r="E999" s="2" t="str">
        <f aca="false">_xlfn.CONCAT(D999,"-",B999)</f>
        <v>CE - 0000-27</v>
      </c>
      <c r="F999" s="2" t="n">
        <v>1556</v>
      </c>
      <c r="G999" s="2" t="n">
        <v>111309.5</v>
      </c>
    </row>
    <row r="1000" customFormat="false" ht="13.8" hidden="false" customHeight="false" outlineLevel="0" collapsed="false">
      <c r="A1000" s="2" t="s">
        <v>486</v>
      </c>
      <c r="B1000" s="2" t="n">
        <v>27</v>
      </c>
      <c r="C1000" s="2" t="s">
        <v>487</v>
      </c>
      <c r="D1000" s="2" t="s">
        <v>69</v>
      </c>
      <c r="E1000" s="2" t="str">
        <f aca="false">_xlfn.CONCAT(D1000,"-",B1000)</f>
        <v>CE - EUROFARMA 6%-27</v>
      </c>
      <c r="F1000" s="2" t="n">
        <v>12</v>
      </c>
      <c r="G1000" s="2" t="n">
        <v>908.68</v>
      </c>
    </row>
    <row r="1001" customFormat="false" ht="13.8" hidden="false" customHeight="false" outlineLevel="0" collapsed="false">
      <c r="A1001" s="2" t="s">
        <v>486</v>
      </c>
      <c r="B1001" s="2" t="n">
        <v>27</v>
      </c>
      <c r="C1001" s="2" t="s">
        <v>487</v>
      </c>
      <c r="D1001" s="2" t="s">
        <v>68</v>
      </c>
      <c r="E1001" s="2" t="str">
        <f aca="false">_xlfn.CONCAT(D1001,"-",B1001)</f>
        <v>CE - OL 002-27</v>
      </c>
      <c r="F1001" s="2" t="n">
        <v>50</v>
      </c>
      <c r="G1001" s="2" t="n">
        <v>3949.58</v>
      </c>
    </row>
    <row r="1002" customFormat="false" ht="13.8" hidden="false" customHeight="false" outlineLevel="0" collapsed="false">
      <c r="A1002" s="2" t="s">
        <v>488</v>
      </c>
      <c r="B1002" s="2" t="n">
        <v>129</v>
      </c>
      <c r="C1002" s="2" t="s">
        <v>489</v>
      </c>
      <c r="D1002" s="2" t="s">
        <v>68</v>
      </c>
      <c r="E1002" s="2" t="str">
        <f aca="false">_xlfn.CONCAT(D1002,"-",B1002)</f>
        <v>CE - OL 002-129</v>
      </c>
      <c r="F1002" s="2" t="n">
        <v>10</v>
      </c>
      <c r="G1002" s="2" t="n">
        <v>214.81</v>
      </c>
    </row>
    <row r="1003" customFormat="false" ht="13.8" hidden="false" customHeight="false" outlineLevel="0" collapsed="false">
      <c r="A1003" s="2" t="s">
        <v>488</v>
      </c>
      <c r="B1003" s="2" t="n">
        <v>129</v>
      </c>
      <c r="C1003" s="2" t="s">
        <v>489</v>
      </c>
      <c r="D1003" s="2" t="s">
        <v>64</v>
      </c>
      <c r="E1003" s="2" t="str">
        <f aca="false">_xlfn.CONCAT(D1003,"-",B1003)</f>
        <v>CE - 0000-129</v>
      </c>
      <c r="F1003" s="2" t="n">
        <v>842</v>
      </c>
      <c r="G1003" s="2" t="n">
        <v>16500.55</v>
      </c>
    </row>
    <row r="1004" customFormat="false" ht="13.8" hidden="false" customHeight="false" outlineLevel="0" collapsed="false">
      <c r="A1004" s="2" t="s">
        <v>488</v>
      </c>
      <c r="B1004" s="2" t="n">
        <v>129</v>
      </c>
      <c r="C1004" s="2" t="s">
        <v>489</v>
      </c>
      <c r="D1004" s="2" t="s">
        <v>66</v>
      </c>
      <c r="E1004" s="2" t="str">
        <f aca="false">_xlfn.CONCAT(D1004,"-",B1004)</f>
        <v>CE - OL 001-129</v>
      </c>
      <c r="F1004" s="2" t="n">
        <v>137</v>
      </c>
      <c r="G1004" s="2" t="n">
        <v>2894.89</v>
      </c>
    </row>
    <row r="1005" customFormat="false" ht="13.8" hidden="false" customHeight="false" outlineLevel="0" collapsed="false">
      <c r="A1005" s="2" t="s">
        <v>488</v>
      </c>
      <c r="B1005" s="2" t="n">
        <v>129</v>
      </c>
      <c r="C1005" s="2" t="s">
        <v>489</v>
      </c>
      <c r="D1005" s="2" t="s">
        <v>67</v>
      </c>
      <c r="E1005" s="2" t="str">
        <f aca="false">_xlfn.CONCAT(D1005,"-",B1005)</f>
        <v>CE - EUROFARMA G7-129</v>
      </c>
      <c r="F1005" s="2" t="n">
        <v>303</v>
      </c>
      <c r="G1005" s="2" t="n">
        <v>6123.52</v>
      </c>
    </row>
    <row r="1006" customFormat="false" ht="13.8" hidden="false" customHeight="false" outlineLevel="0" collapsed="false">
      <c r="A1006" s="2" t="s">
        <v>488</v>
      </c>
      <c r="B1006" s="2" t="n">
        <v>129</v>
      </c>
      <c r="C1006" s="2" t="s">
        <v>489</v>
      </c>
      <c r="D1006" s="2" t="s">
        <v>65</v>
      </c>
      <c r="E1006" s="2" t="str">
        <f aca="false">_xlfn.CONCAT(D1006,"-",B1006)</f>
        <v>CE - EURO X AUGEFARMA-129</v>
      </c>
      <c r="F1006" s="2" t="n">
        <v>48</v>
      </c>
      <c r="G1006" s="2" t="n">
        <v>647.94</v>
      </c>
    </row>
    <row r="1007" customFormat="false" ht="13.8" hidden="false" customHeight="false" outlineLevel="0" collapsed="false">
      <c r="A1007" s="2" t="s">
        <v>488</v>
      </c>
      <c r="B1007" s="2" t="n">
        <v>129</v>
      </c>
      <c r="C1007" s="2" t="s">
        <v>489</v>
      </c>
      <c r="D1007" s="2" t="s">
        <v>69</v>
      </c>
      <c r="E1007" s="2" t="str">
        <f aca="false">_xlfn.CONCAT(D1007,"-",B1007)</f>
        <v>CE - EUROFARMA 6%-129</v>
      </c>
      <c r="F1007" s="2" t="n">
        <v>1</v>
      </c>
      <c r="G1007" s="2" t="n">
        <v>24.41</v>
      </c>
    </row>
    <row r="1008" customFormat="false" ht="13.8" hidden="false" customHeight="false" outlineLevel="0" collapsed="false">
      <c r="A1008" s="2" t="s">
        <v>490</v>
      </c>
      <c r="B1008" s="2" t="n">
        <v>10804</v>
      </c>
      <c r="C1008" s="2" t="s">
        <v>491</v>
      </c>
      <c r="D1008" s="2" t="s">
        <v>67</v>
      </c>
      <c r="E1008" s="2" t="str">
        <f aca="false">_xlfn.CONCAT(D1008,"-",B1008)</f>
        <v>CE - EUROFARMA G7-10804</v>
      </c>
      <c r="F1008" s="2" t="n">
        <v>481</v>
      </c>
      <c r="G1008" s="2" t="n">
        <v>5418.22</v>
      </c>
    </row>
    <row r="1009" customFormat="false" ht="13.8" hidden="false" customHeight="false" outlineLevel="0" collapsed="false">
      <c r="A1009" s="2" t="s">
        <v>490</v>
      </c>
      <c r="B1009" s="2" t="n">
        <v>10804</v>
      </c>
      <c r="C1009" s="2" t="s">
        <v>491</v>
      </c>
      <c r="D1009" s="2" t="s">
        <v>64</v>
      </c>
      <c r="E1009" s="2" t="str">
        <f aca="false">_xlfn.CONCAT(D1009,"-",B1009)</f>
        <v>CE - 0000-10804</v>
      </c>
      <c r="F1009" s="2" t="n">
        <v>2151</v>
      </c>
      <c r="G1009" s="2" t="n">
        <v>22855.05</v>
      </c>
    </row>
    <row r="1010" customFormat="false" ht="13.8" hidden="false" customHeight="false" outlineLevel="0" collapsed="false">
      <c r="A1010" s="2" t="s">
        <v>490</v>
      </c>
      <c r="B1010" s="2" t="n">
        <v>10804</v>
      </c>
      <c r="C1010" s="2" t="s">
        <v>491</v>
      </c>
      <c r="D1010" s="2" t="s">
        <v>66</v>
      </c>
      <c r="E1010" s="2" t="str">
        <f aca="false">_xlfn.CONCAT(D1010,"-",B1010)</f>
        <v>CE - OL 001-10804</v>
      </c>
      <c r="F1010" s="2" t="n">
        <v>87</v>
      </c>
      <c r="G1010" s="2" t="n">
        <v>957.05</v>
      </c>
    </row>
    <row r="1011" customFormat="false" ht="13.8" hidden="false" customHeight="false" outlineLevel="0" collapsed="false">
      <c r="A1011" s="2" t="s">
        <v>490</v>
      </c>
      <c r="B1011" s="2" t="n">
        <v>10804</v>
      </c>
      <c r="C1011" s="2" t="s">
        <v>491</v>
      </c>
      <c r="D1011" s="2" t="s">
        <v>69</v>
      </c>
      <c r="E1011" s="2" t="str">
        <f aca="false">_xlfn.CONCAT(D1011,"-",B1011)</f>
        <v>CE - EUROFARMA 6%-10804</v>
      </c>
      <c r="F1011" s="2" t="n">
        <v>23</v>
      </c>
      <c r="G1011" s="2" t="n">
        <v>298.43</v>
      </c>
    </row>
    <row r="1012" customFormat="false" ht="13.8" hidden="false" customHeight="false" outlineLevel="0" collapsed="false">
      <c r="A1012" s="2" t="s">
        <v>490</v>
      </c>
      <c r="B1012" s="2" t="n">
        <v>10804</v>
      </c>
      <c r="C1012" s="2" t="s">
        <v>491</v>
      </c>
      <c r="D1012" s="2" t="s">
        <v>68</v>
      </c>
      <c r="E1012" s="2" t="str">
        <f aca="false">_xlfn.CONCAT(D1012,"-",B1012)</f>
        <v>CE - OL 002-10804</v>
      </c>
      <c r="F1012" s="2" t="n">
        <v>16</v>
      </c>
      <c r="G1012" s="2" t="n">
        <v>192.41</v>
      </c>
    </row>
    <row r="1013" customFormat="false" ht="13.8" hidden="false" customHeight="false" outlineLevel="0" collapsed="false">
      <c r="A1013" s="2" t="s">
        <v>492</v>
      </c>
      <c r="B1013" s="2" t="n">
        <v>10805</v>
      </c>
      <c r="C1013" s="2" t="s">
        <v>493</v>
      </c>
      <c r="D1013" s="2" t="s">
        <v>65</v>
      </c>
      <c r="E1013" s="2" t="str">
        <f aca="false">_xlfn.CONCAT(D1013,"-",B1013)</f>
        <v>CE - EURO X AUGEFARMA-10805</v>
      </c>
      <c r="F1013" s="2" t="n">
        <v>53</v>
      </c>
      <c r="G1013" s="2" t="n">
        <v>297.11</v>
      </c>
    </row>
    <row r="1014" customFormat="false" ht="13.8" hidden="false" customHeight="false" outlineLevel="0" collapsed="false">
      <c r="A1014" s="2" t="s">
        <v>492</v>
      </c>
      <c r="B1014" s="2" t="n">
        <v>10805</v>
      </c>
      <c r="C1014" s="2" t="s">
        <v>493</v>
      </c>
      <c r="D1014" s="2" t="s">
        <v>67</v>
      </c>
      <c r="E1014" s="2" t="str">
        <f aca="false">_xlfn.CONCAT(D1014,"-",B1014)</f>
        <v>CE - EUROFARMA G7-10805</v>
      </c>
      <c r="F1014" s="2" t="n">
        <v>265</v>
      </c>
      <c r="G1014" s="2" t="n">
        <v>2259.82</v>
      </c>
    </row>
    <row r="1015" customFormat="false" ht="13.8" hidden="false" customHeight="false" outlineLevel="0" collapsed="false">
      <c r="A1015" s="2" t="s">
        <v>492</v>
      </c>
      <c r="B1015" s="2" t="n">
        <v>10805</v>
      </c>
      <c r="C1015" s="2" t="s">
        <v>493</v>
      </c>
      <c r="D1015" s="2" t="s">
        <v>64</v>
      </c>
      <c r="E1015" s="2" t="str">
        <f aca="false">_xlfn.CONCAT(D1015,"-",B1015)</f>
        <v>CE - 0000-10805</v>
      </c>
      <c r="F1015" s="2" t="n">
        <v>646</v>
      </c>
      <c r="G1015" s="2" t="n">
        <v>5344</v>
      </c>
    </row>
    <row r="1016" customFormat="false" ht="13.8" hidden="false" customHeight="false" outlineLevel="0" collapsed="false">
      <c r="A1016" s="2" t="s">
        <v>492</v>
      </c>
      <c r="B1016" s="2" t="n">
        <v>10805</v>
      </c>
      <c r="C1016" s="2" t="s">
        <v>493</v>
      </c>
      <c r="D1016" s="2" t="s">
        <v>66</v>
      </c>
      <c r="E1016" s="2" t="str">
        <f aca="false">_xlfn.CONCAT(D1016,"-",B1016)</f>
        <v>CE - OL 001-10805</v>
      </c>
      <c r="F1016" s="2" t="n">
        <v>102</v>
      </c>
      <c r="G1016" s="2" t="n">
        <v>898.53</v>
      </c>
    </row>
    <row r="1017" customFormat="false" ht="13.8" hidden="false" customHeight="false" outlineLevel="0" collapsed="false">
      <c r="A1017" s="2" t="s">
        <v>494</v>
      </c>
      <c r="B1017" s="2" t="n">
        <v>10806</v>
      </c>
      <c r="C1017" s="2" t="s">
        <v>495</v>
      </c>
      <c r="D1017" s="2" t="s">
        <v>64</v>
      </c>
      <c r="E1017" s="2" t="str">
        <f aca="false">_xlfn.CONCAT(D1017,"-",B1017)</f>
        <v>CE - 0000-10806</v>
      </c>
      <c r="F1017" s="2" t="n">
        <v>1068</v>
      </c>
      <c r="G1017" s="2" t="n">
        <v>13002.98</v>
      </c>
    </row>
    <row r="1018" customFormat="false" ht="13.8" hidden="false" customHeight="false" outlineLevel="0" collapsed="false">
      <c r="A1018" s="2" t="s">
        <v>494</v>
      </c>
      <c r="B1018" s="2" t="n">
        <v>10806</v>
      </c>
      <c r="C1018" s="2" t="s">
        <v>495</v>
      </c>
      <c r="D1018" s="2" t="s">
        <v>65</v>
      </c>
      <c r="E1018" s="2" t="str">
        <f aca="false">_xlfn.CONCAT(D1018,"-",B1018)</f>
        <v>CE - EURO X AUGEFARMA-10806</v>
      </c>
      <c r="F1018" s="2" t="n">
        <v>28</v>
      </c>
      <c r="G1018" s="2" t="n">
        <v>267.71</v>
      </c>
    </row>
    <row r="1019" customFormat="false" ht="13.8" hidden="false" customHeight="false" outlineLevel="0" collapsed="false">
      <c r="A1019" s="2" t="s">
        <v>494</v>
      </c>
      <c r="B1019" s="2" t="n">
        <v>10806</v>
      </c>
      <c r="C1019" s="2" t="s">
        <v>495</v>
      </c>
      <c r="D1019" s="2" t="s">
        <v>69</v>
      </c>
      <c r="E1019" s="2" t="str">
        <f aca="false">_xlfn.CONCAT(D1019,"-",B1019)</f>
        <v>CE - EUROFARMA 6%-10806</v>
      </c>
      <c r="F1019" s="2" t="n">
        <v>19</v>
      </c>
      <c r="G1019" s="2" t="n">
        <v>269.5</v>
      </c>
    </row>
    <row r="1020" customFormat="false" ht="13.8" hidden="false" customHeight="false" outlineLevel="0" collapsed="false">
      <c r="A1020" s="2" t="s">
        <v>494</v>
      </c>
      <c r="B1020" s="2" t="n">
        <v>10806</v>
      </c>
      <c r="C1020" s="2" t="s">
        <v>495</v>
      </c>
      <c r="D1020" s="2" t="s">
        <v>66</v>
      </c>
      <c r="E1020" s="2" t="str">
        <f aca="false">_xlfn.CONCAT(D1020,"-",B1020)</f>
        <v>CE - OL 001-10806</v>
      </c>
      <c r="F1020" s="2" t="n">
        <v>48</v>
      </c>
      <c r="G1020" s="2" t="n">
        <v>608.77</v>
      </c>
    </row>
    <row r="1021" customFormat="false" ht="13.8" hidden="false" customHeight="false" outlineLevel="0" collapsed="false">
      <c r="A1021" s="2" t="s">
        <v>494</v>
      </c>
      <c r="B1021" s="2" t="n">
        <v>10806</v>
      </c>
      <c r="C1021" s="2" t="s">
        <v>495</v>
      </c>
      <c r="D1021" s="2" t="s">
        <v>67</v>
      </c>
      <c r="E1021" s="2" t="str">
        <f aca="false">_xlfn.CONCAT(D1021,"-",B1021)</f>
        <v>CE - EUROFARMA G7-10806</v>
      </c>
      <c r="F1021" s="2" t="n">
        <v>98</v>
      </c>
      <c r="G1021" s="2" t="n">
        <v>1213.08</v>
      </c>
    </row>
    <row r="1022" customFormat="false" ht="13.8" hidden="false" customHeight="false" outlineLevel="0" collapsed="false">
      <c r="A1022" s="2" t="s">
        <v>494</v>
      </c>
      <c r="B1022" s="2" t="n">
        <v>10806</v>
      </c>
      <c r="C1022" s="2" t="s">
        <v>495</v>
      </c>
      <c r="D1022" s="2" t="s">
        <v>68</v>
      </c>
      <c r="E1022" s="2" t="str">
        <f aca="false">_xlfn.CONCAT(D1022,"-",B1022)</f>
        <v>CE - OL 002-10806</v>
      </c>
      <c r="F1022" s="2" t="n">
        <v>13</v>
      </c>
      <c r="G1022" s="2" t="n">
        <v>175.91</v>
      </c>
    </row>
    <row r="1023" customFormat="false" ht="13.8" hidden="false" customHeight="false" outlineLevel="0" collapsed="false">
      <c r="A1023" s="2" t="s">
        <v>496</v>
      </c>
      <c r="B1023" s="2" t="n">
        <v>15836</v>
      </c>
      <c r="C1023" s="2" t="s">
        <v>497</v>
      </c>
      <c r="D1023" s="2" t="s">
        <v>65</v>
      </c>
      <c r="E1023" s="2" t="str">
        <f aca="false">_xlfn.CONCAT(D1023,"-",B1023)</f>
        <v>CE - EURO X AUGEFARMA-15836</v>
      </c>
      <c r="F1023" s="2" t="n">
        <v>39</v>
      </c>
      <c r="G1023" s="2" t="n">
        <v>234.22</v>
      </c>
    </row>
    <row r="1024" customFormat="false" ht="13.8" hidden="false" customHeight="false" outlineLevel="0" collapsed="false">
      <c r="A1024" s="2" t="s">
        <v>496</v>
      </c>
      <c r="B1024" s="2" t="n">
        <v>15836</v>
      </c>
      <c r="C1024" s="2" t="s">
        <v>497</v>
      </c>
      <c r="D1024" s="2" t="s">
        <v>64</v>
      </c>
      <c r="E1024" s="2" t="str">
        <f aca="false">_xlfn.CONCAT(D1024,"-",B1024)</f>
        <v>CE - 0000-15836</v>
      </c>
      <c r="F1024" s="2" t="n">
        <v>835</v>
      </c>
      <c r="G1024" s="2" t="n">
        <v>14951.35</v>
      </c>
    </row>
    <row r="1025" customFormat="false" ht="13.8" hidden="false" customHeight="false" outlineLevel="0" collapsed="false">
      <c r="A1025" s="2" t="s">
        <v>496</v>
      </c>
      <c r="B1025" s="2" t="n">
        <v>15836</v>
      </c>
      <c r="C1025" s="2" t="s">
        <v>497</v>
      </c>
      <c r="D1025" s="2" t="s">
        <v>67</v>
      </c>
      <c r="E1025" s="2" t="str">
        <f aca="false">_xlfn.CONCAT(D1025,"-",B1025)</f>
        <v>CE - EUROFARMA G7-15836</v>
      </c>
      <c r="F1025" s="2" t="n">
        <v>90</v>
      </c>
      <c r="G1025" s="2" t="n">
        <v>1470.74</v>
      </c>
    </row>
    <row r="1026" customFormat="false" ht="13.8" hidden="false" customHeight="false" outlineLevel="0" collapsed="false">
      <c r="A1026" s="2" t="s">
        <v>496</v>
      </c>
      <c r="B1026" s="2" t="n">
        <v>15836</v>
      </c>
      <c r="C1026" s="2" t="s">
        <v>497</v>
      </c>
      <c r="D1026" s="2" t="s">
        <v>66</v>
      </c>
      <c r="E1026" s="2" t="str">
        <f aca="false">_xlfn.CONCAT(D1026,"-",B1026)</f>
        <v>CE - OL 001-15836</v>
      </c>
      <c r="F1026" s="2" t="n">
        <v>29</v>
      </c>
      <c r="G1026" s="2" t="n">
        <v>712.22</v>
      </c>
    </row>
    <row r="1027" customFormat="false" ht="13.8" hidden="false" customHeight="false" outlineLevel="0" collapsed="false">
      <c r="A1027" s="2" t="s">
        <v>496</v>
      </c>
      <c r="B1027" s="2" t="n">
        <v>15836</v>
      </c>
      <c r="C1027" s="2" t="s">
        <v>497</v>
      </c>
      <c r="D1027" s="2" t="s">
        <v>68</v>
      </c>
      <c r="E1027" s="2" t="str">
        <f aca="false">_xlfn.CONCAT(D1027,"-",B1027)</f>
        <v>CE - OL 002-15836</v>
      </c>
      <c r="F1027" s="2" t="n">
        <v>16</v>
      </c>
      <c r="G1027" s="2" t="n">
        <v>276.68</v>
      </c>
    </row>
    <row r="1028" customFormat="false" ht="13.8" hidden="false" customHeight="false" outlineLevel="0" collapsed="false">
      <c r="A1028" s="2" t="s">
        <v>496</v>
      </c>
      <c r="B1028" s="2" t="n">
        <v>15836</v>
      </c>
      <c r="C1028" s="2" t="s">
        <v>497</v>
      </c>
      <c r="D1028" s="2" t="s">
        <v>69</v>
      </c>
      <c r="E1028" s="2" t="str">
        <f aca="false">_xlfn.CONCAT(D1028,"-",B1028)</f>
        <v>CE - EUROFARMA 6%-15836</v>
      </c>
      <c r="F1028" s="2" t="n">
        <v>3</v>
      </c>
      <c r="G1028" s="2" t="n">
        <v>77.15</v>
      </c>
    </row>
    <row r="1029" customFormat="false" ht="13.8" hidden="false" customHeight="false" outlineLevel="0" collapsed="false">
      <c r="A1029" s="2" t="s">
        <v>498</v>
      </c>
      <c r="B1029" s="2" t="n">
        <v>15837</v>
      </c>
      <c r="C1029" s="2" t="s">
        <v>499</v>
      </c>
      <c r="D1029" s="2" t="s">
        <v>66</v>
      </c>
      <c r="E1029" s="2" t="str">
        <f aca="false">_xlfn.CONCAT(D1029,"-",B1029)</f>
        <v>CE - OL 001-15837</v>
      </c>
      <c r="F1029" s="2" t="n">
        <v>51</v>
      </c>
      <c r="G1029" s="2" t="n">
        <v>1239.33</v>
      </c>
    </row>
    <row r="1030" customFormat="false" ht="13.8" hidden="false" customHeight="false" outlineLevel="0" collapsed="false">
      <c r="A1030" s="2" t="s">
        <v>498</v>
      </c>
      <c r="B1030" s="2" t="n">
        <v>15837</v>
      </c>
      <c r="C1030" s="2" t="s">
        <v>499</v>
      </c>
      <c r="D1030" s="2" t="s">
        <v>64</v>
      </c>
      <c r="E1030" s="2" t="str">
        <f aca="false">_xlfn.CONCAT(D1030,"-",B1030)</f>
        <v>CE - 0000-15837</v>
      </c>
      <c r="F1030" s="2" t="n">
        <v>849</v>
      </c>
      <c r="G1030" s="2" t="n">
        <v>16002.9</v>
      </c>
    </row>
    <row r="1031" customFormat="false" ht="13.8" hidden="false" customHeight="false" outlineLevel="0" collapsed="false">
      <c r="A1031" s="2" t="s">
        <v>498</v>
      </c>
      <c r="B1031" s="2" t="n">
        <v>15837</v>
      </c>
      <c r="C1031" s="2" t="s">
        <v>499</v>
      </c>
      <c r="D1031" s="2" t="s">
        <v>68</v>
      </c>
      <c r="E1031" s="2" t="str">
        <f aca="false">_xlfn.CONCAT(D1031,"-",B1031)</f>
        <v>CE - OL 002-15837</v>
      </c>
      <c r="F1031" s="2" t="n">
        <v>6</v>
      </c>
      <c r="G1031" s="2" t="n">
        <v>111.19</v>
      </c>
    </row>
    <row r="1032" customFormat="false" ht="13.8" hidden="false" customHeight="false" outlineLevel="0" collapsed="false">
      <c r="A1032" s="2" t="s">
        <v>498</v>
      </c>
      <c r="B1032" s="2" t="n">
        <v>15837</v>
      </c>
      <c r="C1032" s="2" t="s">
        <v>499</v>
      </c>
      <c r="D1032" s="2" t="s">
        <v>67</v>
      </c>
      <c r="E1032" s="2" t="str">
        <f aca="false">_xlfn.CONCAT(D1032,"-",B1032)</f>
        <v>CE - EUROFARMA G7-15837</v>
      </c>
      <c r="F1032" s="2" t="n">
        <v>179</v>
      </c>
      <c r="G1032" s="2" t="n">
        <v>3130.66</v>
      </c>
    </row>
    <row r="1033" customFormat="false" ht="13.8" hidden="false" customHeight="false" outlineLevel="0" collapsed="false">
      <c r="A1033" s="2" t="s">
        <v>498</v>
      </c>
      <c r="B1033" s="2" t="n">
        <v>15837</v>
      </c>
      <c r="C1033" s="2" t="s">
        <v>499</v>
      </c>
      <c r="D1033" s="2" t="s">
        <v>65</v>
      </c>
      <c r="E1033" s="2" t="str">
        <f aca="false">_xlfn.CONCAT(D1033,"-",B1033)</f>
        <v>CE - EURO X AUGEFARMA-15837</v>
      </c>
      <c r="F1033" s="2" t="n">
        <v>48</v>
      </c>
      <c r="G1033" s="2" t="n">
        <v>369.39</v>
      </c>
    </row>
    <row r="1034" customFormat="false" ht="13.8" hidden="false" customHeight="false" outlineLevel="0" collapsed="false">
      <c r="A1034" s="2" t="s">
        <v>500</v>
      </c>
      <c r="B1034" s="2" t="n">
        <v>15838</v>
      </c>
      <c r="C1034" s="2" t="s">
        <v>501</v>
      </c>
      <c r="D1034" s="2" t="s">
        <v>67</v>
      </c>
      <c r="E1034" s="2" t="str">
        <f aca="false">_xlfn.CONCAT(D1034,"-",B1034)</f>
        <v>CE - EUROFARMA G7-15838</v>
      </c>
      <c r="F1034" s="2" t="n">
        <v>203</v>
      </c>
      <c r="G1034" s="2" t="n">
        <v>3584.07</v>
      </c>
    </row>
    <row r="1035" customFormat="false" ht="13.8" hidden="false" customHeight="false" outlineLevel="0" collapsed="false">
      <c r="A1035" s="2" t="s">
        <v>500</v>
      </c>
      <c r="B1035" s="2" t="n">
        <v>15838</v>
      </c>
      <c r="C1035" s="2" t="s">
        <v>501</v>
      </c>
      <c r="D1035" s="2" t="s">
        <v>69</v>
      </c>
      <c r="E1035" s="2" t="str">
        <f aca="false">_xlfn.CONCAT(D1035,"-",B1035)</f>
        <v>CE - EUROFARMA 6%-15838</v>
      </c>
      <c r="F1035" s="2" t="n">
        <v>12</v>
      </c>
      <c r="G1035" s="2" t="n">
        <v>310.3</v>
      </c>
    </row>
    <row r="1036" customFormat="false" ht="13.8" hidden="false" customHeight="false" outlineLevel="0" collapsed="false">
      <c r="A1036" s="2" t="s">
        <v>500</v>
      </c>
      <c r="B1036" s="2" t="n">
        <v>15838</v>
      </c>
      <c r="C1036" s="2" t="s">
        <v>501</v>
      </c>
      <c r="D1036" s="2" t="s">
        <v>66</v>
      </c>
      <c r="E1036" s="2" t="str">
        <f aca="false">_xlfn.CONCAT(D1036,"-",B1036)</f>
        <v>CE - OL 001-15838</v>
      </c>
      <c r="F1036" s="2" t="n">
        <v>199</v>
      </c>
      <c r="G1036" s="2" t="n">
        <v>3980.7</v>
      </c>
    </row>
    <row r="1037" customFormat="false" ht="13.8" hidden="false" customHeight="false" outlineLevel="0" collapsed="false">
      <c r="A1037" s="2" t="s">
        <v>500</v>
      </c>
      <c r="B1037" s="2" t="n">
        <v>15838</v>
      </c>
      <c r="C1037" s="2" t="s">
        <v>501</v>
      </c>
      <c r="D1037" s="2" t="s">
        <v>68</v>
      </c>
      <c r="E1037" s="2" t="str">
        <f aca="false">_xlfn.CONCAT(D1037,"-",B1037)</f>
        <v>CE - OL 002-15838</v>
      </c>
      <c r="F1037" s="2" t="n">
        <v>39</v>
      </c>
      <c r="G1037" s="2" t="n">
        <v>752.13</v>
      </c>
    </row>
    <row r="1038" customFormat="false" ht="13.8" hidden="false" customHeight="false" outlineLevel="0" collapsed="false">
      <c r="A1038" s="2" t="s">
        <v>500</v>
      </c>
      <c r="B1038" s="2" t="n">
        <v>15838</v>
      </c>
      <c r="C1038" s="2" t="s">
        <v>501</v>
      </c>
      <c r="D1038" s="2" t="s">
        <v>65</v>
      </c>
      <c r="E1038" s="2" t="str">
        <f aca="false">_xlfn.CONCAT(D1038,"-",B1038)</f>
        <v>CE - EURO X AUGEFARMA-15838</v>
      </c>
      <c r="F1038" s="2" t="n">
        <v>137</v>
      </c>
      <c r="G1038" s="2" t="n">
        <v>1058.12</v>
      </c>
    </row>
    <row r="1039" customFormat="false" ht="13.8" hidden="false" customHeight="false" outlineLevel="0" collapsed="false">
      <c r="A1039" s="2" t="s">
        <v>500</v>
      </c>
      <c r="B1039" s="2" t="n">
        <v>15838</v>
      </c>
      <c r="C1039" s="2" t="s">
        <v>501</v>
      </c>
      <c r="D1039" s="2" t="s">
        <v>64</v>
      </c>
      <c r="E1039" s="2" t="str">
        <f aca="false">_xlfn.CONCAT(D1039,"-",B1039)</f>
        <v>CE - 0000-15838</v>
      </c>
      <c r="F1039" s="2" t="n">
        <v>2353</v>
      </c>
      <c r="G1039" s="2" t="n">
        <v>44050.29</v>
      </c>
    </row>
    <row r="1040" customFormat="false" ht="13.8" hidden="false" customHeight="false" outlineLevel="0" collapsed="false">
      <c r="A1040" s="2" t="s">
        <v>502</v>
      </c>
      <c r="B1040" s="2" t="n">
        <v>1958</v>
      </c>
      <c r="C1040" s="2" t="s">
        <v>503</v>
      </c>
      <c r="D1040" s="2" t="s">
        <v>68</v>
      </c>
      <c r="E1040" s="2" t="str">
        <f aca="false">_xlfn.CONCAT(D1040,"-",B1040)</f>
        <v>CE - OL 002-1958</v>
      </c>
      <c r="F1040" s="2" t="n">
        <v>1</v>
      </c>
      <c r="G1040" s="2" t="n">
        <v>14.04</v>
      </c>
    </row>
    <row r="1041" customFormat="false" ht="13.8" hidden="false" customHeight="false" outlineLevel="0" collapsed="false">
      <c r="A1041" s="2" t="s">
        <v>502</v>
      </c>
      <c r="B1041" s="2" t="n">
        <v>1958</v>
      </c>
      <c r="C1041" s="2" t="s">
        <v>503</v>
      </c>
      <c r="D1041" s="2" t="s">
        <v>66</v>
      </c>
      <c r="E1041" s="2" t="str">
        <f aca="false">_xlfn.CONCAT(D1041,"-",B1041)</f>
        <v>CE - OL 001-1958</v>
      </c>
      <c r="F1041" s="2" t="n">
        <v>17</v>
      </c>
      <c r="G1041" s="2" t="n">
        <v>278.33</v>
      </c>
    </row>
    <row r="1042" customFormat="false" ht="13.8" hidden="false" customHeight="false" outlineLevel="0" collapsed="false">
      <c r="A1042" s="2" t="s">
        <v>502</v>
      </c>
      <c r="B1042" s="2" t="n">
        <v>1958</v>
      </c>
      <c r="C1042" s="2" t="s">
        <v>503</v>
      </c>
      <c r="D1042" s="2" t="s">
        <v>64</v>
      </c>
      <c r="E1042" s="2" t="str">
        <f aca="false">_xlfn.CONCAT(D1042,"-",B1042)</f>
        <v>CE - 0000-1958</v>
      </c>
      <c r="F1042" s="2" t="n">
        <v>563</v>
      </c>
      <c r="G1042" s="2" t="n">
        <v>8084.62</v>
      </c>
    </row>
    <row r="1043" customFormat="false" ht="13.8" hidden="false" customHeight="false" outlineLevel="0" collapsed="false">
      <c r="A1043" s="2" t="s">
        <v>502</v>
      </c>
      <c r="B1043" s="2" t="n">
        <v>1958</v>
      </c>
      <c r="C1043" s="2" t="s">
        <v>503</v>
      </c>
      <c r="D1043" s="2" t="s">
        <v>67</v>
      </c>
      <c r="E1043" s="2" t="str">
        <f aca="false">_xlfn.CONCAT(D1043,"-",B1043)</f>
        <v>CE - EUROFARMA G7-1958</v>
      </c>
      <c r="F1043" s="2" t="n">
        <v>72</v>
      </c>
      <c r="G1043" s="2" t="n">
        <v>737.57</v>
      </c>
    </row>
    <row r="1044" customFormat="false" ht="13.8" hidden="false" customHeight="false" outlineLevel="0" collapsed="false">
      <c r="A1044" s="2" t="s">
        <v>504</v>
      </c>
      <c r="B1044" s="2" t="n">
        <v>1961</v>
      </c>
      <c r="C1044" s="2" t="s">
        <v>505</v>
      </c>
      <c r="D1044" s="2" t="s">
        <v>66</v>
      </c>
      <c r="E1044" s="2" t="str">
        <f aca="false">_xlfn.CONCAT(D1044,"-",B1044)</f>
        <v>CE - OL 001-1961</v>
      </c>
      <c r="F1044" s="2" t="n">
        <v>39</v>
      </c>
      <c r="G1044" s="2" t="n">
        <v>612.3</v>
      </c>
    </row>
    <row r="1045" customFormat="false" ht="13.8" hidden="false" customHeight="false" outlineLevel="0" collapsed="false">
      <c r="A1045" s="2" t="s">
        <v>504</v>
      </c>
      <c r="B1045" s="2" t="n">
        <v>1961</v>
      </c>
      <c r="C1045" s="2" t="s">
        <v>505</v>
      </c>
      <c r="D1045" s="2" t="s">
        <v>68</v>
      </c>
      <c r="E1045" s="2" t="str">
        <f aca="false">_xlfn.CONCAT(D1045,"-",B1045)</f>
        <v>CE - OL 002-1961</v>
      </c>
      <c r="F1045" s="2" t="n">
        <v>18</v>
      </c>
      <c r="G1045" s="2" t="n">
        <v>2502.76</v>
      </c>
    </row>
    <row r="1046" customFormat="false" ht="13.8" hidden="false" customHeight="false" outlineLevel="0" collapsed="false">
      <c r="A1046" s="2" t="s">
        <v>504</v>
      </c>
      <c r="B1046" s="2" t="n">
        <v>1961</v>
      </c>
      <c r="C1046" s="2" t="s">
        <v>505</v>
      </c>
      <c r="D1046" s="2" t="s">
        <v>67</v>
      </c>
      <c r="E1046" s="2" t="str">
        <f aca="false">_xlfn.CONCAT(D1046,"-",B1046)</f>
        <v>CE - EUROFARMA G7-1961</v>
      </c>
      <c r="F1046" s="2" t="n">
        <v>87</v>
      </c>
      <c r="G1046" s="2" t="n">
        <v>2354.02</v>
      </c>
    </row>
    <row r="1047" customFormat="false" ht="13.8" hidden="false" customHeight="false" outlineLevel="0" collapsed="false">
      <c r="A1047" s="2" t="s">
        <v>504</v>
      </c>
      <c r="B1047" s="2" t="n">
        <v>1961</v>
      </c>
      <c r="C1047" s="2" t="s">
        <v>505</v>
      </c>
      <c r="D1047" s="2" t="s">
        <v>64</v>
      </c>
      <c r="E1047" s="2" t="str">
        <f aca="false">_xlfn.CONCAT(D1047,"-",B1047)</f>
        <v>CE - 0000-1961</v>
      </c>
      <c r="F1047" s="2" t="n">
        <v>498</v>
      </c>
      <c r="G1047" s="2" t="n">
        <v>10218.11</v>
      </c>
    </row>
    <row r="1048" customFormat="false" ht="13.8" hidden="false" customHeight="false" outlineLevel="0" collapsed="false">
      <c r="A1048" s="2" t="s">
        <v>506</v>
      </c>
      <c r="B1048" s="2" t="n">
        <v>1957</v>
      </c>
      <c r="C1048" s="2" t="s">
        <v>507</v>
      </c>
      <c r="D1048" s="2" t="s">
        <v>64</v>
      </c>
      <c r="E1048" s="2" t="str">
        <f aca="false">_xlfn.CONCAT(D1048,"-",B1048)</f>
        <v>CE - 0000-1957</v>
      </c>
      <c r="F1048" s="2" t="n">
        <v>394</v>
      </c>
      <c r="G1048" s="2" t="n">
        <v>3993.66</v>
      </c>
    </row>
    <row r="1049" customFormat="false" ht="13.8" hidden="false" customHeight="false" outlineLevel="0" collapsed="false">
      <c r="A1049" s="2" t="s">
        <v>506</v>
      </c>
      <c r="B1049" s="2" t="n">
        <v>1957</v>
      </c>
      <c r="C1049" s="2" t="s">
        <v>507</v>
      </c>
      <c r="D1049" s="2" t="s">
        <v>66</v>
      </c>
      <c r="E1049" s="2" t="str">
        <f aca="false">_xlfn.CONCAT(D1049,"-",B1049)</f>
        <v>CE - OL 001-1957</v>
      </c>
      <c r="F1049" s="2" t="n">
        <v>100</v>
      </c>
      <c r="G1049" s="2" t="n">
        <v>1238.14</v>
      </c>
    </row>
    <row r="1050" customFormat="false" ht="13.8" hidden="false" customHeight="false" outlineLevel="0" collapsed="false">
      <c r="A1050" s="2" t="s">
        <v>506</v>
      </c>
      <c r="B1050" s="2" t="n">
        <v>1957</v>
      </c>
      <c r="C1050" s="2" t="s">
        <v>507</v>
      </c>
      <c r="D1050" s="2" t="s">
        <v>65</v>
      </c>
      <c r="E1050" s="2" t="str">
        <f aca="false">_xlfn.CONCAT(D1050,"-",B1050)</f>
        <v>CE - EURO X AUGEFARMA-1957</v>
      </c>
      <c r="F1050" s="2" t="n">
        <v>69</v>
      </c>
      <c r="G1050" s="2" t="n">
        <v>500.02</v>
      </c>
    </row>
    <row r="1051" customFormat="false" ht="13.8" hidden="false" customHeight="false" outlineLevel="0" collapsed="false">
      <c r="A1051" s="2" t="s">
        <v>508</v>
      </c>
      <c r="B1051" s="2" t="n">
        <v>10809</v>
      </c>
      <c r="C1051" s="2" t="s">
        <v>509</v>
      </c>
      <c r="D1051" s="2" t="s">
        <v>64</v>
      </c>
      <c r="E1051" s="2" t="str">
        <f aca="false">_xlfn.CONCAT(D1051,"-",B1051)</f>
        <v>CE - 0000-10809</v>
      </c>
      <c r="F1051" s="2" t="n">
        <v>1900</v>
      </c>
      <c r="G1051" s="2" t="n">
        <v>44274.09</v>
      </c>
    </row>
    <row r="1052" customFormat="false" ht="13.8" hidden="false" customHeight="false" outlineLevel="0" collapsed="false">
      <c r="A1052" s="2" t="s">
        <v>508</v>
      </c>
      <c r="B1052" s="2" t="n">
        <v>10809</v>
      </c>
      <c r="C1052" s="2" t="s">
        <v>509</v>
      </c>
      <c r="D1052" s="2" t="s">
        <v>65</v>
      </c>
      <c r="E1052" s="2" t="str">
        <f aca="false">_xlfn.CONCAT(D1052,"-",B1052)</f>
        <v>CE - EURO X AUGEFARMA-10809</v>
      </c>
      <c r="F1052" s="2" t="n">
        <v>45</v>
      </c>
      <c r="G1052" s="2" t="n">
        <v>699.9</v>
      </c>
    </row>
    <row r="1053" customFormat="false" ht="13.8" hidden="false" customHeight="false" outlineLevel="0" collapsed="false">
      <c r="A1053" s="2" t="s">
        <v>508</v>
      </c>
      <c r="B1053" s="2" t="n">
        <v>10809</v>
      </c>
      <c r="C1053" s="2" t="s">
        <v>509</v>
      </c>
      <c r="D1053" s="2" t="s">
        <v>67</v>
      </c>
      <c r="E1053" s="2" t="str">
        <f aca="false">_xlfn.CONCAT(D1053,"-",B1053)</f>
        <v>CE - EUROFARMA G7-10809</v>
      </c>
      <c r="F1053" s="2" t="n">
        <v>377</v>
      </c>
      <c r="G1053" s="2" t="n">
        <v>9178.97</v>
      </c>
    </row>
    <row r="1054" customFormat="false" ht="13.8" hidden="false" customHeight="false" outlineLevel="0" collapsed="false">
      <c r="A1054" s="2" t="s">
        <v>508</v>
      </c>
      <c r="B1054" s="2" t="n">
        <v>10809</v>
      </c>
      <c r="C1054" s="2" t="s">
        <v>509</v>
      </c>
      <c r="D1054" s="2" t="s">
        <v>69</v>
      </c>
      <c r="E1054" s="2" t="str">
        <f aca="false">_xlfn.CONCAT(D1054,"-",B1054)</f>
        <v>CE - EUROFARMA 6%-10809</v>
      </c>
      <c r="F1054" s="2" t="n">
        <v>28</v>
      </c>
      <c r="G1054" s="2" t="n">
        <v>832.44</v>
      </c>
    </row>
    <row r="1055" customFormat="false" ht="13.8" hidden="false" customHeight="false" outlineLevel="0" collapsed="false">
      <c r="A1055" s="2" t="s">
        <v>508</v>
      </c>
      <c r="B1055" s="2" t="n">
        <v>10809</v>
      </c>
      <c r="C1055" s="2" t="s">
        <v>509</v>
      </c>
      <c r="D1055" s="2" t="s">
        <v>66</v>
      </c>
      <c r="E1055" s="2" t="str">
        <f aca="false">_xlfn.CONCAT(D1055,"-",B1055)</f>
        <v>CE - OL 001-10809</v>
      </c>
      <c r="F1055" s="2" t="n">
        <v>420</v>
      </c>
      <c r="G1055" s="2" t="n">
        <v>10719.83</v>
      </c>
    </row>
    <row r="1056" customFormat="false" ht="13.8" hidden="false" customHeight="false" outlineLevel="0" collapsed="false">
      <c r="A1056" s="2" t="s">
        <v>508</v>
      </c>
      <c r="B1056" s="2" t="n">
        <v>10809</v>
      </c>
      <c r="C1056" s="2" t="s">
        <v>509</v>
      </c>
      <c r="D1056" s="2" t="s">
        <v>68</v>
      </c>
      <c r="E1056" s="2" t="str">
        <f aca="false">_xlfn.CONCAT(D1056,"-",B1056)</f>
        <v>CE - OL 002-10809</v>
      </c>
      <c r="F1056" s="2" t="n">
        <v>64</v>
      </c>
      <c r="G1056" s="2" t="n">
        <v>1669.84</v>
      </c>
    </row>
    <row r="1057" customFormat="false" ht="13.8" hidden="false" customHeight="false" outlineLevel="0" collapsed="false">
      <c r="A1057" s="2" t="s">
        <v>510</v>
      </c>
      <c r="B1057" s="2" t="n">
        <v>10807</v>
      </c>
      <c r="C1057" s="2" t="s">
        <v>511</v>
      </c>
      <c r="D1057" s="2" t="s">
        <v>69</v>
      </c>
      <c r="E1057" s="2" t="str">
        <f aca="false">_xlfn.CONCAT(D1057,"-",B1057)</f>
        <v>CE - EUROFARMA 6%-10807</v>
      </c>
      <c r="F1057" s="2" t="n">
        <v>13</v>
      </c>
      <c r="G1057" s="2" t="n">
        <v>377.18</v>
      </c>
    </row>
    <row r="1058" customFormat="false" ht="13.8" hidden="false" customHeight="false" outlineLevel="0" collapsed="false">
      <c r="A1058" s="2" t="s">
        <v>510</v>
      </c>
      <c r="B1058" s="2" t="n">
        <v>10807</v>
      </c>
      <c r="C1058" s="2" t="s">
        <v>511</v>
      </c>
      <c r="D1058" s="2" t="s">
        <v>68</v>
      </c>
      <c r="E1058" s="2" t="str">
        <f aca="false">_xlfn.CONCAT(D1058,"-",B1058)</f>
        <v>CE - OL 002-10807</v>
      </c>
      <c r="F1058" s="2" t="n">
        <v>110</v>
      </c>
      <c r="G1058" s="2" t="n">
        <v>3827.29</v>
      </c>
    </row>
    <row r="1059" customFormat="false" ht="13.8" hidden="false" customHeight="false" outlineLevel="0" collapsed="false">
      <c r="A1059" s="2" t="s">
        <v>510</v>
      </c>
      <c r="B1059" s="2" t="n">
        <v>10807</v>
      </c>
      <c r="C1059" s="2" t="s">
        <v>511</v>
      </c>
      <c r="D1059" s="2" t="s">
        <v>67</v>
      </c>
      <c r="E1059" s="2" t="str">
        <f aca="false">_xlfn.CONCAT(D1059,"-",B1059)</f>
        <v>CE - EUROFARMA G7-10807</v>
      </c>
      <c r="F1059" s="2" t="n">
        <v>845</v>
      </c>
      <c r="G1059" s="2" t="n">
        <v>27072.5</v>
      </c>
    </row>
    <row r="1060" customFormat="false" ht="13.8" hidden="false" customHeight="false" outlineLevel="0" collapsed="false">
      <c r="A1060" s="2" t="s">
        <v>510</v>
      </c>
      <c r="B1060" s="2" t="n">
        <v>10807</v>
      </c>
      <c r="C1060" s="2" t="s">
        <v>511</v>
      </c>
      <c r="D1060" s="2" t="s">
        <v>65</v>
      </c>
      <c r="E1060" s="2" t="str">
        <f aca="false">_xlfn.CONCAT(D1060,"-",B1060)</f>
        <v>CE - EURO X AUGEFARMA-10807</v>
      </c>
      <c r="F1060" s="2" t="n">
        <v>91</v>
      </c>
      <c r="G1060" s="2" t="n">
        <v>2587.66</v>
      </c>
    </row>
    <row r="1061" customFormat="false" ht="13.8" hidden="false" customHeight="false" outlineLevel="0" collapsed="false">
      <c r="A1061" s="2" t="s">
        <v>510</v>
      </c>
      <c r="B1061" s="2" t="n">
        <v>10807</v>
      </c>
      <c r="C1061" s="2" t="s">
        <v>511</v>
      </c>
      <c r="D1061" s="2" t="s">
        <v>64</v>
      </c>
      <c r="E1061" s="2" t="str">
        <f aca="false">_xlfn.CONCAT(D1061,"-",B1061)</f>
        <v>CE - 0000-10807</v>
      </c>
      <c r="F1061" s="2" t="n">
        <v>4012</v>
      </c>
      <c r="G1061" s="2" t="n">
        <v>122717.79</v>
      </c>
    </row>
    <row r="1062" customFormat="false" ht="13.8" hidden="false" customHeight="false" outlineLevel="0" collapsed="false">
      <c r="A1062" s="2" t="s">
        <v>510</v>
      </c>
      <c r="B1062" s="2" t="n">
        <v>10807</v>
      </c>
      <c r="C1062" s="2" t="s">
        <v>511</v>
      </c>
      <c r="D1062" s="2" t="s">
        <v>66</v>
      </c>
      <c r="E1062" s="2" t="str">
        <f aca="false">_xlfn.CONCAT(D1062,"-",B1062)</f>
        <v>CE - OL 001-10807</v>
      </c>
      <c r="F1062" s="2" t="n">
        <v>1304</v>
      </c>
      <c r="G1062" s="2" t="n">
        <v>42490.78</v>
      </c>
    </row>
    <row r="1063" customFormat="false" ht="13.8" hidden="false" customHeight="false" outlineLevel="0" collapsed="false">
      <c r="A1063" s="2" t="s">
        <v>512</v>
      </c>
      <c r="B1063" s="2" t="n">
        <v>10808</v>
      </c>
      <c r="C1063" s="2" t="s">
        <v>513</v>
      </c>
      <c r="D1063" s="2" t="s">
        <v>67</v>
      </c>
      <c r="E1063" s="2" t="str">
        <f aca="false">_xlfn.CONCAT(D1063,"-",B1063)</f>
        <v>CE - EUROFARMA G7-10808</v>
      </c>
      <c r="F1063" s="2" t="n">
        <v>1897</v>
      </c>
      <c r="G1063" s="2" t="n">
        <v>22043.08</v>
      </c>
    </row>
    <row r="1064" customFormat="false" ht="13.8" hidden="false" customHeight="false" outlineLevel="0" collapsed="false">
      <c r="A1064" s="2" t="s">
        <v>512</v>
      </c>
      <c r="B1064" s="2" t="n">
        <v>10808</v>
      </c>
      <c r="C1064" s="2" t="s">
        <v>513</v>
      </c>
      <c r="D1064" s="2" t="s">
        <v>65</v>
      </c>
      <c r="E1064" s="2" t="str">
        <f aca="false">_xlfn.CONCAT(D1064,"-",B1064)</f>
        <v>CE - EURO X AUGEFARMA-10808</v>
      </c>
      <c r="F1064" s="2" t="n">
        <v>172</v>
      </c>
      <c r="G1064" s="2" t="n">
        <v>1305.72</v>
      </c>
    </row>
    <row r="1065" customFormat="false" ht="13.8" hidden="false" customHeight="false" outlineLevel="0" collapsed="false">
      <c r="A1065" s="2" t="s">
        <v>512</v>
      </c>
      <c r="B1065" s="2" t="n">
        <v>10808</v>
      </c>
      <c r="C1065" s="2" t="s">
        <v>513</v>
      </c>
      <c r="D1065" s="2" t="s">
        <v>66</v>
      </c>
      <c r="E1065" s="2" t="str">
        <f aca="false">_xlfn.CONCAT(D1065,"-",B1065)</f>
        <v>CE - OL 001-10808</v>
      </c>
      <c r="F1065" s="2" t="n">
        <v>968</v>
      </c>
      <c r="G1065" s="2" t="n">
        <v>12083.67</v>
      </c>
    </row>
    <row r="1066" customFormat="false" ht="13.8" hidden="false" customHeight="false" outlineLevel="0" collapsed="false">
      <c r="A1066" s="2" t="s">
        <v>512</v>
      </c>
      <c r="B1066" s="2" t="n">
        <v>10808</v>
      </c>
      <c r="C1066" s="2" t="s">
        <v>513</v>
      </c>
      <c r="D1066" s="2" t="s">
        <v>64</v>
      </c>
      <c r="E1066" s="2" t="str">
        <f aca="false">_xlfn.CONCAT(D1066,"-",B1066)</f>
        <v>CE - 0000-10808</v>
      </c>
      <c r="F1066" s="2" t="n">
        <v>4788</v>
      </c>
      <c r="G1066" s="2" t="n">
        <v>54344.82</v>
      </c>
    </row>
    <row r="1067" customFormat="false" ht="13.8" hidden="false" customHeight="false" outlineLevel="0" collapsed="false">
      <c r="A1067" s="2" t="s">
        <v>512</v>
      </c>
      <c r="B1067" s="2" t="n">
        <v>10808</v>
      </c>
      <c r="C1067" s="2" t="s">
        <v>513</v>
      </c>
      <c r="D1067" s="2" t="s">
        <v>68</v>
      </c>
      <c r="E1067" s="2" t="str">
        <f aca="false">_xlfn.CONCAT(D1067,"-",B1067)</f>
        <v>CE - OL 002-10808</v>
      </c>
      <c r="F1067" s="2" t="n">
        <v>70</v>
      </c>
      <c r="G1067" s="2" t="n">
        <v>957.31</v>
      </c>
    </row>
    <row r="1068" customFormat="false" ht="13.8" hidden="false" customHeight="false" outlineLevel="0" collapsed="false">
      <c r="A1068" s="2" t="s">
        <v>512</v>
      </c>
      <c r="B1068" s="2" t="n">
        <v>10808</v>
      </c>
      <c r="C1068" s="2" t="s">
        <v>513</v>
      </c>
      <c r="D1068" s="2" t="s">
        <v>69</v>
      </c>
      <c r="E1068" s="2" t="str">
        <f aca="false">_xlfn.CONCAT(D1068,"-",B1068)</f>
        <v>CE - EUROFARMA 6%-10808</v>
      </c>
      <c r="F1068" s="2" t="n">
        <v>26</v>
      </c>
      <c r="G1068" s="2" t="n">
        <v>376.78</v>
      </c>
    </row>
    <row r="1069" customFormat="false" ht="13.8" hidden="false" customHeight="false" outlineLevel="0" collapsed="false">
      <c r="A1069" s="2" t="s">
        <v>514</v>
      </c>
      <c r="B1069" s="2" t="n">
        <v>10815</v>
      </c>
      <c r="C1069" s="2" t="s">
        <v>515</v>
      </c>
      <c r="D1069" s="2" t="s">
        <v>64</v>
      </c>
      <c r="E1069" s="2" t="str">
        <f aca="false">_xlfn.CONCAT(D1069,"-",B1069)</f>
        <v>CE - 0000-10815</v>
      </c>
      <c r="F1069" s="2" t="n">
        <v>2509</v>
      </c>
      <c r="G1069" s="2" t="n">
        <v>34691.52</v>
      </c>
    </row>
    <row r="1070" customFormat="false" ht="13.8" hidden="false" customHeight="false" outlineLevel="0" collapsed="false">
      <c r="A1070" s="2" t="s">
        <v>514</v>
      </c>
      <c r="B1070" s="2" t="n">
        <v>10815</v>
      </c>
      <c r="C1070" s="2" t="s">
        <v>515</v>
      </c>
      <c r="D1070" s="2" t="s">
        <v>67</v>
      </c>
      <c r="E1070" s="2" t="str">
        <f aca="false">_xlfn.CONCAT(D1070,"-",B1070)</f>
        <v>CE - EUROFARMA G7-10815</v>
      </c>
      <c r="F1070" s="2" t="n">
        <v>332</v>
      </c>
      <c r="G1070" s="2" t="n">
        <v>5648.45</v>
      </c>
    </row>
    <row r="1071" customFormat="false" ht="13.8" hidden="false" customHeight="false" outlineLevel="0" collapsed="false">
      <c r="A1071" s="2" t="s">
        <v>514</v>
      </c>
      <c r="B1071" s="2" t="n">
        <v>10815</v>
      </c>
      <c r="C1071" s="2" t="s">
        <v>515</v>
      </c>
      <c r="D1071" s="2" t="s">
        <v>66</v>
      </c>
      <c r="E1071" s="2" t="str">
        <f aca="false">_xlfn.CONCAT(D1071,"-",B1071)</f>
        <v>CE - OL 001-10815</v>
      </c>
      <c r="F1071" s="2" t="n">
        <v>147</v>
      </c>
      <c r="G1071" s="2" t="n">
        <v>2312.62</v>
      </c>
    </row>
    <row r="1072" customFormat="false" ht="13.8" hidden="false" customHeight="false" outlineLevel="0" collapsed="false">
      <c r="A1072" s="2" t="s">
        <v>516</v>
      </c>
      <c r="B1072" s="2" t="n">
        <v>22719</v>
      </c>
      <c r="C1072" s="2" t="s">
        <v>517</v>
      </c>
      <c r="D1072" s="2" t="s">
        <v>66</v>
      </c>
      <c r="E1072" s="2" t="str">
        <f aca="false">_xlfn.CONCAT(D1072,"-",B1072)</f>
        <v>CE - OL 001-22719</v>
      </c>
      <c r="F1072" s="2" t="n">
        <v>20</v>
      </c>
      <c r="G1072" s="2" t="n">
        <v>604.7</v>
      </c>
    </row>
    <row r="1073" customFormat="false" ht="13.8" hidden="false" customHeight="false" outlineLevel="0" collapsed="false">
      <c r="A1073" s="2" t="s">
        <v>516</v>
      </c>
      <c r="B1073" s="2" t="n">
        <v>22719</v>
      </c>
      <c r="C1073" s="2" t="s">
        <v>517</v>
      </c>
      <c r="D1073" s="2" t="s">
        <v>64</v>
      </c>
      <c r="E1073" s="2" t="str">
        <f aca="false">_xlfn.CONCAT(D1073,"-",B1073)</f>
        <v>CE - 0000-22719</v>
      </c>
      <c r="F1073" s="2" t="n">
        <v>41</v>
      </c>
      <c r="G1073" s="2" t="n">
        <v>1137.62</v>
      </c>
    </row>
    <row r="1074" customFormat="false" ht="13.8" hidden="false" customHeight="false" outlineLevel="0" collapsed="false">
      <c r="A1074" s="2" t="s">
        <v>518</v>
      </c>
      <c r="B1074" s="2" t="n">
        <v>44</v>
      </c>
      <c r="C1074" s="2" t="s">
        <v>519</v>
      </c>
      <c r="D1074" s="2" t="s">
        <v>68</v>
      </c>
      <c r="E1074" s="2" t="str">
        <f aca="false">_xlfn.CONCAT(D1074,"-",B1074)</f>
        <v>CE - OL 002-44</v>
      </c>
      <c r="F1074" s="2" t="n">
        <v>6</v>
      </c>
      <c r="G1074" s="2" t="n">
        <v>94.52</v>
      </c>
    </row>
    <row r="1075" customFormat="false" ht="13.8" hidden="false" customHeight="false" outlineLevel="0" collapsed="false">
      <c r="A1075" s="2" t="s">
        <v>518</v>
      </c>
      <c r="B1075" s="2" t="n">
        <v>44</v>
      </c>
      <c r="C1075" s="2" t="s">
        <v>519</v>
      </c>
      <c r="D1075" s="2" t="s">
        <v>67</v>
      </c>
      <c r="E1075" s="2" t="str">
        <f aca="false">_xlfn.CONCAT(D1075,"-",B1075)</f>
        <v>CE - EUROFARMA G7-44</v>
      </c>
      <c r="F1075" s="2" t="n">
        <v>38</v>
      </c>
      <c r="G1075" s="2" t="n">
        <v>555.52</v>
      </c>
    </row>
    <row r="1076" customFormat="false" ht="13.8" hidden="false" customHeight="false" outlineLevel="0" collapsed="false">
      <c r="A1076" s="2" t="s">
        <v>518</v>
      </c>
      <c r="B1076" s="2" t="n">
        <v>44</v>
      </c>
      <c r="C1076" s="2" t="s">
        <v>519</v>
      </c>
      <c r="D1076" s="2" t="s">
        <v>64</v>
      </c>
      <c r="E1076" s="2" t="str">
        <f aca="false">_xlfn.CONCAT(D1076,"-",B1076)</f>
        <v>CE - 0000-44</v>
      </c>
      <c r="F1076" s="2" t="n">
        <v>287</v>
      </c>
      <c r="G1076" s="2" t="n">
        <v>4063.65</v>
      </c>
    </row>
    <row r="1077" customFormat="false" ht="13.8" hidden="false" customHeight="false" outlineLevel="0" collapsed="false">
      <c r="A1077" s="2" t="s">
        <v>518</v>
      </c>
      <c r="B1077" s="2" t="n">
        <v>44</v>
      </c>
      <c r="C1077" s="2" t="s">
        <v>519</v>
      </c>
      <c r="D1077" s="2" t="s">
        <v>66</v>
      </c>
      <c r="E1077" s="2" t="str">
        <f aca="false">_xlfn.CONCAT(D1077,"-",B1077)</f>
        <v>CE - OL 001-44</v>
      </c>
      <c r="F1077" s="2" t="n">
        <v>122</v>
      </c>
      <c r="G1077" s="2" t="n">
        <v>1861.38</v>
      </c>
    </row>
    <row r="1078" customFormat="false" ht="13.8" hidden="false" customHeight="false" outlineLevel="0" collapsed="false">
      <c r="A1078" s="2" t="s">
        <v>518</v>
      </c>
      <c r="B1078" s="2" t="n">
        <v>44</v>
      </c>
      <c r="C1078" s="2" t="s">
        <v>519</v>
      </c>
      <c r="D1078" s="2" t="s">
        <v>65</v>
      </c>
      <c r="E1078" s="2" t="str">
        <f aca="false">_xlfn.CONCAT(D1078,"-",B1078)</f>
        <v>CE - EURO X AUGEFARMA-44</v>
      </c>
      <c r="F1078" s="2" t="n">
        <v>4</v>
      </c>
      <c r="G1078" s="2" t="n">
        <v>44.86</v>
      </c>
    </row>
    <row r="1079" customFormat="false" ht="13.8" hidden="false" customHeight="false" outlineLevel="0" collapsed="false">
      <c r="A1079" s="2" t="s">
        <v>520</v>
      </c>
      <c r="B1079" s="2" t="n">
        <v>6662</v>
      </c>
      <c r="C1079" s="2" t="s">
        <v>521</v>
      </c>
      <c r="D1079" s="2" t="s">
        <v>66</v>
      </c>
      <c r="E1079" s="2" t="str">
        <f aca="false">_xlfn.CONCAT(D1079,"-",B1079)</f>
        <v>CE - OL 001-6662</v>
      </c>
      <c r="F1079" s="2" t="n">
        <v>14956</v>
      </c>
      <c r="G1079" s="2" t="n">
        <v>29328.62</v>
      </c>
    </row>
    <row r="1080" customFormat="false" ht="13.8" hidden="false" customHeight="false" outlineLevel="0" collapsed="false">
      <c r="A1080" s="2" t="s">
        <v>520</v>
      </c>
      <c r="B1080" s="2" t="n">
        <v>6662</v>
      </c>
      <c r="C1080" s="2" t="s">
        <v>521</v>
      </c>
      <c r="D1080" s="2" t="s">
        <v>64</v>
      </c>
      <c r="E1080" s="2" t="str">
        <f aca="false">_xlfn.CONCAT(D1080,"-",B1080)</f>
        <v>CE - 0000-6662</v>
      </c>
      <c r="F1080" s="2" t="n">
        <v>126286</v>
      </c>
      <c r="G1080" s="2" t="n">
        <v>167872.96</v>
      </c>
    </row>
    <row r="1081" customFormat="false" ht="13.8" hidden="false" customHeight="false" outlineLevel="0" collapsed="false">
      <c r="A1081" s="2" t="s">
        <v>520</v>
      </c>
      <c r="B1081" s="2" t="n">
        <v>6662</v>
      </c>
      <c r="C1081" s="2" t="s">
        <v>521</v>
      </c>
      <c r="D1081" s="2" t="s">
        <v>68</v>
      </c>
      <c r="E1081" s="2" t="str">
        <f aca="false">_xlfn.CONCAT(D1081,"-",B1081)</f>
        <v>CE - OL 002-6662</v>
      </c>
      <c r="F1081" s="2" t="n">
        <v>2439</v>
      </c>
      <c r="G1081" s="2" t="n">
        <v>7143.18</v>
      </c>
    </row>
    <row r="1082" customFormat="false" ht="13.8" hidden="false" customHeight="false" outlineLevel="0" collapsed="false">
      <c r="A1082" s="2" t="s">
        <v>520</v>
      </c>
      <c r="B1082" s="2" t="n">
        <v>6662</v>
      </c>
      <c r="C1082" s="2" t="s">
        <v>521</v>
      </c>
      <c r="D1082" s="2" t="s">
        <v>67</v>
      </c>
      <c r="E1082" s="2" t="str">
        <f aca="false">_xlfn.CONCAT(D1082,"-",B1082)</f>
        <v>CE - EUROFARMA G7-6662</v>
      </c>
      <c r="F1082" s="2" t="n">
        <v>59438</v>
      </c>
      <c r="G1082" s="2" t="n">
        <v>76140.68</v>
      </c>
    </row>
    <row r="1083" customFormat="false" ht="13.8" hidden="false" customHeight="false" outlineLevel="0" collapsed="false">
      <c r="A1083" s="2" t="s">
        <v>520</v>
      </c>
      <c r="B1083" s="2" t="n">
        <v>6662</v>
      </c>
      <c r="C1083" s="2" t="s">
        <v>521</v>
      </c>
      <c r="D1083" s="2" t="s">
        <v>177</v>
      </c>
      <c r="E1083" s="2" t="str">
        <f aca="false">_xlfn.CONCAT(D1083,"-",B1083)</f>
        <v>CE - OL NCO01-6662</v>
      </c>
      <c r="F1083" s="2" t="n">
        <v>300</v>
      </c>
      <c r="G1083" s="2" t="n">
        <v>290.95</v>
      </c>
    </row>
    <row r="1084" customFormat="false" ht="13.8" hidden="false" customHeight="false" outlineLevel="0" collapsed="false">
      <c r="A1084" s="2" t="s">
        <v>522</v>
      </c>
      <c r="B1084" s="2" t="n">
        <v>9616</v>
      </c>
      <c r="C1084" s="2" t="s">
        <v>523</v>
      </c>
      <c r="D1084" s="2" t="s">
        <v>66</v>
      </c>
      <c r="E1084" s="2" t="str">
        <f aca="false">_xlfn.CONCAT(D1084,"-",B1084)</f>
        <v>CE - OL 001-9616</v>
      </c>
      <c r="F1084" s="2" t="n">
        <v>2393</v>
      </c>
      <c r="G1084" s="2" t="n">
        <v>13909.53</v>
      </c>
    </row>
    <row r="1085" customFormat="false" ht="13.8" hidden="false" customHeight="false" outlineLevel="0" collapsed="false">
      <c r="A1085" s="2" t="s">
        <v>522</v>
      </c>
      <c r="B1085" s="2" t="n">
        <v>9616</v>
      </c>
      <c r="C1085" s="2" t="s">
        <v>523</v>
      </c>
      <c r="D1085" s="2" t="s">
        <v>64</v>
      </c>
      <c r="E1085" s="2" t="str">
        <f aca="false">_xlfn.CONCAT(D1085,"-",B1085)</f>
        <v>CE - 0000-9616</v>
      </c>
      <c r="F1085" s="2" t="n">
        <v>17660</v>
      </c>
      <c r="G1085" s="2" t="n">
        <v>93562.66</v>
      </c>
    </row>
    <row r="1086" customFormat="false" ht="13.8" hidden="false" customHeight="false" outlineLevel="0" collapsed="false">
      <c r="A1086" s="2" t="s">
        <v>522</v>
      </c>
      <c r="B1086" s="2" t="n">
        <v>9616</v>
      </c>
      <c r="C1086" s="2" t="s">
        <v>523</v>
      </c>
      <c r="D1086" s="2" t="s">
        <v>68</v>
      </c>
      <c r="E1086" s="2" t="str">
        <f aca="false">_xlfn.CONCAT(D1086,"-",B1086)</f>
        <v>CE - OL 002-9616</v>
      </c>
      <c r="F1086" s="2" t="n">
        <v>391</v>
      </c>
      <c r="G1086" s="2" t="n">
        <v>2805.45</v>
      </c>
    </row>
    <row r="1087" customFormat="false" ht="13.8" hidden="false" customHeight="false" outlineLevel="0" collapsed="false">
      <c r="A1087" s="2" t="s">
        <v>522</v>
      </c>
      <c r="B1087" s="2" t="n">
        <v>9616</v>
      </c>
      <c r="C1087" s="2" t="s">
        <v>523</v>
      </c>
      <c r="D1087" s="2" t="s">
        <v>67</v>
      </c>
      <c r="E1087" s="2" t="str">
        <f aca="false">_xlfn.CONCAT(D1087,"-",B1087)</f>
        <v>CE - EUROFARMA G7-9616</v>
      </c>
      <c r="F1087" s="2" t="n">
        <v>3640</v>
      </c>
      <c r="G1087" s="2" t="n">
        <v>20258.49</v>
      </c>
    </row>
    <row r="1088" customFormat="false" ht="13.8" hidden="false" customHeight="false" outlineLevel="0" collapsed="false">
      <c r="A1088" s="2" t="s">
        <v>524</v>
      </c>
      <c r="B1088" s="2" t="n">
        <v>8880</v>
      </c>
      <c r="C1088" s="2" t="s">
        <v>525</v>
      </c>
      <c r="D1088" s="2" t="s">
        <v>68</v>
      </c>
      <c r="E1088" s="2" t="str">
        <f aca="false">_xlfn.CONCAT(D1088,"-",B1088)</f>
        <v>CE - OL 002-8880</v>
      </c>
      <c r="F1088" s="2" t="n">
        <v>106</v>
      </c>
      <c r="G1088" s="2" t="n">
        <v>1168.13</v>
      </c>
    </row>
    <row r="1089" customFormat="false" ht="13.8" hidden="false" customHeight="false" outlineLevel="0" collapsed="false">
      <c r="A1089" s="2" t="s">
        <v>524</v>
      </c>
      <c r="B1089" s="2" t="n">
        <v>8880</v>
      </c>
      <c r="C1089" s="2" t="s">
        <v>525</v>
      </c>
      <c r="D1089" s="2" t="s">
        <v>67</v>
      </c>
      <c r="E1089" s="2" t="str">
        <f aca="false">_xlfn.CONCAT(D1089,"-",B1089)</f>
        <v>CE - EUROFARMA G7-8880</v>
      </c>
      <c r="F1089" s="2" t="n">
        <v>2300</v>
      </c>
      <c r="G1089" s="2" t="n">
        <v>23630.16</v>
      </c>
    </row>
    <row r="1090" customFormat="false" ht="13.8" hidden="false" customHeight="false" outlineLevel="0" collapsed="false">
      <c r="A1090" s="2" t="s">
        <v>524</v>
      </c>
      <c r="B1090" s="2" t="n">
        <v>8880</v>
      </c>
      <c r="C1090" s="2" t="s">
        <v>525</v>
      </c>
      <c r="D1090" s="2" t="s">
        <v>66</v>
      </c>
      <c r="E1090" s="2" t="str">
        <f aca="false">_xlfn.CONCAT(D1090,"-",B1090)</f>
        <v>CE - OL 001-8880</v>
      </c>
      <c r="F1090" s="2" t="n">
        <v>858</v>
      </c>
      <c r="G1090" s="2" t="n">
        <v>9090.89</v>
      </c>
    </row>
    <row r="1091" customFormat="false" ht="13.8" hidden="false" customHeight="false" outlineLevel="0" collapsed="false">
      <c r="A1091" s="2" t="s">
        <v>524</v>
      </c>
      <c r="B1091" s="2" t="n">
        <v>8880</v>
      </c>
      <c r="C1091" s="2" t="s">
        <v>525</v>
      </c>
      <c r="D1091" s="2" t="s">
        <v>64</v>
      </c>
      <c r="E1091" s="2" t="str">
        <f aca="false">_xlfn.CONCAT(D1091,"-",B1091)</f>
        <v>CE - 0000-8880</v>
      </c>
      <c r="F1091" s="2" t="n">
        <v>13464</v>
      </c>
      <c r="G1091" s="2" t="n">
        <v>132990.19</v>
      </c>
    </row>
    <row r="1092" customFormat="false" ht="13.8" hidden="false" customHeight="false" outlineLevel="0" collapsed="false">
      <c r="A1092" s="2" t="s">
        <v>524</v>
      </c>
      <c r="B1092" s="2" t="n">
        <v>8880</v>
      </c>
      <c r="C1092" s="2" t="s">
        <v>525</v>
      </c>
      <c r="D1092" s="2" t="s">
        <v>463</v>
      </c>
      <c r="E1092" s="2" t="str">
        <f aca="false">_xlfn.CONCAT(D1092,"-",B1092)</f>
        <v>CE - EURO 6%-8880</v>
      </c>
      <c r="F1092" s="2" t="n">
        <v>12</v>
      </c>
      <c r="G1092" s="2" t="n">
        <v>315.18</v>
      </c>
    </row>
    <row r="1093" customFormat="false" ht="13.8" hidden="false" customHeight="false" outlineLevel="0" collapsed="false">
      <c r="A1093" s="2" t="s">
        <v>526</v>
      </c>
      <c r="B1093" s="2" t="n">
        <v>22502</v>
      </c>
      <c r="C1093" s="2" t="s">
        <v>527</v>
      </c>
      <c r="D1093" s="2" t="s">
        <v>68</v>
      </c>
      <c r="E1093" s="2" t="str">
        <f aca="false">_xlfn.CONCAT(D1093,"-",B1093)</f>
        <v>CE - OL 002-22502</v>
      </c>
      <c r="F1093" s="2" t="n">
        <v>9</v>
      </c>
      <c r="G1093" s="2" t="n">
        <v>408.07</v>
      </c>
    </row>
    <row r="1094" customFormat="false" ht="13.8" hidden="false" customHeight="false" outlineLevel="0" collapsed="false">
      <c r="A1094" s="2" t="s">
        <v>526</v>
      </c>
      <c r="B1094" s="2" t="n">
        <v>22502</v>
      </c>
      <c r="C1094" s="2" t="s">
        <v>527</v>
      </c>
      <c r="D1094" s="2" t="s">
        <v>67</v>
      </c>
      <c r="E1094" s="2" t="str">
        <f aca="false">_xlfn.CONCAT(D1094,"-",B1094)</f>
        <v>CE - EUROFARMA G7-22502</v>
      </c>
      <c r="F1094" s="2" t="n">
        <v>7</v>
      </c>
      <c r="G1094" s="2" t="n">
        <v>292.9</v>
      </c>
    </row>
    <row r="1095" customFormat="false" ht="13.8" hidden="false" customHeight="false" outlineLevel="0" collapsed="false">
      <c r="A1095" s="2" t="s">
        <v>526</v>
      </c>
      <c r="B1095" s="2" t="n">
        <v>22502</v>
      </c>
      <c r="C1095" s="2" t="s">
        <v>527</v>
      </c>
      <c r="D1095" s="2" t="s">
        <v>64</v>
      </c>
      <c r="E1095" s="2" t="str">
        <f aca="false">_xlfn.CONCAT(D1095,"-",B1095)</f>
        <v>CE - 0000-22502</v>
      </c>
      <c r="F1095" s="2" t="n">
        <v>107</v>
      </c>
      <c r="G1095" s="2" t="n">
        <v>4372.45</v>
      </c>
    </row>
    <row r="1096" customFormat="false" ht="13.8" hidden="false" customHeight="false" outlineLevel="0" collapsed="false">
      <c r="A1096" s="2" t="s">
        <v>526</v>
      </c>
      <c r="B1096" s="2" t="n">
        <v>22502</v>
      </c>
      <c r="C1096" s="2" t="s">
        <v>527</v>
      </c>
      <c r="D1096" s="2" t="s">
        <v>66</v>
      </c>
      <c r="E1096" s="2" t="str">
        <f aca="false">_xlfn.CONCAT(D1096,"-",B1096)</f>
        <v>CE - OL 001-22502</v>
      </c>
      <c r="F1096" s="2" t="n">
        <v>9</v>
      </c>
      <c r="G1096" s="2" t="n">
        <v>392.67</v>
      </c>
    </row>
    <row r="1097" customFormat="false" ht="13.8" hidden="false" customHeight="false" outlineLevel="0" collapsed="false">
      <c r="A1097" s="2" t="s">
        <v>528</v>
      </c>
      <c r="B1097" s="2" t="n">
        <v>12585</v>
      </c>
      <c r="C1097" s="2" t="s">
        <v>527</v>
      </c>
      <c r="D1097" s="2" t="s">
        <v>64</v>
      </c>
      <c r="E1097" s="2" t="str">
        <f aca="false">_xlfn.CONCAT(D1097,"-",B1097)</f>
        <v>CE - 0000-12585</v>
      </c>
      <c r="F1097" s="2" t="n">
        <v>133</v>
      </c>
      <c r="G1097" s="2" t="n">
        <v>5134.57</v>
      </c>
    </row>
    <row r="1098" customFormat="false" ht="13.8" hidden="false" customHeight="false" outlineLevel="0" collapsed="false">
      <c r="A1098" s="2" t="s">
        <v>526</v>
      </c>
      <c r="B1098" s="2" t="n">
        <v>22502</v>
      </c>
      <c r="C1098" s="2" t="s">
        <v>527</v>
      </c>
      <c r="D1098" s="2" t="s">
        <v>65</v>
      </c>
      <c r="E1098" s="2" t="str">
        <f aca="false">_xlfn.CONCAT(D1098,"-",B1098)</f>
        <v>CE - EURO X AUGEFARMA-22502</v>
      </c>
      <c r="F1098" s="2" t="n">
        <v>25</v>
      </c>
      <c r="G1098" s="2" t="n">
        <v>896.83</v>
      </c>
    </row>
    <row r="1099" customFormat="false" ht="13.8" hidden="false" customHeight="false" outlineLevel="0" collapsed="false">
      <c r="A1099" s="2" t="s">
        <v>528</v>
      </c>
      <c r="B1099" s="2" t="n">
        <v>12585</v>
      </c>
      <c r="C1099" s="2" t="s">
        <v>527</v>
      </c>
      <c r="D1099" s="2" t="s">
        <v>66</v>
      </c>
      <c r="E1099" s="2" t="str">
        <f aca="false">_xlfn.CONCAT(D1099,"-",B1099)</f>
        <v>CE - OL 001-12585</v>
      </c>
      <c r="F1099" s="2" t="n">
        <v>10</v>
      </c>
      <c r="G1099" s="2" t="n">
        <v>381.45</v>
      </c>
    </row>
    <row r="1100" customFormat="false" ht="13.8" hidden="false" customHeight="false" outlineLevel="0" collapsed="false">
      <c r="A1100" s="2" t="s">
        <v>529</v>
      </c>
      <c r="B1100" s="2" t="n">
        <v>43</v>
      </c>
      <c r="C1100" s="2" t="s">
        <v>530</v>
      </c>
      <c r="D1100" s="2" t="s">
        <v>64</v>
      </c>
      <c r="E1100" s="2" t="str">
        <f aca="false">_xlfn.CONCAT(D1100,"-",B1100)</f>
        <v>CE - 0000-43</v>
      </c>
      <c r="F1100" s="2" t="n">
        <v>114</v>
      </c>
      <c r="G1100" s="2" t="n">
        <v>31771.64</v>
      </c>
    </row>
    <row r="1101" customFormat="false" ht="13.8" hidden="false" customHeight="false" outlineLevel="0" collapsed="false">
      <c r="A1101" s="2" t="s">
        <v>529</v>
      </c>
      <c r="B1101" s="2" t="n">
        <v>43</v>
      </c>
      <c r="C1101" s="2" t="s">
        <v>530</v>
      </c>
      <c r="D1101" s="2" t="s">
        <v>69</v>
      </c>
      <c r="E1101" s="2" t="str">
        <f aca="false">_xlfn.CONCAT(D1101,"-",B1101)</f>
        <v>CE - EUROFARMA 6%-43</v>
      </c>
      <c r="F1101" s="2" t="n">
        <v>4</v>
      </c>
      <c r="G1101" s="2" t="n">
        <v>1078.87</v>
      </c>
    </row>
    <row r="1102" customFormat="false" ht="13.8" hidden="false" customHeight="false" outlineLevel="0" collapsed="false">
      <c r="A1102" s="2" t="s">
        <v>529</v>
      </c>
      <c r="B1102" s="2" t="n">
        <v>43</v>
      </c>
      <c r="C1102" s="2" t="s">
        <v>530</v>
      </c>
      <c r="D1102" s="2" t="s">
        <v>66</v>
      </c>
      <c r="E1102" s="2" t="str">
        <f aca="false">_xlfn.CONCAT(D1102,"-",B1102)</f>
        <v>CE - OL 001-43</v>
      </c>
      <c r="F1102" s="2" t="n">
        <v>6</v>
      </c>
      <c r="G1102" s="2" t="n">
        <v>1723.25</v>
      </c>
    </row>
    <row r="1103" customFormat="false" ht="13.8" hidden="false" customHeight="false" outlineLevel="0" collapsed="false">
      <c r="A1103" s="2" t="s">
        <v>529</v>
      </c>
      <c r="B1103" s="2" t="n">
        <v>43</v>
      </c>
      <c r="C1103" s="2" t="s">
        <v>530</v>
      </c>
      <c r="D1103" s="2" t="s">
        <v>65</v>
      </c>
      <c r="E1103" s="2" t="str">
        <f aca="false">_xlfn.CONCAT(D1103,"-",B1103)</f>
        <v>CE - EURO X AUGEFARMA-43</v>
      </c>
      <c r="F1103" s="2" t="n">
        <v>2</v>
      </c>
      <c r="G1103" s="2" t="n">
        <v>522.89</v>
      </c>
    </row>
    <row r="1104" customFormat="false" ht="13.8" hidden="false" customHeight="false" outlineLevel="0" collapsed="false">
      <c r="A1104" s="2" t="s">
        <v>529</v>
      </c>
      <c r="B1104" s="2" t="n">
        <v>43</v>
      </c>
      <c r="C1104" s="2" t="s">
        <v>530</v>
      </c>
      <c r="D1104" s="2" t="s">
        <v>67</v>
      </c>
      <c r="E1104" s="2" t="str">
        <f aca="false">_xlfn.CONCAT(D1104,"-",B1104)</f>
        <v>CE - EUROFARMA G7-43</v>
      </c>
      <c r="F1104" s="2" t="n">
        <v>2</v>
      </c>
      <c r="G1104" s="2" t="n">
        <v>599.45</v>
      </c>
    </row>
    <row r="1105" customFormat="false" ht="13.8" hidden="false" customHeight="false" outlineLevel="0" collapsed="false">
      <c r="A1105" s="2" t="s">
        <v>531</v>
      </c>
      <c r="B1105" s="2" t="n">
        <v>3000</v>
      </c>
      <c r="C1105" s="2" t="s">
        <v>532</v>
      </c>
      <c r="D1105" s="2" t="s">
        <v>65</v>
      </c>
      <c r="E1105" s="2" t="str">
        <f aca="false">_xlfn.CONCAT(D1105,"-",B1105)</f>
        <v>CE - EURO X AUGEFARMA-3000</v>
      </c>
      <c r="F1105" s="2" t="n">
        <v>48</v>
      </c>
      <c r="G1105" s="2" t="n">
        <v>621.4</v>
      </c>
    </row>
    <row r="1106" customFormat="false" ht="13.8" hidden="false" customHeight="false" outlineLevel="0" collapsed="false">
      <c r="A1106" s="2" t="s">
        <v>531</v>
      </c>
      <c r="B1106" s="2" t="n">
        <v>3000</v>
      </c>
      <c r="C1106" s="2" t="s">
        <v>532</v>
      </c>
      <c r="D1106" s="2" t="s">
        <v>64</v>
      </c>
      <c r="E1106" s="2" t="str">
        <f aca="false">_xlfn.CONCAT(D1106,"-",B1106)</f>
        <v>CE - 0000-3000</v>
      </c>
      <c r="F1106" s="2" t="n">
        <v>962</v>
      </c>
      <c r="G1106" s="2" t="n">
        <v>13641.8</v>
      </c>
    </row>
    <row r="1107" customFormat="false" ht="13.8" hidden="false" customHeight="false" outlineLevel="0" collapsed="false">
      <c r="A1107" s="2" t="s">
        <v>531</v>
      </c>
      <c r="B1107" s="2" t="n">
        <v>3000</v>
      </c>
      <c r="C1107" s="2" t="s">
        <v>532</v>
      </c>
      <c r="D1107" s="2" t="s">
        <v>67</v>
      </c>
      <c r="E1107" s="2" t="str">
        <f aca="false">_xlfn.CONCAT(D1107,"-",B1107)</f>
        <v>CE - EUROFARMA G7-3000</v>
      </c>
      <c r="F1107" s="2" t="n">
        <v>463</v>
      </c>
      <c r="G1107" s="2" t="n">
        <v>6613.22</v>
      </c>
    </row>
    <row r="1108" customFormat="false" ht="13.8" hidden="false" customHeight="false" outlineLevel="0" collapsed="false">
      <c r="A1108" s="2" t="s">
        <v>531</v>
      </c>
      <c r="B1108" s="2" t="n">
        <v>3000</v>
      </c>
      <c r="C1108" s="2" t="s">
        <v>532</v>
      </c>
      <c r="D1108" s="2" t="s">
        <v>66</v>
      </c>
      <c r="E1108" s="2" t="str">
        <f aca="false">_xlfn.CONCAT(D1108,"-",B1108)</f>
        <v>CE - OL 001-3000</v>
      </c>
      <c r="F1108" s="2" t="n">
        <v>91</v>
      </c>
      <c r="G1108" s="2" t="n">
        <v>1418.7</v>
      </c>
    </row>
    <row r="1109" customFormat="false" ht="13.8" hidden="false" customHeight="false" outlineLevel="0" collapsed="false">
      <c r="A1109" s="2" t="s">
        <v>531</v>
      </c>
      <c r="B1109" s="2" t="n">
        <v>3000</v>
      </c>
      <c r="C1109" s="2" t="s">
        <v>532</v>
      </c>
      <c r="D1109" s="2" t="s">
        <v>68</v>
      </c>
      <c r="E1109" s="2" t="str">
        <f aca="false">_xlfn.CONCAT(D1109,"-",B1109)</f>
        <v>CE - OL 002-3000</v>
      </c>
      <c r="F1109" s="2" t="n">
        <v>52</v>
      </c>
      <c r="G1109" s="2" t="n">
        <v>807.73</v>
      </c>
    </row>
    <row r="1110" customFormat="false" ht="13.8" hidden="false" customHeight="false" outlineLevel="0" collapsed="false">
      <c r="A1110" s="2" t="s">
        <v>533</v>
      </c>
      <c r="B1110" s="2" t="n">
        <v>12236</v>
      </c>
      <c r="C1110" s="2" t="s">
        <v>534</v>
      </c>
      <c r="D1110" s="2" t="s">
        <v>64</v>
      </c>
      <c r="E1110" s="2" t="str">
        <f aca="false">_xlfn.CONCAT(D1110,"-",B1110)</f>
        <v>CE - 0000-12236</v>
      </c>
      <c r="F1110" s="2" t="n">
        <v>265</v>
      </c>
      <c r="G1110" s="2" t="n">
        <v>11171.16</v>
      </c>
    </row>
    <row r="1111" customFormat="false" ht="13.8" hidden="false" customHeight="false" outlineLevel="0" collapsed="false">
      <c r="A1111" s="2" t="s">
        <v>533</v>
      </c>
      <c r="B1111" s="2" t="n">
        <v>12236</v>
      </c>
      <c r="C1111" s="2" t="s">
        <v>534</v>
      </c>
      <c r="D1111" s="2" t="s">
        <v>66</v>
      </c>
      <c r="E1111" s="2" t="str">
        <f aca="false">_xlfn.CONCAT(D1111,"-",B1111)</f>
        <v>CE - OL 001-12236</v>
      </c>
      <c r="F1111" s="2" t="n">
        <v>50</v>
      </c>
      <c r="G1111" s="2" t="n">
        <v>2263.46</v>
      </c>
    </row>
    <row r="1112" customFormat="false" ht="13.8" hidden="false" customHeight="false" outlineLevel="0" collapsed="false">
      <c r="A1112" s="2" t="s">
        <v>533</v>
      </c>
      <c r="B1112" s="2" t="n">
        <v>12236</v>
      </c>
      <c r="C1112" s="2" t="s">
        <v>534</v>
      </c>
      <c r="D1112" s="2" t="s">
        <v>68</v>
      </c>
      <c r="E1112" s="2" t="str">
        <f aca="false">_xlfn.CONCAT(D1112,"-",B1112)</f>
        <v>CE - OL 002-12236</v>
      </c>
      <c r="F1112" s="2" t="n">
        <v>3</v>
      </c>
      <c r="G1112" s="2" t="n">
        <v>140.29</v>
      </c>
    </row>
    <row r="1113" customFormat="false" ht="13.8" hidden="false" customHeight="false" outlineLevel="0" collapsed="false">
      <c r="A1113" s="2" t="s">
        <v>533</v>
      </c>
      <c r="B1113" s="2" t="n">
        <v>12236</v>
      </c>
      <c r="C1113" s="2" t="s">
        <v>534</v>
      </c>
      <c r="D1113" s="2" t="s">
        <v>69</v>
      </c>
      <c r="E1113" s="2" t="str">
        <f aca="false">_xlfn.CONCAT(D1113,"-",B1113)</f>
        <v>CE - EUROFARMA 6%-12236</v>
      </c>
      <c r="F1113" s="2" t="n">
        <v>7</v>
      </c>
      <c r="G1113" s="2" t="n">
        <v>450.87</v>
      </c>
    </row>
    <row r="1114" customFormat="false" ht="13.8" hidden="false" customHeight="false" outlineLevel="0" collapsed="false">
      <c r="A1114" s="2" t="s">
        <v>533</v>
      </c>
      <c r="B1114" s="2" t="n">
        <v>12236</v>
      </c>
      <c r="C1114" s="2" t="s">
        <v>534</v>
      </c>
      <c r="D1114" s="2" t="s">
        <v>65</v>
      </c>
      <c r="E1114" s="2" t="str">
        <f aca="false">_xlfn.CONCAT(D1114,"-",B1114)</f>
        <v>CE - EURO X AUGEFARMA-12236</v>
      </c>
      <c r="F1114" s="2" t="n">
        <v>10</v>
      </c>
      <c r="G1114" s="2" t="n">
        <v>324.28</v>
      </c>
    </row>
    <row r="1115" customFormat="false" ht="13.8" hidden="false" customHeight="false" outlineLevel="0" collapsed="false">
      <c r="A1115" s="2" t="s">
        <v>533</v>
      </c>
      <c r="B1115" s="2" t="n">
        <v>12236</v>
      </c>
      <c r="C1115" s="2" t="s">
        <v>534</v>
      </c>
      <c r="D1115" s="2" t="s">
        <v>67</v>
      </c>
      <c r="E1115" s="2" t="str">
        <f aca="false">_xlfn.CONCAT(D1115,"-",B1115)</f>
        <v>CE - EUROFARMA G7-12236</v>
      </c>
      <c r="F1115" s="2" t="n">
        <v>93</v>
      </c>
      <c r="G1115" s="2" t="n">
        <v>4060.32</v>
      </c>
    </row>
    <row r="1116" customFormat="false" ht="13.8" hidden="false" customHeight="false" outlineLevel="0" collapsed="false">
      <c r="A1116" s="2" t="s">
        <v>535</v>
      </c>
      <c r="B1116" s="2" t="n">
        <v>10810</v>
      </c>
      <c r="C1116" s="2" t="s">
        <v>536</v>
      </c>
      <c r="D1116" s="2" t="s">
        <v>64</v>
      </c>
      <c r="E1116" s="2" t="str">
        <f aca="false">_xlfn.CONCAT(D1116,"-",B1116)</f>
        <v>CE - 0000-10810</v>
      </c>
      <c r="F1116" s="2" t="n">
        <v>1057</v>
      </c>
      <c r="G1116" s="2" t="n">
        <v>10868.2</v>
      </c>
    </row>
    <row r="1117" customFormat="false" ht="13.8" hidden="false" customHeight="false" outlineLevel="0" collapsed="false">
      <c r="A1117" s="2" t="s">
        <v>535</v>
      </c>
      <c r="B1117" s="2" t="n">
        <v>10810</v>
      </c>
      <c r="C1117" s="2" t="s">
        <v>536</v>
      </c>
      <c r="D1117" s="2" t="s">
        <v>69</v>
      </c>
      <c r="E1117" s="2" t="str">
        <f aca="false">_xlfn.CONCAT(D1117,"-",B1117)</f>
        <v>CE - EUROFARMA 6%-10810</v>
      </c>
      <c r="F1117" s="2" t="n">
        <v>11</v>
      </c>
      <c r="G1117" s="2" t="n">
        <v>168.69</v>
      </c>
    </row>
    <row r="1118" customFormat="false" ht="13.8" hidden="false" customHeight="false" outlineLevel="0" collapsed="false">
      <c r="A1118" s="2" t="s">
        <v>535</v>
      </c>
      <c r="B1118" s="2" t="n">
        <v>10810</v>
      </c>
      <c r="C1118" s="2" t="s">
        <v>536</v>
      </c>
      <c r="D1118" s="2" t="s">
        <v>65</v>
      </c>
      <c r="E1118" s="2" t="str">
        <f aca="false">_xlfn.CONCAT(D1118,"-",B1118)</f>
        <v>CE - EURO X AUGEFARMA-10810</v>
      </c>
      <c r="F1118" s="2" t="n">
        <v>101</v>
      </c>
      <c r="G1118" s="2" t="n">
        <v>682.83</v>
      </c>
    </row>
    <row r="1119" customFormat="false" ht="13.8" hidden="false" customHeight="false" outlineLevel="0" collapsed="false">
      <c r="A1119" s="2" t="s">
        <v>535</v>
      </c>
      <c r="B1119" s="2" t="n">
        <v>10810</v>
      </c>
      <c r="C1119" s="2" t="s">
        <v>536</v>
      </c>
      <c r="D1119" s="2" t="s">
        <v>68</v>
      </c>
      <c r="E1119" s="2" t="str">
        <f aca="false">_xlfn.CONCAT(D1119,"-",B1119)</f>
        <v>CE - OL 002-10810</v>
      </c>
      <c r="F1119" s="2" t="n">
        <v>39</v>
      </c>
      <c r="G1119" s="2" t="n">
        <v>474.82</v>
      </c>
    </row>
    <row r="1120" customFormat="false" ht="13.8" hidden="false" customHeight="false" outlineLevel="0" collapsed="false">
      <c r="A1120" s="2" t="s">
        <v>535</v>
      </c>
      <c r="B1120" s="2" t="n">
        <v>10810</v>
      </c>
      <c r="C1120" s="2" t="s">
        <v>536</v>
      </c>
      <c r="D1120" s="2" t="s">
        <v>67</v>
      </c>
      <c r="E1120" s="2" t="str">
        <f aca="false">_xlfn.CONCAT(D1120,"-",B1120)</f>
        <v>CE - EUROFARMA G7-10810</v>
      </c>
      <c r="F1120" s="2" t="n">
        <v>183</v>
      </c>
      <c r="G1120" s="2" t="n">
        <v>1982.45</v>
      </c>
    </row>
    <row r="1121" customFormat="false" ht="13.8" hidden="false" customHeight="false" outlineLevel="0" collapsed="false">
      <c r="A1121" s="2" t="s">
        <v>535</v>
      </c>
      <c r="B1121" s="2" t="n">
        <v>10810</v>
      </c>
      <c r="C1121" s="2" t="s">
        <v>536</v>
      </c>
      <c r="D1121" s="2" t="s">
        <v>66</v>
      </c>
      <c r="E1121" s="2" t="str">
        <f aca="false">_xlfn.CONCAT(D1121,"-",B1121)</f>
        <v>CE - OL 001-10810</v>
      </c>
      <c r="F1121" s="2" t="n">
        <v>292</v>
      </c>
      <c r="G1121" s="2" t="n">
        <v>4031.18</v>
      </c>
    </row>
    <row r="1122" customFormat="false" ht="13.8" hidden="false" customHeight="false" outlineLevel="0" collapsed="false">
      <c r="A1122" s="2" t="s">
        <v>537</v>
      </c>
      <c r="B1122" s="2" t="n">
        <v>12237</v>
      </c>
      <c r="C1122" s="2" t="s">
        <v>538</v>
      </c>
      <c r="D1122" s="2" t="s">
        <v>64</v>
      </c>
      <c r="E1122" s="2" t="str">
        <f aca="false">_xlfn.CONCAT(D1122,"-",B1122)</f>
        <v>CE - 0000-12237</v>
      </c>
      <c r="F1122" s="2" t="n">
        <v>615</v>
      </c>
      <c r="G1122" s="2" t="n">
        <v>13407.81</v>
      </c>
    </row>
    <row r="1123" customFormat="false" ht="13.8" hidden="false" customHeight="false" outlineLevel="0" collapsed="false">
      <c r="A1123" s="2" t="s">
        <v>537</v>
      </c>
      <c r="B1123" s="2" t="n">
        <v>12237</v>
      </c>
      <c r="C1123" s="2" t="s">
        <v>538</v>
      </c>
      <c r="D1123" s="2" t="s">
        <v>68</v>
      </c>
      <c r="E1123" s="2" t="str">
        <f aca="false">_xlfn.CONCAT(D1123,"-",B1123)</f>
        <v>CE - OL 002-12237</v>
      </c>
      <c r="F1123" s="2" t="n">
        <v>7</v>
      </c>
      <c r="G1123" s="2" t="n">
        <v>173.68</v>
      </c>
    </row>
    <row r="1124" customFormat="false" ht="13.8" hidden="false" customHeight="false" outlineLevel="0" collapsed="false">
      <c r="A1124" s="2" t="s">
        <v>537</v>
      </c>
      <c r="B1124" s="2" t="n">
        <v>12237</v>
      </c>
      <c r="C1124" s="2" t="s">
        <v>538</v>
      </c>
      <c r="D1124" s="2" t="s">
        <v>65</v>
      </c>
      <c r="E1124" s="2" t="str">
        <f aca="false">_xlfn.CONCAT(D1124,"-",B1124)</f>
        <v>CE - EURO X AUGEFARMA-12237</v>
      </c>
      <c r="F1124" s="2" t="n">
        <v>64</v>
      </c>
      <c r="G1124" s="2" t="n">
        <v>999.04</v>
      </c>
    </row>
    <row r="1125" customFormat="false" ht="13.8" hidden="false" customHeight="false" outlineLevel="0" collapsed="false">
      <c r="A1125" s="2" t="s">
        <v>537</v>
      </c>
      <c r="B1125" s="2" t="n">
        <v>12237</v>
      </c>
      <c r="C1125" s="2" t="s">
        <v>538</v>
      </c>
      <c r="D1125" s="2" t="s">
        <v>67</v>
      </c>
      <c r="E1125" s="2" t="str">
        <f aca="false">_xlfn.CONCAT(D1125,"-",B1125)</f>
        <v>CE - EUROFARMA G7-12237</v>
      </c>
      <c r="F1125" s="2" t="n">
        <v>206</v>
      </c>
      <c r="G1125" s="2" t="n">
        <v>4705.28</v>
      </c>
    </row>
    <row r="1126" customFormat="false" ht="13.8" hidden="false" customHeight="false" outlineLevel="0" collapsed="false">
      <c r="A1126" s="2" t="s">
        <v>537</v>
      </c>
      <c r="B1126" s="2" t="n">
        <v>12237</v>
      </c>
      <c r="C1126" s="2" t="s">
        <v>538</v>
      </c>
      <c r="D1126" s="2" t="s">
        <v>66</v>
      </c>
      <c r="E1126" s="2" t="str">
        <f aca="false">_xlfn.CONCAT(D1126,"-",B1126)</f>
        <v>CE - OL 001-12237</v>
      </c>
      <c r="F1126" s="2" t="n">
        <v>127</v>
      </c>
      <c r="G1126" s="2" t="n">
        <v>2939.15</v>
      </c>
    </row>
    <row r="1127" customFormat="false" ht="13.8" hidden="false" customHeight="false" outlineLevel="0" collapsed="false">
      <c r="A1127" s="2" t="s">
        <v>539</v>
      </c>
      <c r="B1127" s="2" t="n">
        <v>12389</v>
      </c>
      <c r="C1127" s="2" t="s">
        <v>540</v>
      </c>
      <c r="D1127" s="2" t="s">
        <v>67</v>
      </c>
      <c r="E1127" s="2" t="str">
        <f aca="false">_xlfn.CONCAT(D1127,"-",B1127)</f>
        <v>CE - EUROFARMA G7-12389</v>
      </c>
      <c r="F1127" s="2" t="n">
        <v>329</v>
      </c>
      <c r="G1127" s="2" t="n">
        <v>1368.11</v>
      </c>
    </row>
    <row r="1128" customFormat="false" ht="13.8" hidden="false" customHeight="false" outlineLevel="0" collapsed="false">
      <c r="A1128" s="2" t="s">
        <v>539</v>
      </c>
      <c r="B1128" s="2" t="n">
        <v>12389</v>
      </c>
      <c r="C1128" s="2" t="s">
        <v>540</v>
      </c>
      <c r="D1128" s="2" t="s">
        <v>66</v>
      </c>
      <c r="E1128" s="2" t="str">
        <f aca="false">_xlfn.CONCAT(D1128,"-",B1128)</f>
        <v>CE - OL 001-12389</v>
      </c>
      <c r="F1128" s="2" t="n">
        <v>101</v>
      </c>
      <c r="G1128" s="2" t="n">
        <v>396.68</v>
      </c>
    </row>
    <row r="1129" customFormat="false" ht="13.8" hidden="false" customHeight="false" outlineLevel="0" collapsed="false">
      <c r="A1129" s="2" t="s">
        <v>539</v>
      </c>
      <c r="B1129" s="2" t="n">
        <v>12389</v>
      </c>
      <c r="C1129" s="2" t="s">
        <v>540</v>
      </c>
      <c r="D1129" s="2" t="s">
        <v>69</v>
      </c>
      <c r="E1129" s="2" t="str">
        <f aca="false">_xlfn.CONCAT(D1129,"-",B1129)</f>
        <v>CE - EUROFARMA 6%-12389</v>
      </c>
      <c r="F1129" s="2" t="n">
        <v>9</v>
      </c>
      <c r="G1129" s="2" t="n">
        <v>46.31</v>
      </c>
    </row>
    <row r="1130" customFormat="false" ht="13.8" hidden="false" customHeight="false" outlineLevel="0" collapsed="false">
      <c r="A1130" s="2" t="s">
        <v>539</v>
      </c>
      <c r="B1130" s="2" t="n">
        <v>12389</v>
      </c>
      <c r="C1130" s="2" t="s">
        <v>540</v>
      </c>
      <c r="D1130" s="2" t="s">
        <v>64</v>
      </c>
      <c r="E1130" s="2" t="str">
        <f aca="false">_xlfn.CONCAT(D1130,"-",B1130)</f>
        <v>CE - 0000-12389</v>
      </c>
      <c r="F1130" s="2" t="n">
        <v>2775</v>
      </c>
      <c r="G1130" s="2" t="n">
        <v>10706.13</v>
      </c>
    </row>
    <row r="1131" customFormat="false" ht="13.8" hidden="false" customHeight="false" outlineLevel="0" collapsed="false">
      <c r="A1131" s="2" t="s">
        <v>539</v>
      </c>
      <c r="B1131" s="2" t="n">
        <v>12389</v>
      </c>
      <c r="C1131" s="2" t="s">
        <v>540</v>
      </c>
      <c r="D1131" s="2" t="s">
        <v>65</v>
      </c>
      <c r="E1131" s="2" t="str">
        <f aca="false">_xlfn.CONCAT(D1131,"-",B1131)</f>
        <v>CE - EURO X AUGEFARMA-12389</v>
      </c>
      <c r="F1131" s="2" t="n">
        <v>316</v>
      </c>
      <c r="G1131" s="2" t="n">
        <v>638.87</v>
      </c>
    </row>
    <row r="1132" customFormat="false" ht="13.8" hidden="false" customHeight="false" outlineLevel="0" collapsed="false">
      <c r="A1132" s="2" t="s">
        <v>541</v>
      </c>
      <c r="B1132" s="2" t="n">
        <v>12390</v>
      </c>
      <c r="C1132" s="2" t="s">
        <v>542</v>
      </c>
      <c r="D1132" s="2" t="s">
        <v>69</v>
      </c>
      <c r="E1132" s="2" t="str">
        <f aca="false">_xlfn.CONCAT(D1132,"-",B1132)</f>
        <v>CE - EUROFARMA 6%-12390</v>
      </c>
      <c r="F1132" s="2" t="n">
        <v>2</v>
      </c>
      <c r="G1132" s="2" t="n">
        <v>28.81</v>
      </c>
    </row>
    <row r="1133" customFormat="false" ht="13.8" hidden="false" customHeight="false" outlineLevel="0" collapsed="false">
      <c r="A1133" s="2" t="s">
        <v>541</v>
      </c>
      <c r="B1133" s="2" t="n">
        <v>12390</v>
      </c>
      <c r="C1133" s="2" t="s">
        <v>542</v>
      </c>
      <c r="D1133" s="2" t="s">
        <v>64</v>
      </c>
      <c r="E1133" s="2" t="str">
        <f aca="false">_xlfn.CONCAT(D1133,"-",B1133)</f>
        <v>CE - 0000-12390</v>
      </c>
      <c r="F1133" s="2" t="n">
        <v>187</v>
      </c>
      <c r="G1133" s="2" t="n">
        <v>2120.6</v>
      </c>
    </row>
    <row r="1134" customFormat="false" ht="13.8" hidden="false" customHeight="false" outlineLevel="0" collapsed="false">
      <c r="A1134" s="2" t="s">
        <v>541</v>
      </c>
      <c r="B1134" s="2" t="n">
        <v>12390</v>
      </c>
      <c r="C1134" s="2" t="s">
        <v>542</v>
      </c>
      <c r="D1134" s="2" t="s">
        <v>67</v>
      </c>
      <c r="E1134" s="2" t="str">
        <f aca="false">_xlfn.CONCAT(D1134,"-",B1134)</f>
        <v>CE - EUROFARMA G7-12390</v>
      </c>
      <c r="F1134" s="2" t="n">
        <v>1</v>
      </c>
      <c r="G1134" s="2" t="n">
        <v>13.7</v>
      </c>
    </row>
    <row r="1135" customFormat="false" ht="13.8" hidden="false" customHeight="false" outlineLevel="0" collapsed="false">
      <c r="A1135" s="2" t="s">
        <v>541</v>
      </c>
      <c r="B1135" s="2" t="n">
        <v>12390</v>
      </c>
      <c r="C1135" s="2" t="s">
        <v>542</v>
      </c>
      <c r="D1135" s="2" t="s">
        <v>66</v>
      </c>
      <c r="E1135" s="2" t="str">
        <f aca="false">_xlfn.CONCAT(D1135,"-",B1135)</f>
        <v>CE - OL 001-12390</v>
      </c>
      <c r="F1135" s="2" t="n">
        <v>110</v>
      </c>
      <c r="G1135" s="2" t="n">
        <v>1285.48</v>
      </c>
    </row>
    <row r="1136" customFormat="false" ht="13.8" hidden="false" customHeight="false" outlineLevel="0" collapsed="false">
      <c r="A1136" s="2" t="s">
        <v>543</v>
      </c>
      <c r="B1136" s="2" t="n">
        <v>1042</v>
      </c>
      <c r="C1136" s="2" t="s">
        <v>544</v>
      </c>
      <c r="D1136" s="2" t="s">
        <v>65</v>
      </c>
      <c r="E1136" s="2" t="str">
        <f aca="false">_xlfn.CONCAT(D1136,"-",B1136)</f>
        <v>CE - EURO X AUGEFARMA-1042</v>
      </c>
      <c r="F1136" s="2" t="n">
        <v>11</v>
      </c>
      <c r="G1136" s="2" t="n">
        <v>87.84</v>
      </c>
    </row>
    <row r="1137" customFormat="false" ht="13.8" hidden="false" customHeight="false" outlineLevel="0" collapsed="false">
      <c r="A1137" s="2" t="s">
        <v>543</v>
      </c>
      <c r="B1137" s="2" t="n">
        <v>1042</v>
      </c>
      <c r="C1137" s="2" t="s">
        <v>544</v>
      </c>
      <c r="D1137" s="2" t="s">
        <v>64</v>
      </c>
      <c r="E1137" s="2" t="str">
        <f aca="false">_xlfn.CONCAT(D1137,"-",B1137)</f>
        <v>CE - 0000-1042</v>
      </c>
      <c r="F1137" s="2" t="n">
        <v>310</v>
      </c>
      <c r="G1137" s="2" t="n">
        <v>3072.78</v>
      </c>
    </row>
    <row r="1138" customFormat="false" ht="13.8" hidden="false" customHeight="false" outlineLevel="0" collapsed="false">
      <c r="A1138" s="2" t="s">
        <v>543</v>
      </c>
      <c r="B1138" s="2" t="n">
        <v>1042</v>
      </c>
      <c r="C1138" s="2" t="s">
        <v>544</v>
      </c>
      <c r="D1138" s="2" t="s">
        <v>66</v>
      </c>
      <c r="E1138" s="2" t="str">
        <f aca="false">_xlfn.CONCAT(D1138,"-",B1138)</f>
        <v>CE - OL 001-1042</v>
      </c>
      <c r="F1138" s="2" t="n">
        <v>80</v>
      </c>
      <c r="G1138" s="2" t="n">
        <v>859.98</v>
      </c>
    </row>
    <row r="1139" customFormat="false" ht="13.8" hidden="false" customHeight="false" outlineLevel="0" collapsed="false">
      <c r="A1139" s="2" t="s">
        <v>545</v>
      </c>
      <c r="B1139" s="2" t="n">
        <v>7580</v>
      </c>
      <c r="C1139" s="2" t="s">
        <v>546</v>
      </c>
      <c r="D1139" s="2" t="s">
        <v>66</v>
      </c>
      <c r="E1139" s="2" t="str">
        <f aca="false">_xlfn.CONCAT(D1139,"-",B1139)</f>
        <v>CE - OL 001-7580</v>
      </c>
      <c r="F1139" s="2" t="n">
        <v>363</v>
      </c>
      <c r="G1139" s="2" t="n">
        <v>2257.75</v>
      </c>
    </row>
    <row r="1140" customFormat="false" ht="13.8" hidden="false" customHeight="false" outlineLevel="0" collapsed="false">
      <c r="A1140" s="2" t="s">
        <v>545</v>
      </c>
      <c r="B1140" s="2" t="n">
        <v>7580</v>
      </c>
      <c r="C1140" s="2" t="s">
        <v>546</v>
      </c>
      <c r="D1140" s="2" t="s">
        <v>68</v>
      </c>
      <c r="E1140" s="2" t="str">
        <f aca="false">_xlfn.CONCAT(D1140,"-",B1140)</f>
        <v>CE - OL 002-7580</v>
      </c>
      <c r="F1140" s="2" t="n">
        <v>68</v>
      </c>
      <c r="G1140" s="2" t="n">
        <v>553.51</v>
      </c>
    </row>
    <row r="1141" customFormat="false" ht="13.8" hidden="false" customHeight="false" outlineLevel="0" collapsed="false">
      <c r="A1141" s="2" t="s">
        <v>545</v>
      </c>
      <c r="B1141" s="2" t="n">
        <v>7580</v>
      </c>
      <c r="C1141" s="2" t="s">
        <v>546</v>
      </c>
      <c r="D1141" s="2" t="s">
        <v>69</v>
      </c>
      <c r="E1141" s="2" t="str">
        <f aca="false">_xlfn.CONCAT(D1141,"-",B1141)</f>
        <v>CE - EUROFARMA 6%-7580</v>
      </c>
      <c r="F1141" s="2" t="n">
        <v>16</v>
      </c>
      <c r="G1141" s="2" t="n">
        <v>92.86</v>
      </c>
    </row>
    <row r="1142" customFormat="false" ht="13.8" hidden="false" customHeight="false" outlineLevel="0" collapsed="false">
      <c r="A1142" s="2" t="s">
        <v>545</v>
      </c>
      <c r="B1142" s="2" t="n">
        <v>7580</v>
      </c>
      <c r="C1142" s="2" t="s">
        <v>546</v>
      </c>
      <c r="D1142" s="2" t="s">
        <v>65</v>
      </c>
      <c r="E1142" s="2" t="str">
        <f aca="false">_xlfn.CONCAT(D1142,"-",B1142)</f>
        <v>CE - EURO X AUGEFARMA-7580</v>
      </c>
      <c r="F1142" s="2" t="n">
        <v>114</v>
      </c>
      <c r="G1142" s="2" t="n">
        <v>640.13</v>
      </c>
    </row>
    <row r="1143" customFormat="false" ht="13.8" hidden="false" customHeight="false" outlineLevel="0" collapsed="false">
      <c r="A1143" s="2" t="s">
        <v>545</v>
      </c>
      <c r="B1143" s="2" t="n">
        <v>7580</v>
      </c>
      <c r="C1143" s="2" t="s">
        <v>546</v>
      </c>
      <c r="D1143" s="2" t="s">
        <v>64</v>
      </c>
      <c r="E1143" s="2" t="str">
        <f aca="false">_xlfn.CONCAT(D1143,"-",B1143)</f>
        <v>CE - 0000-7580</v>
      </c>
      <c r="F1143" s="2" t="n">
        <v>3506</v>
      </c>
      <c r="G1143" s="2" t="n">
        <v>20410.67</v>
      </c>
    </row>
    <row r="1144" customFormat="false" ht="13.8" hidden="false" customHeight="false" outlineLevel="0" collapsed="false">
      <c r="A1144" s="2" t="s">
        <v>545</v>
      </c>
      <c r="B1144" s="2" t="n">
        <v>7580</v>
      </c>
      <c r="C1144" s="2" t="s">
        <v>546</v>
      </c>
      <c r="D1144" s="2" t="s">
        <v>67</v>
      </c>
      <c r="E1144" s="2" t="str">
        <f aca="false">_xlfn.CONCAT(D1144,"-",B1144)</f>
        <v>CE - EUROFARMA G7-7580</v>
      </c>
      <c r="F1144" s="2" t="n">
        <v>321</v>
      </c>
      <c r="G1144" s="2" t="n">
        <v>1955.6</v>
      </c>
    </row>
    <row r="1145" customFormat="false" ht="13.8" hidden="false" customHeight="false" outlineLevel="0" collapsed="false">
      <c r="A1145" s="2" t="s">
        <v>547</v>
      </c>
      <c r="B1145" s="2" t="n">
        <v>16080</v>
      </c>
      <c r="C1145" s="2" t="s">
        <v>548</v>
      </c>
      <c r="D1145" s="2" t="s">
        <v>65</v>
      </c>
      <c r="E1145" s="2" t="str">
        <f aca="false">_xlfn.CONCAT(D1145,"-",B1145)</f>
        <v>CE - EURO X AUGEFARMA-16080</v>
      </c>
      <c r="F1145" s="2" t="n">
        <v>24</v>
      </c>
      <c r="G1145" s="2" t="n">
        <v>564.29</v>
      </c>
    </row>
    <row r="1146" customFormat="false" ht="13.8" hidden="false" customHeight="false" outlineLevel="0" collapsed="false">
      <c r="A1146" s="2" t="s">
        <v>547</v>
      </c>
      <c r="B1146" s="2" t="n">
        <v>16080</v>
      </c>
      <c r="C1146" s="2" t="s">
        <v>548</v>
      </c>
      <c r="D1146" s="2" t="s">
        <v>69</v>
      </c>
      <c r="E1146" s="2" t="str">
        <f aca="false">_xlfn.CONCAT(D1146,"-",B1146)</f>
        <v>CE - EUROFARMA 6%-16080</v>
      </c>
      <c r="F1146" s="2" t="n">
        <v>11</v>
      </c>
      <c r="G1146" s="2" t="n">
        <v>326.44</v>
      </c>
    </row>
    <row r="1147" customFormat="false" ht="13.8" hidden="false" customHeight="false" outlineLevel="0" collapsed="false">
      <c r="A1147" s="2" t="s">
        <v>547</v>
      </c>
      <c r="B1147" s="2" t="n">
        <v>16080</v>
      </c>
      <c r="C1147" s="2" t="s">
        <v>548</v>
      </c>
      <c r="D1147" s="2" t="s">
        <v>64</v>
      </c>
      <c r="E1147" s="2" t="str">
        <f aca="false">_xlfn.CONCAT(D1147,"-",B1147)</f>
        <v>CE - 0000-16080</v>
      </c>
      <c r="F1147" s="2" t="n">
        <v>1278</v>
      </c>
      <c r="G1147" s="2" t="n">
        <v>34536.65</v>
      </c>
    </row>
    <row r="1148" customFormat="false" ht="13.8" hidden="false" customHeight="false" outlineLevel="0" collapsed="false">
      <c r="A1148" s="2" t="s">
        <v>547</v>
      </c>
      <c r="B1148" s="2" t="n">
        <v>16080</v>
      </c>
      <c r="C1148" s="2" t="s">
        <v>548</v>
      </c>
      <c r="D1148" s="2" t="s">
        <v>67</v>
      </c>
      <c r="E1148" s="2" t="str">
        <f aca="false">_xlfn.CONCAT(D1148,"-",B1148)</f>
        <v>CE - EUROFARMA G7-16080</v>
      </c>
      <c r="F1148" s="2" t="n">
        <v>330</v>
      </c>
      <c r="G1148" s="2" t="n">
        <v>9002.85</v>
      </c>
    </row>
    <row r="1149" customFormat="false" ht="13.8" hidden="false" customHeight="false" outlineLevel="0" collapsed="false">
      <c r="A1149" s="2" t="s">
        <v>547</v>
      </c>
      <c r="B1149" s="2" t="n">
        <v>16080</v>
      </c>
      <c r="C1149" s="2" t="s">
        <v>548</v>
      </c>
      <c r="D1149" s="2" t="s">
        <v>66</v>
      </c>
      <c r="E1149" s="2" t="str">
        <f aca="false">_xlfn.CONCAT(D1149,"-",B1149)</f>
        <v>CE - OL 001-16080</v>
      </c>
      <c r="F1149" s="2" t="n">
        <v>135</v>
      </c>
      <c r="G1149" s="2" t="n">
        <v>3947.88</v>
      </c>
    </row>
    <row r="1150" customFormat="false" ht="13.8" hidden="false" customHeight="false" outlineLevel="0" collapsed="false">
      <c r="A1150" s="2" t="s">
        <v>547</v>
      </c>
      <c r="B1150" s="2" t="n">
        <v>16080</v>
      </c>
      <c r="C1150" s="2" t="s">
        <v>548</v>
      </c>
      <c r="D1150" s="2" t="s">
        <v>68</v>
      </c>
      <c r="E1150" s="2" t="str">
        <f aca="false">_xlfn.CONCAT(D1150,"-",B1150)</f>
        <v>CE - OL 002-16080</v>
      </c>
      <c r="F1150" s="2" t="n">
        <v>20</v>
      </c>
      <c r="G1150" s="2" t="n">
        <v>592.04</v>
      </c>
    </row>
    <row r="1151" customFormat="false" ht="13.8" hidden="false" customHeight="false" outlineLevel="0" collapsed="false">
      <c r="A1151" s="2" t="s">
        <v>549</v>
      </c>
      <c r="B1151" s="2" t="n">
        <v>21094</v>
      </c>
      <c r="C1151" s="2" t="s">
        <v>550</v>
      </c>
      <c r="D1151" s="2" t="s">
        <v>66</v>
      </c>
      <c r="E1151" s="2" t="str">
        <f aca="false">_xlfn.CONCAT(D1151,"-",B1151)</f>
        <v>CE - OL 001-21094</v>
      </c>
      <c r="F1151" s="2" t="n">
        <v>11</v>
      </c>
      <c r="G1151" s="2" t="n">
        <v>547.1</v>
      </c>
    </row>
    <row r="1152" customFormat="false" ht="13.8" hidden="false" customHeight="false" outlineLevel="0" collapsed="false">
      <c r="A1152" s="2" t="s">
        <v>549</v>
      </c>
      <c r="B1152" s="2" t="n">
        <v>21094</v>
      </c>
      <c r="C1152" s="2" t="s">
        <v>550</v>
      </c>
      <c r="D1152" s="2" t="s">
        <v>64</v>
      </c>
      <c r="E1152" s="2" t="str">
        <f aca="false">_xlfn.CONCAT(D1152,"-",B1152)</f>
        <v>CE - 0000-21094</v>
      </c>
      <c r="F1152" s="2" t="n">
        <v>2</v>
      </c>
      <c r="G1152" s="2" t="n">
        <v>99.79</v>
      </c>
    </row>
    <row r="1153" customFormat="false" ht="13.8" hidden="false" customHeight="false" outlineLevel="0" collapsed="false">
      <c r="A1153" s="2" t="s">
        <v>551</v>
      </c>
      <c r="B1153" s="2" t="n">
        <v>22856</v>
      </c>
      <c r="C1153" s="2" t="s">
        <v>552</v>
      </c>
      <c r="D1153" s="2" t="s">
        <v>64</v>
      </c>
      <c r="E1153" s="2" t="str">
        <f aca="false">_xlfn.CONCAT(D1153,"-",B1153)</f>
        <v>CE - 0000-22856</v>
      </c>
      <c r="F1153" s="2" t="n">
        <v>136</v>
      </c>
      <c r="G1153" s="2" t="n">
        <v>2115.79</v>
      </c>
    </row>
    <row r="1154" customFormat="false" ht="13.8" hidden="false" customHeight="false" outlineLevel="0" collapsed="false">
      <c r="A1154" s="2" t="s">
        <v>551</v>
      </c>
      <c r="B1154" s="2" t="n">
        <v>22856</v>
      </c>
      <c r="C1154" s="2" t="s">
        <v>552</v>
      </c>
      <c r="D1154" s="2" t="s">
        <v>66</v>
      </c>
      <c r="E1154" s="2" t="str">
        <f aca="false">_xlfn.CONCAT(D1154,"-",B1154)</f>
        <v>CE - OL 001-22856</v>
      </c>
      <c r="F1154" s="2" t="n">
        <v>7</v>
      </c>
      <c r="G1154" s="2" t="n">
        <v>125.14</v>
      </c>
    </row>
    <row r="1155" customFormat="false" ht="13.8" hidden="false" customHeight="false" outlineLevel="0" collapsed="false">
      <c r="A1155" s="2" t="s">
        <v>551</v>
      </c>
      <c r="B1155" s="2" t="n">
        <v>22856</v>
      </c>
      <c r="C1155" s="2" t="s">
        <v>552</v>
      </c>
      <c r="D1155" s="2" t="s">
        <v>67</v>
      </c>
      <c r="E1155" s="2" t="str">
        <f aca="false">_xlfn.CONCAT(D1155,"-",B1155)</f>
        <v>CE - EUROFARMA G7-22856</v>
      </c>
      <c r="F1155" s="2" t="n">
        <v>30</v>
      </c>
      <c r="G1155" s="2" t="n">
        <v>500.74</v>
      </c>
    </row>
    <row r="1156" customFormat="false" ht="13.8" hidden="false" customHeight="false" outlineLevel="0" collapsed="false">
      <c r="A1156" s="2" t="s">
        <v>551</v>
      </c>
      <c r="B1156" s="2" t="n">
        <v>22856</v>
      </c>
      <c r="C1156" s="2" t="s">
        <v>552</v>
      </c>
      <c r="D1156" s="2" t="s">
        <v>68</v>
      </c>
      <c r="E1156" s="2" t="str">
        <f aca="false">_xlfn.CONCAT(D1156,"-",B1156)</f>
        <v>CE - OL 002-22856</v>
      </c>
      <c r="F1156" s="2" t="n">
        <v>38</v>
      </c>
      <c r="G1156" s="2" t="n">
        <v>803.41</v>
      </c>
    </row>
    <row r="1157" customFormat="false" ht="13.8" hidden="false" customHeight="false" outlineLevel="0" collapsed="false">
      <c r="A1157" s="2" t="s">
        <v>553</v>
      </c>
      <c r="B1157" s="2" t="n">
        <v>22857</v>
      </c>
      <c r="C1157" s="2" t="s">
        <v>554</v>
      </c>
      <c r="D1157" s="2" t="s">
        <v>66</v>
      </c>
      <c r="E1157" s="2" t="str">
        <f aca="false">_xlfn.CONCAT(D1157,"-",B1157)</f>
        <v>CE - OL 001-22857</v>
      </c>
      <c r="F1157" s="2" t="n">
        <v>3</v>
      </c>
      <c r="G1157" s="2" t="n">
        <v>101.94</v>
      </c>
    </row>
    <row r="1158" customFormat="false" ht="13.8" hidden="false" customHeight="false" outlineLevel="0" collapsed="false">
      <c r="A1158" s="2" t="s">
        <v>553</v>
      </c>
      <c r="B1158" s="2" t="n">
        <v>22857</v>
      </c>
      <c r="C1158" s="2" t="s">
        <v>554</v>
      </c>
      <c r="D1158" s="2" t="s">
        <v>67</v>
      </c>
      <c r="E1158" s="2" t="str">
        <f aca="false">_xlfn.CONCAT(D1158,"-",B1158)</f>
        <v>CE - EUROFARMA G7-22857</v>
      </c>
      <c r="F1158" s="2" t="n">
        <v>2</v>
      </c>
      <c r="G1158" s="2" t="n">
        <v>64.53</v>
      </c>
    </row>
    <row r="1159" customFormat="false" ht="13.8" hidden="false" customHeight="false" outlineLevel="0" collapsed="false">
      <c r="A1159" s="2" t="s">
        <v>553</v>
      </c>
      <c r="B1159" s="2" t="n">
        <v>22857</v>
      </c>
      <c r="C1159" s="2" t="s">
        <v>554</v>
      </c>
      <c r="D1159" s="2" t="s">
        <v>64</v>
      </c>
      <c r="E1159" s="2" t="str">
        <f aca="false">_xlfn.CONCAT(D1159,"-",B1159)</f>
        <v>CE - 0000-22857</v>
      </c>
      <c r="F1159" s="2" t="n">
        <v>3</v>
      </c>
      <c r="G1159" s="2" t="n">
        <v>91.11</v>
      </c>
    </row>
    <row r="1160" customFormat="false" ht="13.8" hidden="false" customHeight="false" outlineLevel="0" collapsed="false">
      <c r="A1160" s="2" t="s">
        <v>553</v>
      </c>
      <c r="B1160" s="2" t="n">
        <v>22857</v>
      </c>
      <c r="C1160" s="2" t="s">
        <v>554</v>
      </c>
      <c r="D1160" s="2" t="s">
        <v>68</v>
      </c>
      <c r="E1160" s="2" t="str">
        <f aca="false">_xlfn.CONCAT(D1160,"-",B1160)</f>
        <v>CE - OL 002-22857</v>
      </c>
      <c r="F1160" s="2" t="n">
        <v>6</v>
      </c>
      <c r="G1160" s="2" t="n">
        <v>295.22</v>
      </c>
    </row>
    <row r="1161" customFormat="false" ht="13.8" hidden="false" customHeight="false" outlineLevel="0" collapsed="false">
      <c r="A1161" s="2" t="s">
        <v>555</v>
      </c>
      <c r="B1161" s="2" t="n">
        <v>15568</v>
      </c>
      <c r="C1161" s="2" t="s">
        <v>556</v>
      </c>
      <c r="D1161" s="2" t="s">
        <v>66</v>
      </c>
      <c r="E1161" s="2" t="str">
        <f aca="false">_xlfn.CONCAT(D1161,"-",B1161)</f>
        <v>CE - OL 001-15568</v>
      </c>
      <c r="F1161" s="2" t="n">
        <v>40</v>
      </c>
      <c r="G1161" s="2" t="n">
        <v>1183.87</v>
      </c>
    </row>
    <row r="1162" customFormat="false" ht="13.8" hidden="false" customHeight="false" outlineLevel="0" collapsed="false">
      <c r="A1162" s="2" t="s">
        <v>555</v>
      </c>
      <c r="B1162" s="2" t="n">
        <v>15568</v>
      </c>
      <c r="C1162" s="2" t="s">
        <v>556</v>
      </c>
      <c r="D1162" s="2" t="s">
        <v>64</v>
      </c>
      <c r="E1162" s="2" t="str">
        <f aca="false">_xlfn.CONCAT(D1162,"-",B1162)</f>
        <v>CE - 0000-15568</v>
      </c>
      <c r="F1162" s="2" t="n">
        <v>338</v>
      </c>
      <c r="G1162" s="2" t="n">
        <v>9087.98</v>
      </c>
    </row>
    <row r="1163" customFormat="false" ht="13.8" hidden="false" customHeight="false" outlineLevel="0" collapsed="false">
      <c r="A1163" s="2" t="s">
        <v>555</v>
      </c>
      <c r="B1163" s="2" t="n">
        <v>15568</v>
      </c>
      <c r="C1163" s="2" t="s">
        <v>556</v>
      </c>
      <c r="D1163" s="2" t="s">
        <v>67</v>
      </c>
      <c r="E1163" s="2" t="str">
        <f aca="false">_xlfn.CONCAT(D1163,"-",B1163)</f>
        <v>CE - EUROFARMA G7-15568</v>
      </c>
      <c r="F1163" s="2" t="n">
        <v>301</v>
      </c>
      <c r="G1163" s="2" t="n">
        <v>8482.74</v>
      </c>
    </row>
    <row r="1164" customFormat="false" ht="13.8" hidden="false" customHeight="false" outlineLevel="0" collapsed="false">
      <c r="A1164" s="2" t="s">
        <v>555</v>
      </c>
      <c r="B1164" s="2" t="n">
        <v>15568</v>
      </c>
      <c r="C1164" s="2" t="s">
        <v>556</v>
      </c>
      <c r="D1164" s="2" t="s">
        <v>65</v>
      </c>
      <c r="E1164" s="2" t="str">
        <f aca="false">_xlfn.CONCAT(D1164,"-",B1164)</f>
        <v>CE - EURO X AUGEFARMA-15568</v>
      </c>
      <c r="F1164" s="2" t="n">
        <v>29</v>
      </c>
      <c r="G1164" s="2" t="n">
        <v>687.25</v>
      </c>
    </row>
    <row r="1165" customFormat="false" ht="13.8" hidden="false" customHeight="false" outlineLevel="0" collapsed="false">
      <c r="A1165" s="2" t="s">
        <v>555</v>
      </c>
      <c r="B1165" s="2" t="n">
        <v>15568</v>
      </c>
      <c r="C1165" s="2" t="s">
        <v>556</v>
      </c>
      <c r="D1165" s="2" t="s">
        <v>68</v>
      </c>
      <c r="E1165" s="2" t="str">
        <f aca="false">_xlfn.CONCAT(D1165,"-",B1165)</f>
        <v>CE - OL 002-15568</v>
      </c>
      <c r="F1165" s="2" t="n">
        <v>5</v>
      </c>
      <c r="G1165" s="2" t="n">
        <v>198.48</v>
      </c>
    </row>
    <row r="1166" customFormat="false" ht="13.8" hidden="false" customHeight="false" outlineLevel="0" collapsed="false">
      <c r="A1166" s="2" t="s">
        <v>557</v>
      </c>
      <c r="B1166" s="2" t="n">
        <v>15569</v>
      </c>
      <c r="C1166" s="2" t="s">
        <v>558</v>
      </c>
      <c r="D1166" s="2" t="s">
        <v>64</v>
      </c>
      <c r="E1166" s="2" t="str">
        <f aca="false">_xlfn.CONCAT(D1166,"-",B1166)</f>
        <v>CE - 0000-15569</v>
      </c>
      <c r="F1166" s="2" t="n">
        <v>106</v>
      </c>
      <c r="G1166" s="2" t="n">
        <v>4774.28</v>
      </c>
    </row>
    <row r="1167" customFormat="false" ht="13.8" hidden="false" customHeight="false" outlineLevel="0" collapsed="false">
      <c r="A1167" s="2" t="s">
        <v>557</v>
      </c>
      <c r="B1167" s="2" t="n">
        <v>15569</v>
      </c>
      <c r="C1167" s="2" t="s">
        <v>558</v>
      </c>
      <c r="D1167" s="2" t="s">
        <v>65</v>
      </c>
      <c r="E1167" s="2" t="str">
        <f aca="false">_xlfn.CONCAT(D1167,"-",B1167)</f>
        <v>CE - EURO X AUGEFARMA-15569</v>
      </c>
      <c r="F1167" s="2" t="n">
        <v>13</v>
      </c>
      <c r="G1167" s="2" t="n">
        <v>524.53</v>
      </c>
    </row>
    <row r="1168" customFormat="false" ht="13.8" hidden="false" customHeight="false" outlineLevel="0" collapsed="false">
      <c r="A1168" s="2" t="s">
        <v>557</v>
      </c>
      <c r="B1168" s="2" t="n">
        <v>15569</v>
      </c>
      <c r="C1168" s="2" t="s">
        <v>558</v>
      </c>
      <c r="D1168" s="2" t="s">
        <v>66</v>
      </c>
      <c r="E1168" s="2" t="str">
        <f aca="false">_xlfn.CONCAT(D1168,"-",B1168)</f>
        <v>CE - OL 001-15569</v>
      </c>
      <c r="F1168" s="2" t="n">
        <v>43</v>
      </c>
      <c r="G1168" s="2" t="n">
        <v>2225.33</v>
      </c>
    </row>
    <row r="1169" customFormat="false" ht="13.8" hidden="false" customHeight="false" outlineLevel="0" collapsed="false">
      <c r="A1169" s="2" t="s">
        <v>557</v>
      </c>
      <c r="B1169" s="2" t="n">
        <v>15569</v>
      </c>
      <c r="C1169" s="2" t="s">
        <v>558</v>
      </c>
      <c r="D1169" s="2" t="s">
        <v>67</v>
      </c>
      <c r="E1169" s="2" t="str">
        <f aca="false">_xlfn.CONCAT(D1169,"-",B1169)</f>
        <v>CE - EUROFARMA G7-15569</v>
      </c>
      <c r="F1169" s="2" t="n">
        <v>32</v>
      </c>
      <c r="G1169" s="2" t="n">
        <v>1545.25</v>
      </c>
    </row>
    <row r="1170" customFormat="false" ht="13.8" hidden="false" customHeight="false" outlineLevel="0" collapsed="false">
      <c r="A1170" s="2" t="s">
        <v>557</v>
      </c>
      <c r="B1170" s="2" t="n">
        <v>15569</v>
      </c>
      <c r="C1170" s="2" t="s">
        <v>558</v>
      </c>
      <c r="D1170" s="2" t="s">
        <v>68</v>
      </c>
      <c r="E1170" s="2" t="str">
        <f aca="false">_xlfn.CONCAT(D1170,"-",B1170)</f>
        <v>CE - OL 002-15569</v>
      </c>
      <c r="F1170" s="2" t="n">
        <v>6</v>
      </c>
      <c r="G1170" s="2" t="n">
        <v>317.18</v>
      </c>
    </row>
    <row r="1171" customFormat="false" ht="13.8" hidden="false" customHeight="false" outlineLevel="0" collapsed="false">
      <c r="A1171" s="2" t="s">
        <v>559</v>
      </c>
      <c r="B1171" s="2" t="n">
        <v>15567</v>
      </c>
      <c r="C1171" s="2" t="s">
        <v>560</v>
      </c>
      <c r="D1171" s="2" t="s">
        <v>66</v>
      </c>
      <c r="E1171" s="2" t="str">
        <f aca="false">_xlfn.CONCAT(D1171,"-",B1171)</f>
        <v>CE - OL 001-15567</v>
      </c>
      <c r="F1171" s="2" t="n">
        <v>15</v>
      </c>
      <c r="G1171" s="2" t="n">
        <v>261.15</v>
      </c>
    </row>
    <row r="1172" customFormat="false" ht="13.8" hidden="false" customHeight="false" outlineLevel="0" collapsed="false">
      <c r="A1172" s="2" t="s">
        <v>559</v>
      </c>
      <c r="B1172" s="2" t="n">
        <v>15567</v>
      </c>
      <c r="C1172" s="2" t="s">
        <v>560</v>
      </c>
      <c r="D1172" s="2" t="s">
        <v>65</v>
      </c>
      <c r="E1172" s="2" t="str">
        <f aca="false">_xlfn.CONCAT(D1172,"-",B1172)</f>
        <v>CE - EURO X AUGEFARMA-15567</v>
      </c>
      <c r="F1172" s="2" t="n">
        <v>14</v>
      </c>
      <c r="G1172" s="2" t="n">
        <v>177.67</v>
      </c>
    </row>
    <row r="1173" customFormat="false" ht="13.8" hidden="false" customHeight="false" outlineLevel="0" collapsed="false">
      <c r="A1173" s="2" t="s">
        <v>559</v>
      </c>
      <c r="B1173" s="2" t="n">
        <v>15567</v>
      </c>
      <c r="C1173" s="2" t="s">
        <v>560</v>
      </c>
      <c r="D1173" s="2" t="s">
        <v>64</v>
      </c>
      <c r="E1173" s="2" t="str">
        <f aca="false">_xlfn.CONCAT(D1173,"-",B1173)</f>
        <v>CE - 0000-15567</v>
      </c>
      <c r="F1173" s="2" t="n">
        <v>188</v>
      </c>
      <c r="G1173" s="2" t="n">
        <v>2950.3</v>
      </c>
    </row>
    <row r="1174" customFormat="false" ht="13.8" hidden="false" customHeight="false" outlineLevel="0" collapsed="false">
      <c r="A1174" s="2" t="s">
        <v>559</v>
      </c>
      <c r="B1174" s="2" t="n">
        <v>15567</v>
      </c>
      <c r="C1174" s="2" t="s">
        <v>560</v>
      </c>
      <c r="D1174" s="2" t="s">
        <v>67</v>
      </c>
      <c r="E1174" s="2" t="str">
        <f aca="false">_xlfn.CONCAT(D1174,"-",B1174)</f>
        <v>CE - EUROFARMA G7-15567</v>
      </c>
      <c r="F1174" s="2" t="n">
        <v>91</v>
      </c>
      <c r="G1174" s="2" t="n">
        <v>1467.46</v>
      </c>
    </row>
    <row r="1175" customFormat="false" ht="13.8" hidden="false" customHeight="false" outlineLevel="0" collapsed="false">
      <c r="A1175" s="2" t="s">
        <v>561</v>
      </c>
      <c r="B1175" s="2" t="n">
        <v>10813</v>
      </c>
      <c r="C1175" s="2" t="s">
        <v>562</v>
      </c>
      <c r="D1175" s="2" t="s">
        <v>64</v>
      </c>
      <c r="E1175" s="2" t="str">
        <f aca="false">_xlfn.CONCAT(D1175,"-",B1175)</f>
        <v>CE - 0000-10813</v>
      </c>
      <c r="F1175" s="2" t="n">
        <v>429</v>
      </c>
      <c r="G1175" s="2" t="n">
        <v>22952.69</v>
      </c>
    </row>
    <row r="1176" customFormat="false" ht="13.8" hidden="false" customHeight="false" outlineLevel="0" collapsed="false">
      <c r="A1176" s="2" t="s">
        <v>561</v>
      </c>
      <c r="B1176" s="2" t="n">
        <v>10813</v>
      </c>
      <c r="C1176" s="2" t="s">
        <v>562</v>
      </c>
      <c r="D1176" s="2" t="s">
        <v>66</v>
      </c>
      <c r="E1176" s="2" t="str">
        <f aca="false">_xlfn.CONCAT(D1176,"-",B1176)</f>
        <v>CE - OL 001-10813</v>
      </c>
      <c r="F1176" s="2" t="n">
        <v>54</v>
      </c>
      <c r="G1176" s="2" t="n">
        <v>2147.01</v>
      </c>
    </row>
    <row r="1177" customFormat="false" ht="13.8" hidden="false" customHeight="false" outlineLevel="0" collapsed="false">
      <c r="A1177" s="2" t="s">
        <v>561</v>
      </c>
      <c r="B1177" s="2" t="n">
        <v>10813</v>
      </c>
      <c r="C1177" s="2" t="s">
        <v>562</v>
      </c>
      <c r="D1177" s="2" t="s">
        <v>65</v>
      </c>
      <c r="E1177" s="2" t="str">
        <f aca="false">_xlfn.CONCAT(D1177,"-",B1177)</f>
        <v>CE - EURO X AUGEFARMA-10813</v>
      </c>
      <c r="F1177" s="2" t="n">
        <v>7</v>
      </c>
      <c r="G1177" s="2" t="n">
        <v>341.77</v>
      </c>
    </row>
    <row r="1178" customFormat="false" ht="13.8" hidden="false" customHeight="false" outlineLevel="0" collapsed="false">
      <c r="A1178" s="2" t="s">
        <v>561</v>
      </c>
      <c r="B1178" s="2" t="n">
        <v>10813</v>
      </c>
      <c r="C1178" s="2" t="s">
        <v>562</v>
      </c>
      <c r="D1178" s="2" t="s">
        <v>68</v>
      </c>
      <c r="E1178" s="2" t="str">
        <f aca="false">_xlfn.CONCAT(D1178,"-",B1178)</f>
        <v>CE - OL 002-10813</v>
      </c>
      <c r="F1178" s="2" t="n">
        <v>1</v>
      </c>
      <c r="G1178" s="2" t="n">
        <v>61.12</v>
      </c>
    </row>
    <row r="1179" customFormat="false" ht="13.8" hidden="false" customHeight="false" outlineLevel="0" collapsed="false">
      <c r="A1179" s="2" t="s">
        <v>561</v>
      </c>
      <c r="B1179" s="2" t="n">
        <v>10813</v>
      </c>
      <c r="C1179" s="2" t="s">
        <v>562</v>
      </c>
      <c r="D1179" s="2" t="s">
        <v>67</v>
      </c>
      <c r="E1179" s="2" t="str">
        <f aca="false">_xlfn.CONCAT(D1179,"-",B1179)</f>
        <v>CE - EUROFARMA G7-10813</v>
      </c>
      <c r="F1179" s="2" t="n">
        <v>185</v>
      </c>
      <c r="G1179" s="2" t="n">
        <v>10522.4</v>
      </c>
    </row>
    <row r="1180" customFormat="false" ht="13.8" hidden="false" customHeight="false" outlineLevel="0" collapsed="false">
      <c r="A1180" s="2" t="s">
        <v>563</v>
      </c>
      <c r="B1180" s="2" t="n">
        <v>10811</v>
      </c>
      <c r="C1180" s="2" t="s">
        <v>564</v>
      </c>
      <c r="D1180" s="2" t="s">
        <v>68</v>
      </c>
      <c r="E1180" s="2" t="str">
        <f aca="false">_xlfn.CONCAT(D1180,"-",B1180)</f>
        <v>CE - OL 002-10811</v>
      </c>
      <c r="F1180" s="2" t="n">
        <v>12</v>
      </c>
      <c r="G1180" s="2" t="n">
        <v>243.64</v>
      </c>
    </row>
    <row r="1181" customFormat="false" ht="13.8" hidden="false" customHeight="false" outlineLevel="0" collapsed="false">
      <c r="A1181" s="2" t="s">
        <v>563</v>
      </c>
      <c r="B1181" s="2" t="n">
        <v>10811</v>
      </c>
      <c r="C1181" s="2" t="s">
        <v>564</v>
      </c>
      <c r="D1181" s="2" t="s">
        <v>65</v>
      </c>
      <c r="E1181" s="2" t="str">
        <f aca="false">_xlfn.CONCAT(D1181,"-",B1181)</f>
        <v>CE - EURO X AUGEFARMA-10811</v>
      </c>
      <c r="F1181" s="2" t="n">
        <v>6</v>
      </c>
      <c r="G1181" s="2" t="n">
        <v>87.12</v>
      </c>
    </row>
    <row r="1182" customFormat="false" ht="13.8" hidden="false" customHeight="false" outlineLevel="0" collapsed="false">
      <c r="A1182" s="2" t="s">
        <v>563</v>
      </c>
      <c r="B1182" s="2" t="n">
        <v>10811</v>
      </c>
      <c r="C1182" s="2" t="s">
        <v>564</v>
      </c>
      <c r="D1182" s="2" t="s">
        <v>64</v>
      </c>
      <c r="E1182" s="2" t="str">
        <f aca="false">_xlfn.CONCAT(D1182,"-",B1182)</f>
        <v>CE - 0000-10811</v>
      </c>
      <c r="F1182" s="2" t="n">
        <v>932</v>
      </c>
      <c r="G1182" s="2" t="n">
        <v>15038.22</v>
      </c>
    </row>
    <row r="1183" customFormat="false" ht="13.8" hidden="false" customHeight="false" outlineLevel="0" collapsed="false">
      <c r="A1183" s="2" t="s">
        <v>563</v>
      </c>
      <c r="B1183" s="2" t="n">
        <v>10811</v>
      </c>
      <c r="C1183" s="2" t="s">
        <v>564</v>
      </c>
      <c r="D1183" s="2" t="s">
        <v>66</v>
      </c>
      <c r="E1183" s="2" t="str">
        <f aca="false">_xlfn.CONCAT(D1183,"-",B1183)</f>
        <v>CE - OL 001-10811</v>
      </c>
      <c r="F1183" s="2" t="n">
        <v>82</v>
      </c>
      <c r="G1183" s="2" t="n">
        <v>1323.32</v>
      </c>
    </row>
    <row r="1184" customFormat="false" ht="13.8" hidden="false" customHeight="false" outlineLevel="0" collapsed="false">
      <c r="A1184" s="2" t="s">
        <v>563</v>
      </c>
      <c r="B1184" s="2" t="n">
        <v>10811</v>
      </c>
      <c r="C1184" s="2" t="s">
        <v>564</v>
      </c>
      <c r="D1184" s="2" t="s">
        <v>67</v>
      </c>
      <c r="E1184" s="2" t="str">
        <f aca="false">_xlfn.CONCAT(D1184,"-",B1184)</f>
        <v>CE - EUROFARMA G7-10811</v>
      </c>
      <c r="F1184" s="2" t="n">
        <v>190</v>
      </c>
      <c r="G1184" s="2" t="n">
        <v>3242.89</v>
      </c>
    </row>
    <row r="1185" customFormat="false" ht="13.8" hidden="false" customHeight="false" outlineLevel="0" collapsed="false">
      <c r="A1185" s="2" t="s">
        <v>565</v>
      </c>
      <c r="B1185" s="2" t="n">
        <v>10812</v>
      </c>
      <c r="C1185" s="2" t="s">
        <v>566</v>
      </c>
      <c r="D1185" s="2" t="s">
        <v>67</v>
      </c>
      <c r="E1185" s="2" t="str">
        <f aca="false">_xlfn.CONCAT(D1185,"-",B1185)</f>
        <v>CE - EUROFARMA G7-10812</v>
      </c>
      <c r="F1185" s="2" t="n">
        <v>730</v>
      </c>
      <c r="G1185" s="2" t="n">
        <v>22212.4</v>
      </c>
    </row>
    <row r="1186" customFormat="false" ht="13.8" hidden="false" customHeight="false" outlineLevel="0" collapsed="false">
      <c r="A1186" s="2" t="s">
        <v>565</v>
      </c>
      <c r="B1186" s="2" t="n">
        <v>10812</v>
      </c>
      <c r="C1186" s="2" t="s">
        <v>566</v>
      </c>
      <c r="D1186" s="2" t="s">
        <v>65</v>
      </c>
      <c r="E1186" s="2" t="str">
        <f aca="false">_xlfn.CONCAT(D1186,"-",B1186)</f>
        <v>CE - EURO X AUGEFARMA-10812</v>
      </c>
      <c r="F1186" s="2" t="n">
        <v>52</v>
      </c>
      <c r="G1186" s="2" t="n">
        <v>1324.61</v>
      </c>
    </row>
    <row r="1187" customFormat="false" ht="13.8" hidden="false" customHeight="false" outlineLevel="0" collapsed="false">
      <c r="A1187" s="2" t="s">
        <v>565</v>
      </c>
      <c r="B1187" s="2" t="n">
        <v>10812</v>
      </c>
      <c r="C1187" s="2" t="s">
        <v>566</v>
      </c>
      <c r="D1187" s="2" t="s">
        <v>69</v>
      </c>
      <c r="E1187" s="2" t="str">
        <f aca="false">_xlfn.CONCAT(D1187,"-",B1187)</f>
        <v>CE - EUROFARMA 6%-10812</v>
      </c>
      <c r="F1187" s="2" t="n">
        <v>3</v>
      </c>
      <c r="G1187" s="2" t="n">
        <v>103.84</v>
      </c>
    </row>
    <row r="1188" customFormat="false" ht="13.8" hidden="false" customHeight="false" outlineLevel="0" collapsed="false">
      <c r="A1188" s="2" t="s">
        <v>565</v>
      </c>
      <c r="B1188" s="2" t="n">
        <v>10812</v>
      </c>
      <c r="C1188" s="2" t="s">
        <v>566</v>
      </c>
      <c r="D1188" s="2" t="s">
        <v>64</v>
      </c>
      <c r="E1188" s="2" t="str">
        <f aca="false">_xlfn.CONCAT(D1188,"-",B1188)</f>
        <v>CE - 0000-10812</v>
      </c>
      <c r="F1188" s="2" t="n">
        <v>1368</v>
      </c>
      <c r="G1188" s="2" t="n">
        <v>38556.46</v>
      </c>
    </row>
    <row r="1189" customFormat="false" ht="13.8" hidden="false" customHeight="false" outlineLevel="0" collapsed="false">
      <c r="A1189" s="2" t="s">
        <v>565</v>
      </c>
      <c r="B1189" s="2" t="n">
        <v>10812</v>
      </c>
      <c r="C1189" s="2" t="s">
        <v>566</v>
      </c>
      <c r="D1189" s="2" t="s">
        <v>68</v>
      </c>
      <c r="E1189" s="2" t="str">
        <f aca="false">_xlfn.CONCAT(D1189,"-",B1189)</f>
        <v>CE - OL 002-10812</v>
      </c>
      <c r="F1189" s="2" t="n">
        <v>32</v>
      </c>
      <c r="G1189" s="2" t="n">
        <v>1324.98</v>
      </c>
    </row>
    <row r="1190" customFormat="false" ht="13.8" hidden="false" customHeight="false" outlineLevel="0" collapsed="false">
      <c r="A1190" s="2" t="s">
        <v>565</v>
      </c>
      <c r="B1190" s="2" t="n">
        <v>10812</v>
      </c>
      <c r="C1190" s="2" t="s">
        <v>566</v>
      </c>
      <c r="D1190" s="2" t="s">
        <v>66</v>
      </c>
      <c r="E1190" s="2" t="str">
        <f aca="false">_xlfn.CONCAT(D1190,"-",B1190)</f>
        <v>CE - OL 001-10812</v>
      </c>
      <c r="F1190" s="2" t="n">
        <v>404</v>
      </c>
      <c r="G1190" s="2" t="n">
        <v>10480.56</v>
      </c>
    </row>
    <row r="1191" customFormat="false" ht="13.8" hidden="false" customHeight="false" outlineLevel="0" collapsed="false">
      <c r="A1191" s="2" t="s">
        <v>567</v>
      </c>
      <c r="B1191" s="2" t="n">
        <v>16639</v>
      </c>
      <c r="C1191" s="2" t="s">
        <v>568</v>
      </c>
      <c r="D1191" s="2" t="s">
        <v>65</v>
      </c>
      <c r="E1191" s="2" t="str">
        <f aca="false">_xlfn.CONCAT(D1191,"-",B1191)</f>
        <v>CE - EURO X AUGEFARMA-16639</v>
      </c>
      <c r="F1191" s="2" t="n">
        <v>518</v>
      </c>
      <c r="G1191" s="2" t="n">
        <v>1500.75</v>
      </c>
    </row>
    <row r="1192" customFormat="false" ht="13.8" hidden="false" customHeight="false" outlineLevel="0" collapsed="false">
      <c r="A1192" s="2" t="s">
        <v>567</v>
      </c>
      <c r="B1192" s="2" t="n">
        <v>16639</v>
      </c>
      <c r="C1192" s="2" t="s">
        <v>568</v>
      </c>
      <c r="D1192" s="2" t="s">
        <v>64</v>
      </c>
      <c r="E1192" s="2" t="str">
        <f aca="false">_xlfn.CONCAT(D1192,"-",B1192)</f>
        <v>CE - 0000-16639</v>
      </c>
      <c r="F1192" s="2" t="n">
        <v>970</v>
      </c>
      <c r="G1192" s="2" t="n">
        <v>6167.26</v>
      </c>
    </row>
    <row r="1193" customFormat="false" ht="13.8" hidden="false" customHeight="false" outlineLevel="0" collapsed="false">
      <c r="A1193" s="2" t="s">
        <v>567</v>
      </c>
      <c r="B1193" s="2" t="n">
        <v>16639</v>
      </c>
      <c r="C1193" s="2" t="s">
        <v>568</v>
      </c>
      <c r="D1193" s="2" t="s">
        <v>66</v>
      </c>
      <c r="E1193" s="2" t="str">
        <f aca="false">_xlfn.CONCAT(D1193,"-",B1193)</f>
        <v>CE - OL 001-16639</v>
      </c>
      <c r="F1193" s="2" t="n">
        <v>176</v>
      </c>
      <c r="G1193" s="2" t="n">
        <v>1203.72</v>
      </c>
    </row>
    <row r="1194" customFormat="false" ht="13.8" hidden="false" customHeight="false" outlineLevel="0" collapsed="false">
      <c r="A1194" s="2" t="s">
        <v>569</v>
      </c>
      <c r="B1194" s="2" t="n">
        <v>4087</v>
      </c>
      <c r="C1194" s="2" t="s">
        <v>570</v>
      </c>
      <c r="D1194" s="2" t="s">
        <v>69</v>
      </c>
      <c r="E1194" s="2" t="str">
        <f aca="false">_xlfn.CONCAT(D1194,"-",B1194)</f>
        <v>CE - EUROFARMA 6%-4087</v>
      </c>
      <c r="F1194" s="2" t="n">
        <v>29</v>
      </c>
      <c r="G1194" s="2" t="n">
        <v>1118.2</v>
      </c>
    </row>
    <row r="1195" customFormat="false" ht="13.8" hidden="false" customHeight="false" outlineLevel="0" collapsed="false">
      <c r="A1195" s="2" t="s">
        <v>569</v>
      </c>
      <c r="B1195" s="2" t="n">
        <v>4087</v>
      </c>
      <c r="C1195" s="2" t="s">
        <v>570</v>
      </c>
      <c r="D1195" s="2" t="s">
        <v>67</v>
      </c>
      <c r="E1195" s="2" t="str">
        <f aca="false">_xlfn.CONCAT(D1195,"-",B1195)</f>
        <v>CE - EUROFARMA G7-4087</v>
      </c>
      <c r="F1195" s="2" t="n">
        <v>453</v>
      </c>
      <c r="G1195" s="2" t="n">
        <v>18383.67</v>
      </c>
    </row>
    <row r="1196" customFormat="false" ht="13.8" hidden="false" customHeight="false" outlineLevel="0" collapsed="false">
      <c r="A1196" s="2" t="s">
        <v>569</v>
      </c>
      <c r="B1196" s="2" t="n">
        <v>4087</v>
      </c>
      <c r="C1196" s="2" t="s">
        <v>570</v>
      </c>
      <c r="D1196" s="2" t="s">
        <v>65</v>
      </c>
      <c r="E1196" s="2" t="str">
        <f aca="false">_xlfn.CONCAT(D1196,"-",B1196)</f>
        <v>CE - EURO X AUGEFARMA-4087</v>
      </c>
      <c r="F1196" s="2" t="n">
        <v>73</v>
      </c>
      <c r="G1196" s="2" t="n">
        <v>2619.19</v>
      </c>
    </row>
    <row r="1197" customFormat="false" ht="13.8" hidden="false" customHeight="false" outlineLevel="0" collapsed="false">
      <c r="A1197" s="2" t="s">
        <v>569</v>
      </c>
      <c r="B1197" s="2" t="n">
        <v>4087</v>
      </c>
      <c r="C1197" s="2" t="s">
        <v>570</v>
      </c>
      <c r="D1197" s="2" t="s">
        <v>64</v>
      </c>
      <c r="E1197" s="2" t="str">
        <f aca="false">_xlfn.CONCAT(D1197,"-",B1197)</f>
        <v>CE - 0000-4087</v>
      </c>
      <c r="F1197" s="2" t="n">
        <v>1923</v>
      </c>
      <c r="G1197" s="2" t="n">
        <v>74012.09</v>
      </c>
    </row>
    <row r="1198" customFormat="false" ht="13.8" hidden="false" customHeight="false" outlineLevel="0" collapsed="false">
      <c r="A1198" s="2" t="s">
        <v>569</v>
      </c>
      <c r="B1198" s="2" t="n">
        <v>4087</v>
      </c>
      <c r="C1198" s="2" t="s">
        <v>570</v>
      </c>
      <c r="D1198" s="2" t="s">
        <v>66</v>
      </c>
      <c r="E1198" s="2" t="str">
        <f aca="false">_xlfn.CONCAT(D1198,"-",B1198)</f>
        <v>CE - OL 001-4087</v>
      </c>
      <c r="F1198" s="2" t="n">
        <v>148</v>
      </c>
      <c r="G1198" s="2" t="n">
        <v>6253.29</v>
      </c>
    </row>
    <row r="1199" customFormat="false" ht="13.8" hidden="false" customHeight="false" outlineLevel="0" collapsed="false">
      <c r="A1199" s="2" t="s">
        <v>569</v>
      </c>
      <c r="B1199" s="2" t="n">
        <v>4087</v>
      </c>
      <c r="C1199" s="2" t="s">
        <v>570</v>
      </c>
      <c r="D1199" s="2" t="s">
        <v>68</v>
      </c>
      <c r="E1199" s="2" t="str">
        <f aca="false">_xlfn.CONCAT(D1199,"-",B1199)</f>
        <v>CE - OL 002-4087</v>
      </c>
      <c r="F1199" s="2" t="n">
        <v>21</v>
      </c>
      <c r="G1199" s="2" t="n">
        <v>905.93</v>
      </c>
    </row>
  </sheetData>
  <autoFilter ref="A1:G119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" defaultRowHeight="13.8" zeroHeight="false" outlineLevelRow="0" outlineLevelCol="0"/>
  <cols>
    <col collapsed="false" customWidth="true" hidden="false" outlineLevel="0" max="1" min="1" style="2" width="15.58"/>
    <col collapsed="false" customWidth="true" hidden="false" outlineLevel="0" max="2" min="2" style="2" width="6.76"/>
    <col collapsed="false" customWidth="true" hidden="false" outlineLevel="0" max="3" min="3" style="2" width="61.01"/>
    <col collapsed="false" customWidth="true" hidden="false" outlineLevel="0" max="4" min="4" style="2" width="18.11"/>
    <col collapsed="false" customWidth="true" hidden="false" outlineLevel="0" max="5" min="5" style="2" width="24.19"/>
    <col collapsed="false" customWidth="true" hidden="false" outlineLevel="0" max="6" min="6" style="2" width="7.42"/>
    <col collapsed="false" customWidth="true" hidden="false" outlineLevel="0" max="7" min="7" style="2" width="9.52"/>
  </cols>
  <sheetData>
    <row r="1" customFormat="false" ht="13.8" hidden="false" customHeight="false" outlineLevel="0" collapsed="false">
      <c r="A1" s="2" t="s">
        <v>55</v>
      </c>
      <c r="B1" s="2" t="s">
        <v>56</v>
      </c>
      <c r="C1" s="2" t="s">
        <v>57</v>
      </c>
      <c r="D1" s="2" t="s">
        <v>58</v>
      </c>
      <c r="E1" s="2" t="s">
        <v>571</v>
      </c>
      <c r="F1" s="2" t="s">
        <v>60</v>
      </c>
      <c r="G1" s="2" t="s">
        <v>61</v>
      </c>
    </row>
    <row r="2" customFormat="false" ht="13.8" hidden="false" customHeight="false" outlineLevel="0" collapsed="false">
      <c r="A2" s="2" t="s">
        <v>62</v>
      </c>
      <c r="B2" s="2" t="n">
        <v>1049</v>
      </c>
      <c r="C2" s="2" t="s">
        <v>63</v>
      </c>
      <c r="D2" s="2" t="s">
        <v>64</v>
      </c>
      <c r="E2" s="2" t="str">
        <f aca="false">_xlfn.CONCAT(D2,"-",B2)</f>
        <v>CE - 0000-1049</v>
      </c>
      <c r="F2" s="2" t="n">
        <v>1065</v>
      </c>
      <c r="G2" s="2" t="n">
        <v>10252</v>
      </c>
    </row>
    <row r="3" customFormat="false" ht="13.8" hidden="false" customHeight="false" outlineLevel="0" collapsed="false">
      <c r="A3" s="2" t="s">
        <v>62</v>
      </c>
      <c r="B3" s="2" t="n">
        <v>1049</v>
      </c>
      <c r="C3" s="2" t="s">
        <v>63</v>
      </c>
      <c r="D3" s="2" t="s">
        <v>68</v>
      </c>
      <c r="E3" s="2" t="str">
        <f aca="false">_xlfn.CONCAT(D3,"-",B3)</f>
        <v>CE - OL 002-1049</v>
      </c>
      <c r="F3" s="2" t="n">
        <v>181</v>
      </c>
      <c r="G3" s="2" t="n">
        <v>1973.74</v>
      </c>
    </row>
    <row r="4" customFormat="false" ht="13.8" hidden="false" customHeight="false" outlineLevel="0" collapsed="false">
      <c r="A4" s="2" t="s">
        <v>62</v>
      </c>
      <c r="B4" s="2" t="n">
        <v>1049</v>
      </c>
      <c r="C4" s="2" t="s">
        <v>63</v>
      </c>
      <c r="D4" s="2" t="s">
        <v>67</v>
      </c>
      <c r="E4" s="2" t="str">
        <f aca="false">_xlfn.CONCAT(D4,"-",B4)</f>
        <v>CE - EUROFARMA G7-1049</v>
      </c>
      <c r="F4" s="2" t="n">
        <v>195</v>
      </c>
      <c r="G4" s="2" t="n">
        <v>1913.59</v>
      </c>
    </row>
    <row r="5" customFormat="false" ht="13.8" hidden="false" customHeight="false" outlineLevel="0" collapsed="false">
      <c r="A5" s="2" t="s">
        <v>70</v>
      </c>
      <c r="B5" s="2" t="n">
        <v>1050</v>
      </c>
      <c r="C5" s="2" t="s">
        <v>71</v>
      </c>
      <c r="D5" s="2" t="s">
        <v>67</v>
      </c>
      <c r="E5" s="2" t="str">
        <f aca="false">_xlfn.CONCAT(D5,"-",B5)</f>
        <v>CE - EUROFARMA G7-1050</v>
      </c>
      <c r="F5" s="2" t="n">
        <v>299</v>
      </c>
      <c r="G5" s="2" t="n">
        <v>3686.41</v>
      </c>
    </row>
    <row r="6" customFormat="false" ht="13.8" hidden="false" customHeight="false" outlineLevel="0" collapsed="false">
      <c r="A6" s="2" t="s">
        <v>70</v>
      </c>
      <c r="B6" s="2" t="n">
        <v>1050</v>
      </c>
      <c r="C6" s="2" t="s">
        <v>71</v>
      </c>
      <c r="D6" s="2" t="s">
        <v>64</v>
      </c>
      <c r="E6" s="2" t="str">
        <f aca="false">_xlfn.CONCAT(D6,"-",B6)</f>
        <v>CE - 0000-1050</v>
      </c>
      <c r="F6" s="2" t="n">
        <v>778</v>
      </c>
      <c r="G6" s="2" t="n">
        <v>9547.49</v>
      </c>
    </row>
    <row r="7" customFormat="false" ht="13.8" hidden="false" customHeight="false" outlineLevel="0" collapsed="false">
      <c r="A7" s="2" t="s">
        <v>70</v>
      </c>
      <c r="B7" s="2" t="n">
        <v>1050</v>
      </c>
      <c r="C7" s="2" t="s">
        <v>71</v>
      </c>
      <c r="D7" s="2" t="s">
        <v>68</v>
      </c>
      <c r="E7" s="2" t="str">
        <f aca="false">_xlfn.CONCAT(D7,"-",B7)</f>
        <v>CE - OL 002-1050</v>
      </c>
      <c r="F7" s="2" t="n">
        <v>27</v>
      </c>
      <c r="G7" s="2" t="n">
        <v>365.8</v>
      </c>
    </row>
    <row r="8" customFormat="false" ht="13.8" hidden="false" customHeight="false" outlineLevel="0" collapsed="false">
      <c r="A8" s="2" t="s">
        <v>72</v>
      </c>
      <c r="B8" s="2" t="n">
        <v>16186</v>
      </c>
      <c r="C8" s="2" t="s">
        <v>73</v>
      </c>
      <c r="D8" s="2" t="s">
        <v>64</v>
      </c>
      <c r="E8" s="2" t="str">
        <f aca="false">_xlfn.CONCAT(D8,"-",B8)</f>
        <v>CE - 0000-16186</v>
      </c>
      <c r="F8" s="2" t="n">
        <v>77</v>
      </c>
      <c r="G8" s="2" t="n">
        <v>783.12</v>
      </c>
    </row>
    <row r="9" customFormat="false" ht="13.8" hidden="false" customHeight="false" outlineLevel="0" collapsed="false">
      <c r="A9" s="2" t="s">
        <v>72</v>
      </c>
      <c r="B9" s="2" t="n">
        <v>16186</v>
      </c>
      <c r="C9" s="2" t="s">
        <v>73</v>
      </c>
      <c r="D9" s="2" t="s">
        <v>67</v>
      </c>
      <c r="E9" s="2" t="str">
        <f aca="false">_xlfn.CONCAT(D9,"-",B9)</f>
        <v>CE - EUROFARMA G7-16186</v>
      </c>
      <c r="F9" s="2" t="n">
        <v>1</v>
      </c>
      <c r="G9" s="2" t="n">
        <v>10.76</v>
      </c>
    </row>
    <row r="10" customFormat="false" ht="13.8" hidden="false" customHeight="false" outlineLevel="0" collapsed="false">
      <c r="A10" s="2" t="s">
        <v>72</v>
      </c>
      <c r="B10" s="2" t="n">
        <v>16186</v>
      </c>
      <c r="C10" s="2" t="s">
        <v>73</v>
      </c>
      <c r="D10" s="2" t="s">
        <v>68</v>
      </c>
      <c r="E10" s="2" t="str">
        <f aca="false">_xlfn.CONCAT(D10,"-",B10)</f>
        <v>CE - OL 002-16186</v>
      </c>
      <c r="F10" s="2" t="n">
        <v>15</v>
      </c>
      <c r="G10" s="2" t="n">
        <v>177.85</v>
      </c>
    </row>
    <row r="11" customFormat="false" ht="13.8" hidden="false" customHeight="false" outlineLevel="0" collapsed="false">
      <c r="A11" s="2" t="s">
        <v>74</v>
      </c>
      <c r="B11" s="2" t="n">
        <v>4633</v>
      </c>
      <c r="C11" s="2" t="s">
        <v>75</v>
      </c>
      <c r="D11" s="2" t="s">
        <v>67</v>
      </c>
      <c r="E11" s="2" t="str">
        <f aca="false">_xlfn.CONCAT(D11,"-",B11)</f>
        <v>CE - EUROFARMA G7-4633</v>
      </c>
      <c r="F11" s="2" t="n">
        <v>32</v>
      </c>
      <c r="G11" s="2" t="n">
        <v>500.2</v>
      </c>
    </row>
    <row r="12" customFormat="false" ht="13.8" hidden="false" customHeight="false" outlineLevel="0" collapsed="false">
      <c r="A12" s="2" t="s">
        <v>76</v>
      </c>
      <c r="B12" s="2" t="n">
        <v>16807</v>
      </c>
      <c r="C12" s="2" t="s">
        <v>77</v>
      </c>
      <c r="D12" s="2" t="s">
        <v>67</v>
      </c>
      <c r="E12" s="2" t="str">
        <f aca="false">_xlfn.CONCAT(D12,"-",B12)</f>
        <v>CE - EUROFARMA G7-16807</v>
      </c>
      <c r="F12" s="2" t="n">
        <v>310</v>
      </c>
      <c r="G12" s="2" t="n">
        <v>2982.47</v>
      </c>
    </row>
    <row r="13" customFormat="false" ht="13.8" hidden="false" customHeight="false" outlineLevel="0" collapsed="false">
      <c r="A13" s="2" t="s">
        <v>76</v>
      </c>
      <c r="B13" s="2" t="n">
        <v>16807</v>
      </c>
      <c r="C13" s="2" t="s">
        <v>77</v>
      </c>
      <c r="D13" s="2" t="s">
        <v>68</v>
      </c>
      <c r="E13" s="2" t="str">
        <f aca="false">_xlfn.CONCAT(D13,"-",B13)</f>
        <v>CE - OL 002-16807</v>
      </c>
      <c r="F13" s="2" t="n">
        <v>98</v>
      </c>
      <c r="G13" s="2" t="n">
        <v>1034.52</v>
      </c>
    </row>
    <row r="14" customFormat="false" ht="13.8" hidden="false" customHeight="false" outlineLevel="0" collapsed="false">
      <c r="A14" s="2" t="s">
        <v>76</v>
      </c>
      <c r="B14" s="2" t="n">
        <v>16807</v>
      </c>
      <c r="C14" s="2" t="s">
        <v>77</v>
      </c>
      <c r="D14" s="2" t="s">
        <v>64</v>
      </c>
      <c r="E14" s="2" t="str">
        <f aca="false">_xlfn.CONCAT(D14,"-",B14)</f>
        <v>CE - 0000-16807</v>
      </c>
      <c r="F14" s="2" t="n">
        <v>1139</v>
      </c>
      <c r="G14" s="2" t="n">
        <v>10853.7</v>
      </c>
    </row>
    <row r="15" customFormat="false" ht="13.8" hidden="false" customHeight="false" outlineLevel="0" collapsed="false">
      <c r="A15" s="2" t="s">
        <v>78</v>
      </c>
      <c r="B15" s="2" t="n">
        <v>4242</v>
      </c>
      <c r="C15" s="2" t="s">
        <v>79</v>
      </c>
      <c r="D15" s="2" t="s">
        <v>67</v>
      </c>
      <c r="E15" s="2" t="str">
        <f aca="false">_xlfn.CONCAT(D15,"-",B15)</f>
        <v>CE - EUROFARMA G7-4242</v>
      </c>
      <c r="F15" s="2" t="n">
        <v>27</v>
      </c>
      <c r="G15" s="2" t="n">
        <v>494.01</v>
      </c>
    </row>
    <row r="16" customFormat="false" ht="13.8" hidden="false" customHeight="false" outlineLevel="0" collapsed="false">
      <c r="A16" s="2" t="s">
        <v>78</v>
      </c>
      <c r="B16" s="2" t="n">
        <v>4242</v>
      </c>
      <c r="C16" s="2" t="s">
        <v>79</v>
      </c>
      <c r="D16" s="2" t="s">
        <v>64</v>
      </c>
      <c r="E16" s="2" t="str">
        <f aca="false">_xlfn.CONCAT(D16,"-",B16)</f>
        <v>CE - 0000-4242</v>
      </c>
      <c r="F16" s="2" t="n">
        <v>15</v>
      </c>
      <c r="G16" s="2" t="n">
        <v>259.16</v>
      </c>
    </row>
    <row r="17" customFormat="false" ht="13.8" hidden="false" customHeight="false" outlineLevel="0" collapsed="false">
      <c r="A17" s="2" t="s">
        <v>80</v>
      </c>
      <c r="B17" s="2" t="n">
        <v>1097</v>
      </c>
      <c r="C17" s="2" t="s">
        <v>81</v>
      </c>
      <c r="D17" s="2" t="s">
        <v>67</v>
      </c>
      <c r="E17" s="2" t="str">
        <f aca="false">_xlfn.CONCAT(D17,"-",B17)</f>
        <v>CE - EUROFARMA G7-1097</v>
      </c>
      <c r="F17" s="2" t="n">
        <v>123</v>
      </c>
      <c r="G17" s="2" t="n">
        <v>2494.26</v>
      </c>
    </row>
    <row r="18" customFormat="false" ht="13.8" hidden="false" customHeight="false" outlineLevel="0" collapsed="false">
      <c r="A18" s="2" t="s">
        <v>80</v>
      </c>
      <c r="B18" s="2" t="n">
        <v>1097</v>
      </c>
      <c r="C18" s="2" t="s">
        <v>81</v>
      </c>
      <c r="D18" s="2" t="s">
        <v>64</v>
      </c>
      <c r="E18" s="2" t="str">
        <f aca="false">_xlfn.CONCAT(D18,"-",B18)</f>
        <v>CE - 0000-1097</v>
      </c>
      <c r="F18" s="2" t="n">
        <v>648</v>
      </c>
      <c r="G18" s="2" t="n">
        <v>12485.64</v>
      </c>
    </row>
    <row r="19" customFormat="false" ht="13.8" hidden="false" customHeight="false" outlineLevel="0" collapsed="false">
      <c r="A19" s="2" t="s">
        <v>80</v>
      </c>
      <c r="B19" s="2" t="n">
        <v>1097</v>
      </c>
      <c r="C19" s="2" t="s">
        <v>81</v>
      </c>
      <c r="D19" s="2" t="s">
        <v>68</v>
      </c>
      <c r="E19" s="2" t="str">
        <f aca="false">_xlfn.CONCAT(D19,"-",B19)</f>
        <v>CE - OL 002-1097</v>
      </c>
      <c r="F19" s="2" t="n">
        <v>2</v>
      </c>
      <c r="G19" s="2" t="n">
        <v>42.57</v>
      </c>
    </row>
    <row r="20" customFormat="false" ht="13.8" hidden="false" customHeight="false" outlineLevel="0" collapsed="false">
      <c r="A20" s="2" t="s">
        <v>82</v>
      </c>
      <c r="B20" s="2" t="n">
        <v>3287</v>
      </c>
      <c r="C20" s="2" t="s">
        <v>83</v>
      </c>
      <c r="D20" s="2" t="s">
        <v>68</v>
      </c>
      <c r="E20" s="2" t="str">
        <f aca="false">_xlfn.CONCAT(D20,"-",B20)</f>
        <v>CE - OL 002-3287</v>
      </c>
      <c r="F20" s="2" t="n">
        <v>19</v>
      </c>
      <c r="G20" s="2" t="n">
        <v>585.54</v>
      </c>
    </row>
    <row r="21" customFormat="false" ht="13.8" hidden="false" customHeight="false" outlineLevel="0" collapsed="false">
      <c r="A21" s="2" t="s">
        <v>82</v>
      </c>
      <c r="B21" s="2" t="n">
        <v>3287</v>
      </c>
      <c r="C21" s="2" t="s">
        <v>83</v>
      </c>
      <c r="D21" s="2" t="s">
        <v>64</v>
      </c>
      <c r="E21" s="2" t="str">
        <f aca="false">_xlfn.CONCAT(D21,"-",B21)</f>
        <v>CE - 0000-3287</v>
      </c>
      <c r="F21" s="2" t="n">
        <v>289</v>
      </c>
      <c r="G21" s="2" t="n">
        <v>8082.55</v>
      </c>
    </row>
    <row r="22" customFormat="false" ht="13.8" hidden="false" customHeight="false" outlineLevel="0" collapsed="false">
      <c r="A22" s="2" t="s">
        <v>84</v>
      </c>
      <c r="B22" s="2" t="n">
        <v>39</v>
      </c>
      <c r="C22" s="2" t="s">
        <v>85</v>
      </c>
      <c r="D22" s="2" t="s">
        <v>64</v>
      </c>
      <c r="E22" s="2" t="str">
        <f aca="false">_xlfn.CONCAT(D22,"-",B22)</f>
        <v>CE - 0000-39</v>
      </c>
      <c r="F22" s="2" t="n">
        <v>15</v>
      </c>
      <c r="G22" s="2" t="n">
        <v>263.64</v>
      </c>
    </row>
    <row r="23" customFormat="false" ht="13.8" hidden="false" customHeight="false" outlineLevel="0" collapsed="false">
      <c r="A23" s="2" t="s">
        <v>86</v>
      </c>
      <c r="B23" s="2" t="n">
        <v>14254</v>
      </c>
      <c r="C23" s="2" t="s">
        <v>87</v>
      </c>
      <c r="D23" s="2" t="s">
        <v>67</v>
      </c>
      <c r="E23" s="2" t="str">
        <f aca="false">_xlfn.CONCAT(D23,"-",B23)</f>
        <v>CE - EUROFARMA G7-14254</v>
      </c>
      <c r="F23" s="2" t="n">
        <v>1</v>
      </c>
      <c r="G23" s="2" t="n">
        <v>3.95</v>
      </c>
    </row>
    <row r="24" customFormat="false" ht="13.8" hidden="false" customHeight="false" outlineLevel="0" collapsed="false">
      <c r="A24" s="2" t="s">
        <v>86</v>
      </c>
      <c r="B24" s="2" t="n">
        <v>14254</v>
      </c>
      <c r="C24" s="2" t="s">
        <v>87</v>
      </c>
      <c r="D24" s="2" t="s">
        <v>64</v>
      </c>
      <c r="E24" s="2" t="str">
        <f aca="false">_xlfn.CONCAT(D24,"-",B24)</f>
        <v>CE - 0000-14254</v>
      </c>
      <c r="F24" s="2" t="n">
        <v>33</v>
      </c>
      <c r="G24" s="2" t="n">
        <v>119.75</v>
      </c>
    </row>
    <row r="25" customFormat="false" ht="13.8" hidden="false" customHeight="false" outlineLevel="0" collapsed="false">
      <c r="A25" s="2" t="s">
        <v>86</v>
      </c>
      <c r="B25" s="2" t="n">
        <v>14254</v>
      </c>
      <c r="C25" s="2" t="s">
        <v>87</v>
      </c>
      <c r="D25" s="2" t="s">
        <v>68</v>
      </c>
      <c r="E25" s="2" t="str">
        <f aca="false">_xlfn.CONCAT(D25,"-",B25)</f>
        <v>CE - OL 002-14254</v>
      </c>
      <c r="F25" s="2" t="n">
        <v>4</v>
      </c>
      <c r="G25" s="2" t="n">
        <v>16.36</v>
      </c>
    </row>
    <row r="26" customFormat="false" ht="13.8" hidden="false" customHeight="false" outlineLevel="0" collapsed="false">
      <c r="A26" s="2" t="s">
        <v>88</v>
      </c>
      <c r="B26" s="2" t="n">
        <v>6055</v>
      </c>
      <c r="C26" s="2" t="s">
        <v>89</v>
      </c>
      <c r="D26" s="2" t="s">
        <v>64</v>
      </c>
      <c r="E26" s="2" t="str">
        <f aca="false">_xlfn.CONCAT(D26,"-",B26)</f>
        <v>CE - 0000-6055</v>
      </c>
      <c r="F26" s="2" t="n">
        <v>4353</v>
      </c>
      <c r="G26" s="2" t="n">
        <v>48147.37</v>
      </c>
    </row>
    <row r="27" customFormat="false" ht="13.8" hidden="false" customHeight="false" outlineLevel="0" collapsed="false">
      <c r="A27" s="2" t="s">
        <v>88</v>
      </c>
      <c r="B27" s="2" t="n">
        <v>6055</v>
      </c>
      <c r="C27" s="2" t="s">
        <v>89</v>
      </c>
      <c r="D27" s="2" t="s">
        <v>68</v>
      </c>
      <c r="E27" s="2" t="str">
        <f aca="false">_xlfn.CONCAT(D27,"-",B27)</f>
        <v>CE - OL 002-6055</v>
      </c>
      <c r="F27" s="2" t="n">
        <v>65</v>
      </c>
      <c r="G27" s="2" t="n">
        <v>807.82</v>
      </c>
    </row>
    <row r="28" customFormat="false" ht="13.8" hidden="false" customHeight="false" outlineLevel="0" collapsed="false">
      <c r="A28" s="2" t="s">
        <v>88</v>
      </c>
      <c r="B28" s="2" t="n">
        <v>6055</v>
      </c>
      <c r="C28" s="2" t="s">
        <v>89</v>
      </c>
      <c r="D28" s="2" t="s">
        <v>67</v>
      </c>
      <c r="E28" s="2" t="str">
        <f aca="false">_xlfn.CONCAT(D28,"-",B28)</f>
        <v>CE - EUROFARMA G7-6055</v>
      </c>
      <c r="F28" s="2" t="n">
        <v>5</v>
      </c>
      <c r="G28" s="2" t="n">
        <v>57.81</v>
      </c>
    </row>
    <row r="29" customFormat="false" ht="13.8" hidden="false" customHeight="false" outlineLevel="0" collapsed="false">
      <c r="A29" s="2" t="s">
        <v>91</v>
      </c>
      <c r="B29" s="2" t="n">
        <v>22197</v>
      </c>
      <c r="C29" s="2" t="s">
        <v>92</v>
      </c>
      <c r="D29" s="2" t="s">
        <v>64</v>
      </c>
      <c r="E29" s="2" t="str">
        <f aca="false">_xlfn.CONCAT(D29,"-",B29)</f>
        <v>CE - 0000-22197</v>
      </c>
      <c r="F29" s="2" t="n">
        <v>239</v>
      </c>
      <c r="G29" s="2" t="n">
        <v>1279.98</v>
      </c>
    </row>
    <row r="30" customFormat="false" ht="13.8" hidden="false" customHeight="false" outlineLevel="0" collapsed="false">
      <c r="A30" s="2" t="s">
        <v>91</v>
      </c>
      <c r="B30" s="2" t="n">
        <v>22197</v>
      </c>
      <c r="C30" s="2" t="s">
        <v>92</v>
      </c>
      <c r="D30" s="2" t="s">
        <v>67</v>
      </c>
      <c r="E30" s="2" t="str">
        <f aca="false">_xlfn.CONCAT(D30,"-",B30)</f>
        <v>CE - EUROFARMA G7-22197</v>
      </c>
      <c r="F30" s="2" t="n">
        <v>66</v>
      </c>
      <c r="G30" s="2" t="n">
        <v>352.55</v>
      </c>
    </row>
    <row r="31" customFormat="false" ht="13.8" hidden="false" customHeight="false" outlineLevel="0" collapsed="false">
      <c r="A31" s="2" t="s">
        <v>91</v>
      </c>
      <c r="B31" s="2" t="n">
        <v>22197</v>
      </c>
      <c r="C31" s="2" t="s">
        <v>92</v>
      </c>
      <c r="D31" s="2" t="s">
        <v>68</v>
      </c>
      <c r="E31" s="2" t="str">
        <f aca="false">_xlfn.CONCAT(D31,"-",B31)</f>
        <v>CE - OL 002-22197</v>
      </c>
      <c r="F31" s="2" t="n">
        <v>10</v>
      </c>
      <c r="G31" s="2" t="n">
        <v>59.14</v>
      </c>
    </row>
    <row r="32" customFormat="false" ht="13.8" hidden="false" customHeight="false" outlineLevel="0" collapsed="false">
      <c r="A32" s="2" t="s">
        <v>98</v>
      </c>
      <c r="B32" s="2" t="n">
        <v>1056</v>
      </c>
      <c r="C32" s="2" t="s">
        <v>99</v>
      </c>
      <c r="D32" s="2" t="s">
        <v>67</v>
      </c>
      <c r="E32" s="2" t="str">
        <f aca="false">_xlfn.CONCAT(D32,"-",B32)</f>
        <v>CE - EUROFARMA G7-1056</v>
      </c>
      <c r="F32" s="2" t="n">
        <v>2382</v>
      </c>
      <c r="G32" s="2" t="n">
        <v>34963.54</v>
      </c>
    </row>
    <row r="33" customFormat="false" ht="13.8" hidden="false" customHeight="false" outlineLevel="0" collapsed="false">
      <c r="A33" s="2" t="s">
        <v>98</v>
      </c>
      <c r="B33" s="2" t="n">
        <v>1056</v>
      </c>
      <c r="C33" s="2" t="s">
        <v>99</v>
      </c>
      <c r="D33" s="2" t="s">
        <v>64</v>
      </c>
      <c r="E33" s="2" t="str">
        <f aca="false">_xlfn.CONCAT(D33,"-",B33)</f>
        <v>CE - 0000-1056</v>
      </c>
      <c r="F33" s="2" t="n">
        <v>780</v>
      </c>
      <c r="G33" s="2" t="n">
        <v>11488.27</v>
      </c>
    </row>
    <row r="34" customFormat="false" ht="13.8" hidden="false" customHeight="false" outlineLevel="0" collapsed="false">
      <c r="A34" s="2" t="s">
        <v>98</v>
      </c>
      <c r="B34" s="2" t="n">
        <v>1056</v>
      </c>
      <c r="C34" s="2" t="s">
        <v>99</v>
      </c>
      <c r="D34" s="2" t="s">
        <v>68</v>
      </c>
      <c r="E34" s="2" t="str">
        <f aca="false">_xlfn.CONCAT(D34,"-",B34)</f>
        <v>CE - OL 002-1056</v>
      </c>
      <c r="F34" s="2" t="n">
        <v>265</v>
      </c>
      <c r="G34" s="2" t="n">
        <v>4412.77</v>
      </c>
    </row>
    <row r="35" customFormat="false" ht="13.8" hidden="false" customHeight="false" outlineLevel="0" collapsed="false">
      <c r="A35" s="2" t="s">
        <v>100</v>
      </c>
      <c r="B35" s="2" t="n">
        <v>6943</v>
      </c>
      <c r="C35" s="2" t="s">
        <v>101</v>
      </c>
      <c r="D35" s="2" t="s">
        <v>67</v>
      </c>
      <c r="E35" s="2" t="str">
        <f aca="false">_xlfn.CONCAT(D35,"-",B35)</f>
        <v>CE - EUROFARMA G7-6943</v>
      </c>
      <c r="F35" s="2" t="n">
        <v>105</v>
      </c>
      <c r="G35" s="2" t="n">
        <v>2068.14</v>
      </c>
    </row>
    <row r="36" customFormat="false" ht="13.8" hidden="false" customHeight="false" outlineLevel="0" collapsed="false">
      <c r="A36" s="2" t="s">
        <v>100</v>
      </c>
      <c r="B36" s="2" t="n">
        <v>6943</v>
      </c>
      <c r="C36" s="2" t="s">
        <v>101</v>
      </c>
      <c r="D36" s="2" t="s">
        <v>64</v>
      </c>
      <c r="E36" s="2" t="str">
        <f aca="false">_xlfn.CONCAT(D36,"-",B36)</f>
        <v>CE - 0000-6943</v>
      </c>
      <c r="F36" s="2" t="n">
        <v>512</v>
      </c>
      <c r="G36" s="2" t="n">
        <v>9936.22</v>
      </c>
    </row>
    <row r="37" customFormat="false" ht="13.8" hidden="false" customHeight="false" outlineLevel="0" collapsed="false">
      <c r="A37" s="2" t="s">
        <v>100</v>
      </c>
      <c r="B37" s="2" t="n">
        <v>6943</v>
      </c>
      <c r="C37" s="2" t="s">
        <v>101</v>
      </c>
      <c r="D37" s="2" t="s">
        <v>68</v>
      </c>
      <c r="E37" s="2" t="str">
        <f aca="false">_xlfn.CONCAT(D37,"-",B37)</f>
        <v>CE - OL 002-6943</v>
      </c>
      <c r="F37" s="2" t="n">
        <v>47</v>
      </c>
      <c r="G37" s="2" t="n">
        <v>1005.83</v>
      </c>
    </row>
    <row r="38" customFormat="false" ht="13.8" hidden="false" customHeight="false" outlineLevel="0" collapsed="false">
      <c r="A38" s="2" t="s">
        <v>102</v>
      </c>
      <c r="B38" s="2" t="n">
        <v>1052</v>
      </c>
      <c r="C38" s="2" t="s">
        <v>103</v>
      </c>
      <c r="D38" s="2" t="s">
        <v>64</v>
      </c>
      <c r="E38" s="2" t="str">
        <f aca="false">_xlfn.CONCAT(D38,"-",B38)</f>
        <v>CE - 0000-1052</v>
      </c>
      <c r="F38" s="2" t="n">
        <v>98</v>
      </c>
      <c r="G38" s="2" t="n">
        <v>1980.36</v>
      </c>
    </row>
    <row r="39" customFormat="false" ht="13.8" hidden="false" customHeight="false" outlineLevel="0" collapsed="false">
      <c r="A39" s="2" t="s">
        <v>102</v>
      </c>
      <c r="B39" s="2" t="n">
        <v>1052</v>
      </c>
      <c r="C39" s="2" t="s">
        <v>103</v>
      </c>
      <c r="D39" s="2" t="s">
        <v>67</v>
      </c>
      <c r="E39" s="2" t="str">
        <f aca="false">_xlfn.CONCAT(D39,"-",B39)</f>
        <v>CE - EUROFARMA G7-1052</v>
      </c>
      <c r="F39" s="2" t="n">
        <v>3</v>
      </c>
      <c r="G39" s="2" t="n">
        <v>64.03</v>
      </c>
    </row>
    <row r="40" customFormat="false" ht="13.8" hidden="false" customHeight="false" outlineLevel="0" collapsed="false">
      <c r="A40" s="2" t="s">
        <v>104</v>
      </c>
      <c r="B40" s="2" t="n">
        <v>1057</v>
      </c>
      <c r="C40" s="2" t="s">
        <v>105</v>
      </c>
      <c r="D40" s="2" t="s">
        <v>67</v>
      </c>
      <c r="E40" s="2" t="str">
        <f aca="false">_xlfn.CONCAT(D40,"-",B40)</f>
        <v>CE - EUROFARMA G7-1057</v>
      </c>
      <c r="F40" s="2" t="n">
        <v>5</v>
      </c>
      <c r="G40" s="2" t="n">
        <v>125.93</v>
      </c>
    </row>
    <row r="41" customFormat="false" ht="13.8" hidden="false" customHeight="false" outlineLevel="0" collapsed="false">
      <c r="A41" s="2" t="s">
        <v>104</v>
      </c>
      <c r="B41" s="2" t="n">
        <v>1057</v>
      </c>
      <c r="C41" s="2" t="s">
        <v>105</v>
      </c>
      <c r="D41" s="2" t="s">
        <v>64</v>
      </c>
      <c r="E41" s="2" t="str">
        <f aca="false">_xlfn.CONCAT(D41,"-",B41)</f>
        <v>CE - 0000-1057</v>
      </c>
      <c r="F41" s="2" t="n">
        <v>34</v>
      </c>
      <c r="G41" s="2" t="n">
        <v>817.89</v>
      </c>
    </row>
    <row r="42" customFormat="false" ht="13.8" hidden="false" customHeight="false" outlineLevel="0" collapsed="false">
      <c r="A42" s="2" t="s">
        <v>104</v>
      </c>
      <c r="B42" s="2" t="n">
        <v>1057</v>
      </c>
      <c r="C42" s="2" t="s">
        <v>105</v>
      </c>
      <c r="D42" s="2" t="s">
        <v>68</v>
      </c>
      <c r="E42" s="2" t="str">
        <f aca="false">_xlfn.CONCAT(D42,"-",B42)</f>
        <v>CE - OL 002-1057</v>
      </c>
      <c r="F42" s="2" t="n">
        <v>4</v>
      </c>
      <c r="G42" s="2" t="n">
        <v>105.87</v>
      </c>
    </row>
    <row r="43" customFormat="false" ht="13.8" hidden="false" customHeight="false" outlineLevel="0" collapsed="false">
      <c r="A43" s="2" t="s">
        <v>108</v>
      </c>
      <c r="B43" s="2" t="n">
        <v>6056</v>
      </c>
      <c r="C43" s="2" t="s">
        <v>109</v>
      </c>
      <c r="D43" s="2" t="s">
        <v>67</v>
      </c>
      <c r="E43" s="2" t="str">
        <f aca="false">_xlfn.CONCAT(D43,"-",B43)</f>
        <v>CE - EUROFARMA G7-6056</v>
      </c>
      <c r="F43" s="2" t="n">
        <v>385</v>
      </c>
      <c r="G43" s="2" t="n">
        <v>22832.59</v>
      </c>
    </row>
    <row r="44" customFormat="false" ht="13.8" hidden="false" customHeight="false" outlineLevel="0" collapsed="false">
      <c r="A44" s="2" t="s">
        <v>108</v>
      </c>
      <c r="B44" s="2" t="n">
        <v>6056</v>
      </c>
      <c r="C44" s="2" t="s">
        <v>109</v>
      </c>
      <c r="D44" s="2" t="s">
        <v>64</v>
      </c>
      <c r="E44" s="2" t="str">
        <f aca="false">_xlfn.CONCAT(D44,"-",B44)</f>
        <v>CE - 0000-6056</v>
      </c>
      <c r="F44" s="2" t="n">
        <v>173</v>
      </c>
      <c r="G44" s="2" t="n">
        <v>10536.73</v>
      </c>
    </row>
    <row r="45" customFormat="false" ht="13.8" hidden="false" customHeight="false" outlineLevel="0" collapsed="false">
      <c r="A45" s="2" t="s">
        <v>108</v>
      </c>
      <c r="B45" s="2" t="n">
        <v>6056</v>
      </c>
      <c r="C45" s="2" t="s">
        <v>109</v>
      </c>
      <c r="D45" s="2" t="s">
        <v>68</v>
      </c>
      <c r="E45" s="2" t="str">
        <f aca="false">_xlfn.CONCAT(D45,"-",B45)</f>
        <v>CE - OL 002-6056</v>
      </c>
      <c r="F45" s="2" t="n">
        <v>19</v>
      </c>
      <c r="G45" s="2" t="n">
        <v>1495.18</v>
      </c>
    </row>
    <row r="46" customFormat="false" ht="13.8" hidden="false" customHeight="false" outlineLevel="0" collapsed="false">
      <c r="A46" s="2" t="s">
        <v>108</v>
      </c>
      <c r="B46" s="2" t="n">
        <v>6056</v>
      </c>
      <c r="C46" s="2" t="s">
        <v>109</v>
      </c>
      <c r="D46" s="2" t="s">
        <v>66</v>
      </c>
      <c r="E46" s="2" t="str">
        <f aca="false">_xlfn.CONCAT(D46,"-",B46)</f>
        <v>CE - OL 001-6056</v>
      </c>
      <c r="F46" s="2" t="n">
        <v>43</v>
      </c>
      <c r="G46" s="2" t="n">
        <v>2858.73</v>
      </c>
    </row>
    <row r="47" customFormat="false" ht="13.8" hidden="false" customHeight="false" outlineLevel="0" collapsed="false">
      <c r="A47" s="2" t="s">
        <v>110</v>
      </c>
      <c r="B47" s="2" t="n">
        <v>12513</v>
      </c>
      <c r="C47" s="2" t="s">
        <v>111</v>
      </c>
      <c r="D47" s="2" t="s">
        <v>67</v>
      </c>
      <c r="E47" s="2" t="str">
        <f aca="false">_xlfn.CONCAT(D47,"-",B47)</f>
        <v>CE - EUROFARMA G7-12513</v>
      </c>
      <c r="F47" s="2" t="n">
        <v>14</v>
      </c>
      <c r="G47" s="2" t="n">
        <v>1117.09</v>
      </c>
    </row>
    <row r="48" customFormat="false" ht="13.8" hidden="false" customHeight="false" outlineLevel="0" collapsed="false">
      <c r="A48" s="2" t="s">
        <v>110</v>
      </c>
      <c r="B48" s="2" t="n">
        <v>12513</v>
      </c>
      <c r="C48" s="2" t="s">
        <v>111</v>
      </c>
      <c r="D48" s="2" t="s">
        <v>64</v>
      </c>
      <c r="E48" s="2" t="str">
        <f aca="false">_xlfn.CONCAT(D48,"-",B48)</f>
        <v>CE - 0000-12513</v>
      </c>
      <c r="F48" s="2" t="n">
        <v>18</v>
      </c>
      <c r="G48" s="2" t="n">
        <v>1361.22</v>
      </c>
    </row>
    <row r="49" customFormat="false" ht="13.8" hidden="false" customHeight="false" outlineLevel="0" collapsed="false">
      <c r="A49" s="2" t="s">
        <v>110</v>
      </c>
      <c r="B49" s="2" t="n">
        <v>12513</v>
      </c>
      <c r="C49" s="2" t="s">
        <v>111</v>
      </c>
      <c r="D49" s="2" t="s">
        <v>66</v>
      </c>
      <c r="E49" s="2" t="str">
        <f aca="false">_xlfn.CONCAT(D49,"-",B49)</f>
        <v>CE - OL 001-12513</v>
      </c>
      <c r="F49" s="2" t="n">
        <v>6</v>
      </c>
      <c r="G49" s="2" t="n">
        <v>492.66</v>
      </c>
    </row>
    <row r="50" customFormat="false" ht="13.8" hidden="false" customHeight="false" outlineLevel="0" collapsed="false">
      <c r="A50" s="2" t="s">
        <v>110</v>
      </c>
      <c r="B50" s="2" t="n">
        <v>12513</v>
      </c>
      <c r="C50" s="2" t="s">
        <v>111</v>
      </c>
      <c r="D50" s="2" t="s">
        <v>68</v>
      </c>
      <c r="E50" s="2" t="str">
        <f aca="false">_xlfn.CONCAT(D50,"-",B50)</f>
        <v>CE - OL 002-12513</v>
      </c>
      <c r="F50" s="2" t="n">
        <v>6</v>
      </c>
      <c r="G50" s="2" t="n">
        <v>724.55</v>
      </c>
    </row>
    <row r="51" customFormat="false" ht="13.8" hidden="false" customHeight="false" outlineLevel="0" collapsed="false">
      <c r="A51" s="2" t="s">
        <v>112</v>
      </c>
      <c r="B51" s="2" t="n">
        <v>5777</v>
      </c>
      <c r="C51" s="2" t="s">
        <v>113</v>
      </c>
      <c r="D51" s="2" t="s">
        <v>64</v>
      </c>
      <c r="E51" s="2" t="str">
        <f aca="false">_xlfn.CONCAT(D51,"-",B51)</f>
        <v>CE - 0000-5777</v>
      </c>
      <c r="F51" s="2" t="n">
        <v>47</v>
      </c>
      <c r="G51" s="2" t="n">
        <v>400.37</v>
      </c>
    </row>
    <row r="52" customFormat="false" ht="13.8" hidden="false" customHeight="false" outlineLevel="0" collapsed="false">
      <c r="A52" s="2" t="s">
        <v>112</v>
      </c>
      <c r="B52" s="2" t="n">
        <v>5777</v>
      </c>
      <c r="C52" s="2" t="s">
        <v>113</v>
      </c>
      <c r="D52" s="2" t="s">
        <v>67</v>
      </c>
      <c r="E52" s="2" t="str">
        <f aca="false">_xlfn.CONCAT(D52,"-",B52)</f>
        <v>CE - EUROFARMA G7-5777</v>
      </c>
      <c r="F52" s="2" t="n">
        <v>5</v>
      </c>
      <c r="G52" s="2" t="n">
        <v>42.52</v>
      </c>
    </row>
    <row r="53" customFormat="false" ht="13.8" hidden="false" customHeight="false" outlineLevel="0" collapsed="false">
      <c r="A53" s="2" t="s">
        <v>112</v>
      </c>
      <c r="B53" s="2" t="n">
        <v>5777</v>
      </c>
      <c r="C53" s="2" t="s">
        <v>113</v>
      </c>
      <c r="D53" s="2" t="s">
        <v>68</v>
      </c>
      <c r="E53" s="2" t="str">
        <f aca="false">_xlfn.CONCAT(D53,"-",B53)</f>
        <v>CE - OL 002-5777</v>
      </c>
      <c r="F53" s="2" t="n">
        <v>20</v>
      </c>
      <c r="G53" s="2" t="n">
        <v>188.58</v>
      </c>
    </row>
    <row r="54" customFormat="false" ht="13.8" hidden="false" customHeight="false" outlineLevel="0" collapsed="false">
      <c r="A54" s="2" t="s">
        <v>114</v>
      </c>
      <c r="B54" s="2" t="n">
        <v>5609</v>
      </c>
      <c r="C54" s="2" t="s">
        <v>115</v>
      </c>
      <c r="D54" s="2" t="s">
        <v>68</v>
      </c>
      <c r="E54" s="2" t="str">
        <f aca="false">_xlfn.CONCAT(D54,"-",B54)</f>
        <v>CE - OL 002-5609</v>
      </c>
      <c r="F54" s="2" t="n">
        <v>18</v>
      </c>
      <c r="G54" s="2" t="n">
        <v>116.56</v>
      </c>
    </row>
    <row r="55" customFormat="false" ht="13.8" hidden="false" customHeight="false" outlineLevel="0" collapsed="false">
      <c r="A55" s="2" t="s">
        <v>114</v>
      </c>
      <c r="B55" s="2" t="n">
        <v>5609</v>
      </c>
      <c r="C55" s="2" t="s">
        <v>115</v>
      </c>
      <c r="D55" s="2" t="s">
        <v>64</v>
      </c>
      <c r="E55" s="2" t="str">
        <f aca="false">_xlfn.CONCAT(D55,"-",B55)</f>
        <v>CE - 0000-5609</v>
      </c>
      <c r="F55" s="2" t="n">
        <v>150</v>
      </c>
      <c r="G55" s="2" t="n">
        <v>851.43</v>
      </c>
    </row>
    <row r="56" customFormat="false" ht="13.8" hidden="false" customHeight="false" outlineLevel="0" collapsed="false">
      <c r="A56" s="2" t="s">
        <v>114</v>
      </c>
      <c r="B56" s="2" t="n">
        <v>5609</v>
      </c>
      <c r="C56" s="2" t="s">
        <v>115</v>
      </c>
      <c r="D56" s="2" t="s">
        <v>67</v>
      </c>
      <c r="E56" s="2" t="str">
        <f aca="false">_xlfn.CONCAT(D56,"-",B56)</f>
        <v>CE - EUROFARMA G7-5609</v>
      </c>
      <c r="F56" s="2" t="n">
        <v>39</v>
      </c>
      <c r="G56" s="2" t="n">
        <v>231.54</v>
      </c>
    </row>
    <row r="57" customFormat="false" ht="13.8" hidden="false" customHeight="false" outlineLevel="0" collapsed="false">
      <c r="A57" s="2" t="s">
        <v>116</v>
      </c>
      <c r="B57" s="2" t="n">
        <v>8850</v>
      </c>
      <c r="C57" s="2" t="s">
        <v>117</v>
      </c>
      <c r="D57" s="2" t="s">
        <v>68</v>
      </c>
      <c r="E57" s="2" t="str">
        <f aca="false">_xlfn.CONCAT(D57,"-",B57)</f>
        <v>CE - OL 002-8850</v>
      </c>
      <c r="F57" s="2" t="n">
        <v>24</v>
      </c>
      <c r="G57" s="2" t="n">
        <v>208.1</v>
      </c>
    </row>
    <row r="58" customFormat="false" ht="13.8" hidden="false" customHeight="false" outlineLevel="0" collapsed="false">
      <c r="A58" s="2" t="s">
        <v>116</v>
      </c>
      <c r="B58" s="2" t="n">
        <v>8850</v>
      </c>
      <c r="C58" s="2" t="s">
        <v>117</v>
      </c>
      <c r="D58" s="2" t="s">
        <v>67</v>
      </c>
      <c r="E58" s="2" t="str">
        <f aca="false">_xlfn.CONCAT(D58,"-",B58)</f>
        <v>CE - EUROFARMA G7-8850</v>
      </c>
      <c r="F58" s="2" t="n">
        <v>6</v>
      </c>
      <c r="G58" s="2" t="n">
        <v>44.26</v>
      </c>
    </row>
    <row r="59" customFormat="false" ht="13.8" hidden="false" customHeight="false" outlineLevel="0" collapsed="false">
      <c r="A59" s="2" t="s">
        <v>116</v>
      </c>
      <c r="B59" s="2" t="n">
        <v>8850</v>
      </c>
      <c r="C59" s="2" t="s">
        <v>117</v>
      </c>
      <c r="D59" s="2" t="s">
        <v>64</v>
      </c>
      <c r="E59" s="2" t="str">
        <f aca="false">_xlfn.CONCAT(D59,"-",B59)</f>
        <v>CE - 0000-8850</v>
      </c>
      <c r="F59" s="2" t="n">
        <v>93</v>
      </c>
      <c r="G59" s="2" t="n">
        <v>693.34</v>
      </c>
    </row>
    <row r="60" customFormat="false" ht="13.8" hidden="false" customHeight="false" outlineLevel="0" collapsed="false">
      <c r="A60" s="2" t="s">
        <v>124</v>
      </c>
      <c r="B60" s="2" t="n">
        <v>8417</v>
      </c>
      <c r="C60" s="2" t="s">
        <v>125</v>
      </c>
      <c r="D60" s="2" t="s">
        <v>64</v>
      </c>
      <c r="E60" s="2" t="str">
        <f aca="false">_xlfn.CONCAT(D60,"-",B60)</f>
        <v>CE - 0000-8417</v>
      </c>
      <c r="F60" s="2" t="n">
        <v>1326</v>
      </c>
      <c r="G60" s="2" t="n">
        <v>11455.11</v>
      </c>
    </row>
    <row r="61" customFormat="false" ht="13.8" hidden="false" customHeight="false" outlineLevel="0" collapsed="false">
      <c r="A61" s="2" t="s">
        <v>124</v>
      </c>
      <c r="B61" s="2" t="n">
        <v>8417</v>
      </c>
      <c r="C61" s="2" t="s">
        <v>125</v>
      </c>
      <c r="D61" s="2" t="s">
        <v>67</v>
      </c>
      <c r="E61" s="2" t="str">
        <f aca="false">_xlfn.CONCAT(D61,"-",B61)</f>
        <v>CE - EUROFARMA G7-8417</v>
      </c>
      <c r="F61" s="2" t="n">
        <v>46</v>
      </c>
      <c r="G61" s="2" t="n">
        <v>396.14</v>
      </c>
    </row>
    <row r="62" customFormat="false" ht="13.8" hidden="false" customHeight="false" outlineLevel="0" collapsed="false">
      <c r="A62" s="2" t="s">
        <v>128</v>
      </c>
      <c r="B62" s="2" t="n">
        <v>12514</v>
      </c>
      <c r="C62" s="2" t="s">
        <v>129</v>
      </c>
      <c r="D62" s="2" t="s">
        <v>67</v>
      </c>
      <c r="E62" s="2" t="str">
        <f aca="false">_xlfn.CONCAT(D62,"-",B62)</f>
        <v>CE - EUROFARMA G7-12514</v>
      </c>
      <c r="F62" s="2" t="n">
        <v>95</v>
      </c>
      <c r="G62" s="2" t="n">
        <v>3235.06</v>
      </c>
    </row>
    <row r="63" customFormat="false" ht="13.8" hidden="false" customHeight="false" outlineLevel="0" collapsed="false">
      <c r="A63" s="2" t="s">
        <v>128</v>
      </c>
      <c r="B63" s="2" t="n">
        <v>12514</v>
      </c>
      <c r="C63" s="2" t="s">
        <v>129</v>
      </c>
      <c r="D63" s="2" t="s">
        <v>64</v>
      </c>
      <c r="E63" s="2" t="str">
        <f aca="false">_xlfn.CONCAT(D63,"-",B63)</f>
        <v>CE - 0000-12514</v>
      </c>
      <c r="F63" s="2" t="n">
        <v>122</v>
      </c>
      <c r="G63" s="2" t="n">
        <v>4089.68</v>
      </c>
    </row>
    <row r="64" customFormat="false" ht="13.8" hidden="false" customHeight="false" outlineLevel="0" collapsed="false">
      <c r="A64" s="2" t="s">
        <v>128</v>
      </c>
      <c r="B64" s="2" t="n">
        <v>12514</v>
      </c>
      <c r="C64" s="2" t="s">
        <v>129</v>
      </c>
      <c r="D64" s="2" t="s">
        <v>68</v>
      </c>
      <c r="E64" s="2" t="str">
        <f aca="false">_xlfn.CONCAT(D64,"-",B64)</f>
        <v>CE - OL 002-12514</v>
      </c>
      <c r="F64" s="2" t="n">
        <v>5</v>
      </c>
      <c r="G64" s="2" t="n">
        <v>184.47</v>
      </c>
    </row>
    <row r="65" customFormat="false" ht="13.8" hidden="false" customHeight="false" outlineLevel="0" collapsed="false">
      <c r="A65" s="2" t="s">
        <v>130</v>
      </c>
      <c r="B65" s="2" t="n">
        <v>8883</v>
      </c>
      <c r="C65" s="2" t="s">
        <v>131</v>
      </c>
      <c r="D65" s="2" t="s">
        <v>64</v>
      </c>
      <c r="E65" s="2" t="str">
        <f aca="false">_xlfn.CONCAT(D65,"-",B65)</f>
        <v>CE - 0000-8883</v>
      </c>
      <c r="F65" s="2" t="n">
        <v>536</v>
      </c>
      <c r="G65" s="2" t="n">
        <v>8076.23</v>
      </c>
    </row>
    <row r="66" customFormat="false" ht="13.8" hidden="false" customHeight="false" outlineLevel="0" collapsed="false">
      <c r="A66" s="2" t="s">
        <v>130</v>
      </c>
      <c r="B66" s="2" t="n">
        <v>8883</v>
      </c>
      <c r="C66" s="2" t="s">
        <v>131</v>
      </c>
      <c r="D66" s="2" t="s">
        <v>67</v>
      </c>
      <c r="E66" s="2" t="str">
        <f aca="false">_xlfn.CONCAT(D66,"-",B66)</f>
        <v>CE - EUROFARMA G7-8883</v>
      </c>
      <c r="F66" s="2" t="n">
        <v>689</v>
      </c>
      <c r="G66" s="2" t="n">
        <v>10586.65</v>
      </c>
    </row>
    <row r="67" customFormat="false" ht="13.8" hidden="false" customHeight="false" outlineLevel="0" collapsed="false">
      <c r="A67" s="2" t="s">
        <v>130</v>
      </c>
      <c r="B67" s="2" t="n">
        <v>8883</v>
      </c>
      <c r="C67" s="2" t="s">
        <v>131</v>
      </c>
      <c r="D67" s="2" t="s">
        <v>68</v>
      </c>
      <c r="E67" s="2" t="str">
        <f aca="false">_xlfn.CONCAT(D67,"-",B67)</f>
        <v>CE - OL 002-8883</v>
      </c>
      <c r="F67" s="2" t="n">
        <v>9</v>
      </c>
      <c r="G67" s="2" t="n">
        <v>161.54</v>
      </c>
    </row>
    <row r="68" customFormat="false" ht="13.8" hidden="false" customHeight="false" outlineLevel="0" collapsed="false">
      <c r="A68" s="2" t="s">
        <v>132</v>
      </c>
      <c r="B68" s="2" t="n">
        <v>8884</v>
      </c>
      <c r="C68" s="2" t="s">
        <v>133</v>
      </c>
      <c r="D68" s="2" t="s">
        <v>68</v>
      </c>
      <c r="E68" s="2" t="str">
        <f aca="false">_xlfn.CONCAT(D68,"-",B68)</f>
        <v>CE - OL 002-8884</v>
      </c>
      <c r="F68" s="2" t="n">
        <v>2</v>
      </c>
      <c r="G68" s="2" t="n">
        <v>42.68</v>
      </c>
    </row>
    <row r="69" customFormat="false" ht="13.8" hidden="false" customHeight="false" outlineLevel="0" collapsed="false">
      <c r="A69" s="2" t="s">
        <v>132</v>
      </c>
      <c r="B69" s="2" t="n">
        <v>8884</v>
      </c>
      <c r="C69" s="2" t="s">
        <v>133</v>
      </c>
      <c r="D69" s="2" t="s">
        <v>67</v>
      </c>
      <c r="E69" s="2" t="str">
        <f aca="false">_xlfn.CONCAT(D69,"-",B69)</f>
        <v>CE - EUROFARMA G7-8884</v>
      </c>
      <c r="F69" s="2" t="n">
        <v>289</v>
      </c>
      <c r="G69" s="2" t="n">
        <v>5605.39</v>
      </c>
    </row>
    <row r="70" customFormat="false" ht="13.8" hidden="false" customHeight="false" outlineLevel="0" collapsed="false">
      <c r="A70" s="2" t="s">
        <v>132</v>
      </c>
      <c r="B70" s="2" t="n">
        <v>8884</v>
      </c>
      <c r="C70" s="2" t="s">
        <v>133</v>
      </c>
      <c r="D70" s="2" t="s">
        <v>64</v>
      </c>
      <c r="E70" s="2" t="str">
        <f aca="false">_xlfn.CONCAT(D70,"-",B70)</f>
        <v>CE - 0000-8884</v>
      </c>
      <c r="F70" s="2" t="n">
        <v>287</v>
      </c>
      <c r="G70" s="2" t="n">
        <v>5578.06</v>
      </c>
    </row>
    <row r="71" customFormat="false" ht="13.8" hidden="false" customHeight="false" outlineLevel="0" collapsed="false">
      <c r="A71" s="2" t="s">
        <v>134</v>
      </c>
      <c r="B71" s="2" t="n">
        <v>14725</v>
      </c>
      <c r="C71" s="2" t="s">
        <v>135</v>
      </c>
      <c r="D71" s="2" t="s">
        <v>67</v>
      </c>
      <c r="E71" s="2" t="str">
        <f aca="false">_xlfn.CONCAT(D71,"-",B71)</f>
        <v>CE - EUROFARMA G7-14725</v>
      </c>
      <c r="F71" s="2" t="n">
        <v>2</v>
      </c>
      <c r="G71" s="2" t="n">
        <v>22.61</v>
      </c>
    </row>
    <row r="72" customFormat="false" ht="13.8" hidden="false" customHeight="false" outlineLevel="0" collapsed="false">
      <c r="A72" s="2" t="s">
        <v>134</v>
      </c>
      <c r="B72" s="2" t="n">
        <v>14725</v>
      </c>
      <c r="C72" s="2" t="s">
        <v>135</v>
      </c>
      <c r="D72" s="2" t="s">
        <v>68</v>
      </c>
      <c r="E72" s="2" t="str">
        <f aca="false">_xlfn.CONCAT(D72,"-",B72)</f>
        <v>CE - OL 002-14725</v>
      </c>
      <c r="F72" s="2" t="n">
        <v>2</v>
      </c>
      <c r="G72" s="2" t="n">
        <v>23.31</v>
      </c>
    </row>
    <row r="73" customFormat="false" ht="13.8" hidden="false" customHeight="false" outlineLevel="0" collapsed="false">
      <c r="A73" s="2" t="s">
        <v>134</v>
      </c>
      <c r="B73" s="2" t="n">
        <v>14725</v>
      </c>
      <c r="C73" s="2" t="s">
        <v>135</v>
      </c>
      <c r="D73" s="2" t="s">
        <v>64</v>
      </c>
      <c r="E73" s="2" t="str">
        <f aca="false">_xlfn.CONCAT(D73,"-",B73)</f>
        <v>CE - 0000-14725</v>
      </c>
      <c r="F73" s="2" t="n">
        <v>87</v>
      </c>
      <c r="G73" s="2" t="n">
        <v>928.27</v>
      </c>
    </row>
    <row r="74" customFormat="false" ht="13.8" hidden="false" customHeight="false" outlineLevel="0" collapsed="false">
      <c r="A74" s="2" t="s">
        <v>136</v>
      </c>
      <c r="B74" s="2" t="n">
        <v>14726</v>
      </c>
      <c r="C74" s="2" t="s">
        <v>137</v>
      </c>
      <c r="D74" s="2" t="s">
        <v>67</v>
      </c>
      <c r="E74" s="2" t="str">
        <f aca="false">_xlfn.CONCAT(D74,"-",B74)</f>
        <v>CE - EUROFARMA G7-14726</v>
      </c>
      <c r="F74" s="2" t="n">
        <v>2</v>
      </c>
      <c r="G74" s="2" t="n">
        <v>20.46</v>
      </c>
    </row>
    <row r="75" customFormat="false" ht="13.8" hidden="false" customHeight="false" outlineLevel="0" collapsed="false">
      <c r="A75" s="2" t="s">
        <v>136</v>
      </c>
      <c r="B75" s="2" t="n">
        <v>14726</v>
      </c>
      <c r="C75" s="2" t="s">
        <v>137</v>
      </c>
      <c r="D75" s="2" t="s">
        <v>64</v>
      </c>
      <c r="E75" s="2" t="str">
        <f aca="false">_xlfn.CONCAT(D75,"-",B75)</f>
        <v>CE - 0000-14726</v>
      </c>
      <c r="F75" s="2" t="n">
        <v>177</v>
      </c>
      <c r="G75" s="2" t="n">
        <v>1828.04</v>
      </c>
    </row>
    <row r="76" customFormat="false" ht="13.8" hidden="false" customHeight="false" outlineLevel="0" collapsed="false">
      <c r="A76" s="2" t="s">
        <v>138</v>
      </c>
      <c r="B76" s="2" t="n">
        <v>22019</v>
      </c>
      <c r="C76" s="2" t="s">
        <v>139</v>
      </c>
      <c r="D76" s="2" t="s">
        <v>64</v>
      </c>
      <c r="E76" s="2" t="str">
        <f aca="false">_xlfn.CONCAT(D76,"-",B76)</f>
        <v>CE - 0000-22019</v>
      </c>
      <c r="F76" s="2" t="n">
        <v>83</v>
      </c>
      <c r="G76" s="2" t="n">
        <v>496.45</v>
      </c>
    </row>
    <row r="77" customFormat="false" ht="13.8" hidden="false" customHeight="false" outlineLevel="0" collapsed="false">
      <c r="A77" s="2" t="s">
        <v>138</v>
      </c>
      <c r="B77" s="2" t="n">
        <v>22019</v>
      </c>
      <c r="C77" s="2" t="s">
        <v>139</v>
      </c>
      <c r="D77" s="2" t="s">
        <v>68</v>
      </c>
      <c r="E77" s="2" t="str">
        <f aca="false">_xlfn.CONCAT(D77,"-",B77)</f>
        <v>CE - OL 002-22019</v>
      </c>
      <c r="F77" s="2" t="n">
        <v>14</v>
      </c>
      <c r="G77" s="2" t="n">
        <v>94.69</v>
      </c>
    </row>
    <row r="78" customFormat="false" ht="13.8" hidden="false" customHeight="false" outlineLevel="0" collapsed="false">
      <c r="A78" s="2" t="s">
        <v>140</v>
      </c>
      <c r="B78" s="2" t="n">
        <v>21957</v>
      </c>
      <c r="C78" s="2" t="s">
        <v>141</v>
      </c>
      <c r="D78" s="2" t="s">
        <v>68</v>
      </c>
      <c r="E78" s="2" t="str">
        <f aca="false">_xlfn.CONCAT(D78,"-",B78)</f>
        <v>CE - OL 002-21957</v>
      </c>
      <c r="F78" s="2" t="n">
        <v>2</v>
      </c>
      <c r="G78" s="2" t="n">
        <v>15.34</v>
      </c>
    </row>
    <row r="79" customFormat="false" ht="13.8" hidden="false" customHeight="false" outlineLevel="0" collapsed="false">
      <c r="A79" s="2" t="s">
        <v>140</v>
      </c>
      <c r="B79" s="2" t="n">
        <v>21957</v>
      </c>
      <c r="C79" s="2" t="s">
        <v>141</v>
      </c>
      <c r="D79" s="2" t="s">
        <v>64</v>
      </c>
      <c r="E79" s="2" t="str">
        <f aca="false">_xlfn.CONCAT(D79,"-",B79)</f>
        <v>CE - 0000-21957</v>
      </c>
      <c r="F79" s="2" t="n">
        <v>79</v>
      </c>
      <c r="G79" s="2" t="n">
        <v>537.12</v>
      </c>
    </row>
    <row r="80" customFormat="false" ht="13.8" hidden="false" customHeight="false" outlineLevel="0" collapsed="false">
      <c r="A80" s="2" t="s">
        <v>142</v>
      </c>
      <c r="B80" s="2" t="n">
        <v>16092</v>
      </c>
      <c r="C80" s="2" t="s">
        <v>143</v>
      </c>
      <c r="D80" s="2" t="s">
        <v>64</v>
      </c>
      <c r="E80" s="2" t="str">
        <f aca="false">_xlfn.CONCAT(D80,"-",B80)</f>
        <v>CE - 0000-16092</v>
      </c>
      <c r="F80" s="2" t="n">
        <v>138</v>
      </c>
      <c r="G80" s="2" t="n">
        <v>6168.54</v>
      </c>
    </row>
    <row r="81" customFormat="false" ht="13.8" hidden="false" customHeight="false" outlineLevel="0" collapsed="false">
      <c r="A81" s="2" t="s">
        <v>142</v>
      </c>
      <c r="B81" s="2" t="n">
        <v>16092</v>
      </c>
      <c r="C81" s="2" t="s">
        <v>143</v>
      </c>
      <c r="D81" s="2" t="s">
        <v>67</v>
      </c>
      <c r="E81" s="2" t="str">
        <f aca="false">_xlfn.CONCAT(D81,"-",B81)</f>
        <v>CE - EUROFARMA G7-16092</v>
      </c>
      <c r="F81" s="2" t="n">
        <v>88</v>
      </c>
      <c r="G81" s="2" t="n">
        <v>3994.92</v>
      </c>
    </row>
    <row r="82" customFormat="false" ht="13.8" hidden="false" customHeight="false" outlineLevel="0" collapsed="false">
      <c r="A82" s="2" t="s">
        <v>144</v>
      </c>
      <c r="B82" s="2" t="n">
        <v>16091</v>
      </c>
      <c r="C82" s="2" t="s">
        <v>145</v>
      </c>
      <c r="D82" s="2" t="s">
        <v>64</v>
      </c>
      <c r="E82" s="2" t="str">
        <f aca="false">_xlfn.CONCAT(D82,"-",B82)</f>
        <v>CE - 0000-16091</v>
      </c>
      <c r="F82" s="2" t="n">
        <v>321</v>
      </c>
      <c r="G82" s="2" t="n">
        <v>7815.26</v>
      </c>
    </row>
    <row r="83" customFormat="false" ht="13.8" hidden="false" customHeight="false" outlineLevel="0" collapsed="false">
      <c r="A83" s="2" t="s">
        <v>144</v>
      </c>
      <c r="B83" s="2" t="n">
        <v>16091</v>
      </c>
      <c r="C83" s="2" t="s">
        <v>145</v>
      </c>
      <c r="D83" s="2" t="s">
        <v>68</v>
      </c>
      <c r="E83" s="2" t="str">
        <f aca="false">_xlfn.CONCAT(D83,"-",B83)</f>
        <v>CE - OL 002-16091</v>
      </c>
      <c r="F83" s="2" t="n">
        <v>26</v>
      </c>
      <c r="G83" s="2" t="n">
        <v>695.38</v>
      </c>
    </row>
    <row r="84" customFormat="false" ht="13.8" hidden="false" customHeight="false" outlineLevel="0" collapsed="false">
      <c r="A84" s="2" t="s">
        <v>144</v>
      </c>
      <c r="B84" s="2" t="n">
        <v>16091</v>
      </c>
      <c r="C84" s="2" t="s">
        <v>145</v>
      </c>
      <c r="D84" s="2" t="s">
        <v>67</v>
      </c>
      <c r="E84" s="2" t="str">
        <f aca="false">_xlfn.CONCAT(D84,"-",B84)</f>
        <v>CE - EUROFARMA G7-16091</v>
      </c>
      <c r="F84" s="2" t="n">
        <v>276</v>
      </c>
      <c r="G84" s="2" t="n">
        <v>6782.66</v>
      </c>
    </row>
    <row r="85" customFormat="false" ht="13.8" hidden="false" customHeight="false" outlineLevel="0" collapsed="false">
      <c r="A85" s="2" t="s">
        <v>146</v>
      </c>
      <c r="B85" s="2" t="n">
        <v>10791</v>
      </c>
      <c r="C85" s="2" t="s">
        <v>147</v>
      </c>
      <c r="D85" s="2" t="s">
        <v>64</v>
      </c>
      <c r="E85" s="2" t="str">
        <f aca="false">_xlfn.CONCAT(D85,"-",B85)</f>
        <v>CE - 0000-10791</v>
      </c>
      <c r="F85" s="2" t="n">
        <v>196</v>
      </c>
      <c r="G85" s="2" t="n">
        <v>5119.5</v>
      </c>
    </row>
    <row r="86" customFormat="false" ht="13.8" hidden="false" customHeight="false" outlineLevel="0" collapsed="false">
      <c r="A86" s="2" t="s">
        <v>146</v>
      </c>
      <c r="B86" s="2" t="n">
        <v>10791</v>
      </c>
      <c r="C86" s="2" t="s">
        <v>147</v>
      </c>
      <c r="D86" s="2" t="s">
        <v>67</v>
      </c>
      <c r="E86" s="2" t="str">
        <f aca="false">_xlfn.CONCAT(D86,"-",B86)</f>
        <v>CE - EUROFARMA G7-10791</v>
      </c>
      <c r="F86" s="2" t="n">
        <v>113</v>
      </c>
      <c r="G86" s="2" t="n">
        <v>2979.34</v>
      </c>
    </row>
    <row r="87" customFormat="false" ht="13.8" hidden="false" customHeight="false" outlineLevel="0" collapsed="false">
      <c r="A87" s="2" t="s">
        <v>146</v>
      </c>
      <c r="B87" s="2" t="n">
        <v>10791</v>
      </c>
      <c r="C87" s="2" t="s">
        <v>147</v>
      </c>
      <c r="D87" s="2" t="s">
        <v>68</v>
      </c>
      <c r="E87" s="2" t="str">
        <f aca="false">_xlfn.CONCAT(D87,"-",B87)</f>
        <v>CE - OL 002-10791</v>
      </c>
      <c r="F87" s="2" t="n">
        <v>47</v>
      </c>
      <c r="G87" s="2" t="n">
        <v>1386.45</v>
      </c>
    </row>
    <row r="88" customFormat="false" ht="13.8" hidden="false" customHeight="false" outlineLevel="0" collapsed="false">
      <c r="A88" s="2" t="s">
        <v>148</v>
      </c>
      <c r="B88" s="2" t="n">
        <v>15726</v>
      </c>
      <c r="C88" s="2" t="s">
        <v>149</v>
      </c>
      <c r="D88" s="2" t="s">
        <v>64</v>
      </c>
      <c r="E88" s="2" t="str">
        <f aca="false">_xlfn.CONCAT(D88,"-",B88)</f>
        <v>CE - 0000-15726</v>
      </c>
      <c r="F88" s="2" t="n">
        <v>12</v>
      </c>
      <c r="G88" s="2" t="n">
        <v>911.49</v>
      </c>
    </row>
    <row r="89" customFormat="false" ht="13.8" hidden="false" customHeight="false" outlineLevel="0" collapsed="false">
      <c r="A89" s="2" t="s">
        <v>150</v>
      </c>
      <c r="B89" s="2" t="n">
        <v>12516</v>
      </c>
      <c r="C89" s="2" t="s">
        <v>151</v>
      </c>
      <c r="D89" s="2" t="s">
        <v>67</v>
      </c>
      <c r="E89" s="2" t="str">
        <f aca="false">_xlfn.CONCAT(D89,"-",B89)</f>
        <v>CE - EUROFARMA G7-12516</v>
      </c>
      <c r="F89" s="2" t="n">
        <v>14</v>
      </c>
      <c r="G89" s="2" t="n">
        <v>667.72</v>
      </c>
    </row>
    <row r="90" customFormat="false" ht="13.8" hidden="false" customHeight="false" outlineLevel="0" collapsed="false">
      <c r="A90" s="2" t="s">
        <v>150</v>
      </c>
      <c r="B90" s="2" t="n">
        <v>12516</v>
      </c>
      <c r="C90" s="2" t="s">
        <v>151</v>
      </c>
      <c r="D90" s="2" t="s">
        <v>64</v>
      </c>
      <c r="E90" s="2" t="str">
        <f aca="false">_xlfn.CONCAT(D90,"-",B90)</f>
        <v>CE - 0000-12516</v>
      </c>
      <c r="F90" s="2" t="n">
        <v>9</v>
      </c>
      <c r="G90" s="2" t="n">
        <v>431.72</v>
      </c>
    </row>
    <row r="91" customFormat="false" ht="13.8" hidden="false" customHeight="false" outlineLevel="0" collapsed="false">
      <c r="A91" s="2" t="s">
        <v>152</v>
      </c>
      <c r="B91" s="2" t="n">
        <v>15724</v>
      </c>
      <c r="C91" s="2" t="s">
        <v>153</v>
      </c>
      <c r="D91" s="2" t="s">
        <v>64</v>
      </c>
      <c r="E91" s="2" t="str">
        <f aca="false">_xlfn.CONCAT(D91,"-",B91)</f>
        <v>CE - 0000-15724</v>
      </c>
      <c r="F91" s="2" t="n">
        <v>26</v>
      </c>
      <c r="G91" s="2" t="n">
        <v>2429.18</v>
      </c>
    </row>
    <row r="92" customFormat="false" ht="13.8" hidden="false" customHeight="false" outlineLevel="0" collapsed="false">
      <c r="A92" s="2" t="s">
        <v>156</v>
      </c>
      <c r="B92" s="2" t="n">
        <v>255</v>
      </c>
      <c r="C92" s="2" t="s">
        <v>157</v>
      </c>
      <c r="D92" s="2" t="s">
        <v>67</v>
      </c>
      <c r="E92" s="2" t="str">
        <f aca="false">_xlfn.CONCAT(D92,"-",B92)</f>
        <v>CE - EUROFARMA G7-255</v>
      </c>
      <c r="F92" s="2" t="n">
        <v>16</v>
      </c>
      <c r="G92" s="2" t="n">
        <v>457.81</v>
      </c>
    </row>
    <row r="93" customFormat="false" ht="13.8" hidden="false" customHeight="false" outlineLevel="0" collapsed="false">
      <c r="A93" s="2" t="s">
        <v>156</v>
      </c>
      <c r="B93" s="2" t="n">
        <v>255</v>
      </c>
      <c r="C93" s="2" t="s">
        <v>157</v>
      </c>
      <c r="D93" s="2" t="s">
        <v>64</v>
      </c>
      <c r="E93" s="2" t="str">
        <f aca="false">_xlfn.CONCAT(D93,"-",B93)</f>
        <v>CE - 0000-255</v>
      </c>
      <c r="F93" s="2" t="n">
        <v>49</v>
      </c>
      <c r="G93" s="2" t="n">
        <v>1389.53</v>
      </c>
    </row>
    <row r="94" customFormat="false" ht="13.8" hidden="false" customHeight="false" outlineLevel="0" collapsed="false">
      <c r="A94" s="2" t="s">
        <v>156</v>
      </c>
      <c r="B94" s="2" t="n">
        <v>255</v>
      </c>
      <c r="C94" s="2" t="s">
        <v>157</v>
      </c>
      <c r="D94" s="2" t="s">
        <v>68</v>
      </c>
      <c r="E94" s="2" t="str">
        <f aca="false">_xlfn.CONCAT(D94,"-",B94)</f>
        <v>CE - OL 002-255</v>
      </c>
      <c r="F94" s="2" t="n">
        <v>1</v>
      </c>
      <c r="G94" s="2" t="n">
        <v>31.15</v>
      </c>
    </row>
    <row r="95" customFormat="false" ht="13.8" hidden="false" customHeight="false" outlineLevel="0" collapsed="false">
      <c r="A95" s="2" t="s">
        <v>158</v>
      </c>
      <c r="B95" s="2" t="n">
        <v>257</v>
      </c>
      <c r="C95" s="2" t="s">
        <v>159</v>
      </c>
      <c r="D95" s="2" t="s">
        <v>64</v>
      </c>
      <c r="E95" s="2" t="str">
        <f aca="false">_xlfn.CONCAT(D95,"-",B95)</f>
        <v>CE - 0000-257</v>
      </c>
      <c r="F95" s="2" t="n">
        <v>8</v>
      </c>
      <c r="G95" s="2" t="n">
        <v>698.31</v>
      </c>
    </row>
    <row r="96" customFormat="false" ht="13.8" hidden="false" customHeight="false" outlineLevel="0" collapsed="false">
      <c r="A96" s="2" t="s">
        <v>160</v>
      </c>
      <c r="B96" s="2" t="n">
        <v>16401</v>
      </c>
      <c r="C96" s="2" t="s">
        <v>161</v>
      </c>
      <c r="D96" s="2" t="s">
        <v>67</v>
      </c>
      <c r="E96" s="2" t="str">
        <f aca="false">_xlfn.CONCAT(D96,"-",B96)</f>
        <v>CE - EUROFARMA G7-16401</v>
      </c>
      <c r="F96" s="2" t="n">
        <v>115</v>
      </c>
      <c r="G96" s="2" t="n">
        <v>2301.43</v>
      </c>
    </row>
    <row r="97" customFormat="false" ht="13.8" hidden="false" customHeight="false" outlineLevel="0" collapsed="false">
      <c r="A97" s="2" t="s">
        <v>160</v>
      </c>
      <c r="B97" s="2" t="n">
        <v>16401</v>
      </c>
      <c r="C97" s="2" t="s">
        <v>161</v>
      </c>
      <c r="D97" s="2" t="s">
        <v>68</v>
      </c>
      <c r="E97" s="2" t="str">
        <f aca="false">_xlfn.CONCAT(D97,"-",B97)</f>
        <v>CE - OL 002-16401</v>
      </c>
      <c r="F97" s="2" t="n">
        <v>9</v>
      </c>
      <c r="G97" s="2" t="n">
        <v>249.5</v>
      </c>
    </row>
    <row r="98" customFormat="false" ht="13.8" hidden="false" customHeight="false" outlineLevel="0" collapsed="false">
      <c r="A98" s="2" t="s">
        <v>160</v>
      </c>
      <c r="B98" s="2" t="n">
        <v>16401</v>
      </c>
      <c r="C98" s="2" t="s">
        <v>161</v>
      </c>
      <c r="D98" s="2" t="s">
        <v>64</v>
      </c>
      <c r="E98" s="2" t="str">
        <f aca="false">_xlfn.CONCAT(D98,"-",B98)</f>
        <v>CE - 0000-16401</v>
      </c>
      <c r="F98" s="2" t="n">
        <v>103</v>
      </c>
      <c r="G98" s="2" t="n">
        <v>2218.7</v>
      </c>
    </row>
    <row r="99" customFormat="false" ht="13.8" hidden="false" customHeight="false" outlineLevel="0" collapsed="false">
      <c r="A99" s="2" t="s">
        <v>162</v>
      </c>
      <c r="B99" s="2" t="n">
        <v>16402</v>
      </c>
      <c r="C99" s="2" t="s">
        <v>163</v>
      </c>
      <c r="D99" s="2" t="s">
        <v>64</v>
      </c>
      <c r="E99" s="2" t="str">
        <f aca="false">_xlfn.CONCAT(D99,"-",B99)</f>
        <v>CE - 0000-16402</v>
      </c>
      <c r="F99" s="2" t="n">
        <v>6</v>
      </c>
      <c r="G99" s="2" t="n">
        <v>257.21</v>
      </c>
    </row>
    <row r="100" customFormat="false" ht="13.8" hidden="false" customHeight="false" outlineLevel="0" collapsed="false">
      <c r="A100" s="2" t="s">
        <v>162</v>
      </c>
      <c r="B100" s="2" t="n">
        <v>16402</v>
      </c>
      <c r="C100" s="2" t="s">
        <v>163</v>
      </c>
      <c r="D100" s="2" t="s">
        <v>68</v>
      </c>
      <c r="E100" s="2" t="str">
        <f aca="false">_xlfn.CONCAT(D100,"-",B100)</f>
        <v>CE - OL 002-16402</v>
      </c>
      <c r="F100" s="2" t="n">
        <v>3</v>
      </c>
      <c r="G100" s="2" t="n">
        <v>132.66</v>
      </c>
    </row>
    <row r="101" customFormat="false" ht="13.8" hidden="false" customHeight="false" outlineLevel="0" collapsed="false">
      <c r="A101" s="2" t="s">
        <v>164</v>
      </c>
      <c r="B101" s="2" t="n">
        <v>13184</v>
      </c>
      <c r="C101" s="2" t="s">
        <v>165</v>
      </c>
      <c r="D101" s="2" t="s">
        <v>64</v>
      </c>
      <c r="E101" s="2" t="str">
        <f aca="false">_xlfn.CONCAT(D101,"-",B101)</f>
        <v>CE - 0000-13184</v>
      </c>
      <c r="F101" s="2" t="n">
        <v>64</v>
      </c>
      <c r="G101" s="2" t="n">
        <v>344.2</v>
      </c>
    </row>
    <row r="102" customFormat="false" ht="13.8" hidden="false" customHeight="false" outlineLevel="0" collapsed="false">
      <c r="A102" s="2" t="s">
        <v>166</v>
      </c>
      <c r="B102" s="2" t="n">
        <v>13185</v>
      </c>
      <c r="C102" s="2" t="s">
        <v>167</v>
      </c>
      <c r="D102" s="2" t="s">
        <v>64</v>
      </c>
      <c r="E102" s="2" t="str">
        <f aca="false">_xlfn.CONCAT(D102,"-",B102)</f>
        <v>CE - 0000-13185</v>
      </c>
      <c r="F102" s="2" t="n">
        <v>9</v>
      </c>
      <c r="G102" s="2" t="n">
        <v>79.61</v>
      </c>
    </row>
    <row r="103" customFormat="false" ht="13.8" hidden="false" customHeight="false" outlineLevel="0" collapsed="false">
      <c r="A103" s="2" t="s">
        <v>166</v>
      </c>
      <c r="B103" s="2" t="n">
        <v>13185</v>
      </c>
      <c r="C103" s="2" t="s">
        <v>167</v>
      </c>
      <c r="D103" s="2" t="s">
        <v>67</v>
      </c>
      <c r="E103" s="2" t="str">
        <f aca="false">_xlfn.CONCAT(D103,"-",B103)</f>
        <v>CE - EUROFARMA G7-13185</v>
      </c>
      <c r="F103" s="2" t="n">
        <v>50</v>
      </c>
      <c r="G103" s="2" t="n">
        <v>448.32</v>
      </c>
    </row>
    <row r="104" customFormat="false" ht="13.8" hidden="false" customHeight="false" outlineLevel="0" collapsed="false">
      <c r="A104" s="2" t="s">
        <v>166</v>
      </c>
      <c r="B104" s="2" t="n">
        <v>13185</v>
      </c>
      <c r="C104" s="2" t="s">
        <v>167</v>
      </c>
      <c r="D104" s="2" t="s">
        <v>68</v>
      </c>
      <c r="E104" s="2" t="str">
        <f aca="false">_xlfn.CONCAT(D104,"-",B104)</f>
        <v>CE - OL 002-13185</v>
      </c>
      <c r="F104" s="2" t="n">
        <v>4</v>
      </c>
      <c r="G104" s="2" t="n">
        <v>38.73</v>
      </c>
    </row>
    <row r="105" customFormat="false" ht="13.8" hidden="false" customHeight="false" outlineLevel="0" collapsed="false">
      <c r="A105" s="2" t="s">
        <v>168</v>
      </c>
      <c r="B105" s="2" t="n">
        <v>1064</v>
      </c>
      <c r="C105" s="2" t="s">
        <v>169</v>
      </c>
      <c r="D105" s="2" t="s">
        <v>68</v>
      </c>
      <c r="E105" s="2" t="str">
        <f aca="false">_xlfn.CONCAT(D105,"-",B105)</f>
        <v>CE - OL 002-1064</v>
      </c>
      <c r="F105" s="2" t="n">
        <v>3</v>
      </c>
      <c r="G105" s="2" t="n">
        <v>151.22</v>
      </c>
    </row>
    <row r="106" customFormat="false" ht="13.8" hidden="false" customHeight="false" outlineLevel="0" collapsed="false">
      <c r="A106" s="2" t="s">
        <v>168</v>
      </c>
      <c r="B106" s="2" t="n">
        <v>1064</v>
      </c>
      <c r="C106" s="2" t="s">
        <v>169</v>
      </c>
      <c r="D106" s="2" t="s">
        <v>67</v>
      </c>
      <c r="E106" s="2" t="str">
        <f aca="false">_xlfn.CONCAT(D106,"-",B106)</f>
        <v>CE - EUROFARMA G7-1064</v>
      </c>
      <c r="F106" s="2" t="n">
        <v>55</v>
      </c>
      <c r="G106" s="2" t="n">
        <v>2570.34</v>
      </c>
    </row>
    <row r="107" customFormat="false" ht="13.8" hidden="false" customHeight="false" outlineLevel="0" collapsed="false">
      <c r="A107" s="2" t="s">
        <v>168</v>
      </c>
      <c r="B107" s="2" t="n">
        <v>1064</v>
      </c>
      <c r="C107" s="2" t="s">
        <v>169</v>
      </c>
      <c r="D107" s="2" t="s">
        <v>64</v>
      </c>
      <c r="E107" s="2" t="str">
        <f aca="false">_xlfn.CONCAT(D107,"-",B107)</f>
        <v>CE - 0000-1064</v>
      </c>
      <c r="F107" s="2" t="n">
        <v>41</v>
      </c>
      <c r="G107" s="2" t="n">
        <v>1891.78</v>
      </c>
    </row>
    <row r="108" customFormat="false" ht="13.8" hidden="false" customHeight="false" outlineLevel="0" collapsed="false">
      <c r="A108" s="2" t="s">
        <v>170</v>
      </c>
      <c r="B108" s="2" t="n">
        <v>1063</v>
      </c>
      <c r="C108" s="2" t="s">
        <v>171</v>
      </c>
      <c r="D108" s="2" t="s">
        <v>64</v>
      </c>
      <c r="E108" s="2" t="str">
        <f aca="false">_xlfn.CONCAT(D108,"-",B108)</f>
        <v>CE - 0000-1063</v>
      </c>
      <c r="F108" s="2" t="n">
        <v>329</v>
      </c>
      <c r="G108" s="2" t="n">
        <v>4503.92</v>
      </c>
    </row>
    <row r="109" customFormat="false" ht="13.8" hidden="false" customHeight="false" outlineLevel="0" collapsed="false">
      <c r="A109" s="2" t="s">
        <v>170</v>
      </c>
      <c r="B109" s="2" t="n">
        <v>1063</v>
      </c>
      <c r="C109" s="2" t="s">
        <v>171</v>
      </c>
      <c r="D109" s="2" t="s">
        <v>67</v>
      </c>
      <c r="E109" s="2" t="str">
        <f aca="false">_xlfn.CONCAT(D109,"-",B109)</f>
        <v>CE - EUROFARMA G7-1063</v>
      </c>
      <c r="F109" s="2" t="n">
        <v>19</v>
      </c>
      <c r="G109" s="2" t="n">
        <v>278.56</v>
      </c>
    </row>
    <row r="110" customFormat="false" ht="13.8" hidden="false" customHeight="false" outlineLevel="0" collapsed="false">
      <c r="A110" s="2" t="s">
        <v>172</v>
      </c>
      <c r="B110" s="2" t="n">
        <v>22866</v>
      </c>
      <c r="C110" s="2" t="s">
        <v>171</v>
      </c>
      <c r="D110" s="2" t="s">
        <v>68</v>
      </c>
      <c r="E110" s="2" t="str">
        <f aca="false">_xlfn.CONCAT(D110,"-",B110)</f>
        <v>CE - OL 002-22866</v>
      </c>
      <c r="F110" s="2" t="n">
        <v>14</v>
      </c>
      <c r="G110" s="2" t="n">
        <v>211.84</v>
      </c>
    </row>
    <row r="111" customFormat="false" ht="13.8" hidden="false" customHeight="false" outlineLevel="0" collapsed="false">
      <c r="A111" s="2" t="s">
        <v>173</v>
      </c>
      <c r="B111" s="2" t="n">
        <v>1066</v>
      </c>
      <c r="C111" s="2" t="s">
        <v>174</v>
      </c>
      <c r="D111" s="2" t="s">
        <v>64</v>
      </c>
      <c r="E111" s="2" t="str">
        <f aca="false">_xlfn.CONCAT(D111,"-",B111)</f>
        <v>CE - 0000-1066</v>
      </c>
      <c r="F111" s="2" t="n">
        <v>15</v>
      </c>
      <c r="G111" s="2" t="n">
        <v>493.53</v>
      </c>
    </row>
    <row r="112" customFormat="false" ht="13.8" hidden="false" customHeight="false" outlineLevel="0" collapsed="false">
      <c r="A112" s="2" t="s">
        <v>173</v>
      </c>
      <c r="B112" s="2" t="n">
        <v>1066</v>
      </c>
      <c r="C112" s="2" t="s">
        <v>174</v>
      </c>
      <c r="D112" s="2" t="s">
        <v>67</v>
      </c>
      <c r="E112" s="2" t="str">
        <f aca="false">_xlfn.CONCAT(D112,"-",B112)</f>
        <v>CE - EUROFARMA G7-1066</v>
      </c>
      <c r="F112" s="2" t="n">
        <v>1</v>
      </c>
      <c r="G112" s="2" t="n">
        <v>32.75</v>
      </c>
    </row>
    <row r="113" customFormat="false" ht="13.8" hidden="false" customHeight="false" outlineLevel="0" collapsed="false">
      <c r="A113" s="2" t="s">
        <v>175</v>
      </c>
      <c r="B113" s="2" t="n">
        <v>1068</v>
      </c>
      <c r="C113" s="2" t="s">
        <v>176</v>
      </c>
      <c r="D113" s="2" t="s">
        <v>67</v>
      </c>
      <c r="E113" s="2" t="str">
        <f aca="false">_xlfn.CONCAT(D113,"-",B113)</f>
        <v>CE - EUROFARMA G7-1068</v>
      </c>
      <c r="F113" s="2" t="n">
        <v>104</v>
      </c>
      <c r="G113" s="2" t="n">
        <v>1763.35</v>
      </c>
    </row>
    <row r="114" customFormat="false" ht="13.8" hidden="false" customHeight="false" outlineLevel="0" collapsed="false">
      <c r="A114" s="2" t="s">
        <v>175</v>
      </c>
      <c r="B114" s="2" t="n">
        <v>1068</v>
      </c>
      <c r="C114" s="2" t="s">
        <v>176</v>
      </c>
      <c r="D114" s="2" t="s">
        <v>68</v>
      </c>
      <c r="E114" s="2" t="str">
        <f aca="false">_xlfn.CONCAT(D114,"-",B114)</f>
        <v>CE - OL 002-1068</v>
      </c>
      <c r="F114" s="2" t="n">
        <v>32</v>
      </c>
      <c r="G114" s="2" t="n">
        <v>589.74</v>
      </c>
    </row>
    <row r="115" customFormat="false" ht="13.8" hidden="false" customHeight="false" outlineLevel="0" collapsed="false">
      <c r="A115" s="2" t="s">
        <v>175</v>
      </c>
      <c r="B115" s="2" t="n">
        <v>1068</v>
      </c>
      <c r="C115" s="2" t="s">
        <v>176</v>
      </c>
      <c r="D115" s="2" t="s">
        <v>64</v>
      </c>
      <c r="E115" s="2" t="str">
        <f aca="false">_xlfn.CONCAT(D115,"-",B115)</f>
        <v>CE - 0000-1068</v>
      </c>
      <c r="F115" s="2" t="n">
        <v>557</v>
      </c>
      <c r="G115" s="2" t="n">
        <v>9403.31</v>
      </c>
    </row>
    <row r="116" customFormat="false" ht="13.8" hidden="false" customHeight="false" outlineLevel="0" collapsed="false">
      <c r="A116" s="2" t="s">
        <v>178</v>
      </c>
      <c r="B116" s="2" t="n">
        <v>1067</v>
      </c>
      <c r="C116" s="2" t="s">
        <v>179</v>
      </c>
      <c r="D116" s="2" t="s">
        <v>67</v>
      </c>
      <c r="E116" s="2" t="str">
        <f aca="false">_xlfn.CONCAT(D116,"-",B116)</f>
        <v>CE - EUROFARMA G7-1067</v>
      </c>
      <c r="F116" s="2" t="n">
        <v>292</v>
      </c>
      <c r="G116" s="2" t="n">
        <v>4044.19</v>
      </c>
    </row>
    <row r="117" customFormat="false" ht="13.8" hidden="false" customHeight="false" outlineLevel="0" collapsed="false">
      <c r="A117" s="2" t="s">
        <v>178</v>
      </c>
      <c r="B117" s="2" t="n">
        <v>1067</v>
      </c>
      <c r="C117" s="2" t="s">
        <v>179</v>
      </c>
      <c r="D117" s="2" t="s">
        <v>68</v>
      </c>
      <c r="E117" s="2" t="str">
        <f aca="false">_xlfn.CONCAT(D117,"-",B117)</f>
        <v>CE - OL 002-1067</v>
      </c>
      <c r="F117" s="2" t="n">
        <v>4</v>
      </c>
      <c r="G117" s="2" t="n">
        <v>58.7</v>
      </c>
    </row>
    <row r="118" customFormat="false" ht="13.8" hidden="false" customHeight="false" outlineLevel="0" collapsed="false">
      <c r="A118" s="2" t="s">
        <v>178</v>
      </c>
      <c r="B118" s="2" t="n">
        <v>1067</v>
      </c>
      <c r="C118" s="2" t="s">
        <v>179</v>
      </c>
      <c r="D118" s="2" t="s">
        <v>64</v>
      </c>
      <c r="E118" s="2" t="str">
        <f aca="false">_xlfn.CONCAT(D118,"-",B118)</f>
        <v>CE - 0000-1067</v>
      </c>
      <c r="F118" s="2" t="n">
        <v>225</v>
      </c>
      <c r="G118" s="2" t="n">
        <v>3009.46</v>
      </c>
    </row>
    <row r="119" customFormat="false" ht="13.8" hidden="false" customHeight="false" outlineLevel="0" collapsed="false">
      <c r="A119" s="2" t="s">
        <v>180</v>
      </c>
      <c r="B119" s="2" t="n">
        <v>47</v>
      </c>
      <c r="C119" s="2" t="s">
        <v>181</v>
      </c>
      <c r="D119" s="2" t="s">
        <v>68</v>
      </c>
      <c r="E119" s="2" t="str">
        <f aca="false">_xlfn.CONCAT(D119,"-",B119)</f>
        <v>CE - OL 002-47</v>
      </c>
      <c r="F119" s="2" t="n">
        <v>1</v>
      </c>
      <c r="G119" s="2" t="n">
        <v>71.13</v>
      </c>
    </row>
    <row r="120" customFormat="false" ht="13.8" hidden="false" customHeight="false" outlineLevel="0" collapsed="false">
      <c r="A120" s="2" t="s">
        <v>180</v>
      </c>
      <c r="B120" s="2" t="n">
        <v>47</v>
      </c>
      <c r="C120" s="2" t="s">
        <v>181</v>
      </c>
      <c r="D120" s="2" t="s">
        <v>64</v>
      </c>
      <c r="E120" s="2" t="str">
        <f aca="false">_xlfn.CONCAT(D120,"-",B120)</f>
        <v>CE - 0000-47</v>
      </c>
      <c r="F120" s="2" t="n">
        <v>20</v>
      </c>
      <c r="G120" s="2" t="n">
        <v>1303.25</v>
      </c>
    </row>
    <row r="121" customFormat="false" ht="13.8" hidden="false" customHeight="false" outlineLevel="0" collapsed="false">
      <c r="A121" s="2" t="s">
        <v>182</v>
      </c>
      <c r="B121" s="2" t="n">
        <v>12407</v>
      </c>
      <c r="C121" s="2" t="s">
        <v>183</v>
      </c>
      <c r="D121" s="2" t="s">
        <v>67</v>
      </c>
      <c r="E121" s="2" t="str">
        <f aca="false">_xlfn.CONCAT(D121,"-",B121)</f>
        <v>CE - EUROFARMA G7-12407</v>
      </c>
      <c r="F121" s="2" t="n">
        <v>2</v>
      </c>
      <c r="G121" s="2" t="n">
        <v>41.07</v>
      </c>
    </row>
    <row r="122" customFormat="false" ht="13.8" hidden="false" customHeight="false" outlineLevel="0" collapsed="false">
      <c r="A122" s="2" t="s">
        <v>182</v>
      </c>
      <c r="B122" s="2" t="n">
        <v>12407</v>
      </c>
      <c r="C122" s="2" t="s">
        <v>183</v>
      </c>
      <c r="D122" s="2" t="s">
        <v>68</v>
      </c>
      <c r="E122" s="2" t="str">
        <f aca="false">_xlfn.CONCAT(D122,"-",B122)</f>
        <v>CE - OL 002-12407</v>
      </c>
      <c r="F122" s="2" t="n">
        <v>5</v>
      </c>
      <c r="G122" s="2" t="n">
        <v>106.44</v>
      </c>
    </row>
    <row r="123" customFormat="false" ht="13.8" hidden="false" customHeight="false" outlineLevel="0" collapsed="false">
      <c r="A123" s="2" t="s">
        <v>182</v>
      </c>
      <c r="B123" s="2" t="n">
        <v>12407</v>
      </c>
      <c r="C123" s="2" t="s">
        <v>183</v>
      </c>
      <c r="D123" s="2" t="s">
        <v>64</v>
      </c>
      <c r="E123" s="2" t="str">
        <f aca="false">_xlfn.CONCAT(D123,"-",B123)</f>
        <v>CE - 0000-12407</v>
      </c>
      <c r="F123" s="2" t="n">
        <v>73</v>
      </c>
      <c r="G123" s="2" t="n">
        <v>1349.29</v>
      </c>
    </row>
    <row r="124" customFormat="false" ht="13.8" hidden="false" customHeight="false" outlineLevel="0" collapsed="false">
      <c r="A124" s="2" t="s">
        <v>184</v>
      </c>
      <c r="B124" s="2" t="n">
        <v>12515</v>
      </c>
      <c r="C124" s="2" t="s">
        <v>185</v>
      </c>
      <c r="D124" s="2" t="s">
        <v>64</v>
      </c>
      <c r="E124" s="2" t="str">
        <f aca="false">_xlfn.CONCAT(D124,"-",B124)</f>
        <v>CE - 0000-12515</v>
      </c>
      <c r="F124" s="2" t="n">
        <v>860</v>
      </c>
      <c r="G124" s="2" t="n">
        <v>5519.05</v>
      </c>
    </row>
    <row r="125" customFormat="false" ht="13.8" hidden="false" customHeight="false" outlineLevel="0" collapsed="false">
      <c r="A125" s="2" t="s">
        <v>184</v>
      </c>
      <c r="B125" s="2" t="n">
        <v>12515</v>
      </c>
      <c r="C125" s="2" t="s">
        <v>185</v>
      </c>
      <c r="D125" s="2" t="s">
        <v>68</v>
      </c>
      <c r="E125" s="2" t="str">
        <f aca="false">_xlfn.CONCAT(D125,"-",B125)</f>
        <v>CE - OL 002-12515</v>
      </c>
      <c r="F125" s="2" t="n">
        <v>857</v>
      </c>
      <c r="G125" s="2" t="n">
        <v>10172.58</v>
      </c>
    </row>
    <row r="126" customFormat="false" ht="13.8" hidden="false" customHeight="false" outlineLevel="0" collapsed="false">
      <c r="A126" s="2" t="s">
        <v>184</v>
      </c>
      <c r="B126" s="2" t="n">
        <v>12515</v>
      </c>
      <c r="C126" s="2" t="s">
        <v>185</v>
      </c>
      <c r="D126" s="2" t="s">
        <v>67</v>
      </c>
      <c r="E126" s="2" t="str">
        <f aca="false">_xlfn.CONCAT(D126,"-",B126)</f>
        <v>CE - EUROFARMA G7-12515</v>
      </c>
      <c r="F126" s="2" t="n">
        <v>839</v>
      </c>
      <c r="G126" s="2" t="n">
        <v>5561.84</v>
      </c>
    </row>
    <row r="127" customFormat="false" ht="13.8" hidden="false" customHeight="false" outlineLevel="0" collapsed="false">
      <c r="A127" s="2" t="s">
        <v>190</v>
      </c>
      <c r="B127" s="2" t="n">
        <v>1046</v>
      </c>
      <c r="C127" s="2" t="s">
        <v>191</v>
      </c>
      <c r="D127" s="2" t="s">
        <v>64</v>
      </c>
      <c r="E127" s="2" t="str">
        <f aca="false">_xlfn.CONCAT(D127,"-",B127)</f>
        <v>CE - 0000-1046</v>
      </c>
      <c r="F127" s="2" t="n">
        <v>3</v>
      </c>
      <c r="G127" s="2" t="n">
        <v>21.99</v>
      </c>
    </row>
    <row r="128" customFormat="false" ht="13.8" hidden="false" customHeight="false" outlineLevel="0" collapsed="false">
      <c r="A128" s="2" t="s">
        <v>192</v>
      </c>
      <c r="B128" s="2" t="n">
        <v>1047</v>
      </c>
      <c r="C128" s="2" t="s">
        <v>193</v>
      </c>
      <c r="D128" s="2" t="s">
        <v>64</v>
      </c>
      <c r="E128" s="2" t="str">
        <f aca="false">_xlfn.CONCAT(D128,"-",B128)</f>
        <v>CE - 0000-1047</v>
      </c>
      <c r="F128" s="2" t="n">
        <v>40</v>
      </c>
      <c r="G128" s="2" t="n">
        <v>365.62</v>
      </c>
    </row>
    <row r="129" customFormat="false" ht="13.8" hidden="false" customHeight="false" outlineLevel="0" collapsed="false">
      <c r="A129" s="2" t="s">
        <v>192</v>
      </c>
      <c r="B129" s="2" t="n">
        <v>1047</v>
      </c>
      <c r="C129" s="2" t="s">
        <v>193</v>
      </c>
      <c r="D129" s="2" t="s">
        <v>68</v>
      </c>
      <c r="E129" s="2" t="str">
        <f aca="false">_xlfn.CONCAT(D129,"-",B129)</f>
        <v>CE - OL 002-1047</v>
      </c>
      <c r="F129" s="2" t="n">
        <v>6</v>
      </c>
      <c r="G129" s="2" t="n">
        <v>59.83</v>
      </c>
    </row>
    <row r="130" customFormat="false" ht="13.8" hidden="false" customHeight="false" outlineLevel="0" collapsed="false">
      <c r="A130" s="2" t="s">
        <v>194</v>
      </c>
      <c r="B130" s="2" t="n">
        <v>11952</v>
      </c>
      <c r="C130" s="2" t="s">
        <v>195</v>
      </c>
      <c r="D130" s="2" t="s">
        <v>68</v>
      </c>
      <c r="E130" s="2" t="str">
        <f aca="false">_xlfn.CONCAT(D130,"-",B130)</f>
        <v>CE - OL 002-11952</v>
      </c>
      <c r="F130" s="2" t="n">
        <v>1470</v>
      </c>
      <c r="G130" s="2" t="n">
        <v>10294.84</v>
      </c>
    </row>
    <row r="131" customFormat="false" ht="13.8" hidden="false" customHeight="false" outlineLevel="0" collapsed="false">
      <c r="A131" s="2" t="s">
        <v>194</v>
      </c>
      <c r="B131" s="2" t="n">
        <v>11952</v>
      </c>
      <c r="C131" s="2" t="s">
        <v>195</v>
      </c>
      <c r="D131" s="2" t="s">
        <v>64</v>
      </c>
      <c r="E131" s="2" t="str">
        <f aca="false">_xlfn.CONCAT(D131,"-",B131)</f>
        <v>CE - 0000-11952</v>
      </c>
      <c r="F131" s="2" t="n">
        <v>12650</v>
      </c>
      <c r="G131" s="2" t="n">
        <v>78220.31</v>
      </c>
    </row>
    <row r="132" customFormat="false" ht="13.8" hidden="false" customHeight="false" outlineLevel="0" collapsed="false">
      <c r="A132" s="2" t="s">
        <v>194</v>
      </c>
      <c r="B132" s="2" t="n">
        <v>11952</v>
      </c>
      <c r="C132" s="2" t="s">
        <v>195</v>
      </c>
      <c r="D132" s="2" t="s">
        <v>66</v>
      </c>
      <c r="E132" s="2" t="str">
        <f aca="false">_xlfn.CONCAT(D132,"-",B132)</f>
        <v>CE - OL 001-11952</v>
      </c>
      <c r="F132" s="2" t="n">
        <v>124</v>
      </c>
      <c r="G132" s="2" t="n">
        <v>871.33</v>
      </c>
    </row>
    <row r="133" customFormat="false" ht="13.8" hidden="false" customHeight="false" outlineLevel="0" collapsed="false">
      <c r="A133" s="2" t="s">
        <v>194</v>
      </c>
      <c r="B133" s="2" t="n">
        <v>11952</v>
      </c>
      <c r="C133" s="2" t="s">
        <v>195</v>
      </c>
      <c r="D133" s="2" t="s">
        <v>67</v>
      </c>
      <c r="E133" s="2" t="str">
        <f aca="false">_xlfn.CONCAT(D133,"-",B133)</f>
        <v>CE - EUROFARMA G7-11952</v>
      </c>
      <c r="F133" s="2" t="n">
        <v>3028</v>
      </c>
      <c r="G133" s="2" t="n">
        <v>19354.47</v>
      </c>
    </row>
    <row r="134" customFormat="false" ht="13.8" hidden="false" customHeight="false" outlineLevel="0" collapsed="false">
      <c r="A134" s="2" t="s">
        <v>196</v>
      </c>
      <c r="B134" s="2" t="n">
        <v>11528</v>
      </c>
      <c r="C134" s="2" t="s">
        <v>197</v>
      </c>
      <c r="D134" s="2" t="s">
        <v>64</v>
      </c>
      <c r="E134" s="2" t="str">
        <f aca="false">_xlfn.CONCAT(D134,"-",B134)</f>
        <v>CE - 0000-11528</v>
      </c>
      <c r="F134" s="2" t="n">
        <v>312</v>
      </c>
      <c r="G134" s="2" t="n">
        <v>1721.82</v>
      </c>
    </row>
    <row r="135" customFormat="false" ht="13.8" hidden="false" customHeight="false" outlineLevel="0" collapsed="false">
      <c r="A135" s="2" t="s">
        <v>196</v>
      </c>
      <c r="B135" s="2" t="n">
        <v>11528</v>
      </c>
      <c r="C135" s="2" t="s">
        <v>197</v>
      </c>
      <c r="D135" s="2" t="s">
        <v>67</v>
      </c>
      <c r="E135" s="2" t="str">
        <f aca="false">_xlfn.CONCAT(D135,"-",B135)</f>
        <v>CE - EUROFARMA G7-11528</v>
      </c>
      <c r="F135" s="2" t="n">
        <v>4</v>
      </c>
      <c r="G135" s="2" t="n">
        <v>23.58</v>
      </c>
    </row>
    <row r="136" customFormat="false" ht="13.8" hidden="false" customHeight="false" outlineLevel="0" collapsed="false">
      <c r="A136" s="2" t="s">
        <v>198</v>
      </c>
      <c r="B136" s="2" t="n">
        <v>4546</v>
      </c>
      <c r="C136" s="2" t="s">
        <v>199</v>
      </c>
      <c r="D136" s="2" t="s">
        <v>64</v>
      </c>
      <c r="E136" s="2" t="str">
        <f aca="false">_xlfn.CONCAT(D136,"-",B136)</f>
        <v>CE - 0000-4546</v>
      </c>
      <c r="F136" s="2" t="n">
        <v>203</v>
      </c>
      <c r="G136" s="2" t="n">
        <v>1441.37</v>
      </c>
    </row>
    <row r="137" customFormat="false" ht="13.8" hidden="false" customHeight="false" outlineLevel="0" collapsed="false">
      <c r="A137" s="2" t="s">
        <v>198</v>
      </c>
      <c r="B137" s="2" t="n">
        <v>4546</v>
      </c>
      <c r="C137" s="2" t="s">
        <v>199</v>
      </c>
      <c r="D137" s="2" t="s">
        <v>67</v>
      </c>
      <c r="E137" s="2" t="str">
        <f aca="false">_xlfn.CONCAT(D137,"-",B137)</f>
        <v>CE - EUROFARMA G7-4546</v>
      </c>
      <c r="F137" s="2" t="n">
        <v>47</v>
      </c>
      <c r="G137" s="2" t="n">
        <v>331.46</v>
      </c>
    </row>
    <row r="138" customFormat="false" ht="13.8" hidden="false" customHeight="false" outlineLevel="0" collapsed="false">
      <c r="A138" s="2" t="s">
        <v>200</v>
      </c>
      <c r="B138" s="2" t="n">
        <v>3823</v>
      </c>
      <c r="C138" s="2" t="s">
        <v>201</v>
      </c>
      <c r="D138" s="2" t="s">
        <v>64</v>
      </c>
      <c r="E138" s="2" t="str">
        <f aca="false">_xlfn.CONCAT(D138,"-",B138)</f>
        <v>CE - 0000-3823</v>
      </c>
      <c r="F138" s="2" t="n">
        <v>67</v>
      </c>
      <c r="G138" s="2" t="n">
        <v>680.3</v>
      </c>
    </row>
    <row r="139" customFormat="false" ht="13.8" hidden="false" customHeight="false" outlineLevel="0" collapsed="false">
      <c r="A139" s="2" t="s">
        <v>200</v>
      </c>
      <c r="B139" s="2" t="n">
        <v>3823</v>
      </c>
      <c r="C139" s="2" t="s">
        <v>201</v>
      </c>
      <c r="D139" s="2" t="s">
        <v>67</v>
      </c>
      <c r="E139" s="2" t="str">
        <f aca="false">_xlfn.CONCAT(D139,"-",B139)</f>
        <v>CE - EUROFARMA G7-3823</v>
      </c>
      <c r="F139" s="2" t="n">
        <v>33</v>
      </c>
      <c r="G139" s="2" t="n">
        <v>329.79</v>
      </c>
    </row>
    <row r="140" customFormat="false" ht="13.8" hidden="false" customHeight="false" outlineLevel="0" collapsed="false">
      <c r="A140" s="2" t="s">
        <v>202</v>
      </c>
      <c r="B140" s="2" t="n">
        <v>4547</v>
      </c>
      <c r="C140" s="2" t="s">
        <v>203</v>
      </c>
      <c r="D140" s="2" t="s">
        <v>67</v>
      </c>
      <c r="E140" s="2" t="str">
        <f aca="false">_xlfn.CONCAT(D140,"-",B140)</f>
        <v>CE - EUROFARMA G7-4547</v>
      </c>
      <c r="F140" s="2" t="n">
        <v>178</v>
      </c>
      <c r="G140" s="2" t="n">
        <v>1143.97</v>
      </c>
    </row>
    <row r="141" customFormat="false" ht="13.8" hidden="false" customHeight="false" outlineLevel="0" collapsed="false">
      <c r="A141" s="2" t="s">
        <v>202</v>
      </c>
      <c r="B141" s="2" t="n">
        <v>4547</v>
      </c>
      <c r="C141" s="2" t="s">
        <v>203</v>
      </c>
      <c r="D141" s="2" t="s">
        <v>64</v>
      </c>
      <c r="E141" s="2" t="str">
        <f aca="false">_xlfn.CONCAT(D141,"-",B141)</f>
        <v>CE - 0000-4547</v>
      </c>
      <c r="F141" s="2" t="n">
        <v>334</v>
      </c>
      <c r="G141" s="2" t="n">
        <v>2128.1</v>
      </c>
    </row>
    <row r="142" customFormat="false" ht="13.8" hidden="false" customHeight="false" outlineLevel="0" collapsed="false">
      <c r="A142" s="2" t="s">
        <v>206</v>
      </c>
      <c r="B142" s="2" t="n">
        <v>7617</v>
      </c>
      <c r="C142" s="2" t="s">
        <v>207</v>
      </c>
      <c r="D142" s="2" t="s">
        <v>67</v>
      </c>
      <c r="E142" s="2" t="str">
        <f aca="false">_xlfn.CONCAT(D142,"-",B142)</f>
        <v>CE - EUROFARMA G7-7617</v>
      </c>
      <c r="F142" s="2" t="n">
        <v>6</v>
      </c>
      <c r="G142" s="2" t="n">
        <v>105.05</v>
      </c>
    </row>
    <row r="143" customFormat="false" ht="13.8" hidden="false" customHeight="false" outlineLevel="0" collapsed="false">
      <c r="A143" s="2" t="s">
        <v>206</v>
      </c>
      <c r="B143" s="2" t="n">
        <v>7617</v>
      </c>
      <c r="C143" s="2" t="s">
        <v>207</v>
      </c>
      <c r="D143" s="2" t="s">
        <v>68</v>
      </c>
      <c r="E143" s="2" t="str">
        <f aca="false">_xlfn.CONCAT(D143,"-",B143)</f>
        <v>CE - OL 002-7617</v>
      </c>
      <c r="F143" s="2" t="n">
        <v>20</v>
      </c>
      <c r="G143" s="2" t="n">
        <v>385.42</v>
      </c>
    </row>
    <row r="144" customFormat="false" ht="13.8" hidden="false" customHeight="false" outlineLevel="0" collapsed="false">
      <c r="A144" s="2" t="s">
        <v>206</v>
      </c>
      <c r="B144" s="2" t="n">
        <v>7617</v>
      </c>
      <c r="C144" s="2" t="s">
        <v>207</v>
      </c>
      <c r="D144" s="2" t="s">
        <v>64</v>
      </c>
      <c r="E144" s="2" t="str">
        <f aca="false">_xlfn.CONCAT(D144,"-",B144)</f>
        <v>CE - 0000-7617</v>
      </c>
      <c r="F144" s="2" t="n">
        <v>160</v>
      </c>
      <c r="G144" s="2" t="n">
        <v>2783.98</v>
      </c>
    </row>
    <row r="145" customFormat="false" ht="13.8" hidden="false" customHeight="false" outlineLevel="0" collapsed="false">
      <c r="A145" s="2" t="s">
        <v>208</v>
      </c>
      <c r="B145" s="2" t="n">
        <v>19768</v>
      </c>
      <c r="C145" s="2" t="s">
        <v>209</v>
      </c>
      <c r="D145" s="2" t="s">
        <v>67</v>
      </c>
      <c r="E145" s="2" t="str">
        <f aca="false">_xlfn.CONCAT(D145,"-",B145)</f>
        <v>CE - EUROFARMA G7-19768</v>
      </c>
      <c r="F145" s="2" t="n">
        <v>34</v>
      </c>
      <c r="G145" s="2" t="n">
        <v>1158.07</v>
      </c>
    </row>
    <row r="146" customFormat="false" ht="13.8" hidden="false" customHeight="false" outlineLevel="0" collapsed="false">
      <c r="A146" s="2" t="s">
        <v>208</v>
      </c>
      <c r="B146" s="2" t="n">
        <v>19768</v>
      </c>
      <c r="C146" s="2" t="s">
        <v>209</v>
      </c>
      <c r="D146" s="2" t="s">
        <v>68</v>
      </c>
      <c r="E146" s="2" t="str">
        <f aca="false">_xlfn.CONCAT(D146,"-",B146)</f>
        <v>CE - OL 002-19768</v>
      </c>
      <c r="F146" s="2" t="n">
        <v>2</v>
      </c>
      <c r="G146" s="2" t="n">
        <v>73.9</v>
      </c>
    </row>
    <row r="147" customFormat="false" ht="13.8" hidden="false" customHeight="false" outlineLevel="0" collapsed="false">
      <c r="A147" s="2" t="s">
        <v>208</v>
      </c>
      <c r="B147" s="2" t="n">
        <v>19768</v>
      </c>
      <c r="C147" s="2" t="s">
        <v>209</v>
      </c>
      <c r="D147" s="2" t="s">
        <v>64</v>
      </c>
      <c r="E147" s="2" t="str">
        <f aca="false">_xlfn.CONCAT(D147,"-",B147)</f>
        <v>CE - 0000-19768</v>
      </c>
      <c r="F147" s="2" t="n">
        <v>58</v>
      </c>
      <c r="G147" s="2" t="n">
        <v>1956.5</v>
      </c>
    </row>
    <row r="148" customFormat="false" ht="13.8" hidden="false" customHeight="false" outlineLevel="0" collapsed="false">
      <c r="A148" s="2" t="s">
        <v>212</v>
      </c>
      <c r="B148" s="2" t="n">
        <v>22606</v>
      </c>
      <c r="C148" s="2" t="s">
        <v>211</v>
      </c>
      <c r="D148" s="2" t="s">
        <v>64</v>
      </c>
      <c r="E148" s="2" t="str">
        <f aca="false">_xlfn.CONCAT(D148,"-",B148)</f>
        <v>CE - 0000-22606</v>
      </c>
      <c r="F148" s="2" t="n">
        <v>226</v>
      </c>
      <c r="G148" s="2" t="n">
        <v>2219.45</v>
      </c>
    </row>
    <row r="149" customFormat="false" ht="13.8" hidden="false" customHeight="false" outlineLevel="0" collapsed="false">
      <c r="A149" s="2" t="s">
        <v>212</v>
      </c>
      <c r="B149" s="2" t="n">
        <v>22606</v>
      </c>
      <c r="C149" s="2" t="s">
        <v>211</v>
      </c>
      <c r="D149" s="2" t="s">
        <v>68</v>
      </c>
      <c r="E149" s="2" t="str">
        <f aca="false">_xlfn.CONCAT(D149,"-",B149)</f>
        <v>CE - OL 002-22606</v>
      </c>
      <c r="F149" s="2" t="n">
        <v>42</v>
      </c>
      <c r="G149" s="2" t="n">
        <v>544.14</v>
      </c>
    </row>
    <row r="150" customFormat="false" ht="13.8" hidden="false" customHeight="false" outlineLevel="0" collapsed="false">
      <c r="A150" s="2" t="s">
        <v>212</v>
      </c>
      <c r="B150" s="2" t="n">
        <v>22606</v>
      </c>
      <c r="C150" s="2" t="s">
        <v>211</v>
      </c>
      <c r="D150" s="2" t="s">
        <v>67</v>
      </c>
      <c r="E150" s="2" t="str">
        <f aca="false">_xlfn.CONCAT(D150,"-",B150)</f>
        <v>CE - EUROFARMA G7-22606</v>
      </c>
      <c r="F150" s="2" t="n">
        <v>16</v>
      </c>
      <c r="G150" s="2" t="n">
        <v>491.49</v>
      </c>
    </row>
    <row r="151" customFormat="false" ht="13.8" hidden="false" customHeight="false" outlineLevel="0" collapsed="false">
      <c r="A151" s="2" t="s">
        <v>213</v>
      </c>
      <c r="B151" s="2" t="n">
        <v>10279</v>
      </c>
      <c r="C151" s="2" t="s">
        <v>214</v>
      </c>
      <c r="D151" s="2" t="s">
        <v>64</v>
      </c>
      <c r="E151" s="2" t="str">
        <f aca="false">_xlfn.CONCAT(D151,"-",B151)</f>
        <v>CE - 0000-10279</v>
      </c>
      <c r="F151" s="2" t="n">
        <v>11</v>
      </c>
      <c r="G151" s="2" t="n">
        <v>206.12</v>
      </c>
    </row>
    <row r="152" customFormat="false" ht="13.8" hidden="false" customHeight="false" outlineLevel="0" collapsed="false">
      <c r="A152" s="2" t="s">
        <v>213</v>
      </c>
      <c r="B152" s="2" t="n">
        <v>10279</v>
      </c>
      <c r="C152" s="2" t="s">
        <v>214</v>
      </c>
      <c r="D152" s="2" t="s">
        <v>68</v>
      </c>
      <c r="E152" s="2" t="str">
        <f aca="false">_xlfn.CONCAT(D152,"-",B152)</f>
        <v>CE - OL 002-10279</v>
      </c>
      <c r="F152" s="2" t="n">
        <v>1</v>
      </c>
      <c r="G152" s="2" t="n">
        <v>20.47</v>
      </c>
    </row>
    <row r="153" customFormat="false" ht="13.8" hidden="false" customHeight="false" outlineLevel="0" collapsed="false">
      <c r="A153" s="2" t="s">
        <v>215</v>
      </c>
      <c r="B153" s="2" t="n">
        <v>16833</v>
      </c>
      <c r="C153" s="2" t="s">
        <v>216</v>
      </c>
      <c r="D153" s="2" t="s">
        <v>64</v>
      </c>
      <c r="E153" s="2" t="str">
        <f aca="false">_xlfn.CONCAT(D153,"-",B153)</f>
        <v>CE - 0000-16833</v>
      </c>
      <c r="F153" s="2" t="n">
        <v>53</v>
      </c>
      <c r="G153" s="2" t="n">
        <v>839.79</v>
      </c>
    </row>
    <row r="154" customFormat="false" ht="13.8" hidden="false" customHeight="false" outlineLevel="0" collapsed="false">
      <c r="A154" s="2" t="s">
        <v>217</v>
      </c>
      <c r="B154" s="2" t="n">
        <v>12239</v>
      </c>
      <c r="C154" s="2" t="s">
        <v>218</v>
      </c>
      <c r="D154" s="2" t="s">
        <v>64</v>
      </c>
      <c r="E154" s="2" t="str">
        <f aca="false">_xlfn.CONCAT(D154,"-",B154)</f>
        <v>CE - 0000-12239</v>
      </c>
      <c r="F154" s="2" t="n">
        <v>370</v>
      </c>
      <c r="G154" s="2" t="n">
        <v>3310.3</v>
      </c>
    </row>
    <row r="155" customFormat="false" ht="13.8" hidden="false" customHeight="false" outlineLevel="0" collapsed="false">
      <c r="A155" s="2" t="s">
        <v>217</v>
      </c>
      <c r="B155" s="2" t="n">
        <v>12239</v>
      </c>
      <c r="C155" s="2" t="s">
        <v>218</v>
      </c>
      <c r="D155" s="2" t="s">
        <v>67</v>
      </c>
      <c r="E155" s="2" t="str">
        <f aca="false">_xlfn.CONCAT(D155,"-",B155)</f>
        <v>CE - EUROFARMA G7-12239</v>
      </c>
      <c r="F155" s="2" t="n">
        <v>585</v>
      </c>
      <c r="G155" s="2" t="n">
        <v>5269.95</v>
      </c>
    </row>
    <row r="156" customFormat="false" ht="13.8" hidden="false" customHeight="false" outlineLevel="0" collapsed="false">
      <c r="A156" s="2" t="s">
        <v>219</v>
      </c>
      <c r="B156" s="2" t="n">
        <v>12815</v>
      </c>
      <c r="C156" s="2" t="s">
        <v>220</v>
      </c>
      <c r="D156" s="2" t="s">
        <v>64</v>
      </c>
      <c r="E156" s="2" t="str">
        <f aca="false">_xlfn.CONCAT(D156,"-",B156)</f>
        <v>CE - 0000-12815</v>
      </c>
      <c r="F156" s="2" t="n">
        <v>17</v>
      </c>
      <c r="G156" s="2" t="n">
        <v>98.89</v>
      </c>
    </row>
    <row r="157" customFormat="false" ht="13.8" hidden="false" customHeight="false" outlineLevel="0" collapsed="false">
      <c r="A157" s="2" t="s">
        <v>219</v>
      </c>
      <c r="B157" s="2" t="n">
        <v>12815</v>
      </c>
      <c r="C157" s="2" t="s">
        <v>220</v>
      </c>
      <c r="D157" s="2" t="s">
        <v>68</v>
      </c>
      <c r="E157" s="2" t="str">
        <f aca="false">_xlfn.CONCAT(D157,"-",B157)</f>
        <v>CE - OL 002-12815</v>
      </c>
      <c r="F157" s="2" t="n">
        <v>7</v>
      </c>
      <c r="G157" s="2" t="n">
        <v>44.75</v>
      </c>
    </row>
    <row r="158" customFormat="false" ht="13.8" hidden="false" customHeight="false" outlineLevel="0" collapsed="false">
      <c r="A158" s="2" t="s">
        <v>221</v>
      </c>
      <c r="B158" s="2" t="n">
        <v>14000</v>
      </c>
      <c r="C158" s="2" t="s">
        <v>222</v>
      </c>
      <c r="D158" s="2" t="s">
        <v>64</v>
      </c>
      <c r="E158" s="2" t="str">
        <f aca="false">_xlfn.CONCAT(D158,"-",B158)</f>
        <v>CE - 0000-14000</v>
      </c>
      <c r="F158" s="2" t="n">
        <v>395</v>
      </c>
      <c r="G158" s="2" t="n">
        <v>2477.48</v>
      </c>
    </row>
    <row r="159" customFormat="false" ht="13.8" hidden="false" customHeight="false" outlineLevel="0" collapsed="false">
      <c r="A159" s="2" t="s">
        <v>221</v>
      </c>
      <c r="B159" s="2" t="n">
        <v>14000</v>
      </c>
      <c r="C159" s="2" t="s">
        <v>222</v>
      </c>
      <c r="D159" s="2" t="s">
        <v>68</v>
      </c>
      <c r="E159" s="2" t="str">
        <f aca="false">_xlfn.CONCAT(D159,"-",B159)</f>
        <v>CE - OL 002-14000</v>
      </c>
      <c r="F159" s="2" t="n">
        <v>36</v>
      </c>
      <c r="G159" s="2" t="n">
        <v>269.46</v>
      </c>
    </row>
    <row r="160" customFormat="false" ht="13.8" hidden="false" customHeight="false" outlineLevel="0" collapsed="false">
      <c r="A160" s="2" t="s">
        <v>223</v>
      </c>
      <c r="B160" s="2" t="n">
        <v>9378</v>
      </c>
      <c r="C160" s="2" t="s">
        <v>224</v>
      </c>
      <c r="D160" s="2" t="s">
        <v>64</v>
      </c>
      <c r="E160" s="2" t="str">
        <f aca="false">_xlfn.CONCAT(D160,"-",B160)</f>
        <v>CE - 0000-9378</v>
      </c>
      <c r="F160" s="2" t="n">
        <v>93</v>
      </c>
      <c r="G160" s="2" t="n">
        <v>1425.44</v>
      </c>
    </row>
    <row r="161" customFormat="false" ht="13.8" hidden="false" customHeight="false" outlineLevel="0" collapsed="false">
      <c r="A161" s="2" t="s">
        <v>223</v>
      </c>
      <c r="B161" s="2" t="n">
        <v>9378</v>
      </c>
      <c r="C161" s="2" t="s">
        <v>224</v>
      </c>
      <c r="D161" s="2" t="s">
        <v>68</v>
      </c>
      <c r="E161" s="2" t="str">
        <f aca="false">_xlfn.CONCAT(D161,"-",B161)</f>
        <v>CE - OL 002-9378</v>
      </c>
      <c r="F161" s="2" t="n">
        <v>14</v>
      </c>
      <c r="G161" s="2" t="n">
        <v>240.01</v>
      </c>
    </row>
    <row r="162" customFormat="false" ht="13.8" hidden="false" customHeight="false" outlineLevel="0" collapsed="false">
      <c r="A162" s="2" t="s">
        <v>225</v>
      </c>
      <c r="B162" s="2" t="n">
        <v>22716</v>
      </c>
      <c r="C162" s="2" t="s">
        <v>226</v>
      </c>
      <c r="D162" s="2" t="s">
        <v>66</v>
      </c>
      <c r="E162" s="2" t="str">
        <f aca="false">_xlfn.CONCAT(D162,"-",B162)</f>
        <v>CE - OL 001-22716</v>
      </c>
      <c r="F162" s="2" t="n">
        <v>8</v>
      </c>
      <c r="G162" s="2" t="n">
        <v>279.64</v>
      </c>
    </row>
    <row r="163" customFormat="false" ht="13.8" hidden="false" customHeight="false" outlineLevel="0" collapsed="false">
      <c r="A163" s="2" t="s">
        <v>225</v>
      </c>
      <c r="B163" s="2" t="n">
        <v>22716</v>
      </c>
      <c r="C163" s="2" t="s">
        <v>226</v>
      </c>
      <c r="D163" s="2" t="s">
        <v>64</v>
      </c>
      <c r="E163" s="2" t="str">
        <f aca="false">_xlfn.CONCAT(D163,"-",B163)</f>
        <v>CE - 0000-22716</v>
      </c>
      <c r="F163" s="2" t="n">
        <v>41</v>
      </c>
      <c r="G163" s="2" t="n">
        <v>1220.33</v>
      </c>
    </row>
    <row r="164" customFormat="false" ht="13.8" hidden="false" customHeight="false" outlineLevel="0" collapsed="false">
      <c r="A164" s="2" t="s">
        <v>227</v>
      </c>
      <c r="B164" s="2" t="n">
        <v>22715</v>
      </c>
      <c r="C164" s="2" t="s">
        <v>228</v>
      </c>
      <c r="D164" s="2" t="s">
        <v>68</v>
      </c>
      <c r="E164" s="2" t="str">
        <f aca="false">_xlfn.CONCAT(D164,"-",B164)</f>
        <v>CE - OL 002-22715</v>
      </c>
      <c r="F164" s="2" t="n">
        <v>24</v>
      </c>
      <c r="G164" s="2" t="n">
        <v>1032.56</v>
      </c>
    </row>
    <row r="165" customFormat="false" ht="13.8" hidden="false" customHeight="false" outlineLevel="0" collapsed="false">
      <c r="A165" s="2" t="s">
        <v>227</v>
      </c>
      <c r="B165" s="2" t="n">
        <v>22715</v>
      </c>
      <c r="C165" s="2" t="s">
        <v>228</v>
      </c>
      <c r="D165" s="2" t="s">
        <v>64</v>
      </c>
      <c r="E165" s="2" t="str">
        <f aca="false">_xlfn.CONCAT(D165,"-",B165)</f>
        <v>CE - 0000-22715</v>
      </c>
      <c r="F165" s="2" t="n">
        <v>95</v>
      </c>
      <c r="G165" s="2" t="n">
        <v>2827.42</v>
      </c>
    </row>
    <row r="166" customFormat="false" ht="13.8" hidden="false" customHeight="false" outlineLevel="0" collapsed="false">
      <c r="A166" s="2" t="s">
        <v>227</v>
      </c>
      <c r="B166" s="2" t="n">
        <v>22715</v>
      </c>
      <c r="C166" s="2" t="s">
        <v>228</v>
      </c>
      <c r="D166" s="2" t="s">
        <v>66</v>
      </c>
      <c r="E166" s="2" t="str">
        <f aca="false">_xlfn.CONCAT(D166,"-",B166)</f>
        <v>CE - OL 001-22715</v>
      </c>
      <c r="F166" s="2" t="n">
        <v>10</v>
      </c>
      <c r="G166" s="2" t="n">
        <v>349.76</v>
      </c>
    </row>
    <row r="167" customFormat="false" ht="13.8" hidden="false" customHeight="false" outlineLevel="0" collapsed="false">
      <c r="A167" s="2" t="s">
        <v>229</v>
      </c>
      <c r="B167" s="2" t="n">
        <v>1938</v>
      </c>
      <c r="C167" s="2" t="s">
        <v>230</v>
      </c>
      <c r="D167" s="2" t="s">
        <v>64</v>
      </c>
      <c r="E167" s="2" t="str">
        <f aca="false">_xlfn.CONCAT(D167,"-",B167)</f>
        <v>CE - 0000-1938</v>
      </c>
      <c r="F167" s="2" t="n">
        <v>44</v>
      </c>
      <c r="G167" s="2" t="n">
        <v>554.2</v>
      </c>
    </row>
    <row r="168" customFormat="false" ht="13.8" hidden="false" customHeight="false" outlineLevel="0" collapsed="false">
      <c r="A168" s="2" t="s">
        <v>229</v>
      </c>
      <c r="B168" s="2" t="n">
        <v>1938</v>
      </c>
      <c r="C168" s="2" t="s">
        <v>230</v>
      </c>
      <c r="D168" s="2" t="s">
        <v>67</v>
      </c>
      <c r="E168" s="2" t="str">
        <f aca="false">_xlfn.CONCAT(D168,"-",B168)</f>
        <v>CE - EUROFARMA G7-1938</v>
      </c>
      <c r="F168" s="2" t="n">
        <v>17</v>
      </c>
      <c r="G168" s="2" t="n">
        <v>222.74</v>
      </c>
    </row>
    <row r="169" customFormat="false" ht="13.8" hidden="false" customHeight="false" outlineLevel="0" collapsed="false">
      <c r="A169" s="2" t="s">
        <v>231</v>
      </c>
      <c r="B169" s="2" t="n">
        <v>12520</v>
      </c>
      <c r="C169" s="2" t="s">
        <v>232</v>
      </c>
      <c r="D169" s="2" t="s">
        <v>68</v>
      </c>
      <c r="E169" s="2" t="str">
        <f aca="false">_xlfn.CONCAT(D169,"-",B169)</f>
        <v>CE - OL 002-12520</v>
      </c>
      <c r="F169" s="2" t="n">
        <v>14</v>
      </c>
      <c r="G169" s="2" t="n">
        <v>224.79</v>
      </c>
    </row>
    <row r="170" customFormat="false" ht="13.8" hidden="false" customHeight="false" outlineLevel="0" collapsed="false">
      <c r="A170" s="2" t="s">
        <v>231</v>
      </c>
      <c r="B170" s="2" t="n">
        <v>12520</v>
      </c>
      <c r="C170" s="2" t="s">
        <v>232</v>
      </c>
      <c r="D170" s="2" t="s">
        <v>67</v>
      </c>
      <c r="E170" s="2" t="str">
        <f aca="false">_xlfn.CONCAT(D170,"-",B170)</f>
        <v>CE - EUROFARMA G7-12520</v>
      </c>
      <c r="F170" s="2" t="n">
        <v>17</v>
      </c>
      <c r="G170" s="2" t="n">
        <v>264.26</v>
      </c>
    </row>
    <row r="171" customFormat="false" ht="13.8" hidden="false" customHeight="false" outlineLevel="0" collapsed="false">
      <c r="A171" s="2" t="s">
        <v>231</v>
      </c>
      <c r="B171" s="2" t="n">
        <v>12520</v>
      </c>
      <c r="C171" s="2" t="s">
        <v>232</v>
      </c>
      <c r="D171" s="2" t="s">
        <v>64</v>
      </c>
      <c r="E171" s="2" t="str">
        <f aca="false">_xlfn.CONCAT(D171,"-",B171)</f>
        <v>CE - 0000-12520</v>
      </c>
      <c r="F171" s="2" t="n">
        <v>39</v>
      </c>
      <c r="G171" s="2" t="n">
        <v>566.66</v>
      </c>
    </row>
    <row r="172" customFormat="false" ht="13.8" hidden="false" customHeight="false" outlineLevel="0" collapsed="false">
      <c r="A172" s="2" t="s">
        <v>233</v>
      </c>
      <c r="B172" s="2" t="n">
        <v>12732</v>
      </c>
      <c r="C172" s="2" t="s">
        <v>234</v>
      </c>
      <c r="D172" s="2" t="s">
        <v>68</v>
      </c>
      <c r="E172" s="2" t="str">
        <f aca="false">_xlfn.CONCAT(D172,"-",B172)</f>
        <v>CE - OL 002-12732</v>
      </c>
      <c r="F172" s="2" t="n">
        <v>69</v>
      </c>
      <c r="G172" s="2" t="n">
        <v>747.07</v>
      </c>
    </row>
    <row r="173" customFormat="false" ht="13.8" hidden="false" customHeight="false" outlineLevel="0" collapsed="false">
      <c r="A173" s="2" t="s">
        <v>233</v>
      </c>
      <c r="B173" s="2" t="n">
        <v>12732</v>
      </c>
      <c r="C173" s="2" t="s">
        <v>234</v>
      </c>
      <c r="D173" s="2" t="s">
        <v>64</v>
      </c>
      <c r="E173" s="2" t="str">
        <f aca="false">_xlfn.CONCAT(D173,"-",B173)</f>
        <v>CE - 0000-12732</v>
      </c>
      <c r="F173" s="2" t="n">
        <v>1103</v>
      </c>
      <c r="G173" s="2" t="n">
        <v>10799.85</v>
      </c>
    </row>
    <row r="174" customFormat="false" ht="13.8" hidden="false" customHeight="false" outlineLevel="0" collapsed="false">
      <c r="A174" s="2" t="s">
        <v>233</v>
      </c>
      <c r="B174" s="2" t="n">
        <v>12732</v>
      </c>
      <c r="C174" s="2" t="s">
        <v>234</v>
      </c>
      <c r="D174" s="2" t="s">
        <v>67</v>
      </c>
      <c r="E174" s="2" t="str">
        <f aca="false">_xlfn.CONCAT(D174,"-",B174)</f>
        <v>CE - EUROFARMA G7-12732</v>
      </c>
      <c r="F174" s="2" t="n">
        <v>106</v>
      </c>
      <c r="G174" s="2" t="n">
        <v>1073.52</v>
      </c>
    </row>
    <row r="175" customFormat="false" ht="13.8" hidden="false" customHeight="false" outlineLevel="0" collapsed="false">
      <c r="A175" s="2" t="s">
        <v>235</v>
      </c>
      <c r="B175" s="2" t="n">
        <v>12805</v>
      </c>
      <c r="C175" s="2" t="s">
        <v>236</v>
      </c>
      <c r="D175" s="2" t="s">
        <v>67</v>
      </c>
      <c r="E175" s="2" t="str">
        <f aca="false">_xlfn.CONCAT(D175,"-",B175)</f>
        <v>CE - EUROFARMA G7-12805</v>
      </c>
      <c r="F175" s="2" t="n">
        <v>76</v>
      </c>
      <c r="G175" s="2" t="n">
        <v>437.85</v>
      </c>
    </row>
    <row r="176" customFormat="false" ht="13.8" hidden="false" customHeight="false" outlineLevel="0" collapsed="false">
      <c r="A176" s="2" t="s">
        <v>235</v>
      </c>
      <c r="B176" s="2" t="n">
        <v>12805</v>
      </c>
      <c r="C176" s="2" t="s">
        <v>236</v>
      </c>
      <c r="D176" s="2" t="s">
        <v>64</v>
      </c>
      <c r="E176" s="2" t="str">
        <f aca="false">_xlfn.CONCAT(D176,"-",B176)</f>
        <v>CE - 0000-12805</v>
      </c>
      <c r="F176" s="2" t="n">
        <v>523</v>
      </c>
      <c r="G176" s="2" t="n">
        <v>2972.42</v>
      </c>
    </row>
    <row r="177" customFormat="false" ht="13.8" hidden="false" customHeight="false" outlineLevel="0" collapsed="false">
      <c r="A177" s="2" t="s">
        <v>235</v>
      </c>
      <c r="B177" s="2" t="n">
        <v>12805</v>
      </c>
      <c r="C177" s="2" t="s">
        <v>236</v>
      </c>
      <c r="D177" s="2" t="s">
        <v>68</v>
      </c>
      <c r="E177" s="2" t="str">
        <f aca="false">_xlfn.CONCAT(D177,"-",B177)</f>
        <v>CE - OL 002-12805</v>
      </c>
      <c r="F177" s="2" t="n">
        <v>47</v>
      </c>
      <c r="G177" s="2" t="n">
        <v>292.99</v>
      </c>
    </row>
    <row r="178" customFormat="false" ht="13.8" hidden="false" customHeight="false" outlineLevel="0" collapsed="false">
      <c r="A178" s="2" t="s">
        <v>239</v>
      </c>
      <c r="B178" s="2" t="n">
        <v>687</v>
      </c>
      <c r="C178" s="2" t="s">
        <v>240</v>
      </c>
      <c r="D178" s="2" t="s">
        <v>68</v>
      </c>
      <c r="E178" s="2" t="str">
        <f aca="false">_xlfn.CONCAT(D178,"-",B178)</f>
        <v>CE - OL 002-687</v>
      </c>
      <c r="F178" s="2" t="n">
        <v>302</v>
      </c>
      <c r="G178" s="2" t="n">
        <v>1998.47</v>
      </c>
    </row>
    <row r="179" customFormat="false" ht="13.8" hidden="false" customHeight="false" outlineLevel="0" collapsed="false">
      <c r="A179" s="2" t="s">
        <v>239</v>
      </c>
      <c r="B179" s="2" t="n">
        <v>687</v>
      </c>
      <c r="C179" s="2" t="s">
        <v>240</v>
      </c>
      <c r="D179" s="2" t="s">
        <v>64</v>
      </c>
      <c r="E179" s="2" t="str">
        <f aca="false">_xlfn.CONCAT(D179,"-",B179)</f>
        <v>CE - 0000-687</v>
      </c>
      <c r="F179" s="2" t="n">
        <v>1849</v>
      </c>
      <c r="G179" s="2" t="n">
        <v>11123.91</v>
      </c>
    </row>
    <row r="180" customFormat="false" ht="13.8" hidden="false" customHeight="false" outlineLevel="0" collapsed="false">
      <c r="A180" s="2" t="s">
        <v>239</v>
      </c>
      <c r="B180" s="2" t="n">
        <v>687</v>
      </c>
      <c r="C180" s="2" t="s">
        <v>240</v>
      </c>
      <c r="D180" s="2" t="s">
        <v>67</v>
      </c>
      <c r="E180" s="2" t="str">
        <f aca="false">_xlfn.CONCAT(D180,"-",B180)</f>
        <v>CE - EUROFARMA G7-687</v>
      </c>
      <c r="F180" s="2" t="n">
        <v>934</v>
      </c>
      <c r="G180" s="2" t="n">
        <v>5631.07</v>
      </c>
    </row>
    <row r="181" customFormat="false" ht="13.8" hidden="false" customHeight="false" outlineLevel="0" collapsed="false">
      <c r="A181" s="2" t="s">
        <v>241</v>
      </c>
      <c r="B181" s="2" t="n">
        <v>691</v>
      </c>
      <c r="C181" s="2" t="s">
        <v>242</v>
      </c>
      <c r="D181" s="2" t="s">
        <v>67</v>
      </c>
      <c r="E181" s="2" t="str">
        <f aca="false">_xlfn.CONCAT(D181,"-",B181)</f>
        <v>CE - EUROFARMA G7-691</v>
      </c>
      <c r="F181" s="2" t="n">
        <v>90</v>
      </c>
      <c r="G181" s="2" t="n">
        <v>1365.76</v>
      </c>
    </row>
    <row r="182" customFormat="false" ht="13.8" hidden="false" customHeight="false" outlineLevel="0" collapsed="false">
      <c r="A182" s="2" t="s">
        <v>241</v>
      </c>
      <c r="B182" s="2" t="n">
        <v>691</v>
      </c>
      <c r="C182" s="2" t="s">
        <v>242</v>
      </c>
      <c r="D182" s="2" t="s">
        <v>64</v>
      </c>
      <c r="E182" s="2" t="str">
        <f aca="false">_xlfn.CONCAT(D182,"-",B182)</f>
        <v>CE - 0000-691</v>
      </c>
      <c r="F182" s="2" t="n">
        <v>286</v>
      </c>
      <c r="G182" s="2" t="n">
        <v>4264.24</v>
      </c>
    </row>
    <row r="183" customFormat="false" ht="13.8" hidden="false" customHeight="false" outlineLevel="0" collapsed="false">
      <c r="A183" s="2" t="s">
        <v>241</v>
      </c>
      <c r="B183" s="2" t="n">
        <v>691</v>
      </c>
      <c r="C183" s="2" t="s">
        <v>242</v>
      </c>
      <c r="D183" s="2" t="s">
        <v>68</v>
      </c>
      <c r="E183" s="2" t="str">
        <f aca="false">_xlfn.CONCAT(D183,"-",B183)</f>
        <v>CE - OL 002-691</v>
      </c>
      <c r="F183" s="2" t="n">
        <v>57</v>
      </c>
      <c r="G183" s="2" t="n">
        <v>948.2</v>
      </c>
    </row>
    <row r="184" customFormat="false" ht="13.8" hidden="false" customHeight="false" outlineLevel="0" collapsed="false">
      <c r="A184" s="2" t="s">
        <v>243</v>
      </c>
      <c r="B184" s="2" t="n">
        <v>5197</v>
      </c>
      <c r="C184" s="2" t="s">
        <v>244</v>
      </c>
      <c r="D184" s="2" t="s">
        <v>64</v>
      </c>
      <c r="E184" s="2" t="str">
        <f aca="false">_xlfn.CONCAT(D184,"-",B184)</f>
        <v>CE - 0000-5197</v>
      </c>
      <c r="F184" s="2" t="n">
        <v>66</v>
      </c>
      <c r="G184" s="2" t="n">
        <v>739.12</v>
      </c>
    </row>
    <row r="185" customFormat="false" ht="13.8" hidden="false" customHeight="false" outlineLevel="0" collapsed="false">
      <c r="A185" s="2" t="s">
        <v>243</v>
      </c>
      <c r="B185" s="2" t="n">
        <v>5197</v>
      </c>
      <c r="C185" s="2" t="s">
        <v>244</v>
      </c>
      <c r="D185" s="2" t="s">
        <v>68</v>
      </c>
      <c r="E185" s="2" t="str">
        <f aca="false">_xlfn.CONCAT(D185,"-",B185)</f>
        <v>CE - OL 002-5197</v>
      </c>
      <c r="F185" s="2" t="n">
        <v>6</v>
      </c>
      <c r="G185" s="2" t="n">
        <v>76.75</v>
      </c>
    </row>
    <row r="186" customFormat="false" ht="13.8" hidden="false" customHeight="false" outlineLevel="0" collapsed="false">
      <c r="A186" s="2" t="s">
        <v>245</v>
      </c>
      <c r="B186" s="2" t="n">
        <v>5198</v>
      </c>
      <c r="C186" s="2" t="s">
        <v>246</v>
      </c>
      <c r="D186" s="2" t="s">
        <v>64</v>
      </c>
      <c r="E186" s="2" t="str">
        <f aca="false">_xlfn.CONCAT(D186,"-",B186)</f>
        <v>CE - 0000-5198</v>
      </c>
      <c r="F186" s="2" t="n">
        <v>52</v>
      </c>
      <c r="G186" s="2" t="n">
        <v>480.61</v>
      </c>
    </row>
    <row r="187" customFormat="false" ht="13.8" hidden="false" customHeight="false" outlineLevel="0" collapsed="false">
      <c r="A187" s="2" t="s">
        <v>247</v>
      </c>
      <c r="B187" s="2" t="n">
        <v>11415</v>
      </c>
      <c r="C187" s="2" t="s">
        <v>248</v>
      </c>
      <c r="D187" s="2" t="s">
        <v>67</v>
      </c>
      <c r="E187" s="2" t="str">
        <f aca="false">_xlfn.CONCAT(D187,"-",B187)</f>
        <v>CE - EUROFARMA G7-11415</v>
      </c>
      <c r="F187" s="2" t="n">
        <v>62</v>
      </c>
      <c r="G187" s="2" t="n">
        <v>3478.34</v>
      </c>
    </row>
    <row r="188" customFormat="false" ht="13.8" hidden="false" customHeight="false" outlineLevel="0" collapsed="false">
      <c r="A188" s="2" t="s">
        <v>247</v>
      </c>
      <c r="B188" s="2" t="n">
        <v>11415</v>
      </c>
      <c r="C188" s="2" t="s">
        <v>248</v>
      </c>
      <c r="D188" s="2" t="s">
        <v>64</v>
      </c>
      <c r="E188" s="2" t="str">
        <f aca="false">_xlfn.CONCAT(D188,"-",B188)</f>
        <v>CE - 0000-11415</v>
      </c>
      <c r="F188" s="2" t="n">
        <v>44</v>
      </c>
      <c r="G188" s="2" t="n">
        <v>2434.79</v>
      </c>
    </row>
    <row r="189" customFormat="false" ht="13.8" hidden="false" customHeight="false" outlineLevel="0" collapsed="false">
      <c r="A189" s="2" t="s">
        <v>247</v>
      </c>
      <c r="B189" s="2" t="n">
        <v>11415</v>
      </c>
      <c r="C189" s="2" t="s">
        <v>248</v>
      </c>
      <c r="D189" s="2" t="s">
        <v>68</v>
      </c>
      <c r="E189" s="2" t="str">
        <f aca="false">_xlfn.CONCAT(D189,"-",B189)</f>
        <v>CE - OL 002-11415</v>
      </c>
      <c r="F189" s="2" t="n">
        <v>5</v>
      </c>
      <c r="G189" s="2" t="n">
        <v>303.81</v>
      </c>
    </row>
    <row r="190" customFormat="false" ht="13.8" hidden="false" customHeight="false" outlineLevel="0" collapsed="false">
      <c r="A190" s="2" t="s">
        <v>251</v>
      </c>
      <c r="B190" s="2" t="n">
        <v>11414</v>
      </c>
      <c r="C190" s="2" t="s">
        <v>252</v>
      </c>
      <c r="D190" s="2" t="s">
        <v>64</v>
      </c>
      <c r="E190" s="2" t="str">
        <f aca="false">_xlfn.CONCAT(D190,"-",B190)</f>
        <v>CE - 0000-11414</v>
      </c>
      <c r="F190" s="2" t="n">
        <v>45</v>
      </c>
      <c r="G190" s="2" t="n">
        <v>2325.62</v>
      </c>
    </row>
    <row r="191" customFormat="false" ht="13.8" hidden="false" customHeight="false" outlineLevel="0" collapsed="false">
      <c r="A191" s="2" t="s">
        <v>251</v>
      </c>
      <c r="B191" s="2" t="n">
        <v>11414</v>
      </c>
      <c r="C191" s="2" t="s">
        <v>252</v>
      </c>
      <c r="D191" s="2" t="s">
        <v>67</v>
      </c>
      <c r="E191" s="2" t="str">
        <f aca="false">_xlfn.CONCAT(D191,"-",B191)</f>
        <v>CE - EUROFARMA G7-11414</v>
      </c>
      <c r="F191" s="2" t="n">
        <v>47</v>
      </c>
      <c r="G191" s="2" t="n">
        <v>2474.76</v>
      </c>
    </row>
    <row r="192" customFormat="false" ht="13.8" hidden="false" customHeight="false" outlineLevel="0" collapsed="false">
      <c r="A192" s="2" t="s">
        <v>251</v>
      </c>
      <c r="B192" s="2" t="n">
        <v>11414</v>
      </c>
      <c r="C192" s="2" t="s">
        <v>252</v>
      </c>
      <c r="D192" s="2" t="s">
        <v>68</v>
      </c>
      <c r="E192" s="2" t="str">
        <f aca="false">_xlfn.CONCAT(D192,"-",B192)</f>
        <v>CE - OL 002-11414</v>
      </c>
      <c r="F192" s="2" t="n">
        <v>12</v>
      </c>
      <c r="G192" s="2" t="n">
        <v>679.16</v>
      </c>
    </row>
    <row r="193" customFormat="false" ht="13.8" hidden="false" customHeight="false" outlineLevel="0" collapsed="false">
      <c r="A193" s="2" t="s">
        <v>253</v>
      </c>
      <c r="B193" s="2" t="n">
        <v>14294</v>
      </c>
      <c r="C193" s="2" t="s">
        <v>254</v>
      </c>
      <c r="D193" s="2" t="s">
        <v>64</v>
      </c>
      <c r="E193" s="2" t="str">
        <f aca="false">_xlfn.CONCAT(D193,"-",B193)</f>
        <v>CE - 0000-14294</v>
      </c>
      <c r="F193" s="2" t="n">
        <v>2</v>
      </c>
      <c r="G193" s="2" t="n">
        <v>156.99</v>
      </c>
    </row>
    <row r="194" customFormat="false" ht="13.8" hidden="false" customHeight="false" outlineLevel="0" collapsed="false">
      <c r="A194" s="2" t="s">
        <v>253</v>
      </c>
      <c r="B194" s="2" t="n">
        <v>14294</v>
      </c>
      <c r="C194" s="2" t="s">
        <v>254</v>
      </c>
      <c r="D194" s="2" t="s">
        <v>67</v>
      </c>
      <c r="E194" s="2" t="str">
        <f aca="false">_xlfn.CONCAT(D194,"-",B194)</f>
        <v>CE - EUROFARMA G7-14294</v>
      </c>
      <c r="F194" s="2" t="n">
        <v>46</v>
      </c>
      <c r="G194" s="2" t="n">
        <v>3654.58</v>
      </c>
    </row>
    <row r="195" customFormat="false" ht="13.8" hidden="false" customHeight="false" outlineLevel="0" collapsed="false">
      <c r="A195" s="2" t="s">
        <v>255</v>
      </c>
      <c r="B195" s="2" t="n">
        <v>15841</v>
      </c>
      <c r="C195" s="2" t="s">
        <v>256</v>
      </c>
      <c r="D195" s="2" t="s">
        <v>64</v>
      </c>
      <c r="E195" s="2" t="str">
        <f aca="false">_xlfn.CONCAT(D195,"-",B195)</f>
        <v>CE - 0000-15841</v>
      </c>
      <c r="F195" s="2" t="n">
        <v>167</v>
      </c>
      <c r="G195" s="2" t="n">
        <v>3314.02</v>
      </c>
    </row>
    <row r="196" customFormat="false" ht="13.8" hidden="false" customHeight="false" outlineLevel="0" collapsed="false">
      <c r="A196" s="2" t="s">
        <v>255</v>
      </c>
      <c r="B196" s="2" t="n">
        <v>15841</v>
      </c>
      <c r="C196" s="2" t="s">
        <v>256</v>
      </c>
      <c r="D196" s="2" t="s">
        <v>68</v>
      </c>
      <c r="E196" s="2" t="str">
        <f aca="false">_xlfn.CONCAT(D196,"-",B196)</f>
        <v>CE - OL 002-15841</v>
      </c>
      <c r="F196" s="2" t="n">
        <v>30</v>
      </c>
      <c r="G196" s="2" t="n">
        <v>651.73</v>
      </c>
    </row>
    <row r="197" customFormat="false" ht="13.8" hidden="false" customHeight="false" outlineLevel="0" collapsed="false">
      <c r="A197" s="2" t="s">
        <v>255</v>
      </c>
      <c r="B197" s="2" t="n">
        <v>15841</v>
      </c>
      <c r="C197" s="2" t="s">
        <v>256</v>
      </c>
      <c r="D197" s="2" t="s">
        <v>67</v>
      </c>
      <c r="E197" s="2" t="str">
        <f aca="false">_xlfn.CONCAT(D197,"-",B197)</f>
        <v>CE - EUROFARMA G7-15841</v>
      </c>
      <c r="F197" s="2" t="n">
        <v>42</v>
      </c>
      <c r="G197" s="2" t="n">
        <v>829.94</v>
      </c>
    </row>
    <row r="198" customFormat="false" ht="13.8" hidden="false" customHeight="false" outlineLevel="0" collapsed="false">
      <c r="A198" s="2" t="s">
        <v>257</v>
      </c>
      <c r="B198" s="2" t="n">
        <v>8847</v>
      </c>
      <c r="C198" s="2" t="s">
        <v>258</v>
      </c>
      <c r="D198" s="2" t="s">
        <v>67</v>
      </c>
      <c r="E198" s="2" t="str">
        <f aca="false">_xlfn.CONCAT(D198,"-",B198)</f>
        <v>CE - EUROFARMA G7-8847</v>
      </c>
      <c r="F198" s="2" t="n">
        <v>200</v>
      </c>
      <c r="G198" s="2" t="n">
        <v>1599.68</v>
      </c>
    </row>
    <row r="199" customFormat="false" ht="13.8" hidden="false" customHeight="false" outlineLevel="0" collapsed="false">
      <c r="A199" s="2" t="s">
        <v>257</v>
      </c>
      <c r="B199" s="2" t="n">
        <v>8847</v>
      </c>
      <c r="C199" s="2" t="s">
        <v>258</v>
      </c>
      <c r="D199" s="2" t="s">
        <v>64</v>
      </c>
      <c r="E199" s="2" t="str">
        <f aca="false">_xlfn.CONCAT(D199,"-",B199)</f>
        <v>CE - 0000-8847</v>
      </c>
      <c r="F199" s="2" t="n">
        <v>514</v>
      </c>
      <c r="G199" s="2" t="n">
        <v>3885.48</v>
      </c>
    </row>
    <row r="200" customFormat="false" ht="13.8" hidden="false" customHeight="false" outlineLevel="0" collapsed="false">
      <c r="A200" s="2" t="s">
        <v>257</v>
      </c>
      <c r="B200" s="2" t="n">
        <v>8847</v>
      </c>
      <c r="C200" s="2" t="s">
        <v>258</v>
      </c>
      <c r="D200" s="2" t="s">
        <v>68</v>
      </c>
      <c r="E200" s="2" t="str">
        <f aca="false">_xlfn.CONCAT(D200,"-",B200)</f>
        <v>CE - OL 002-8847</v>
      </c>
      <c r="F200" s="2" t="n">
        <v>164</v>
      </c>
      <c r="G200" s="2" t="n">
        <v>1505.17</v>
      </c>
    </row>
    <row r="201" customFormat="false" ht="13.8" hidden="false" customHeight="false" outlineLevel="0" collapsed="false">
      <c r="A201" s="2" t="s">
        <v>259</v>
      </c>
      <c r="B201" s="2" t="n">
        <v>9523</v>
      </c>
      <c r="C201" s="2" t="s">
        <v>260</v>
      </c>
      <c r="D201" s="2" t="s">
        <v>64</v>
      </c>
      <c r="E201" s="2" t="str">
        <f aca="false">_xlfn.CONCAT(D201,"-",B201)</f>
        <v>CE - 0000-9523</v>
      </c>
      <c r="F201" s="2" t="n">
        <v>1327</v>
      </c>
      <c r="G201" s="2" t="n">
        <v>12782.88</v>
      </c>
    </row>
    <row r="202" customFormat="false" ht="13.8" hidden="false" customHeight="false" outlineLevel="0" collapsed="false">
      <c r="A202" s="2" t="s">
        <v>259</v>
      </c>
      <c r="B202" s="2" t="n">
        <v>9523</v>
      </c>
      <c r="C202" s="2" t="s">
        <v>260</v>
      </c>
      <c r="D202" s="2" t="s">
        <v>67</v>
      </c>
      <c r="E202" s="2" t="str">
        <f aca="false">_xlfn.CONCAT(D202,"-",B202)</f>
        <v>CE - EUROFARMA G7-9523</v>
      </c>
      <c r="F202" s="2" t="n">
        <v>824</v>
      </c>
      <c r="G202" s="2" t="n">
        <v>8166.47</v>
      </c>
    </row>
    <row r="203" customFormat="false" ht="13.8" hidden="false" customHeight="false" outlineLevel="0" collapsed="false">
      <c r="A203" s="2" t="s">
        <v>259</v>
      </c>
      <c r="B203" s="2" t="n">
        <v>9523</v>
      </c>
      <c r="C203" s="2" t="s">
        <v>260</v>
      </c>
      <c r="D203" s="2" t="s">
        <v>68</v>
      </c>
      <c r="E203" s="2" t="str">
        <f aca="false">_xlfn.CONCAT(D203,"-",B203)</f>
        <v>CE - OL 002-9523</v>
      </c>
      <c r="F203" s="2" t="n">
        <v>381</v>
      </c>
      <c r="G203" s="2" t="n">
        <v>4198.93</v>
      </c>
    </row>
    <row r="204" customFormat="false" ht="13.8" hidden="false" customHeight="false" outlineLevel="0" collapsed="false">
      <c r="A204" s="2" t="s">
        <v>261</v>
      </c>
      <c r="B204" s="2" t="n">
        <v>26</v>
      </c>
      <c r="C204" s="2" t="s">
        <v>262</v>
      </c>
      <c r="D204" s="2" t="s">
        <v>64</v>
      </c>
      <c r="E204" s="2" t="str">
        <f aca="false">_xlfn.CONCAT(D204,"-",B204)</f>
        <v>CE - 0000-26</v>
      </c>
      <c r="F204" s="2" t="n">
        <v>19</v>
      </c>
      <c r="G204" s="2" t="n">
        <v>1256.36</v>
      </c>
    </row>
    <row r="205" customFormat="false" ht="13.8" hidden="false" customHeight="false" outlineLevel="0" collapsed="false">
      <c r="A205" s="2" t="s">
        <v>261</v>
      </c>
      <c r="B205" s="2" t="n">
        <v>26</v>
      </c>
      <c r="C205" s="2" t="s">
        <v>262</v>
      </c>
      <c r="D205" s="2" t="s">
        <v>67</v>
      </c>
      <c r="E205" s="2" t="str">
        <f aca="false">_xlfn.CONCAT(D205,"-",B205)</f>
        <v>CE - EUROFARMA G7-26</v>
      </c>
      <c r="F205" s="2" t="n">
        <v>44</v>
      </c>
      <c r="G205" s="2" t="n">
        <v>2958.23</v>
      </c>
    </row>
    <row r="206" customFormat="false" ht="13.8" hidden="false" customHeight="false" outlineLevel="0" collapsed="false">
      <c r="A206" s="2" t="s">
        <v>263</v>
      </c>
      <c r="B206" s="2" t="n">
        <v>10527</v>
      </c>
      <c r="C206" s="2" t="s">
        <v>264</v>
      </c>
      <c r="D206" s="2" t="s">
        <v>67</v>
      </c>
      <c r="E206" s="2" t="str">
        <f aca="false">_xlfn.CONCAT(D206,"-",B206)</f>
        <v>CE - EUROFARMA G7-10527</v>
      </c>
      <c r="F206" s="2" t="n">
        <v>131</v>
      </c>
      <c r="G206" s="2" t="n">
        <v>2091.26</v>
      </c>
    </row>
    <row r="207" customFormat="false" ht="13.8" hidden="false" customHeight="false" outlineLevel="0" collapsed="false">
      <c r="A207" s="2" t="s">
        <v>263</v>
      </c>
      <c r="B207" s="2" t="n">
        <v>10527</v>
      </c>
      <c r="C207" s="2" t="s">
        <v>264</v>
      </c>
      <c r="D207" s="2" t="s">
        <v>68</v>
      </c>
      <c r="E207" s="2" t="str">
        <f aca="false">_xlfn.CONCAT(D207,"-",B207)</f>
        <v>CE - OL 002-10527</v>
      </c>
      <c r="F207" s="2" t="n">
        <v>53</v>
      </c>
      <c r="G207" s="2" t="n">
        <v>891.82</v>
      </c>
    </row>
    <row r="208" customFormat="false" ht="13.8" hidden="false" customHeight="false" outlineLevel="0" collapsed="false">
      <c r="A208" s="2" t="s">
        <v>263</v>
      </c>
      <c r="B208" s="2" t="n">
        <v>10527</v>
      </c>
      <c r="C208" s="2" t="s">
        <v>264</v>
      </c>
      <c r="D208" s="2" t="s">
        <v>64</v>
      </c>
      <c r="E208" s="2" t="str">
        <f aca="false">_xlfn.CONCAT(D208,"-",B208)</f>
        <v>CE - 0000-10527</v>
      </c>
      <c r="F208" s="2" t="n">
        <v>515</v>
      </c>
      <c r="G208" s="2" t="n">
        <v>7613.56</v>
      </c>
    </row>
    <row r="209" customFormat="false" ht="13.8" hidden="false" customHeight="false" outlineLevel="0" collapsed="false">
      <c r="A209" s="2" t="s">
        <v>265</v>
      </c>
      <c r="B209" s="2" t="n">
        <v>10846</v>
      </c>
      <c r="C209" s="2" t="s">
        <v>266</v>
      </c>
      <c r="D209" s="2" t="s">
        <v>64</v>
      </c>
      <c r="E209" s="2" t="str">
        <f aca="false">_xlfn.CONCAT(D209,"-",B209)</f>
        <v>CE - 0000-10846</v>
      </c>
      <c r="F209" s="2" t="n">
        <v>84</v>
      </c>
      <c r="G209" s="2" t="n">
        <v>1897.89</v>
      </c>
    </row>
    <row r="210" customFormat="false" ht="13.8" hidden="false" customHeight="false" outlineLevel="0" collapsed="false">
      <c r="A210" s="2" t="s">
        <v>265</v>
      </c>
      <c r="B210" s="2" t="n">
        <v>10846</v>
      </c>
      <c r="C210" s="2" t="s">
        <v>266</v>
      </c>
      <c r="D210" s="2" t="s">
        <v>68</v>
      </c>
      <c r="E210" s="2" t="str">
        <f aca="false">_xlfn.CONCAT(D210,"-",B210)</f>
        <v>CE - OL 002-10846</v>
      </c>
      <c r="F210" s="2" t="n">
        <v>8</v>
      </c>
      <c r="G210" s="2" t="n">
        <v>197.11</v>
      </c>
    </row>
    <row r="211" customFormat="false" ht="13.8" hidden="false" customHeight="false" outlineLevel="0" collapsed="false">
      <c r="A211" s="2" t="s">
        <v>267</v>
      </c>
      <c r="B211" s="2" t="n">
        <v>8541</v>
      </c>
      <c r="C211" s="2" t="s">
        <v>268</v>
      </c>
      <c r="D211" s="2" t="s">
        <v>64</v>
      </c>
      <c r="E211" s="2" t="str">
        <f aca="false">_xlfn.CONCAT(D211,"-",B211)</f>
        <v>CE - 0000-8541</v>
      </c>
      <c r="F211" s="2" t="n">
        <v>12193</v>
      </c>
      <c r="G211" s="2" t="n">
        <v>40019.08</v>
      </c>
    </row>
    <row r="212" customFormat="false" ht="13.8" hidden="false" customHeight="false" outlineLevel="0" collapsed="false">
      <c r="A212" s="2" t="s">
        <v>267</v>
      </c>
      <c r="B212" s="2" t="n">
        <v>8541</v>
      </c>
      <c r="C212" s="2" t="s">
        <v>268</v>
      </c>
      <c r="D212" s="2" t="s">
        <v>68</v>
      </c>
      <c r="E212" s="2" t="str">
        <f aca="false">_xlfn.CONCAT(D212,"-",B212)</f>
        <v>CE - OL 002-8541</v>
      </c>
      <c r="F212" s="2" t="n">
        <v>1172</v>
      </c>
      <c r="G212" s="2" t="n">
        <v>4312.64</v>
      </c>
    </row>
    <row r="213" customFormat="false" ht="13.8" hidden="false" customHeight="false" outlineLevel="0" collapsed="false">
      <c r="A213" s="2" t="s">
        <v>267</v>
      </c>
      <c r="B213" s="2" t="n">
        <v>8541</v>
      </c>
      <c r="C213" s="2" t="s">
        <v>268</v>
      </c>
      <c r="D213" s="2" t="s">
        <v>67</v>
      </c>
      <c r="E213" s="2" t="str">
        <f aca="false">_xlfn.CONCAT(D213,"-",B213)</f>
        <v>CE - EUROFARMA G7-8541</v>
      </c>
      <c r="F213" s="2" t="n">
        <v>479</v>
      </c>
      <c r="G213" s="2" t="n">
        <v>1644.16</v>
      </c>
    </row>
    <row r="214" customFormat="false" ht="13.8" hidden="false" customHeight="false" outlineLevel="0" collapsed="false">
      <c r="A214" s="2" t="s">
        <v>269</v>
      </c>
      <c r="B214" s="2" t="n">
        <v>6678</v>
      </c>
      <c r="C214" s="2" t="s">
        <v>270</v>
      </c>
      <c r="D214" s="2" t="s">
        <v>68</v>
      </c>
      <c r="E214" s="2" t="str">
        <f aca="false">_xlfn.CONCAT(D214,"-",B214)</f>
        <v>CE - OL 002-6678</v>
      </c>
      <c r="F214" s="2" t="n">
        <v>63</v>
      </c>
      <c r="G214" s="2" t="n">
        <v>338.03</v>
      </c>
    </row>
    <row r="215" customFormat="false" ht="13.8" hidden="false" customHeight="false" outlineLevel="0" collapsed="false">
      <c r="A215" s="2" t="s">
        <v>269</v>
      </c>
      <c r="B215" s="2" t="n">
        <v>6678</v>
      </c>
      <c r="C215" s="2" t="s">
        <v>270</v>
      </c>
      <c r="D215" s="2" t="s">
        <v>64</v>
      </c>
      <c r="E215" s="2" t="str">
        <f aca="false">_xlfn.CONCAT(D215,"-",B215)</f>
        <v>CE - 0000-6678</v>
      </c>
      <c r="F215" s="2" t="n">
        <v>1159</v>
      </c>
      <c r="G215" s="2" t="n">
        <v>5612.07</v>
      </c>
    </row>
    <row r="216" customFormat="false" ht="13.8" hidden="false" customHeight="false" outlineLevel="0" collapsed="false">
      <c r="A216" s="2" t="s">
        <v>269</v>
      </c>
      <c r="B216" s="2" t="n">
        <v>6678</v>
      </c>
      <c r="C216" s="2" t="s">
        <v>270</v>
      </c>
      <c r="D216" s="2" t="s">
        <v>67</v>
      </c>
      <c r="E216" s="2" t="str">
        <f aca="false">_xlfn.CONCAT(D216,"-",B216)</f>
        <v>CE - EUROFARMA G7-6678</v>
      </c>
      <c r="F216" s="2" t="n">
        <v>80</v>
      </c>
      <c r="G216" s="2" t="n">
        <v>397.79</v>
      </c>
    </row>
    <row r="217" customFormat="false" ht="13.8" hidden="false" customHeight="false" outlineLevel="0" collapsed="false">
      <c r="A217" s="2" t="s">
        <v>271</v>
      </c>
      <c r="B217" s="2" t="n">
        <v>12409</v>
      </c>
      <c r="C217" s="2" t="s">
        <v>272</v>
      </c>
      <c r="D217" s="2" t="s">
        <v>67</v>
      </c>
      <c r="E217" s="2" t="str">
        <f aca="false">_xlfn.CONCAT(D217,"-",B217)</f>
        <v>CE - EUROFARMA G7-12409</v>
      </c>
      <c r="F217" s="2" t="n">
        <v>237</v>
      </c>
      <c r="G217" s="2" t="n">
        <v>2034.32</v>
      </c>
    </row>
    <row r="218" customFormat="false" ht="13.8" hidden="false" customHeight="false" outlineLevel="0" collapsed="false">
      <c r="A218" s="2" t="s">
        <v>271</v>
      </c>
      <c r="B218" s="2" t="n">
        <v>12409</v>
      </c>
      <c r="C218" s="2" t="s">
        <v>272</v>
      </c>
      <c r="D218" s="2" t="s">
        <v>64</v>
      </c>
      <c r="E218" s="2" t="str">
        <f aca="false">_xlfn.CONCAT(D218,"-",B218)</f>
        <v>CE - 0000-12409</v>
      </c>
      <c r="F218" s="2" t="n">
        <v>143</v>
      </c>
      <c r="G218" s="2" t="n">
        <v>1220.86</v>
      </c>
    </row>
    <row r="219" customFormat="false" ht="13.8" hidden="false" customHeight="false" outlineLevel="0" collapsed="false">
      <c r="A219" s="2" t="s">
        <v>271</v>
      </c>
      <c r="B219" s="2" t="n">
        <v>12409</v>
      </c>
      <c r="C219" s="2" t="s">
        <v>272</v>
      </c>
      <c r="D219" s="2" t="s">
        <v>68</v>
      </c>
      <c r="E219" s="2" t="str">
        <f aca="false">_xlfn.CONCAT(D219,"-",B219)</f>
        <v>CE - OL 002-12409</v>
      </c>
      <c r="F219" s="2" t="n">
        <v>5</v>
      </c>
      <c r="G219" s="2" t="n">
        <v>46.96</v>
      </c>
    </row>
    <row r="220" customFormat="false" ht="13.8" hidden="false" customHeight="false" outlineLevel="0" collapsed="false">
      <c r="A220" s="2" t="s">
        <v>273</v>
      </c>
      <c r="B220" s="2" t="n">
        <v>10845</v>
      </c>
      <c r="C220" s="2" t="s">
        <v>274</v>
      </c>
      <c r="D220" s="2" t="s">
        <v>64</v>
      </c>
      <c r="E220" s="2" t="str">
        <f aca="false">_xlfn.CONCAT(D220,"-",B220)</f>
        <v>CE - 0000-10845</v>
      </c>
      <c r="F220" s="2" t="n">
        <v>851</v>
      </c>
      <c r="G220" s="2" t="n">
        <v>9282.52</v>
      </c>
    </row>
    <row r="221" customFormat="false" ht="13.8" hidden="false" customHeight="false" outlineLevel="0" collapsed="false">
      <c r="A221" s="2" t="s">
        <v>273</v>
      </c>
      <c r="B221" s="2" t="n">
        <v>10845</v>
      </c>
      <c r="C221" s="2" t="s">
        <v>274</v>
      </c>
      <c r="D221" s="2" t="s">
        <v>68</v>
      </c>
      <c r="E221" s="2" t="str">
        <f aca="false">_xlfn.CONCAT(D221,"-",B221)</f>
        <v>CE - OL 002-10845</v>
      </c>
      <c r="F221" s="2" t="n">
        <v>96</v>
      </c>
      <c r="G221" s="2" t="n">
        <v>1252.24</v>
      </c>
    </row>
    <row r="222" customFormat="false" ht="13.8" hidden="false" customHeight="false" outlineLevel="0" collapsed="false">
      <c r="A222" s="2" t="s">
        <v>273</v>
      </c>
      <c r="B222" s="2" t="n">
        <v>10845</v>
      </c>
      <c r="C222" s="2" t="s">
        <v>274</v>
      </c>
      <c r="D222" s="2" t="s">
        <v>67</v>
      </c>
      <c r="E222" s="2" t="str">
        <f aca="false">_xlfn.CONCAT(D222,"-",B222)</f>
        <v>CE - EUROFARMA G7-10845</v>
      </c>
      <c r="F222" s="2" t="n">
        <v>153</v>
      </c>
      <c r="G222" s="2" t="n">
        <v>1762.32</v>
      </c>
    </row>
    <row r="223" customFormat="false" ht="13.8" hidden="false" customHeight="false" outlineLevel="0" collapsed="false">
      <c r="A223" s="2" t="s">
        <v>275</v>
      </c>
      <c r="B223" s="2" t="n">
        <v>6944</v>
      </c>
      <c r="C223" s="2" t="s">
        <v>276</v>
      </c>
      <c r="D223" s="2" t="s">
        <v>67</v>
      </c>
      <c r="E223" s="2" t="str">
        <f aca="false">_xlfn.CONCAT(D223,"-",B223)</f>
        <v>CE - EUROFARMA G7-6944</v>
      </c>
      <c r="F223" s="2" t="n">
        <v>321</v>
      </c>
      <c r="G223" s="2" t="n">
        <v>1965.71</v>
      </c>
    </row>
    <row r="224" customFormat="false" ht="13.8" hidden="false" customHeight="false" outlineLevel="0" collapsed="false">
      <c r="A224" s="2" t="s">
        <v>275</v>
      </c>
      <c r="B224" s="2" t="n">
        <v>6944</v>
      </c>
      <c r="C224" s="2" t="s">
        <v>276</v>
      </c>
      <c r="D224" s="2" t="s">
        <v>64</v>
      </c>
      <c r="E224" s="2" t="str">
        <f aca="false">_xlfn.CONCAT(D224,"-",B224)</f>
        <v>CE - 0000-6944</v>
      </c>
      <c r="F224" s="2" t="n">
        <v>553</v>
      </c>
      <c r="G224" s="2" t="n">
        <v>3567.36</v>
      </c>
    </row>
    <row r="225" customFormat="false" ht="13.8" hidden="false" customHeight="false" outlineLevel="0" collapsed="false">
      <c r="A225" s="2" t="s">
        <v>275</v>
      </c>
      <c r="B225" s="2" t="n">
        <v>6944</v>
      </c>
      <c r="C225" s="2" t="s">
        <v>276</v>
      </c>
      <c r="D225" s="2" t="s">
        <v>68</v>
      </c>
      <c r="E225" s="2" t="str">
        <f aca="false">_xlfn.CONCAT(D225,"-",B225)</f>
        <v>CE - OL 002-6944</v>
      </c>
      <c r="F225" s="2" t="n">
        <v>2</v>
      </c>
      <c r="G225" s="2" t="n">
        <v>17.22</v>
      </c>
    </row>
    <row r="226" customFormat="false" ht="13.8" hidden="false" customHeight="false" outlineLevel="0" collapsed="false">
      <c r="A226" s="2" t="s">
        <v>277</v>
      </c>
      <c r="B226" s="2" t="n">
        <v>12518</v>
      </c>
      <c r="C226" s="2" t="s">
        <v>278</v>
      </c>
      <c r="D226" s="2" t="s">
        <v>64</v>
      </c>
      <c r="E226" s="2" t="str">
        <f aca="false">_xlfn.CONCAT(D226,"-",B226)</f>
        <v>CE - 0000-12518</v>
      </c>
      <c r="F226" s="2" t="n">
        <v>85</v>
      </c>
      <c r="G226" s="2" t="n">
        <v>1466.79</v>
      </c>
    </row>
    <row r="227" customFormat="false" ht="13.8" hidden="false" customHeight="false" outlineLevel="0" collapsed="false">
      <c r="A227" s="2" t="s">
        <v>277</v>
      </c>
      <c r="B227" s="2" t="n">
        <v>12518</v>
      </c>
      <c r="C227" s="2" t="s">
        <v>278</v>
      </c>
      <c r="D227" s="2" t="s">
        <v>68</v>
      </c>
      <c r="E227" s="2" t="str">
        <f aca="false">_xlfn.CONCAT(D227,"-",B227)</f>
        <v>CE - OL 002-12518</v>
      </c>
      <c r="F227" s="2" t="n">
        <v>12</v>
      </c>
      <c r="G227" s="2" t="n">
        <v>226.75</v>
      </c>
    </row>
    <row r="228" customFormat="false" ht="13.8" hidden="false" customHeight="false" outlineLevel="0" collapsed="false">
      <c r="A228" s="2" t="s">
        <v>277</v>
      </c>
      <c r="B228" s="2" t="n">
        <v>12518</v>
      </c>
      <c r="C228" s="2" t="s">
        <v>278</v>
      </c>
      <c r="D228" s="2" t="s">
        <v>67</v>
      </c>
      <c r="E228" s="2" t="str">
        <f aca="false">_xlfn.CONCAT(D228,"-",B228)</f>
        <v>CE - EUROFARMA G7-12518</v>
      </c>
      <c r="F228" s="2" t="n">
        <v>6</v>
      </c>
      <c r="G228" s="2" t="n">
        <v>106.63</v>
      </c>
    </row>
    <row r="229" customFormat="false" ht="13.8" hidden="false" customHeight="false" outlineLevel="0" collapsed="false">
      <c r="A229" s="2" t="s">
        <v>281</v>
      </c>
      <c r="B229" s="2" t="n">
        <v>22093</v>
      </c>
      <c r="C229" s="2" t="s">
        <v>282</v>
      </c>
      <c r="D229" s="2" t="s">
        <v>68</v>
      </c>
      <c r="E229" s="2" t="str">
        <f aca="false">_xlfn.CONCAT(D229,"-",B229)</f>
        <v>CE - OL 002-22093</v>
      </c>
      <c r="F229" s="2" t="n">
        <v>2</v>
      </c>
      <c r="G229" s="2" t="n">
        <v>53.86</v>
      </c>
    </row>
    <row r="230" customFormat="false" ht="13.8" hidden="false" customHeight="false" outlineLevel="0" collapsed="false">
      <c r="A230" s="2" t="s">
        <v>281</v>
      </c>
      <c r="B230" s="2" t="n">
        <v>22093</v>
      </c>
      <c r="C230" s="2" t="s">
        <v>282</v>
      </c>
      <c r="D230" s="2" t="s">
        <v>64</v>
      </c>
      <c r="E230" s="2" t="str">
        <f aca="false">_xlfn.CONCAT(D230,"-",B230)</f>
        <v>CE - 0000-22093</v>
      </c>
      <c r="F230" s="2" t="n">
        <v>12</v>
      </c>
      <c r="G230" s="2" t="n">
        <v>288.5</v>
      </c>
    </row>
    <row r="231" customFormat="false" ht="13.8" hidden="false" customHeight="false" outlineLevel="0" collapsed="false">
      <c r="A231" s="2" t="s">
        <v>283</v>
      </c>
      <c r="B231" s="2" t="n">
        <v>22094</v>
      </c>
      <c r="C231" s="2" t="s">
        <v>284</v>
      </c>
      <c r="D231" s="2" t="s">
        <v>64</v>
      </c>
      <c r="E231" s="2" t="str">
        <f aca="false">_xlfn.CONCAT(D231,"-",B231)</f>
        <v>CE - 0000-22094</v>
      </c>
      <c r="F231" s="2" t="n">
        <v>11</v>
      </c>
      <c r="G231" s="2" t="n">
        <v>673.02</v>
      </c>
    </row>
    <row r="232" customFormat="false" ht="13.8" hidden="false" customHeight="false" outlineLevel="0" collapsed="false">
      <c r="A232" s="2" t="s">
        <v>285</v>
      </c>
      <c r="B232" s="2" t="n">
        <v>22387</v>
      </c>
      <c r="C232" s="2" t="s">
        <v>286</v>
      </c>
      <c r="D232" s="2" t="s">
        <v>67</v>
      </c>
      <c r="E232" s="2" t="str">
        <f aca="false">_xlfn.CONCAT(D232,"-",B232)</f>
        <v>CE - EUROFARMA G7-22387</v>
      </c>
      <c r="F232" s="2" t="n">
        <v>34</v>
      </c>
      <c r="G232" s="2" t="n">
        <v>415.91</v>
      </c>
    </row>
    <row r="233" customFormat="false" ht="13.8" hidden="false" customHeight="false" outlineLevel="0" collapsed="false">
      <c r="A233" s="2" t="s">
        <v>285</v>
      </c>
      <c r="B233" s="2" t="n">
        <v>22387</v>
      </c>
      <c r="C233" s="2" t="s">
        <v>286</v>
      </c>
      <c r="D233" s="2" t="s">
        <v>64</v>
      </c>
      <c r="E233" s="2" t="str">
        <f aca="false">_xlfn.CONCAT(D233,"-",B233)</f>
        <v>CE - 0000-22387</v>
      </c>
      <c r="F233" s="2" t="n">
        <v>39</v>
      </c>
      <c r="G233" s="2" t="n">
        <v>456.02</v>
      </c>
    </row>
    <row r="234" customFormat="false" ht="13.8" hidden="false" customHeight="false" outlineLevel="0" collapsed="false">
      <c r="A234" s="2" t="s">
        <v>285</v>
      </c>
      <c r="B234" s="2" t="n">
        <v>22387</v>
      </c>
      <c r="C234" s="2" t="s">
        <v>286</v>
      </c>
      <c r="D234" s="2" t="s">
        <v>68</v>
      </c>
      <c r="E234" s="2" t="str">
        <f aca="false">_xlfn.CONCAT(D234,"-",B234)</f>
        <v>CE - OL 002-22387</v>
      </c>
      <c r="F234" s="2" t="n">
        <v>6</v>
      </c>
      <c r="G234" s="2" t="n">
        <v>77.94</v>
      </c>
    </row>
    <row r="235" customFormat="false" ht="13.8" hidden="false" customHeight="false" outlineLevel="0" collapsed="false">
      <c r="A235" s="2" t="s">
        <v>287</v>
      </c>
      <c r="B235" s="2" t="n">
        <v>22355</v>
      </c>
      <c r="C235" s="2" t="s">
        <v>288</v>
      </c>
      <c r="D235" s="2" t="s">
        <v>64</v>
      </c>
      <c r="E235" s="2" t="str">
        <f aca="false">_xlfn.CONCAT(D235,"-",B235)</f>
        <v>CE - 0000-22355</v>
      </c>
      <c r="F235" s="2" t="n">
        <v>47</v>
      </c>
      <c r="G235" s="2" t="n">
        <v>1525.58</v>
      </c>
    </row>
    <row r="236" customFormat="false" ht="13.8" hidden="false" customHeight="false" outlineLevel="0" collapsed="false">
      <c r="A236" s="2" t="s">
        <v>287</v>
      </c>
      <c r="B236" s="2" t="n">
        <v>22355</v>
      </c>
      <c r="C236" s="2" t="s">
        <v>288</v>
      </c>
      <c r="D236" s="2" t="s">
        <v>67</v>
      </c>
      <c r="E236" s="2" t="str">
        <f aca="false">_xlfn.CONCAT(D236,"-",B236)</f>
        <v>CE - EUROFARMA G7-22355</v>
      </c>
      <c r="F236" s="2" t="n">
        <v>14</v>
      </c>
      <c r="G236" s="2" t="n">
        <v>482.93</v>
      </c>
    </row>
    <row r="237" customFormat="false" ht="13.8" hidden="false" customHeight="false" outlineLevel="0" collapsed="false">
      <c r="A237" s="2" t="s">
        <v>287</v>
      </c>
      <c r="B237" s="2" t="n">
        <v>22355</v>
      </c>
      <c r="C237" s="2" t="s">
        <v>288</v>
      </c>
      <c r="D237" s="2" t="s">
        <v>68</v>
      </c>
      <c r="E237" s="2" t="str">
        <f aca="false">_xlfn.CONCAT(D237,"-",B237)</f>
        <v>CE - OL 002-22355</v>
      </c>
      <c r="F237" s="2" t="n">
        <v>8</v>
      </c>
      <c r="G237" s="2" t="n">
        <v>268.88</v>
      </c>
    </row>
    <row r="238" customFormat="false" ht="13.8" hidden="false" customHeight="false" outlineLevel="0" collapsed="false">
      <c r="A238" s="2" t="s">
        <v>289</v>
      </c>
      <c r="B238" s="2" t="n">
        <v>22356</v>
      </c>
      <c r="C238" s="2" t="s">
        <v>290</v>
      </c>
      <c r="D238" s="2" t="s">
        <v>64</v>
      </c>
      <c r="E238" s="2" t="str">
        <f aca="false">_xlfn.CONCAT(D238,"-",B238)</f>
        <v>CE - 0000-22356</v>
      </c>
      <c r="F238" s="2" t="n">
        <v>94</v>
      </c>
      <c r="G238" s="2" t="n">
        <v>984.08</v>
      </c>
    </row>
    <row r="239" customFormat="false" ht="13.8" hidden="false" customHeight="false" outlineLevel="0" collapsed="false">
      <c r="A239" s="2" t="s">
        <v>289</v>
      </c>
      <c r="B239" s="2" t="n">
        <v>22356</v>
      </c>
      <c r="C239" s="2" t="s">
        <v>290</v>
      </c>
      <c r="D239" s="2" t="s">
        <v>68</v>
      </c>
      <c r="E239" s="2" t="str">
        <f aca="false">_xlfn.CONCAT(D239,"-",B239)</f>
        <v>CE - OL 002-22356</v>
      </c>
      <c r="F239" s="2" t="n">
        <v>6</v>
      </c>
      <c r="G239" s="2" t="n">
        <v>68.97</v>
      </c>
    </row>
    <row r="240" customFormat="false" ht="13.8" hidden="false" customHeight="false" outlineLevel="0" collapsed="false">
      <c r="A240" s="2" t="s">
        <v>291</v>
      </c>
      <c r="B240" s="2" t="n">
        <v>21798</v>
      </c>
      <c r="C240" s="2" t="s">
        <v>292</v>
      </c>
      <c r="D240" s="2" t="s">
        <v>66</v>
      </c>
      <c r="E240" s="2" t="str">
        <f aca="false">_xlfn.CONCAT(D240,"-",B240)</f>
        <v>CE - OL 001-21798</v>
      </c>
      <c r="F240" s="2" t="n">
        <v>8</v>
      </c>
      <c r="G240" s="2" t="n">
        <v>270.31</v>
      </c>
    </row>
    <row r="241" customFormat="false" ht="13.8" hidden="false" customHeight="false" outlineLevel="0" collapsed="false">
      <c r="A241" s="2" t="s">
        <v>291</v>
      </c>
      <c r="B241" s="2" t="n">
        <v>21798</v>
      </c>
      <c r="C241" s="2" t="s">
        <v>292</v>
      </c>
      <c r="D241" s="2" t="s">
        <v>64</v>
      </c>
      <c r="E241" s="2" t="str">
        <f aca="false">_xlfn.CONCAT(D241,"-",B241)</f>
        <v>CE - 0000-21798</v>
      </c>
      <c r="F241" s="2" t="n">
        <v>62</v>
      </c>
      <c r="G241" s="2" t="n">
        <v>2093.99</v>
      </c>
    </row>
    <row r="242" customFormat="false" ht="13.8" hidden="false" customHeight="false" outlineLevel="0" collapsed="false">
      <c r="A242" s="2" t="s">
        <v>294</v>
      </c>
      <c r="B242" s="2" t="n">
        <v>16798</v>
      </c>
      <c r="C242" s="2" t="s">
        <v>295</v>
      </c>
      <c r="D242" s="2" t="s">
        <v>67</v>
      </c>
      <c r="E242" s="2" t="str">
        <f aca="false">_xlfn.CONCAT(D242,"-",B242)</f>
        <v>CE - EUROFARMA G7-16798</v>
      </c>
      <c r="F242" s="2" t="n">
        <v>12</v>
      </c>
      <c r="G242" s="2" t="n">
        <v>590.98</v>
      </c>
    </row>
    <row r="243" customFormat="false" ht="13.8" hidden="false" customHeight="false" outlineLevel="0" collapsed="false">
      <c r="A243" s="2" t="s">
        <v>294</v>
      </c>
      <c r="B243" s="2" t="n">
        <v>16798</v>
      </c>
      <c r="C243" s="2" t="s">
        <v>295</v>
      </c>
      <c r="D243" s="2" t="s">
        <v>64</v>
      </c>
      <c r="E243" s="2" t="str">
        <f aca="false">_xlfn.CONCAT(D243,"-",B243)</f>
        <v>CE - 0000-16798</v>
      </c>
      <c r="F243" s="2" t="n">
        <v>64</v>
      </c>
      <c r="G243" s="2" t="n">
        <v>2970.17</v>
      </c>
    </row>
    <row r="244" customFormat="false" ht="13.8" hidden="false" customHeight="false" outlineLevel="0" collapsed="false">
      <c r="A244" s="2" t="s">
        <v>294</v>
      </c>
      <c r="B244" s="2" t="n">
        <v>16798</v>
      </c>
      <c r="C244" s="2" t="s">
        <v>295</v>
      </c>
      <c r="D244" s="2" t="s">
        <v>68</v>
      </c>
      <c r="E244" s="2" t="str">
        <f aca="false">_xlfn.CONCAT(D244,"-",B244)</f>
        <v>CE - OL 002-16798</v>
      </c>
      <c r="F244" s="2" t="n">
        <v>3</v>
      </c>
      <c r="G244" s="2" t="n">
        <v>152.83</v>
      </c>
    </row>
    <row r="245" customFormat="false" ht="13.8" hidden="false" customHeight="false" outlineLevel="0" collapsed="false">
      <c r="A245" s="2" t="s">
        <v>296</v>
      </c>
      <c r="B245" s="2" t="n">
        <v>11901</v>
      </c>
      <c r="C245" s="2" t="s">
        <v>297</v>
      </c>
      <c r="D245" s="2" t="s">
        <v>67</v>
      </c>
      <c r="E245" s="2" t="str">
        <f aca="false">_xlfn.CONCAT(D245,"-",B245)</f>
        <v>CE - EUROFARMA G7-11901</v>
      </c>
      <c r="F245" s="2" t="n">
        <v>1</v>
      </c>
      <c r="G245" s="2" t="n">
        <v>107.27</v>
      </c>
    </row>
    <row r="246" customFormat="false" ht="13.8" hidden="false" customHeight="false" outlineLevel="0" collapsed="false">
      <c r="A246" s="2" t="s">
        <v>296</v>
      </c>
      <c r="B246" s="2" t="n">
        <v>11901</v>
      </c>
      <c r="C246" s="2" t="s">
        <v>297</v>
      </c>
      <c r="D246" s="2" t="s">
        <v>64</v>
      </c>
      <c r="E246" s="2" t="str">
        <f aca="false">_xlfn.CONCAT(D246,"-",B246)</f>
        <v>CE - 0000-11901</v>
      </c>
      <c r="F246" s="2" t="n">
        <v>2</v>
      </c>
      <c r="G246" s="2" t="n">
        <v>203.13</v>
      </c>
    </row>
    <row r="247" customFormat="false" ht="13.8" hidden="false" customHeight="false" outlineLevel="0" collapsed="false">
      <c r="A247" s="2" t="s">
        <v>300</v>
      </c>
      <c r="B247" s="2" t="n">
        <v>21791</v>
      </c>
      <c r="C247" s="2" t="s">
        <v>301</v>
      </c>
      <c r="D247" s="2" t="s">
        <v>64</v>
      </c>
      <c r="E247" s="2" t="str">
        <f aca="false">_xlfn.CONCAT(D247,"-",B247)</f>
        <v>CE - 0000-21791</v>
      </c>
      <c r="F247" s="2" t="n">
        <v>5410</v>
      </c>
      <c r="G247" s="2" t="n">
        <v>60458.69</v>
      </c>
    </row>
    <row r="248" customFormat="false" ht="13.8" hidden="false" customHeight="false" outlineLevel="0" collapsed="false">
      <c r="A248" s="2" t="s">
        <v>300</v>
      </c>
      <c r="B248" s="2" t="n">
        <v>21791</v>
      </c>
      <c r="C248" s="2" t="s">
        <v>301</v>
      </c>
      <c r="D248" s="2" t="s">
        <v>68</v>
      </c>
      <c r="E248" s="2" t="str">
        <f aca="false">_xlfn.CONCAT(D248,"-",B248)</f>
        <v>CE - OL 002-21791</v>
      </c>
      <c r="F248" s="2" t="n">
        <v>919</v>
      </c>
      <c r="G248" s="2" t="n">
        <v>11018.23</v>
      </c>
    </row>
    <row r="249" customFormat="false" ht="13.8" hidden="false" customHeight="false" outlineLevel="0" collapsed="false">
      <c r="A249" s="2" t="s">
        <v>300</v>
      </c>
      <c r="B249" s="2" t="n">
        <v>21791</v>
      </c>
      <c r="C249" s="2" t="s">
        <v>301</v>
      </c>
      <c r="D249" s="2" t="s">
        <v>67</v>
      </c>
      <c r="E249" s="2" t="str">
        <f aca="false">_xlfn.CONCAT(D249,"-",B249)</f>
        <v>CE - EUROFARMA G7-21791</v>
      </c>
      <c r="F249" s="2" t="n">
        <v>765</v>
      </c>
      <c r="G249" s="2" t="n">
        <v>8485.34</v>
      </c>
    </row>
    <row r="250" customFormat="false" ht="13.8" hidden="false" customHeight="false" outlineLevel="0" collapsed="false">
      <c r="A250" s="2" t="s">
        <v>302</v>
      </c>
      <c r="B250" s="2" t="n">
        <v>12733</v>
      </c>
      <c r="C250" s="2" t="s">
        <v>303</v>
      </c>
      <c r="D250" s="2" t="s">
        <v>64</v>
      </c>
      <c r="E250" s="2" t="str">
        <f aca="false">_xlfn.CONCAT(D250,"-",B250)</f>
        <v>CE - 0000-12733</v>
      </c>
      <c r="F250" s="2" t="n">
        <v>72</v>
      </c>
      <c r="G250" s="2" t="n">
        <v>1784.35</v>
      </c>
    </row>
    <row r="251" customFormat="false" ht="13.8" hidden="false" customHeight="false" outlineLevel="0" collapsed="false">
      <c r="A251" s="2" t="s">
        <v>302</v>
      </c>
      <c r="B251" s="2" t="n">
        <v>12733</v>
      </c>
      <c r="C251" s="2" t="s">
        <v>303</v>
      </c>
      <c r="D251" s="2" t="s">
        <v>68</v>
      </c>
      <c r="E251" s="2" t="str">
        <f aca="false">_xlfn.CONCAT(D251,"-",B251)</f>
        <v>CE - OL 002-12733</v>
      </c>
      <c r="F251" s="2" t="n">
        <v>15</v>
      </c>
      <c r="G251" s="2" t="n">
        <v>406.2</v>
      </c>
    </row>
    <row r="252" customFormat="false" ht="13.8" hidden="false" customHeight="false" outlineLevel="0" collapsed="false">
      <c r="A252" s="2" t="s">
        <v>304</v>
      </c>
      <c r="B252" s="2" t="n">
        <v>13449</v>
      </c>
      <c r="C252" s="2" t="s">
        <v>305</v>
      </c>
      <c r="D252" s="2" t="s">
        <v>64</v>
      </c>
      <c r="E252" s="2" t="str">
        <f aca="false">_xlfn.CONCAT(D252,"-",B252)</f>
        <v>CE - 0000-13449</v>
      </c>
      <c r="F252" s="2" t="n">
        <v>56</v>
      </c>
      <c r="G252" s="2" t="n">
        <v>1129.18</v>
      </c>
    </row>
    <row r="253" customFormat="false" ht="13.8" hidden="false" customHeight="false" outlineLevel="0" collapsed="false">
      <c r="A253" s="2" t="s">
        <v>304</v>
      </c>
      <c r="B253" s="2" t="n">
        <v>13449</v>
      </c>
      <c r="C253" s="2" t="s">
        <v>305</v>
      </c>
      <c r="D253" s="2" t="s">
        <v>67</v>
      </c>
      <c r="E253" s="2" t="str">
        <f aca="false">_xlfn.CONCAT(D253,"-",B253)</f>
        <v>CE - EUROFARMA G7-13449</v>
      </c>
      <c r="F253" s="2" t="n">
        <v>122</v>
      </c>
      <c r="G253" s="2" t="n">
        <v>2548.88</v>
      </c>
    </row>
    <row r="254" customFormat="false" ht="13.8" hidden="false" customHeight="false" outlineLevel="0" collapsed="false">
      <c r="A254" s="2" t="s">
        <v>304</v>
      </c>
      <c r="B254" s="2" t="n">
        <v>13449</v>
      </c>
      <c r="C254" s="2" t="s">
        <v>305</v>
      </c>
      <c r="D254" s="2" t="s">
        <v>68</v>
      </c>
      <c r="E254" s="2" t="str">
        <f aca="false">_xlfn.CONCAT(D254,"-",B254)</f>
        <v>CE - OL 002-13449</v>
      </c>
      <c r="F254" s="2" t="n">
        <v>28</v>
      </c>
      <c r="G254" s="2" t="n">
        <v>617.57</v>
      </c>
    </row>
    <row r="255" customFormat="false" ht="13.8" hidden="false" customHeight="false" outlineLevel="0" collapsed="false">
      <c r="A255" s="2" t="s">
        <v>306</v>
      </c>
      <c r="B255" s="2" t="n">
        <v>5196</v>
      </c>
      <c r="C255" s="2" t="s">
        <v>307</v>
      </c>
      <c r="D255" s="2" t="s">
        <v>64</v>
      </c>
      <c r="E255" s="2" t="str">
        <f aca="false">_xlfn.CONCAT(D255,"-",B255)</f>
        <v>CE - 0000-5196</v>
      </c>
      <c r="F255" s="2" t="n">
        <v>1607</v>
      </c>
      <c r="G255" s="2" t="n">
        <v>14302.04</v>
      </c>
    </row>
    <row r="256" customFormat="false" ht="13.8" hidden="false" customHeight="false" outlineLevel="0" collapsed="false">
      <c r="A256" s="2" t="s">
        <v>306</v>
      </c>
      <c r="B256" s="2" t="n">
        <v>5196</v>
      </c>
      <c r="C256" s="2" t="s">
        <v>307</v>
      </c>
      <c r="D256" s="2" t="s">
        <v>67</v>
      </c>
      <c r="E256" s="2" t="str">
        <f aca="false">_xlfn.CONCAT(D256,"-",B256)</f>
        <v>CE - EUROFARMA G7-5196</v>
      </c>
      <c r="F256" s="2" t="n">
        <v>346</v>
      </c>
      <c r="G256" s="2" t="n">
        <v>3152.84</v>
      </c>
    </row>
    <row r="257" customFormat="false" ht="13.8" hidden="false" customHeight="false" outlineLevel="0" collapsed="false">
      <c r="A257" s="2" t="s">
        <v>306</v>
      </c>
      <c r="B257" s="2" t="n">
        <v>5196</v>
      </c>
      <c r="C257" s="2" t="s">
        <v>307</v>
      </c>
      <c r="D257" s="2" t="s">
        <v>68</v>
      </c>
      <c r="E257" s="2" t="str">
        <f aca="false">_xlfn.CONCAT(D257,"-",B257)</f>
        <v>CE - OL 002-5196</v>
      </c>
      <c r="F257" s="2" t="n">
        <v>268</v>
      </c>
      <c r="G257" s="2" t="n">
        <v>2713.75</v>
      </c>
    </row>
    <row r="258" customFormat="false" ht="13.8" hidden="false" customHeight="false" outlineLevel="0" collapsed="false">
      <c r="A258" s="2" t="s">
        <v>308</v>
      </c>
      <c r="B258" s="2" t="n">
        <v>5356</v>
      </c>
      <c r="C258" s="2" t="s">
        <v>309</v>
      </c>
      <c r="D258" s="2" t="s">
        <v>67</v>
      </c>
      <c r="E258" s="2" t="str">
        <f aca="false">_xlfn.CONCAT(D258,"-",B258)</f>
        <v>CE - EUROFARMA G7-5356</v>
      </c>
      <c r="F258" s="2" t="n">
        <v>21</v>
      </c>
      <c r="G258" s="2" t="n">
        <v>341.34</v>
      </c>
    </row>
    <row r="259" customFormat="false" ht="13.8" hidden="false" customHeight="false" outlineLevel="0" collapsed="false">
      <c r="A259" s="2" t="s">
        <v>308</v>
      </c>
      <c r="B259" s="2" t="n">
        <v>5356</v>
      </c>
      <c r="C259" s="2" t="s">
        <v>309</v>
      </c>
      <c r="D259" s="2" t="s">
        <v>68</v>
      </c>
      <c r="E259" s="2" t="str">
        <f aca="false">_xlfn.CONCAT(D259,"-",B259)</f>
        <v>CE - OL 002-5356</v>
      </c>
      <c r="F259" s="2" t="n">
        <v>12</v>
      </c>
      <c r="G259" s="2" t="n">
        <v>211.61</v>
      </c>
    </row>
    <row r="260" customFormat="false" ht="13.8" hidden="false" customHeight="false" outlineLevel="0" collapsed="false">
      <c r="A260" s="2" t="s">
        <v>308</v>
      </c>
      <c r="B260" s="2" t="n">
        <v>5356</v>
      </c>
      <c r="C260" s="2" t="s">
        <v>309</v>
      </c>
      <c r="D260" s="2" t="s">
        <v>64</v>
      </c>
      <c r="E260" s="2" t="str">
        <f aca="false">_xlfn.CONCAT(D260,"-",B260)</f>
        <v>CE - 0000-5356</v>
      </c>
      <c r="F260" s="2" t="n">
        <v>140</v>
      </c>
      <c r="G260" s="2" t="n">
        <v>2242.43</v>
      </c>
    </row>
    <row r="261" customFormat="false" ht="13.8" hidden="false" customHeight="false" outlineLevel="0" collapsed="false">
      <c r="A261" s="2" t="s">
        <v>310</v>
      </c>
      <c r="B261" s="2" t="n">
        <v>8418</v>
      </c>
      <c r="C261" s="2" t="s">
        <v>311</v>
      </c>
      <c r="D261" s="2" t="s">
        <v>64</v>
      </c>
      <c r="E261" s="2" t="str">
        <f aca="false">_xlfn.CONCAT(D261,"-",B261)</f>
        <v>CE - 0000-8418</v>
      </c>
      <c r="F261" s="2" t="n">
        <v>143</v>
      </c>
      <c r="G261" s="2" t="n">
        <v>2701.8</v>
      </c>
    </row>
    <row r="262" customFormat="false" ht="13.8" hidden="false" customHeight="false" outlineLevel="0" collapsed="false">
      <c r="A262" s="2" t="s">
        <v>310</v>
      </c>
      <c r="B262" s="2" t="n">
        <v>8418</v>
      </c>
      <c r="C262" s="2" t="s">
        <v>311</v>
      </c>
      <c r="D262" s="2" t="s">
        <v>67</v>
      </c>
      <c r="E262" s="2" t="str">
        <f aca="false">_xlfn.CONCAT(D262,"-",B262)</f>
        <v>CE - EUROFARMA G7-8418</v>
      </c>
      <c r="F262" s="2" t="n">
        <v>76</v>
      </c>
      <c r="G262" s="2" t="n">
        <v>1457.93</v>
      </c>
    </row>
    <row r="263" customFormat="false" ht="13.8" hidden="false" customHeight="false" outlineLevel="0" collapsed="false">
      <c r="A263" s="2" t="s">
        <v>310</v>
      </c>
      <c r="B263" s="2" t="n">
        <v>8418</v>
      </c>
      <c r="C263" s="2" t="s">
        <v>311</v>
      </c>
      <c r="D263" s="2" t="s">
        <v>68</v>
      </c>
      <c r="E263" s="2" t="str">
        <f aca="false">_xlfn.CONCAT(D263,"-",B263)</f>
        <v>CE - OL 002-8418</v>
      </c>
      <c r="F263" s="2" t="n">
        <v>18</v>
      </c>
      <c r="G263" s="2" t="n">
        <v>373.2</v>
      </c>
    </row>
    <row r="264" customFormat="false" ht="13.8" hidden="false" customHeight="false" outlineLevel="0" collapsed="false">
      <c r="A264" s="2" t="s">
        <v>312</v>
      </c>
      <c r="B264" s="2" t="n">
        <v>1574</v>
      </c>
      <c r="C264" s="2" t="s">
        <v>313</v>
      </c>
      <c r="D264" s="2" t="s">
        <v>68</v>
      </c>
      <c r="E264" s="2" t="str">
        <f aca="false">_xlfn.CONCAT(D264,"-",B264)</f>
        <v>CE - OL 002-1574</v>
      </c>
      <c r="F264" s="2" t="n">
        <v>15</v>
      </c>
      <c r="G264" s="2" t="n">
        <v>184.4</v>
      </c>
    </row>
    <row r="265" customFormat="false" ht="13.8" hidden="false" customHeight="false" outlineLevel="0" collapsed="false">
      <c r="A265" s="2" t="s">
        <v>312</v>
      </c>
      <c r="B265" s="2" t="n">
        <v>1574</v>
      </c>
      <c r="C265" s="2" t="s">
        <v>313</v>
      </c>
      <c r="D265" s="2" t="s">
        <v>64</v>
      </c>
      <c r="E265" s="2" t="str">
        <f aca="false">_xlfn.CONCAT(D265,"-",B265)</f>
        <v>CE - 0000-1574</v>
      </c>
      <c r="F265" s="2" t="n">
        <v>231</v>
      </c>
      <c r="G265" s="2" t="n">
        <v>2602.99</v>
      </c>
    </row>
    <row r="266" customFormat="false" ht="13.8" hidden="false" customHeight="false" outlineLevel="0" collapsed="false">
      <c r="A266" s="2" t="s">
        <v>312</v>
      </c>
      <c r="B266" s="2" t="n">
        <v>1574</v>
      </c>
      <c r="C266" s="2" t="s">
        <v>313</v>
      </c>
      <c r="D266" s="2" t="s">
        <v>67</v>
      </c>
      <c r="E266" s="2" t="str">
        <f aca="false">_xlfn.CONCAT(D266,"-",B266)</f>
        <v>CE - EUROFARMA G7-1574</v>
      </c>
      <c r="F266" s="2" t="n">
        <v>146</v>
      </c>
      <c r="G266" s="2" t="n">
        <v>1745.27</v>
      </c>
    </row>
    <row r="267" customFormat="false" ht="13.8" hidden="false" customHeight="false" outlineLevel="0" collapsed="false">
      <c r="A267" s="2" t="s">
        <v>314</v>
      </c>
      <c r="B267" s="2" t="n">
        <v>1575</v>
      </c>
      <c r="C267" s="2" t="s">
        <v>315</v>
      </c>
      <c r="D267" s="2" t="s">
        <v>67</v>
      </c>
      <c r="E267" s="2" t="str">
        <f aca="false">_xlfn.CONCAT(D267,"-",B267)</f>
        <v>CE - EUROFARMA G7-1575</v>
      </c>
      <c r="F267" s="2" t="n">
        <v>60</v>
      </c>
      <c r="G267" s="2" t="n">
        <v>854.8</v>
      </c>
    </row>
    <row r="268" customFormat="false" ht="13.8" hidden="false" customHeight="false" outlineLevel="0" collapsed="false">
      <c r="A268" s="2" t="s">
        <v>314</v>
      </c>
      <c r="B268" s="2" t="n">
        <v>1575</v>
      </c>
      <c r="C268" s="2" t="s">
        <v>315</v>
      </c>
      <c r="D268" s="2" t="s">
        <v>64</v>
      </c>
      <c r="E268" s="2" t="str">
        <f aca="false">_xlfn.CONCAT(D268,"-",B268)</f>
        <v>CE - 0000-1575</v>
      </c>
      <c r="F268" s="2" t="n">
        <v>301</v>
      </c>
      <c r="G268" s="2" t="n">
        <v>4194.46</v>
      </c>
    </row>
    <row r="269" customFormat="false" ht="13.8" hidden="false" customHeight="false" outlineLevel="0" collapsed="false">
      <c r="A269" s="2" t="s">
        <v>316</v>
      </c>
      <c r="B269" s="2" t="n">
        <v>2007</v>
      </c>
      <c r="C269" s="2" t="s">
        <v>317</v>
      </c>
      <c r="D269" s="2" t="s">
        <v>64</v>
      </c>
      <c r="E269" s="2" t="str">
        <f aca="false">_xlfn.CONCAT(D269,"-",B269)</f>
        <v>CE - 0000-2007</v>
      </c>
      <c r="F269" s="2" t="n">
        <v>70</v>
      </c>
      <c r="G269" s="2" t="n">
        <v>1380.13</v>
      </c>
    </row>
    <row r="270" customFormat="false" ht="13.8" hidden="false" customHeight="false" outlineLevel="0" collapsed="false">
      <c r="A270" s="2" t="s">
        <v>318</v>
      </c>
      <c r="B270" s="2" t="n">
        <v>10796</v>
      </c>
      <c r="C270" s="2" t="s">
        <v>319</v>
      </c>
      <c r="D270" s="2" t="s">
        <v>64</v>
      </c>
      <c r="E270" s="2" t="str">
        <f aca="false">_xlfn.CONCAT(D270,"-",B270)</f>
        <v>CE - 0000-10796</v>
      </c>
      <c r="F270" s="2" t="n">
        <v>297</v>
      </c>
      <c r="G270" s="2" t="n">
        <v>2317.63</v>
      </c>
    </row>
    <row r="271" customFormat="false" ht="13.8" hidden="false" customHeight="false" outlineLevel="0" collapsed="false">
      <c r="A271" s="2" t="s">
        <v>318</v>
      </c>
      <c r="B271" s="2" t="n">
        <v>10796</v>
      </c>
      <c r="C271" s="2" t="s">
        <v>319</v>
      </c>
      <c r="D271" s="2" t="s">
        <v>67</v>
      </c>
      <c r="E271" s="2" t="str">
        <f aca="false">_xlfn.CONCAT(D271,"-",B271)</f>
        <v>CE - EUROFARMA G7-10796</v>
      </c>
      <c r="F271" s="2" t="n">
        <v>221</v>
      </c>
      <c r="G271" s="2" t="n">
        <v>1729.66</v>
      </c>
    </row>
    <row r="272" customFormat="false" ht="13.8" hidden="false" customHeight="false" outlineLevel="0" collapsed="false">
      <c r="A272" s="2" t="s">
        <v>320</v>
      </c>
      <c r="B272" s="2" t="n">
        <v>22850</v>
      </c>
      <c r="C272" s="2" t="s">
        <v>321</v>
      </c>
      <c r="D272" s="2" t="s">
        <v>68</v>
      </c>
      <c r="E272" s="2" t="str">
        <f aca="false">_xlfn.CONCAT(D272,"-",B272)</f>
        <v>CE - OL 002-22850</v>
      </c>
      <c r="F272" s="2" t="n">
        <v>21</v>
      </c>
      <c r="G272" s="2" t="n">
        <v>321.79</v>
      </c>
    </row>
    <row r="273" customFormat="false" ht="13.8" hidden="false" customHeight="false" outlineLevel="0" collapsed="false">
      <c r="A273" s="2" t="s">
        <v>322</v>
      </c>
      <c r="B273" s="2" t="n">
        <v>9855</v>
      </c>
      <c r="C273" s="2" t="s">
        <v>323</v>
      </c>
      <c r="D273" s="2" t="s">
        <v>64</v>
      </c>
      <c r="E273" s="2" t="str">
        <f aca="false">_xlfn.CONCAT(D273,"-",B273)</f>
        <v>CE - 0000-9855</v>
      </c>
      <c r="F273" s="2" t="n">
        <v>51</v>
      </c>
      <c r="G273" s="2" t="n">
        <v>237.75</v>
      </c>
    </row>
    <row r="274" customFormat="false" ht="13.8" hidden="false" customHeight="false" outlineLevel="0" collapsed="false">
      <c r="A274" s="2" t="s">
        <v>322</v>
      </c>
      <c r="B274" s="2" t="n">
        <v>9855</v>
      </c>
      <c r="C274" s="2" t="s">
        <v>323</v>
      </c>
      <c r="D274" s="2" t="s">
        <v>67</v>
      </c>
      <c r="E274" s="2" t="str">
        <f aca="false">_xlfn.CONCAT(D274,"-",B274)</f>
        <v>CE - EUROFARMA G7-9855</v>
      </c>
      <c r="F274" s="2" t="n">
        <v>2</v>
      </c>
      <c r="G274" s="2" t="n">
        <v>9.99</v>
      </c>
    </row>
    <row r="275" customFormat="false" ht="13.8" hidden="false" customHeight="false" outlineLevel="0" collapsed="false">
      <c r="A275" s="2" t="s">
        <v>322</v>
      </c>
      <c r="B275" s="2" t="n">
        <v>9855</v>
      </c>
      <c r="C275" s="2" t="s">
        <v>323</v>
      </c>
      <c r="D275" s="2" t="s">
        <v>68</v>
      </c>
      <c r="E275" s="2" t="str">
        <f aca="false">_xlfn.CONCAT(D275,"-",B275)</f>
        <v>CE - OL 002-9855</v>
      </c>
      <c r="F275" s="2" t="n">
        <v>3</v>
      </c>
      <c r="G275" s="2" t="n">
        <v>15.36</v>
      </c>
    </row>
    <row r="276" customFormat="false" ht="13.8" hidden="false" customHeight="false" outlineLevel="0" collapsed="false">
      <c r="A276" s="2" t="s">
        <v>324</v>
      </c>
      <c r="B276" s="2" t="n">
        <v>5573</v>
      </c>
      <c r="C276" s="2" t="s">
        <v>325</v>
      </c>
      <c r="D276" s="2" t="s">
        <v>67</v>
      </c>
      <c r="E276" s="2" t="str">
        <f aca="false">_xlfn.CONCAT(D276,"-",B276)</f>
        <v>CE - EUROFARMA G7-5573</v>
      </c>
      <c r="F276" s="2" t="n">
        <v>48</v>
      </c>
      <c r="G276" s="2" t="n">
        <v>273.66</v>
      </c>
    </row>
    <row r="277" customFormat="false" ht="13.8" hidden="false" customHeight="false" outlineLevel="0" collapsed="false">
      <c r="A277" s="2" t="s">
        <v>324</v>
      </c>
      <c r="B277" s="2" t="n">
        <v>5573</v>
      </c>
      <c r="C277" s="2" t="s">
        <v>325</v>
      </c>
      <c r="D277" s="2" t="s">
        <v>64</v>
      </c>
      <c r="E277" s="2" t="str">
        <f aca="false">_xlfn.CONCAT(D277,"-",B277)</f>
        <v>CE - 0000-5573</v>
      </c>
      <c r="F277" s="2" t="n">
        <v>52</v>
      </c>
      <c r="G277" s="2" t="n">
        <v>290.69</v>
      </c>
    </row>
    <row r="278" customFormat="false" ht="13.8" hidden="false" customHeight="false" outlineLevel="0" collapsed="false">
      <c r="A278" s="2" t="s">
        <v>324</v>
      </c>
      <c r="B278" s="2" t="n">
        <v>5573</v>
      </c>
      <c r="C278" s="2" t="s">
        <v>325</v>
      </c>
      <c r="D278" s="2" t="s">
        <v>68</v>
      </c>
      <c r="E278" s="2" t="str">
        <f aca="false">_xlfn.CONCAT(D278,"-",B278)</f>
        <v>CE - OL 002-5573</v>
      </c>
      <c r="F278" s="2" t="n">
        <v>7</v>
      </c>
      <c r="G278" s="2" t="n">
        <v>42.71</v>
      </c>
    </row>
    <row r="279" customFormat="false" ht="13.8" hidden="false" customHeight="false" outlineLevel="0" collapsed="false">
      <c r="A279" s="2" t="s">
        <v>326</v>
      </c>
      <c r="B279" s="2" t="n">
        <v>22569</v>
      </c>
      <c r="C279" s="2" t="s">
        <v>327</v>
      </c>
      <c r="D279" s="2" t="s">
        <v>64</v>
      </c>
      <c r="E279" s="2" t="str">
        <f aca="false">_xlfn.CONCAT(D279,"-",B279)</f>
        <v>CE - 0000-22569</v>
      </c>
      <c r="F279" s="2" t="n">
        <v>47</v>
      </c>
      <c r="G279" s="2" t="n">
        <v>2300.21</v>
      </c>
    </row>
    <row r="280" customFormat="false" ht="13.8" hidden="false" customHeight="false" outlineLevel="0" collapsed="false">
      <c r="A280" s="2" t="s">
        <v>330</v>
      </c>
      <c r="B280" s="2" t="n">
        <v>22219</v>
      </c>
      <c r="C280" s="2" t="s">
        <v>329</v>
      </c>
      <c r="D280" s="2" t="s">
        <v>66</v>
      </c>
      <c r="E280" s="2" t="str">
        <f aca="false">_xlfn.CONCAT(D280,"-",B280)</f>
        <v>CE - OL 001-22219</v>
      </c>
      <c r="F280" s="2" t="n">
        <v>13</v>
      </c>
      <c r="G280" s="2" t="n">
        <v>232.05</v>
      </c>
    </row>
    <row r="281" customFormat="false" ht="13.8" hidden="false" customHeight="false" outlineLevel="0" collapsed="false">
      <c r="A281" s="2" t="s">
        <v>330</v>
      </c>
      <c r="B281" s="2" t="n">
        <v>22219</v>
      </c>
      <c r="C281" s="2" t="s">
        <v>329</v>
      </c>
      <c r="D281" s="2" t="s">
        <v>64</v>
      </c>
      <c r="E281" s="2" t="str">
        <f aca="false">_xlfn.CONCAT(D281,"-",B281)</f>
        <v>CE - 0000-22219</v>
      </c>
      <c r="F281" s="2" t="n">
        <v>8</v>
      </c>
      <c r="G281" s="2" t="n">
        <v>130.26</v>
      </c>
    </row>
    <row r="282" customFormat="false" ht="13.8" hidden="false" customHeight="false" outlineLevel="0" collapsed="false">
      <c r="A282" s="2" t="s">
        <v>331</v>
      </c>
      <c r="B282" s="2" t="n">
        <v>2149</v>
      </c>
      <c r="C282" s="2" t="s">
        <v>332</v>
      </c>
      <c r="D282" s="2" t="s">
        <v>68</v>
      </c>
      <c r="E282" s="2" t="str">
        <f aca="false">_xlfn.CONCAT(D282,"-",B282)</f>
        <v>CE - OL 002-2149</v>
      </c>
      <c r="F282" s="2" t="n">
        <v>1</v>
      </c>
      <c r="G282" s="2" t="n">
        <v>15.01</v>
      </c>
    </row>
    <row r="283" customFormat="false" ht="13.8" hidden="false" customHeight="false" outlineLevel="0" collapsed="false">
      <c r="A283" s="2" t="s">
        <v>331</v>
      </c>
      <c r="B283" s="2" t="n">
        <v>2149</v>
      </c>
      <c r="C283" s="2" t="s">
        <v>332</v>
      </c>
      <c r="D283" s="2" t="s">
        <v>64</v>
      </c>
      <c r="E283" s="2" t="str">
        <f aca="false">_xlfn.CONCAT(D283,"-",B283)</f>
        <v>CE - 0000-2149</v>
      </c>
      <c r="F283" s="2" t="n">
        <v>80</v>
      </c>
      <c r="G283" s="2" t="n">
        <v>1092.05</v>
      </c>
    </row>
    <row r="284" customFormat="false" ht="13.8" hidden="false" customHeight="false" outlineLevel="0" collapsed="false">
      <c r="A284" s="2" t="s">
        <v>333</v>
      </c>
      <c r="B284" s="2" t="n">
        <v>9690</v>
      </c>
      <c r="C284" s="2" t="s">
        <v>334</v>
      </c>
      <c r="D284" s="2" t="s">
        <v>64</v>
      </c>
      <c r="E284" s="2" t="str">
        <f aca="false">_xlfn.CONCAT(D284,"-",B284)</f>
        <v>CE - 0000-9690</v>
      </c>
      <c r="F284" s="2" t="n">
        <v>1408</v>
      </c>
      <c r="G284" s="2" t="n">
        <v>9767.56</v>
      </c>
    </row>
    <row r="285" customFormat="false" ht="13.8" hidden="false" customHeight="false" outlineLevel="0" collapsed="false">
      <c r="A285" s="2" t="s">
        <v>333</v>
      </c>
      <c r="B285" s="2" t="n">
        <v>9690</v>
      </c>
      <c r="C285" s="2" t="s">
        <v>334</v>
      </c>
      <c r="D285" s="2" t="s">
        <v>67</v>
      </c>
      <c r="E285" s="2" t="str">
        <f aca="false">_xlfn.CONCAT(D285,"-",B285)</f>
        <v>CE - EUROFARMA G7-9690</v>
      </c>
      <c r="F285" s="2" t="n">
        <v>340</v>
      </c>
      <c r="G285" s="2" t="n">
        <v>2445.14</v>
      </c>
    </row>
    <row r="286" customFormat="false" ht="13.8" hidden="false" customHeight="false" outlineLevel="0" collapsed="false">
      <c r="A286" s="2" t="s">
        <v>333</v>
      </c>
      <c r="B286" s="2" t="n">
        <v>9690</v>
      </c>
      <c r="C286" s="2" t="s">
        <v>334</v>
      </c>
      <c r="D286" s="2" t="s">
        <v>68</v>
      </c>
      <c r="E286" s="2" t="str">
        <f aca="false">_xlfn.CONCAT(D286,"-",B286)</f>
        <v>CE - OL 002-9690</v>
      </c>
      <c r="F286" s="2" t="n">
        <v>176</v>
      </c>
      <c r="G286" s="2" t="n">
        <v>1375.46</v>
      </c>
    </row>
    <row r="287" customFormat="false" ht="13.8" hidden="false" customHeight="false" outlineLevel="0" collapsed="false">
      <c r="A287" s="2" t="s">
        <v>335</v>
      </c>
      <c r="B287" s="2" t="n">
        <v>12521</v>
      </c>
      <c r="C287" s="2" t="s">
        <v>336</v>
      </c>
      <c r="D287" s="2" t="s">
        <v>64</v>
      </c>
      <c r="E287" s="2" t="str">
        <f aca="false">_xlfn.CONCAT(D287,"-",B287)</f>
        <v>CE - 0000-12521</v>
      </c>
      <c r="F287" s="2" t="n">
        <v>50</v>
      </c>
      <c r="G287" s="2" t="n">
        <v>633.9</v>
      </c>
    </row>
    <row r="288" customFormat="false" ht="13.8" hidden="false" customHeight="false" outlineLevel="0" collapsed="false">
      <c r="A288" s="2" t="s">
        <v>335</v>
      </c>
      <c r="B288" s="2" t="n">
        <v>12521</v>
      </c>
      <c r="C288" s="2" t="s">
        <v>336</v>
      </c>
      <c r="D288" s="2" t="s">
        <v>68</v>
      </c>
      <c r="E288" s="2" t="str">
        <f aca="false">_xlfn.CONCAT(D288,"-",B288)</f>
        <v>CE - OL 002-12521</v>
      </c>
      <c r="F288" s="2" t="n">
        <v>17</v>
      </c>
      <c r="G288" s="2" t="n">
        <v>237.22</v>
      </c>
    </row>
    <row r="289" customFormat="false" ht="13.8" hidden="false" customHeight="false" outlineLevel="0" collapsed="false">
      <c r="A289" s="2" t="s">
        <v>337</v>
      </c>
      <c r="B289" s="2" t="n">
        <v>14252</v>
      </c>
      <c r="C289" s="2" t="s">
        <v>338</v>
      </c>
      <c r="D289" s="2" t="s">
        <v>64</v>
      </c>
      <c r="E289" s="2" t="str">
        <f aca="false">_xlfn.CONCAT(D289,"-",B289)</f>
        <v>CE - 0000-14252</v>
      </c>
      <c r="F289" s="2" t="n">
        <v>1</v>
      </c>
      <c r="G289" s="2" t="n">
        <v>74.37</v>
      </c>
    </row>
    <row r="290" customFormat="false" ht="13.8" hidden="false" customHeight="false" outlineLevel="0" collapsed="false">
      <c r="A290" s="2" t="s">
        <v>339</v>
      </c>
      <c r="B290" s="2" t="n">
        <v>14253</v>
      </c>
      <c r="C290" s="2" t="s">
        <v>340</v>
      </c>
      <c r="D290" s="2" t="s">
        <v>64</v>
      </c>
      <c r="E290" s="2" t="str">
        <f aca="false">_xlfn.CONCAT(D290,"-",B290)</f>
        <v>CE - 0000-14253</v>
      </c>
      <c r="F290" s="2" t="n">
        <v>15</v>
      </c>
      <c r="G290" s="2" t="n">
        <v>1114.6</v>
      </c>
    </row>
    <row r="291" customFormat="false" ht="13.8" hidden="false" customHeight="false" outlineLevel="0" collapsed="false">
      <c r="A291" s="2" t="s">
        <v>341</v>
      </c>
      <c r="B291" s="2" t="n">
        <v>16187</v>
      </c>
      <c r="C291" s="2" t="s">
        <v>342</v>
      </c>
      <c r="D291" s="2" t="s">
        <v>64</v>
      </c>
      <c r="E291" s="2" t="str">
        <f aca="false">_xlfn.CONCAT(D291,"-",B291)</f>
        <v>CE - 0000-16187</v>
      </c>
      <c r="F291" s="2" t="n">
        <v>198</v>
      </c>
      <c r="G291" s="2" t="n">
        <v>9331.76</v>
      </c>
    </row>
    <row r="292" customFormat="false" ht="13.8" hidden="false" customHeight="false" outlineLevel="0" collapsed="false">
      <c r="A292" s="2" t="s">
        <v>341</v>
      </c>
      <c r="B292" s="2" t="n">
        <v>16187</v>
      </c>
      <c r="C292" s="2" t="s">
        <v>342</v>
      </c>
      <c r="D292" s="2" t="s">
        <v>67</v>
      </c>
      <c r="E292" s="2" t="str">
        <f aca="false">_xlfn.CONCAT(D292,"-",B292)</f>
        <v>CE - EUROFARMA G7-16187</v>
      </c>
      <c r="F292" s="2" t="n">
        <v>30</v>
      </c>
      <c r="G292" s="2" t="n">
        <v>1437.94</v>
      </c>
    </row>
    <row r="293" customFormat="false" ht="13.8" hidden="false" customHeight="false" outlineLevel="0" collapsed="false">
      <c r="A293" s="2" t="s">
        <v>343</v>
      </c>
      <c r="B293" s="2" t="n">
        <v>10674</v>
      </c>
      <c r="C293" s="2" t="s">
        <v>344</v>
      </c>
      <c r="D293" s="2" t="s">
        <v>64</v>
      </c>
      <c r="E293" s="2" t="str">
        <f aca="false">_xlfn.CONCAT(D293,"-",B293)</f>
        <v>CE - 0000-10674</v>
      </c>
      <c r="F293" s="2" t="n">
        <v>72</v>
      </c>
      <c r="G293" s="2" t="n">
        <v>2230.64</v>
      </c>
    </row>
    <row r="294" customFormat="false" ht="13.8" hidden="false" customHeight="false" outlineLevel="0" collapsed="false">
      <c r="A294" s="2" t="s">
        <v>345</v>
      </c>
      <c r="B294" s="2" t="n">
        <v>10753</v>
      </c>
      <c r="C294" s="2" t="s">
        <v>346</v>
      </c>
      <c r="D294" s="2" t="s">
        <v>64</v>
      </c>
      <c r="E294" s="2" t="str">
        <f aca="false">_xlfn.CONCAT(D294,"-",B294)</f>
        <v>CE - 0000-10753</v>
      </c>
      <c r="F294" s="2" t="n">
        <v>78</v>
      </c>
      <c r="G294" s="2" t="n">
        <v>715.47</v>
      </c>
    </row>
    <row r="295" customFormat="false" ht="13.8" hidden="false" customHeight="false" outlineLevel="0" collapsed="false">
      <c r="A295" s="2" t="s">
        <v>347</v>
      </c>
      <c r="B295" s="2" t="n">
        <v>10799</v>
      </c>
      <c r="C295" s="2" t="s">
        <v>348</v>
      </c>
      <c r="D295" s="2" t="s">
        <v>67</v>
      </c>
      <c r="E295" s="2" t="str">
        <f aca="false">_xlfn.CONCAT(D295,"-",B295)</f>
        <v>CE - EUROFARMA G7-10799</v>
      </c>
      <c r="F295" s="2" t="n">
        <v>43</v>
      </c>
      <c r="G295" s="2" t="n">
        <v>899.48</v>
      </c>
    </row>
    <row r="296" customFormat="false" ht="13.8" hidden="false" customHeight="false" outlineLevel="0" collapsed="false">
      <c r="A296" s="2" t="s">
        <v>347</v>
      </c>
      <c r="B296" s="2" t="n">
        <v>10799</v>
      </c>
      <c r="C296" s="2" t="s">
        <v>348</v>
      </c>
      <c r="D296" s="2" t="s">
        <v>64</v>
      </c>
      <c r="E296" s="2" t="str">
        <f aca="false">_xlfn.CONCAT(D296,"-",B296)</f>
        <v>CE - 0000-10799</v>
      </c>
      <c r="F296" s="2" t="n">
        <v>157</v>
      </c>
      <c r="G296" s="2" t="n">
        <v>3229.77</v>
      </c>
    </row>
    <row r="297" customFormat="false" ht="13.8" hidden="false" customHeight="false" outlineLevel="0" collapsed="false">
      <c r="A297" s="2" t="s">
        <v>349</v>
      </c>
      <c r="B297" s="2" t="n">
        <v>10797</v>
      </c>
      <c r="C297" s="2" t="s">
        <v>350</v>
      </c>
      <c r="D297" s="2" t="s">
        <v>64</v>
      </c>
      <c r="E297" s="2" t="str">
        <f aca="false">_xlfn.CONCAT(D297,"-",B297)</f>
        <v>CE - 0000-10797</v>
      </c>
      <c r="F297" s="2" t="n">
        <v>27</v>
      </c>
      <c r="G297" s="2" t="n">
        <v>195.62</v>
      </c>
    </row>
    <row r="298" customFormat="false" ht="13.8" hidden="false" customHeight="false" outlineLevel="0" collapsed="false">
      <c r="A298" s="2" t="s">
        <v>349</v>
      </c>
      <c r="B298" s="2" t="n">
        <v>10797</v>
      </c>
      <c r="C298" s="2" t="s">
        <v>350</v>
      </c>
      <c r="D298" s="2" t="s">
        <v>68</v>
      </c>
      <c r="E298" s="2" t="str">
        <f aca="false">_xlfn.CONCAT(D298,"-",B298)</f>
        <v>CE - OL 002-10797</v>
      </c>
      <c r="F298" s="2" t="n">
        <v>45</v>
      </c>
      <c r="G298" s="2" t="n">
        <v>653.88</v>
      </c>
    </row>
    <row r="299" customFormat="false" ht="13.8" hidden="false" customHeight="false" outlineLevel="0" collapsed="false">
      <c r="A299" s="2" t="s">
        <v>351</v>
      </c>
      <c r="B299" s="2" t="n">
        <v>10798</v>
      </c>
      <c r="C299" s="2" t="s">
        <v>352</v>
      </c>
      <c r="D299" s="2" t="s">
        <v>68</v>
      </c>
      <c r="E299" s="2" t="str">
        <f aca="false">_xlfn.CONCAT(D299,"-",B299)</f>
        <v>CE - OL 002-10798</v>
      </c>
      <c r="F299" s="2" t="n">
        <v>30</v>
      </c>
      <c r="G299" s="2" t="n">
        <v>401.62</v>
      </c>
    </row>
    <row r="300" customFormat="false" ht="13.8" hidden="false" customHeight="false" outlineLevel="0" collapsed="false">
      <c r="A300" s="2" t="s">
        <v>351</v>
      </c>
      <c r="B300" s="2" t="n">
        <v>10798</v>
      </c>
      <c r="C300" s="2" t="s">
        <v>352</v>
      </c>
      <c r="D300" s="2" t="s">
        <v>67</v>
      </c>
      <c r="E300" s="2" t="str">
        <f aca="false">_xlfn.CONCAT(D300,"-",B300)</f>
        <v>CE - EUROFARMA G7-10798</v>
      </c>
      <c r="F300" s="2" t="n">
        <v>79</v>
      </c>
      <c r="G300" s="2" t="n">
        <v>946</v>
      </c>
    </row>
    <row r="301" customFormat="false" ht="13.8" hidden="false" customHeight="false" outlineLevel="0" collapsed="false">
      <c r="A301" s="2" t="s">
        <v>351</v>
      </c>
      <c r="B301" s="2" t="n">
        <v>10798</v>
      </c>
      <c r="C301" s="2" t="s">
        <v>352</v>
      </c>
      <c r="D301" s="2" t="s">
        <v>64</v>
      </c>
      <c r="E301" s="2" t="str">
        <f aca="false">_xlfn.CONCAT(D301,"-",B301)</f>
        <v>CE - 0000-10798</v>
      </c>
      <c r="F301" s="2" t="n">
        <v>150</v>
      </c>
      <c r="G301" s="2" t="n">
        <v>1768.79</v>
      </c>
    </row>
    <row r="302" customFormat="false" ht="13.8" hidden="false" customHeight="false" outlineLevel="0" collapsed="false">
      <c r="A302" s="2" t="s">
        <v>353</v>
      </c>
      <c r="B302" s="2" t="n">
        <v>22468</v>
      </c>
      <c r="C302" s="2" t="s">
        <v>354</v>
      </c>
      <c r="D302" s="2" t="s">
        <v>64</v>
      </c>
      <c r="E302" s="2" t="str">
        <f aca="false">_xlfn.CONCAT(D302,"-",B302)</f>
        <v>CE - 0000-22468</v>
      </c>
      <c r="F302" s="2" t="n">
        <v>273</v>
      </c>
      <c r="G302" s="2" t="n">
        <v>7134.4</v>
      </c>
    </row>
    <row r="303" customFormat="false" ht="13.8" hidden="false" customHeight="false" outlineLevel="0" collapsed="false">
      <c r="A303" s="2" t="s">
        <v>353</v>
      </c>
      <c r="B303" s="2" t="n">
        <v>22468</v>
      </c>
      <c r="C303" s="2" t="s">
        <v>354</v>
      </c>
      <c r="D303" s="2" t="s">
        <v>67</v>
      </c>
      <c r="E303" s="2" t="str">
        <f aca="false">_xlfn.CONCAT(D303,"-",B303)</f>
        <v>CE - EUROFARMA G7-22468</v>
      </c>
      <c r="F303" s="2" t="n">
        <v>83</v>
      </c>
      <c r="G303" s="2" t="n">
        <v>2248.15</v>
      </c>
    </row>
    <row r="304" customFormat="false" ht="13.8" hidden="false" customHeight="false" outlineLevel="0" collapsed="false">
      <c r="A304" s="2" t="s">
        <v>353</v>
      </c>
      <c r="B304" s="2" t="n">
        <v>22468</v>
      </c>
      <c r="C304" s="2" t="s">
        <v>354</v>
      </c>
      <c r="D304" s="2" t="s">
        <v>66</v>
      </c>
      <c r="E304" s="2" t="str">
        <f aca="false">_xlfn.CONCAT(D304,"-",B304)</f>
        <v>CE - OL 001-22468</v>
      </c>
      <c r="F304" s="2" t="n">
        <v>6</v>
      </c>
      <c r="G304" s="2" t="n">
        <v>177.53</v>
      </c>
    </row>
    <row r="305" customFormat="false" ht="13.8" hidden="false" customHeight="false" outlineLevel="0" collapsed="false">
      <c r="A305" s="2" t="s">
        <v>353</v>
      </c>
      <c r="B305" s="2" t="n">
        <v>22468</v>
      </c>
      <c r="C305" s="2" t="s">
        <v>354</v>
      </c>
      <c r="D305" s="2" t="s">
        <v>68</v>
      </c>
      <c r="E305" s="2" t="str">
        <f aca="false">_xlfn.CONCAT(D305,"-",B305)</f>
        <v>CE - OL 002-22468</v>
      </c>
      <c r="F305" s="2" t="n">
        <v>6</v>
      </c>
      <c r="G305" s="2" t="n">
        <v>178.66</v>
      </c>
    </row>
    <row r="306" customFormat="false" ht="13.8" hidden="false" customHeight="false" outlineLevel="0" collapsed="false">
      <c r="A306" s="2" t="s">
        <v>357</v>
      </c>
      <c r="B306" s="2" t="n">
        <v>5859</v>
      </c>
      <c r="C306" s="2" t="s">
        <v>358</v>
      </c>
      <c r="D306" s="2" t="s">
        <v>68</v>
      </c>
      <c r="E306" s="2" t="str">
        <f aca="false">_xlfn.CONCAT(D306,"-",B306)</f>
        <v>CE - OL 002-5859</v>
      </c>
      <c r="F306" s="2" t="n">
        <v>11</v>
      </c>
      <c r="G306" s="2" t="n">
        <v>296.9</v>
      </c>
    </row>
    <row r="307" customFormat="false" ht="13.8" hidden="false" customHeight="false" outlineLevel="0" collapsed="false">
      <c r="A307" s="2" t="s">
        <v>357</v>
      </c>
      <c r="B307" s="2" t="n">
        <v>5859</v>
      </c>
      <c r="C307" s="2" t="s">
        <v>358</v>
      </c>
      <c r="D307" s="2" t="s">
        <v>64</v>
      </c>
      <c r="E307" s="2" t="str">
        <f aca="false">_xlfn.CONCAT(D307,"-",B307)</f>
        <v>CE - 0000-5859</v>
      </c>
      <c r="F307" s="2" t="n">
        <v>318</v>
      </c>
      <c r="G307" s="2" t="n">
        <v>7828.2</v>
      </c>
    </row>
    <row r="308" customFormat="false" ht="13.8" hidden="false" customHeight="false" outlineLevel="0" collapsed="false">
      <c r="A308" s="2" t="s">
        <v>357</v>
      </c>
      <c r="B308" s="2" t="n">
        <v>5859</v>
      </c>
      <c r="C308" s="2" t="s">
        <v>358</v>
      </c>
      <c r="D308" s="2" t="s">
        <v>67</v>
      </c>
      <c r="E308" s="2" t="str">
        <f aca="false">_xlfn.CONCAT(D308,"-",B308)</f>
        <v>CE - EUROFARMA G7-5859</v>
      </c>
      <c r="F308" s="2" t="n">
        <v>170</v>
      </c>
      <c r="G308" s="2" t="n">
        <v>4224.48</v>
      </c>
    </row>
    <row r="309" customFormat="false" ht="13.8" hidden="false" customHeight="false" outlineLevel="0" collapsed="false">
      <c r="A309" s="2" t="s">
        <v>359</v>
      </c>
      <c r="B309" s="2" t="n">
        <v>5478</v>
      </c>
      <c r="C309" s="2" t="s">
        <v>360</v>
      </c>
      <c r="D309" s="2" t="s">
        <v>64</v>
      </c>
      <c r="E309" s="2" t="str">
        <f aca="false">_xlfn.CONCAT(D309,"-",B309)</f>
        <v>CE - 0000-5478</v>
      </c>
      <c r="F309" s="2" t="n">
        <v>221</v>
      </c>
      <c r="G309" s="2" t="n">
        <v>2298.2</v>
      </c>
    </row>
    <row r="310" customFormat="false" ht="13.8" hidden="false" customHeight="false" outlineLevel="0" collapsed="false">
      <c r="A310" s="2" t="s">
        <v>359</v>
      </c>
      <c r="B310" s="2" t="n">
        <v>5478</v>
      </c>
      <c r="C310" s="2" t="s">
        <v>360</v>
      </c>
      <c r="D310" s="2" t="s">
        <v>68</v>
      </c>
      <c r="E310" s="2" t="str">
        <f aca="false">_xlfn.CONCAT(D310,"-",B310)</f>
        <v>CE - OL 002-5478</v>
      </c>
      <c r="F310" s="2" t="n">
        <v>66</v>
      </c>
      <c r="G310" s="2" t="n">
        <v>790.35</v>
      </c>
    </row>
    <row r="311" customFormat="false" ht="13.8" hidden="false" customHeight="false" outlineLevel="0" collapsed="false">
      <c r="A311" s="2" t="s">
        <v>359</v>
      </c>
      <c r="B311" s="2" t="n">
        <v>5478</v>
      </c>
      <c r="C311" s="2" t="s">
        <v>360</v>
      </c>
      <c r="D311" s="2" t="s">
        <v>67</v>
      </c>
      <c r="E311" s="2" t="str">
        <f aca="false">_xlfn.CONCAT(D311,"-",B311)</f>
        <v>CE - EUROFARMA G7-5478</v>
      </c>
      <c r="F311" s="2" t="n">
        <v>100</v>
      </c>
      <c r="G311" s="2" t="n">
        <v>1067.47</v>
      </c>
    </row>
    <row r="312" customFormat="false" ht="13.8" hidden="false" customHeight="false" outlineLevel="0" collapsed="false">
      <c r="A312" s="2" t="s">
        <v>361</v>
      </c>
      <c r="B312" s="2" t="n">
        <v>3283</v>
      </c>
      <c r="C312" s="2" t="s">
        <v>362</v>
      </c>
      <c r="D312" s="2" t="s">
        <v>68</v>
      </c>
      <c r="E312" s="2" t="str">
        <f aca="false">_xlfn.CONCAT(D312,"-",B312)</f>
        <v>CE - OL 002-3283</v>
      </c>
      <c r="F312" s="2" t="n">
        <v>33</v>
      </c>
      <c r="G312" s="2" t="n">
        <v>275.35</v>
      </c>
    </row>
    <row r="313" customFormat="false" ht="13.8" hidden="false" customHeight="false" outlineLevel="0" collapsed="false">
      <c r="A313" s="2" t="s">
        <v>361</v>
      </c>
      <c r="B313" s="2" t="n">
        <v>3283</v>
      </c>
      <c r="C313" s="2" t="s">
        <v>362</v>
      </c>
      <c r="D313" s="2" t="s">
        <v>64</v>
      </c>
      <c r="E313" s="2" t="str">
        <f aca="false">_xlfn.CONCAT(D313,"-",B313)</f>
        <v>CE - 0000-3283</v>
      </c>
      <c r="F313" s="2" t="n">
        <v>1638</v>
      </c>
      <c r="G313" s="2" t="n">
        <v>12057.21</v>
      </c>
    </row>
    <row r="314" customFormat="false" ht="13.8" hidden="false" customHeight="false" outlineLevel="0" collapsed="false">
      <c r="A314" s="2" t="s">
        <v>361</v>
      </c>
      <c r="B314" s="2" t="n">
        <v>3283</v>
      </c>
      <c r="C314" s="2" t="s">
        <v>362</v>
      </c>
      <c r="D314" s="2" t="s">
        <v>67</v>
      </c>
      <c r="E314" s="2" t="str">
        <f aca="false">_xlfn.CONCAT(D314,"-",B314)</f>
        <v>CE - EUROFARMA G7-3283</v>
      </c>
      <c r="F314" s="2" t="n">
        <v>325</v>
      </c>
      <c r="G314" s="2" t="n">
        <v>2428.12</v>
      </c>
    </row>
    <row r="315" customFormat="false" ht="13.8" hidden="false" customHeight="false" outlineLevel="0" collapsed="false">
      <c r="A315" s="2" t="s">
        <v>363</v>
      </c>
      <c r="B315" s="2" t="n">
        <v>12134</v>
      </c>
      <c r="C315" s="2" t="s">
        <v>364</v>
      </c>
      <c r="D315" s="2" t="s">
        <v>68</v>
      </c>
      <c r="E315" s="2" t="str">
        <f aca="false">_xlfn.CONCAT(D315,"-",B315)</f>
        <v>CE - OL 002-12134</v>
      </c>
      <c r="F315" s="2" t="n">
        <v>30</v>
      </c>
      <c r="G315" s="2" t="n">
        <v>790.92</v>
      </c>
    </row>
    <row r="316" customFormat="false" ht="13.8" hidden="false" customHeight="false" outlineLevel="0" collapsed="false">
      <c r="A316" s="2" t="s">
        <v>363</v>
      </c>
      <c r="B316" s="2" t="n">
        <v>12134</v>
      </c>
      <c r="C316" s="2" t="s">
        <v>364</v>
      </c>
      <c r="D316" s="2" t="s">
        <v>67</v>
      </c>
      <c r="E316" s="2" t="str">
        <f aca="false">_xlfn.CONCAT(D316,"-",B316)</f>
        <v>CE - EUROFARMA G7-12134</v>
      </c>
      <c r="F316" s="2" t="n">
        <v>175</v>
      </c>
      <c r="G316" s="2" t="n">
        <v>4267.74</v>
      </c>
    </row>
    <row r="317" customFormat="false" ht="13.8" hidden="false" customHeight="false" outlineLevel="0" collapsed="false">
      <c r="A317" s="2" t="s">
        <v>363</v>
      </c>
      <c r="B317" s="2" t="n">
        <v>12134</v>
      </c>
      <c r="C317" s="2" t="s">
        <v>364</v>
      </c>
      <c r="D317" s="2" t="s">
        <v>64</v>
      </c>
      <c r="E317" s="2" t="str">
        <f aca="false">_xlfn.CONCAT(D317,"-",B317)</f>
        <v>CE - 0000-12134</v>
      </c>
      <c r="F317" s="2" t="n">
        <v>197</v>
      </c>
      <c r="G317" s="2" t="n">
        <v>4809.69</v>
      </c>
    </row>
    <row r="318" customFormat="false" ht="13.8" hidden="false" customHeight="false" outlineLevel="0" collapsed="false">
      <c r="A318" s="2" t="s">
        <v>365</v>
      </c>
      <c r="B318" s="2" t="n">
        <v>12135</v>
      </c>
      <c r="C318" s="2" t="s">
        <v>366</v>
      </c>
      <c r="D318" s="2" t="s">
        <v>64</v>
      </c>
      <c r="E318" s="2" t="str">
        <f aca="false">_xlfn.CONCAT(D318,"-",B318)</f>
        <v>CE - 0000-12135</v>
      </c>
      <c r="F318" s="2" t="n">
        <v>341</v>
      </c>
      <c r="G318" s="2" t="n">
        <v>11588.55</v>
      </c>
    </row>
    <row r="319" customFormat="false" ht="13.8" hidden="false" customHeight="false" outlineLevel="0" collapsed="false">
      <c r="A319" s="2" t="s">
        <v>365</v>
      </c>
      <c r="B319" s="2" t="n">
        <v>12135</v>
      </c>
      <c r="C319" s="2" t="s">
        <v>366</v>
      </c>
      <c r="D319" s="2" t="s">
        <v>68</v>
      </c>
      <c r="E319" s="2" t="str">
        <f aca="false">_xlfn.CONCAT(D319,"-",B319)</f>
        <v>CE - OL 002-12135</v>
      </c>
      <c r="F319" s="2" t="n">
        <v>33</v>
      </c>
      <c r="G319" s="2" t="n">
        <v>1225.62</v>
      </c>
    </row>
    <row r="320" customFormat="false" ht="13.8" hidden="false" customHeight="false" outlineLevel="0" collapsed="false">
      <c r="A320" s="2" t="s">
        <v>365</v>
      </c>
      <c r="B320" s="2" t="n">
        <v>12135</v>
      </c>
      <c r="C320" s="2" t="s">
        <v>366</v>
      </c>
      <c r="D320" s="2" t="s">
        <v>67</v>
      </c>
      <c r="E320" s="2" t="str">
        <f aca="false">_xlfn.CONCAT(D320,"-",B320)</f>
        <v>CE - EUROFARMA G7-12135</v>
      </c>
      <c r="F320" s="2" t="n">
        <v>290</v>
      </c>
      <c r="G320" s="2" t="n">
        <v>9897.46</v>
      </c>
    </row>
    <row r="321" customFormat="false" ht="13.8" hidden="false" customHeight="false" outlineLevel="0" collapsed="false">
      <c r="A321" s="2" t="s">
        <v>365</v>
      </c>
      <c r="B321" s="2" t="n">
        <v>12135</v>
      </c>
      <c r="C321" s="2" t="s">
        <v>366</v>
      </c>
      <c r="D321" s="2" t="s">
        <v>66</v>
      </c>
      <c r="E321" s="2" t="str">
        <f aca="false">_xlfn.CONCAT(D321,"-",B321)</f>
        <v>CE - OL 001-12135</v>
      </c>
      <c r="F321" s="2" t="n">
        <v>6</v>
      </c>
      <c r="G321" s="2" t="n">
        <v>221.03</v>
      </c>
    </row>
    <row r="322" customFormat="false" ht="13.8" hidden="false" customHeight="false" outlineLevel="0" collapsed="false">
      <c r="A322" s="2" t="s">
        <v>367</v>
      </c>
      <c r="B322" s="2" t="n">
        <v>4266</v>
      </c>
      <c r="C322" s="2" t="s">
        <v>368</v>
      </c>
      <c r="D322" s="2" t="s">
        <v>66</v>
      </c>
      <c r="E322" s="2" t="str">
        <f aca="false">_xlfn.CONCAT(D322,"-",B322)</f>
        <v>CE - OL 001-4266</v>
      </c>
      <c r="F322" s="2" t="n">
        <v>515</v>
      </c>
      <c r="G322" s="2" t="n">
        <v>1076.81</v>
      </c>
    </row>
    <row r="323" customFormat="false" ht="13.8" hidden="false" customHeight="false" outlineLevel="0" collapsed="false">
      <c r="A323" s="2" t="s">
        <v>367</v>
      </c>
      <c r="B323" s="2" t="n">
        <v>4266</v>
      </c>
      <c r="C323" s="2" t="s">
        <v>368</v>
      </c>
      <c r="D323" s="2" t="s">
        <v>64</v>
      </c>
      <c r="E323" s="2" t="str">
        <f aca="false">_xlfn.CONCAT(D323,"-",B323)</f>
        <v>CE - 0000-4266</v>
      </c>
      <c r="F323" s="2" t="n">
        <v>1245</v>
      </c>
      <c r="G323" s="2" t="n">
        <v>2542.08</v>
      </c>
    </row>
    <row r="324" customFormat="false" ht="13.8" hidden="false" customHeight="false" outlineLevel="0" collapsed="false">
      <c r="A324" s="2" t="s">
        <v>367</v>
      </c>
      <c r="B324" s="2" t="n">
        <v>4266</v>
      </c>
      <c r="C324" s="2" t="s">
        <v>368</v>
      </c>
      <c r="D324" s="2" t="s">
        <v>67</v>
      </c>
      <c r="E324" s="2" t="str">
        <f aca="false">_xlfn.CONCAT(D324,"-",B324)</f>
        <v>CE - EUROFARMA G7-4266</v>
      </c>
      <c r="F324" s="2" t="n">
        <v>39168</v>
      </c>
      <c r="G324" s="2" t="n">
        <v>71892.09</v>
      </c>
    </row>
    <row r="325" customFormat="false" ht="13.8" hidden="false" customHeight="false" outlineLevel="0" collapsed="false">
      <c r="A325" s="2" t="s">
        <v>367</v>
      </c>
      <c r="B325" s="2" t="n">
        <v>4266</v>
      </c>
      <c r="C325" s="2" t="s">
        <v>368</v>
      </c>
      <c r="D325" s="2" t="s">
        <v>68</v>
      </c>
      <c r="E325" s="2" t="str">
        <f aca="false">_xlfn.CONCAT(D325,"-",B325)</f>
        <v>CE - OL 002-4266</v>
      </c>
      <c r="F325" s="2" t="n">
        <v>126</v>
      </c>
      <c r="G325" s="2" t="n">
        <v>338.73</v>
      </c>
    </row>
    <row r="326" customFormat="false" ht="13.8" hidden="false" customHeight="false" outlineLevel="0" collapsed="false">
      <c r="A326" s="2" t="s">
        <v>369</v>
      </c>
      <c r="B326" s="2" t="n">
        <v>5858</v>
      </c>
      <c r="C326" s="2" t="s">
        <v>370</v>
      </c>
      <c r="D326" s="2" t="s">
        <v>67</v>
      </c>
      <c r="E326" s="2" t="str">
        <f aca="false">_xlfn.CONCAT(D326,"-",B326)</f>
        <v>CE - EUROFARMA G7-5858</v>
      </c>
      <c r="F326" s="2" t="n">
        <v>2</v>
      </c>
      <c r="G326" s="2" t="n">
        <v>29.45</v>
      </c>
    </row>
    <row r="327" customFormat="false" ht="13.8" hidden="false" customHeight="false" outlineLevel="0" collapsed="false">
      <c r="A327" s="2" t="s">
        <v>369</v>
      </c>
      <c r="B327" s="2" t="n">
        <v>5858</v>
      </c>
      <c r="C327" s="2" t="s">
        <v>370</v>
      </c>
      <c r="D327" s="2" t="s">
        <v>64</v>
      </c>
      <c r="E327" s="2" t="str">
        <f aca="false">_xlfn.CONCAT(D327,"-",B327)</f>
        <v>CE - 0000-5858</v>
      </c>
      <c r="F327" s="2" t="n">
        <v>16</v>
      </c>
      <c r="G327" s="2" t="n">
        <v>240</v>
      </c>
    </row>
    <row r="328" customFormat="false" ht="13.8" hidden="false" customHeight="false" outlineLevel="0" collapsed="false">
      <c r="A328" s="2" t="s">
        <v>371</v>
      </c>
      <c r="B328" s="2" t="n">
        <v>5479</v>
      </c>
      <c r="C328" s="2" t="s">
        <v>372</v>
      </c>
      <c r="D328" s="2" t="s">
        <v>64</v>
      </c>
      <c r="E328" s="2" t="str">
        <f aca="false">_xlfn.CONCAT(D328,"-",B328)</f>
        <v>CE - 0000-5479</v>
      </c>
      <c r="F328" s="2" t="n">
        <v>16</v>
      </c>
      <c r="G328" s="2" t="n">
        <v>115</v>
      </c>
    </row>
    <row r="329" customFormat="false" ht="13.8" hidden="false" customHeight="false" outlineLevel="0" collapsed="false">
      <c r="A329" s="2" t="s">
        <v>373</v>
      </c>
      <c r="B329" s="2" t="n">
        <v>3284</v>
      </c>
      <c r="C329" s="2" t="s">
        <v>374</v>
      </c>
      <c r="D329" s="2" t="s">
        <v>64</v>
      </c>
      <c r="E329" s="2" t="str">
        <f aca="false">_xlfn.CONCAT(D329,"-",B329)</f>
        <v>CE - 0000-3284</v>
      </c>
      <c r="F329" s="2" t="n">
        <v>757</v>
      </c>
      <c r="G329" s="2" t="n">
        <v>1939.49</v>
      </c>
    </row>
    <row r="330" customFormat="false" ht="13.8" hidden="false" customHeight="false" outlineLevel="0" collapsed="false">
      <c r="A330" s="2" t="s">
        <v>373</v>
      </c>
      <c r="B330" s="2" t="n">
        <v>3284</v>
      </c>
      <c r="C330" s="2" t="s">
        <v>374</v>
      </c>
      <c r="D330" s="2" t="s">
        <v>67</v>
      </c>
      <c r="E330" s="2" t="str">
        <f aca="false">_xlfn.CONCAT(D330,"-",B330)</f>
        <v>CE - EUROFARMA G7-3284</v>
      </c>
      <c r="F330" s="2" t="n">
        <v>126</v>
      </c>
      <c r="G330" s="2" t="n">
        <v>328.79</v>
      </c>
    </row>
    <row r="331" customFormat="false" ht="13.8" hidden="false" customHeight="false" outlineLevel="0" collapsed="false">
      <c r="A331" s="2" t="s">
        <v>373</v>
      </c>
      <c r="B331" s="2" t="n">
        <v>3284</v>
      </c>
      <c r="C331" s="2" t="s">
        <v>374</v>
      </c>
      <c r="D331" s="2" t="s">
        <v>68</v>
      </c>
      <c r="E331" s="2" t="str">
        <f aca="false">_xlfn.CONCAT(D331,"-",B331)</f>
        <v>CE - OL 002-3284</v>
      </c>
      <c r="F331" s="2" t="n">
        <v>50</v>
      </c>
      <c r="G331" s="2" t="n">
        <v>141.68</v>
      </c>
    </row>
    <row r="332" customFormat="false" ht="13.8" hidden="false" customHeight="false" outlineLevel="0" collapsed="false">
      <c r="A332" s="2" t="s">
        <v>375</v>
      </c>
      <c r="B332" s="2" t="n">
        <v>3323</v>
      </c>
      <c r="C332" s="2" t="s">
        <v>376</v>
      </c>
      <c r="D332" s="2" t="s">
        <v>64</v>
      </c>
      <c r="E332" s="2" t="str">
        <f aca="false">_xlfn.CONCAT(D332,"-",B332)</f>
        <v>CE - 0000-3323</v>
      </c>
      <c r="F332" s="2" t="n">
        <v>94</v>
      </c>
      <c r="G332" s="2" t="n">
        <v>2575.41</v>
      </c>
    </row>
    <row r="333" customFormat="false" ht="13.8" hidden="false" customHeight="false" outlineLevel="0" collapsed="false">
      <c r="A333" s="2" t="s">
        <v>375</v>
      </c>
      <c r="B333" s="2" t="n">
        <v>3323</v>
      </c>
      <c r="C333" s="2" t="s">
        <v>376</v>
      </c>
      <c r="D333" s="2" t="s">
        <v>68</v>
      </c>
      <c r="E333" s="2" t="str">
        <f aca="false">_xlfn.CONCAT(D333,"-",B333)</f>
        <v>CE - OL 002-3323</v>
      </c>
      <c r="F333" s="2" t="n">
        <v>1</v>
      </c>
      <c r="G333" s="2" t="n">
        <v>29.96</v>
      </c>
    </row>
    <row r="334" customFormat="false" ht="13.8" hidden="false" customHeight="false" outlineLevel="0" collapsed="false">
      <c r="A334" s="2" t="s">
        <v>377</v>
      </c>
      <c r="B334" s="2" t="n">
        <v>4123</v>
      </c>
      <c r="C334" s="2" t="s">
        <v>378</v>
      </c>
      <c r="D334" s="2" t="s">
        <v>64</v>
      </c>
      <c r="E334" s="2" t="str">
        <f aca="false">_xlfn.CONCAT(D334,"-",B334)</f>
        <v>CE - 0000-4123</v>
      </c>
      <c r="F334" s="2" t="n">
        <v>69</v>
      </c>
      <c r="G334" s="2" t="n">
        <v>305.25</v>
      </c>
    </row>
    <row r="335" customFormat="false" ht="13.8" hidden="false" customHeight="false" outlineLevel="0" collapsed="false">
      <c r="A335" s="2" t="s">
        <v>377</v>
      </c>
      <c r="B335" s="2" t="n">
        <v>4123</v>
      </c>
      <c r="C335" s="2" t="s">
        <v>378</v>
      </c>
      <c r="D335" s="2" t="s">
        <v>68</v>
      </c>
      <c r="E335" s="2" t="str">
        <f aca="false">_xlfn.CONCAT(D335,"-",B335)</f>
        <v>CE - OL 002-4123</v>
      </c>
      <c r="F335" s="2" t="n">
        <v>8</v>
      </c>
      <c r="G335" s="2" t="n">
        <v>38.64</v>
      </c>
    </row>
    <row r="336" customFormat="false" ht="13.8" hidden="false" customHeight="false" outlineLevel="0" collapsed="false">
      <c r="A336" s="2" t="s">
        <v>379</v>
      </c>
      <c r="B336" s="2" t="n">
        <v>10802</v>
      </c>
      <c r="C336" s="2" t="s">
        <v>380</v>
      </c>
      <c r="D336" s="2" t="s">
        <v>64</v>
      </c>
      <c r="E336" s="2" t="str">
        <f aca="false">_xlfn.CONCAT(D336,"-",B336)</f>
        <v>CE - 0000-10802</v>
      </c>
      <c r="F336" s="2" t="n">
        <v>43</v>
      </c>
      <c r="G336" s="2" t="n">
        <v>431.62</v>
      </c>
    </row>
    <row r="337" customFormat="false" ht="13.8" hidden="false" customHeight="false" outlineLevel="0" collapsed="false">
      <c r="A337" s="2" t="s">
        <v>379</v>
      </c>
      <c r="B337" s="2" t="n">
        <v>10802</v>
      </c>
      <c r="C337" s="2" t="s">
        <v>380</v>
      </c>
      <c r="D337" s="2" t="s">
        <v>67</v>
      </c>
      <c r="E337" s="2" t="str">
        <f aca="false">_xlfn.CONCAT(D337,"-",B337)</f>
        <v>CE - EUROFARMA G7-10802</v>
      </c>
      <c r="F337" s="2" t="n">
        <v>53</v>
      </c>
      <c r="G337" s="2" t="n">
        <v>544.33</v>
      </c>
    </row>
    <row r="338" customFormat="false" ht="13.8" hidden="false" customHeight="false" outlineLevel="0" collapsed="false">
      <c r="A338" s="2" t="s">
        <v>379</v>
      </c>
      <c r="B338" s="2" t="n">
        <v>10802</v>
      </c>
      <c r="C338" s="2" t="s">
        <v>380</v>
      </c>
      <c r="D338" s="2" t="s">
        <v>68</v>
      </c>
      <c r="E338" s="2" t="str">
        <f aca="false">_xlfn.CONCAT(D338,"-",B338)</f>
        <v>CE - OL 002-10802</v>
      </c>
      <c r="F338" s="2" t="n">
        <v>3</v>
      </c>
      <c r="G338" s="2" t="n">
        <v>33.17</v>
      </c>
    </row>
    <row r="339" customFormat="false" ht="13.8" hidden="false" customHeight="false" outlineLevel="0" collapsed="false">
      <c r="A339" s="2" t="s">
        <v>387</v>
      </c>
      <c r="B339" s="2" t="n">
        <v>15857</v>
      </c>
      <c r="C339" s="2" t="s">
        <v>388</v>
      </c>
      <c r="D339" s="2" t="s">
        <v>68</v>
      </c>
      <c r="E339" s="2" t="str">
        <f aca="false">_xlfn.CONCAT(D339,"-",B339)</f>
        <v>CE - OL 002-15857</v>
      </c>
      <c r="F339" s="2" t="n">
        <v>15</v>
      </c>
      <c r="G339" s="2" t="n">
        <v>481.63</v>
      </c>
    </row>
    <row r="340" customFormat="false" ht="13.8" hidden="false" customHeight="false" outlineLevel="0" collapsed="false">
      <c r="A340" s="2" t="s">
        <v>387</v>
      </c>
      <c r="B340" s="2" t="n">
        <v>15857</v>
      </c>
      <c r="C340" s="2" t="s">
        <v>388</v>
      </c>
      <c r="D340" s="2" t="s">
        <v>64</v>
      </c>
      <c r="E340" s="2" t="str">
        <f aca="false">_xlfn.CONCAT(D340,"-",B340)</f>
        <v>CE - 0000-15857</v>
      </c>
      <c r="F340" s="2" t="n">
        <v>293</v>
      </c>
      <c r="G340" s="2" t="n">
        <v>8592.51</v>
      </c>
    </row>
    <row r="341" customFormat="false" ht="13.8" hidden="false" customHeight="false" outlineLevel="0" collapsed="false">
      <c r="A341" s="2" t="s">
        <v>387</v>
      </c>
      <c r="B341" s="2" t="n">
        <v>15857</v>
      </c>
      <c r="C341" s="2" t="s">
        <v>388</v>
      </c>
      <c r="D341" s="2" t="s">
        <v>67</v>
      </c>
      <c r="E341" s="2" t="str">
        <f aca="false">_xlfn.CONCAT(D341,"-",B341)</f>
        <v>CE - EUROFARMA G7-15857</v>
      </c>
      <c r="F341" s="2" t="n">
        <v>91</v>
      </c>
      <c r="G341" s="2" t="n">
        <v>2755.53</v>
      </c>
    </row>
    <row r="342" customFormat="false" ht="13.8" hidden="false" customHeight="false" outlineLevel="0" collapsed="false">
      <c r="A342" s="2" t="s">
        <v>389</v>
      </c>
      <c r="B342" s="2" t="n">
        <v>15856</v>
      </c>
      <c r="C342" s="2" t="s">
        <v>390</v>
      </c>
      <c r="D342" s="2" t="s">
        <v>64</v>
      </c>
      <c r="E342" s="2" t="str">
        <f aca="false">_xlfn.CONCAT(D342,"-",B342)</f>
        <v>CE - 0000-15856</v>
      </c>
      <c r="F342" s="2" t="n">
        <v>250</v>
      </c>
      <c r="G342" s="2" t="n">
        <v>5108.41</v>
      </c>
    </row>
    <row r="343" customFormat="false" ht="13.8" hidden="false" customHeight="false" outlineLevel="0" collapsed="false">
      <c r="A343" s="2" t="s">
        <v>389</v>
      </c>
      <c r="B343" s="2" t="n">
        <v>15856</v>
      </c>
      <c r="C343" s="2" t="s">
        <v>390</v>
      </c>
      <c r="D343" s="2" t="s">
        <v>68</v>
      </c>
      <c r="E343" s="2" t="str">
        <f aca="false">_xlfn.CONCAT(D343,"-",B343)</f>
        <v>CE - OL 002-15856</v>
      </c>
      <c r="F343" s="2" t="n">
        <v>23</v>
      </c>
      <c r="G343" s="2" t="n">
        <v>523.01</v>
      </c>
    </row>
    <row r="344" customFormat="false" ht="13.8" hidden="false" customHeight="false" outlineLevel="0" collapsed="false">
      <c r="A344" s="2" t="s">
        <v>389</v>
      </c>
      <c r="B344" s="2" t="n">
        <v>15856</v>
      </c>
      <c r="C344" s="2" t="s">
        <v>390</v>
      </c>
      <c r="D344" s="2" t="s">
        <v>67</v>
      </c>
      <c r="E344" s="2" t="str">
        <f aca="false">_xlfn.CONCAT(D344,"-",B344)</f>
        <v>CE - EUROFARMA G7-15856</v>
      </c>
      <c r="F344" s="2" t="n">
        <v>9</v>
      </c>
      <c r="G344" s="2" t="n">
        <v>197.31</v>
      </c>
    </row>
    <row r="345" customFormat="false" ht="13.8" hidden="false" customHeight="false" outlineLevel="0" collapsed="false">
      <c r="A345" s="2" t="s">
        <v>391</v>
      </c>
      <c r="B345" s="2" t="n">
        <v>42</v>
      </c>
      <c r="C345" s="2" t="s">
        <v>392</v>
      </c>
      <c r="D345" s="2" t="s">
        <v>64</v>
      </c>
      <c r="E345" s="2" t="str">
        <f aca="false">_xlfn.CONCAT(D345,"-",B345)</f>
        <v>CE - 0000-42</v>
      </c>
      <c r="F345" s="2" t="n">
        <v>112</v>
      </c>
      <c r="G345" s="2" t="n">
        <v>2761.39</v>
      </c>
    </row>
    <row r="346" customFormat="false" ht="13.8" hidden="false" customHeight="false" outlineLevel="0" collapsed="false">
      <c r="A346" s="2" t="s">
        <v>391</v>
      </c>
      <c r="B346" s="2" t="n">
        <v>42</v>
      </c>
      <c r="C346" s="2" t="s">
        <v>392</v>
      </c>
      <c r="D346" s="2" t="s">
        <v>67</v>
      </c>
      <c r="E346" s="2" t="str">
        <f aca="false">_xlfn.CONCAT(D346,"-",B346)</f>
        <v>CE - EUROFARMA G7-42</v>
      </c>
      <c r="F346" s="2" t="n">
        <v>52</v>
      </c>
      <c r="G346" s="2" t="n">
        <v>1305.73</v>
      </c>
    </row>
    <row r="347" customFormat="false" ht="13.8" hidden="false" customHeight="false" outlineLevel="0" collapsed="false">
      <c r="A347" s="2" t="s">
        <v>395</v>
      </c>
      <c r="B347" s="2" t="n">
        <v>21063</v>
      </c>
      <c r="C347" s="2" t="s">
        <v>396</v>
      </c>
      <c r="D347" s="2" t="s">
        <v>64</v>
      </c>
      <c r="E347" s="2" t="str">
        <f aca="false">_xlfn.CONCAT(D347,"-",B347)</f>
        <v>CE - 0000-21063</v>
      </c>
      <c r="F347" s="2" t="n">
        <v>5</v>
      </c>
      <c r="G347" s="2" t="n">
        <v>377.87</v>
      </c>
    </row>
    <row r="348" customFormat="false" ht="13.8" hidden="false" customHeight="false" outlineLevel="0" collapsed="false">
      <c r="A348" s="2" t="s">
        <v>395</v>
      </c>
      <c r="B348" s="2" t="n">
        <v>21063</v>
      </c>
      <c r="C348" s="2" t="s">
        <v>396</v>
      </c>
      <c r="D348" s="2" t="s">
        <v>67</v>
      </c>
      <c r="E348" s="2" t="str">
        <f aca="false">_xlfn.CONCAT(D348,"-",B348)</f>
        <v>CE - EUROFARMA G7-21063</v>
      </c>
      <c r="F348" s="2" t="n">
        <v>2</v>
      </c>
      <c r="G348" s="2" t="n">
        <v>161</v>
      </c>
    </row>
    <row r="349" customFormat="false" ht="13.8" hidden="false" customHeight="false" outlineLevel="0" collapsed="false">
      <c r="A349" s="2" t="s">
        <v>397</v>
      </c>
      <c r="B349" s="2" t="n">
        <v>21064</v>
      </c>
      <c r="C349" s="2" t="s">
        <v>398</v>
      </c>
      <c r="D349" s="2" t="s">
        <v>64</v>
      </c>
      <c r="E349" s="2" t="str">
        <f aca="false">_xlfn.CONCAT(D349,"-",B349)</f>
        <v>CE - 0000-21064</v>
      </c>
      <c r="F349" s="2" t="n">
        <v>4</v>
      </c>
      <c r="G349" s="2" t="n">
        <v>339.68</v>
      </c>
    </row>
    <row r="350" customFormat="false" ht="13.8" hidden="false" customHeight="false" outlineLevel="0" collapsed="false">
      <c r="A350" s="2" t="s">
        <v>399</v>
      </c>
      <c r="B350" s="2" t="n">
        <v>10529</v>
      </c>
      <c r="C350" s="2" t="s">
        <v>400</v>
      </c>
      <c r="D350" s="2" t="s">
        <v>64</v>
      </c>
      <c r="E350" s="2" t="str">
        <f aca="false">_xlfn.CONCAT(D350,"-",B350)</f>
        <v>CE - 0000-10529</v>
      </c>
      <c r="F350" s="2" t="n">
        <v>114</v>
      </c>
      <c r="G350" s="2" t="n">
        <v>4841.08</v>
      </c>
    </row>
    <row r="351" customFormat="false" ht="13.8" hidden="false" customHeight="false" outlineLevel="0" collapsed="false">
      <c r="A351" s="2" t="s">
        <v>399</v>
      </c>
      <c r="B351" s="2" t="n">
        <v>10529</v>
      </c>
      <c r="C351" s="2" t="s">
        <v>400</v>
      </c>
      <c r="D351" s="2" t="s">
        <v>67</v>
      </c>
      <c r="E351" s="2" t="str">
        <f aca="false">_xlfn.CONCAT(D351,"-",B351)</f>
        <v>CE - EUROFARMA G7-10529</v>
      </c>
      <c r="F351" s="2" t="n">
        <v>63</v>
      </c>
      <c r="G351" s="2" t="n">
        <v>2724.62</v>
      </c>
    </row>
    <row r="352" customFormat="false" ht="13.8" hidden="false" customHeight="false" outlineLevel="0" collapsed="false">
      <c r="A352" s="2" t="s">
        <v>399</v>
      </c>
      <c r="B352" s="2" t="n">
        <v>10529</v>
      </c>
      <c r="C352" s="2" t="s">
        <v>400</v>
      </c>
      <c r="D352" s="2" t="s">
        <v>68</v>
      </c>
      <c r="E352" s="2" t="str">
        <f aca="false">_xlfn.CONCAT(D352,"-",B352)</f>
        <v>CE - OL 002-10529</v>
      </c>
      <c r="F352" s="2" t="n">
        <v>8</v>
      </c>
      <c r="G352" s="2" t="n">
        <v>371.31</v>
      </c>
    </row>
    <row r="353" customFormat="false" ht="13.8" hidden="false" customHeight="false" outlineLevel="0" collapsed="false">
      <c r="A353" s="2" t="s">
        <v>401</v>
      </c>
      <c r="B353" s="2" t="n">
        <v>14509</v>
      </c>
      <c r="C353" s="2" t="s">
        <v>402</v>
      </c>
      <c r="D353" s="2" t="s">
        <v>67</v>
      </c>
      <c r="E353" s="2" t="str">
        <f aca="false">_xlfn.CONCAT(D353,"-",B353)</f>
        <v>CE - EUROFARMA G7-14509</v>
      </c>
      <c r="F353" s="2" t="n">
        <v>20</v>
      </c>
      <c r="G353" s="2" t="n">
        <v>1102.36</v>
      </c>
    </row>
    <row r="354" customFormat="false" ht="13.8" hidden="false" customHeight="false" outlineLevel="0" collapsed="false">
      <c r="A354" s="2" t="s">
        <v>401</v>
      </c>
      <c r="B354" s="2" t="n">
        <v>14509</v>
      </c>
      <c r="C354" s="2" t="s">
        <v>402</v>
      </c>
      <c r="D354" s="2" t="s">
        <v>64</v>
      </c>
      <c r="E354" s="2" t="str">
        <f aca="false">_xlfn.CONCAT(D354,"-",B354)</f>
        <v>CE - 0000-14509</v>
      </c>
      <c r="F354" s="2" t="n">
        <v>108</v>
      </c>
      <c r="G354" s="2" t="n">
        <v>5619.13</v>
      </c>
    </row>
    <row r="355" customFormat="false" ht="13.8" hidden="false" customHeight="false" outlineLevel="0" collapsed="false">
      <c r="A355" s="2" t="s">
        <v>401</v>
      </c>
      <c r="B355" s="2" t="n">
        <v>14509</v>
      </c>
      <c r="C355" s="2" t="s">
        <v>402</v>
      </c>
      <c r="D355" s="2" t="s">
        <v>68</v>
      </c>
      <c r="E355" s="2" t="str">
        <f aca="false">_xlfn.CONCAT(D355,"-",B355)</f>
        <v>CE - OL 002-14509</v>
      </c>
      <c r="F355" s="2" t="n">
        <v>2</v>
      </c>
      <c r="G355" s="2" t="n">
        <v>114.38</v>
      </c>
    </row>
    <row r="356" customFormat="false" ht="13.8" hidden="false" customHeight="false" outlineLevel="0" collapsed="false">
      <c r="A356" s="2" t="s">
        <v>403</v>
      </c>
      <c r="B356" s="2" t="n">
        <v>10530</v>
      </c>
      <c r="C356" s="2" t="s">
        <v>404</v>
      </c>
      <c r="D356" s="2" t="s">
        <v>67</v>
      </c>
      <c r="E356" s="2" t="str">
        <f aca="false">_xlfn.CONCAT(D356,"-",B356)</f>
        <v>CE - EUROFARMA G7-10530</v>
      </c>
      <c r="F356" s="2" t="n">
        <v>118</v>
      </c>
      <c r="G356" s="2" t="n">
        <v>4340.64</v>
      </c>
    </row>
    <row r="357" customFormat="false" ht="13.8" hidden="false" customHeight="false" outlineLevel="0" collapsed="false">
      <c r="A357" s="2" t="s">
        <v>403</v>
      </c>
      <c r="B357" s="2" t="n">
        <v>10530</v>
      </c>
      <c r="C357" s="2" t="s">
        <v>404</v>
      </c>
      <c r="D357" s="2" t="s">
        <v>68</v>
      </c>
      <c r="E357" s="2" t="str">
        <f aca="false">_xlfn.CONCAT(D357,"-",B357)</f>
        <v>CE - OL 002-10530</v>
      </c>
      <c r="F357" s="2" t="n">
        <v>1</v>
      </c>
      <c r="G357" s="2" t="n">
        <v>39.74</v>
      </c>
    </row>
    <row r="358" customFormat="false" ht="13.8" hidden="false" customHeight="false" outlineLevel="0" collapsed="false">
      <c r="A358" s="2" t="s">
        <v>403</v>
      </c>
      <c r="B358" s="2" t="n">
        <v>10530</v>
      </c>
      <c r="C358" s="2" t="s">
        <v>404</v>
      </c>
      <c r="D358" s="2" t="s">
        <v>64</v>
      </c>
      <c r="E358" s="2" t="str">
        <f aca="false">_xlfn.CONCAT(D358,"-",B358)</f>
        <v>CE - 0000-10530</v>
      </c>
      <c r="F358" s="2" t="n">
        <v>71</v>
      </c>
      <c r="G358" s="2" t="n">
        <v>2571.75</v>
      </c>
    </row>
    <row r="359" customFormat="false" ht="13.8" hidden="false" customHeight="false" outlineLevel="0" collapsed="false">
      <c r="A359" s="2" t="s">
        <v>405</v>
      </c>
      <c r="B359" s="2" t="n">
        <v>10675</v>
      </c>
      <c r="C359" s="2" t="s">
        <v>406</v>
      </c>
      <c r="D359" s="2" t="s">
        <v>68</v>
      </c>
      <c r="E359" s="2" t="str">
        <f aca="false">_xlfn.CONCAT(D359,"-",B359)</f>
        <v>CE - OL 002-10675</v>
      </c>
      <c r="F359" s="2" t="n">
        <v>6</v>
      </c>
      <c r="G359" s="2" t="n">
        <v>244.72</v>
      </c>
    </row>
    <row r="360" customFormat="false" ht="13.8" hidden="false" customHeight="false" outlineLevel="0" collapsed="false">
      <c r="A360" s="2" t="s">
        <v>405</v>
      </c>
      <c r="B360" s="2" t="n">
        <v>10675</v>
      </c>
      <c r="C360" s="2" t="s">
        <v>406</v>
      </c>
      <c r="D360" s="2" t="s">
        <v>64</v>
      </c>
      <c r="E360" s="2" t="str">
        <f aca="false">_xlfn.CONCAT(D360,"-",B360)</f>
        <v>CE - 0000-10675</v>
      </c>
      <c r="F360" s="2" t="n">
        <v>18</v>
      </c>
      <c r="G360" s="2" t="n">
        <v>670.41</v>
      </c>
    </row>
    <row r="361" customFormat="false" ht="13.8" hidden="false" customHeight="false" outlineLevel="0" collapsed="false">
      <c r="A361" s="2" t="s">
        <v>405</v>
      </c>
      <c r="B361" s="2" t="n">
        <v>10675</v>
      </c>
      <c r="C361" s="2" t="s">
        <v>406</v>
      </c>
      <c r="D361" s="2" t="s">
        <v>67</v>
      </c>
      <c r="E361" s="2" t="str">
        <f aca="false">_xlfn.CONCAT(D361,"-",B361)</f>
        <v>CE - EUROFARMA G7-10675</v>
      </c>
      <c r="F361" s="2" t="n">
        <v>26</v>
      </c>
      <c r="G361" s="2" t="n">
        <v>987.63</v>
      </c>
    </row>
    <row r="362" customFormat="false" ht="13.8" hidden="false" customHeight="false" outlineLevel="0" collapsed="false">
      <c r="A362" s="2" t="s">
        <v>407</v>
      </c>
      <c r="B362" s="2" t="n">
        <v>10676</v>
      </c>
      <c r="C362" s="2" t="s">
        <v>408</v>
      </c>
      <c r="D362" s="2" t="s">
        <v>67</v>
      </c>
      <c r="E362" s="2" t="str">
        <f aca="false">_xlfn.CONCAT(D362,"-",B362)</f>
        <v>CE - EUROFARMA G7-10676</v>
      </c>
      <c r="F362" s="2" t="n">
        <v>7</v>
      </c>
      <c r="G362" s="2" t="n">
        <v>323.77</v>
      </c>
    </row>
    <row r="363" customFormat="false" ht="13.8" hidden="false" customHeight="false" outlineLevel="0" collapsed="false">
      <c r="A363" s="2" t="s">
        <v>407</v>
      </c>
      <c r="B363" s="2" t="n">
        <v>10676</v>
      </c>
      <c r="C363" s="2" t="s">
        <v>408</v>
      </c>
      <c r="D363" s="2" t="s">
        <v>64</v>
      </c>
      <c r="E363" s="2" t="str">
        <f aca="false">_xlfn.CONCAT(D363,"-",B363)</f>
        <v>CE - 0000-10676</v>
      </c>
      <c r="F363" s="2" t="n">
        <v>36</v>
      </c>
      <c r="G363" s="2" t="n">
        <v>1694.08</v>
      </c>
    </row>
    <row r="364" customFormat="false" ht="13.8" hidden="false" customHeight="false" outlineLevel="0" collapsed="false">
      <c r="A364" s="2" t="s">
        <v>407</v>
      </c>
      <c r="B364" s="2" t="n">
        <v>10676</v>
      </c>
      <c r="C364" s="2" t="s">
        <v>408</v>
      </c>
      <c r="D364" s="2" t="s">
        <v>68</v>
      </c>
      <c r="E364" s="2" t="str">
        <f aca="false">_xlfn.CONCAT(D364,"-",B364)</f>
        <v>CE - OL 002-10676</v>
      </c>
      <c r="F364" s="2" t="n">
        <v>2</v>
      </c>
      <c r="G364" s="2" t="n">
        <v>102.9</v>
      </c>
    </row>
    <row r="365" customFormat="false" ht="13.8" hidden="false" customHeight="false" outlineLevel="0" collapsed="false">
      <c r="A365" s="2" t="s">
        <v>409</v>
      </c>
      <c r="B365" s="2" t="n">
        <v>3322</v>
      </c>
      <c r="C365" s="2" t="s">
        <v>410</v>
      </c>
      <c r="D365" s="2" t="s">
        <v>67</v>
      </c>
      <c r="E365" s="2" t="str">
        <f aca="false">_xlfn.CONCAT(D365,"-",B365)</f>
        <v>CE - EUROFARMA G7-3322</v>
      </c>
      <c r="F365" s="2" t="n">
        <v>2</v>
      </c>
      <c r="G365" s="2" t="n">
        <v>8.41</v>
      </c>
    </row>
    <row r="366" customFormat="false" ht="13.8" hidden="false" customHeight="false" outlineLevel="0" collapsed="false">
      <c r="A366" s="2" t="s">
        <v>409</v>
      </c>
      <c r="B366" s="2" t="n">
        <v>3322</v>
      </c>
      <c r="C366" s="2" t="s">
        <v>410</v>
      </c>
      <c r="D366" s="2" t="s">
        <v>64</v>
      </c>
      <c r="E366" s="2" t="str">
        <f aca="false">_xlfn.CONCAT(D366,"-",B366)</f>
        <v>CE - 0000-3322</v>
      </c>
      <c r="F366" s="2" t="n">
        <v>551</v>
      </c>
      <c r="G366" s="2" t="n">
        <v>2356.94</v>
      </c>
    </row>
    <row r="367" customFormat="false" ht="13.8" hidden="false" customHeight="false" outlineLevel="0" collapsed="false">
      <c r="A367" s="2" t="s">
        <v>409</v>
      </c>
      <c r="B367" s="2" t="n">
        <v>3322</v>
      </c>
      <c r="C367" s="2" t="s">
        <v>410</v>
      </c>
      <c r="D367" s="2" t="s">
        <v>68</v>
      </c>
      <c r="E367" s="2" t="str">
        <f aca="false">_xlfn.CONCAT(D367,"-",B367)</f>
        <v>CE - OL 002-3322</v>
      </c>
      <c r="F367" s="2" t="n">
        <v>40</v>
      </c>
      <c r="G367" s="2" t="n">
        <v>187.56</v>
      </c>
    </row>
    <row r="368" customFormat="false" ht="13.8" hidden="false" customHeight="false" outlineLevel="0" collapsed="false">
      <c r="A368" s="2" t="s">
        <v>411</v>
      </c>
      <c r="B368" s="2" t="n">
        <v>1946</v>
      </c>
      <c r="C368" s="2" t="s">
        <v>412</v>
      </c>
      <c r="D368" s="2" t="s">
        <v>68</v>
      </c>
      <c r="E368" s="2" t="str">
        <f aca="false">_xlfn.CONCAT(D368,"-",B368)</f>
        <v>CE - OL 002-1946</v>
      </c>
      <c r="F368" s="2" t="n">
        <v>91</v>
      </c>
      <c r="G368" s="2" t="n">
        <v>2013.43</v>
      </c>
    </row>
    <row r="369" customFormat="false" ht="13.8" hidden="false" customHeight="false" outlineLevel="0" collapsed="false">
      <c r="A369" s="2" t="s">
        <v>411</v>
      </c>
      <c r="B369" s="2" t="n">
        <v>1946</v>
      </c>
      <c r="C369" s="2" t="s">
        <v>412</v>
      </c>
      <c r="D369" s="2" t="s">
        <v>64</v>
      </c>
      <c r="E369" s="2" t="str">
        <f aca="false">_xlfn.CONCAT(D369,"-",B369)</f>
        <v>CE - 0000-1946</v>
      </c>
      <c r="F369" s="2" t="n">
        <v>324</v>
      </c>
      <c r="G369" s="2" t="n">
        <v>6037.56</v>
      </c>
    </row>
    <row r="370" customFormat="false" ht="13.8" hidden="false" customHeight="false" outlineLevel="0" collapsed="false">
      <c r="A370" s="2" t="s">
        <v>411</v>
      </c>
      <c r="B370" s="2" t="n">
        <v>1946</v>
      </c>
      <c r="C370" s="2" t="s">
        <v>412</v>
      </c>
      <c r="D370" s="2" t="s">
        <v>67</v>
      </c>
      <c r="E370" s="2" t="str">
        <f aca="false">_xlfn.CONCAT(D370,"-",B370)</f>
        <v>CE - EUROFARMA G7-1946</v>
      </c>
      <c r="F370" s="2" t="n">
        <v>345</v>
      </c>
      <c r="G370" s="2" t="n">
        <v>6550.78</v>
      </c>
    </row>
    <row r="371" customFormat="false" ht="13.8" hidden="false" customHeight="false" outlineLevel="0" collapsed="false">
      <c r="A371" s="2" t="s">
        <v>413</v>
      </c>
      <c r="B371" s="2" t="n">
        <v>1947</v>
      </c>
      <c r="C371" s="2" t="s">
        <v>414</v>
      </c>
      <c r="D371" s="2" t="s">
        <v>67</v>
      </c>
      <c r="E371" s="2" t="str">
        <f aca="false">_xlfn.CONCAT(D371,"-",B371)</f>
        <v>CE - EUROFARMA G7-1947</v>
      </c>
      <c r="F371" s="2" t="n">
        <v>753</v>
      </c>
      <c r="G371" s="2" t="n">
        <v>6302.52</v>
      </c>
    </row>
    <row r="372" customFormat="false" ht="13.8" hidden="false" customHeight="false" outlineLevel="0" collapsed="false">
      <c r="A372" s="2" t="s">
        <v>413</v>
      </c>
      <c r="B372" s="2" t="n">
        <v>1947</v>
      </c>
      <c r="C372" s="2" t="s">
        <v>414</v>
      </c>
      <c r="D372" s="2" t="s">
        <v>64</v>
      </c>
      <c r="E372" s="2" t="str">
        <f aca="false">_xlfn.CONCAT(D372,"-",B372)</f>
        <v>CE - 0000-1947</v>
      </c>
      <c r="F372" s="2" t="n">
        <v>1743</v>
      </c>
      <c r="G372" s="2" t="n">
        <v>13985.56</v>
      </c>
    </row>
    <row r="373" customFormat="false" ht="13.8" hidden="false" customHeight="false" outlineLevel="0" collapsed="false">
      <c r="A373" s="2" t="s">
        <v>413</v>
      </c>
      <c r="B373" s="2" t="n">
        <v>1947</v>
      </c>
      <c r="C373" s="2" t="s">
        <v>414</v>
      </c>
      <c r="D373" s="2" t="s">
        <v>68</v>
      </c>
      <c r="E373" s="2" t="str">
        <f aca="false">_xlfn.CONCAT(D373,"-",B373)</f>
        <v>CE - OL 002-1947</v>
      </c>
      <c r="F373" s="2" t="n">
        <v>104</v>
      </c>
      <c r="G373" s="2" t="n">
        <v>957.3</v>
      </c>
    </row>
    <row r="374" customFormat="false" ht="13.8" hidden="false" customHeight="false" outlineLevel="0" collapsed="false">
      <c r="A374" s="2" t="s">
        <v>415</v>
      </c>
      <c r="B374" s="2" t="n">
        <v>10816</v>
      </c>
      <c r="C374" s="2" t="s">
        <v>416</v>
      </c>
      <c r="D374" s="2" t="s">
        <v>67</v>
      </c>
      <c r="E374" s="2" t="str">
        <f aca="false">_xlfn.CONCAT(D374,"-",B374)</f>
        <v>CE - EUROFARMA G7-10816</v>
      </c>
      <c r="F374" s="2" t="n">
        <v>259</v>
      </c>
      <c r="G374" s="2" t="n">
        <v>3406.63</v>
      </c>
    </row>
    <row r="375" customFormat="false" ht="13.8" hidden="false" customHeight="false" outlineLevel="0" collapsed="false">
      <c r="A375" s="2" t="s">
        <v>415</v>
      </c>
      <c r="B375" s="2" t="n">
        <v>10816</v>
      </c>
      <c r="C375" s="2" t="s">
        <v>416</v>
      </c>
      <c r="D375" s="2" t="s">
        <v>64</v>
      </c>
      <c r="E375" s="2" t="str">
        <f aca="false">_xlfn.CONCAT(D375,"-",B375)</f>
        <v>CE - 0000-10816</v>
      </c>
      <c r="F375" s="2" t="n">
        <v>375</v>
      </c>
      <c r="G375" s="2" t="n">
        <v>4915.18</v>
      </c>
    </row>
    <row r="376" customFormat="false" ht="13.8" hidden="false" customHeight="false" outlineLevel="0" collapsed="false">
      <c r="A376" s="2" t="s">
        <v>415</v>
      </c>
      <c r="B376" s="2" t="n">
        <v>10816</v>
      </c>
      <c r="C376" s="2" t="s">
        <v>416</v>
      </c>
      <c r="D376" s="2" t="s">
        <v>68</v>
      </c>
      <c r="E376" s="2" t="str">
        <f aca="false">_xlfn.CONCAT(D376,"-",B376)</f>
        <v>CE - OL 002-10816</v>
      </c>
      <c r="F376" s="2" t="n">
        <v>101</v>
      </c>
      <c r="G376" s="2" t="n">
        <v>1635.01</v>
      </c>
    </row>
    <row r="377" customFormat="false" ht="13.8" hidden="false" customHeight="false" outlineLevel="0" collapsed="false">
      <c r="A377" s="2" t="s">
        <v>417</v>
      </c>
      <c r="B377" s="2" t="n">
        <v>10819</v>
      </c>
      <c r="C377" s="2" t="s">
        <v>418</v>
      </c>
      <c r="D377" s="2" t="s">
        <v>64</v>
      </c>
      <c r="E377" s="2" t="str">
        <f aca="false">_xlfn.CONCAT(D377,"-",B377)</f>
        <v>CE - 0000-10819</v>
      </c>
      <c r="F377" s="2" t="n">
        <v>108</v>
      </c>
      <c r="G377" s="2" t="n">
        <v>6016.61</v>
      </c>
    </row>
    <row r="378" customFormat="false" ht="13.8" hidden="false" customHeight="false" outlineLevel="0" collapsed="false">
      <c r="A378" s="2" t="s">
        <v>417</v>
      </c>
      <c r="B378" s="2" t="n">
        <v>10819</v>
      </c>
      <c r="C378" s="2" t="s">
        <v>418</v>
      </c>
      <c r="D378" s="2" t="s">
        <v>67</v>
      </c>
      <c r="E378" s="2" t="str">
        <f aca="false">_xlfn.CONCAT(D378,"-",B378)</f>
        <v>CE - EUROFARMA G7-10819</v>
      </c>
      <c r="F378" s="2" t="n">
        <v>50</v>
      </c>
      <c r="G378" s="2" t="n">
        <v>2832.87</v>
      </c>
    </row>
    <row r="379" customFormat="false" ht="13.8" hidden="false" customHeight="false" outlineLevel="0" collapsed="false">
      <c r="A379" s="2" t="s">
        <v>419</v>
      </c>
      <c r="B379" s="2" t="n">
        <v>10817</v>
      </c>
      <c r="C379" s="2" t="s">
        <v>420</v>
      </c>
      <c r="D379" s="2" t="s">
        <v>68</v>
      </c>
      <c r="E379" s="2" t="str">
        <f aca="false">_xlfn.CONCAT(D379,"-",B379)</f>
        <v>CE - OL 002-10817</v>
      </c>
      <c r="F379" s="2" t="n">
        <v>18</v>
      </c>
      <c r="G379" s="2" t="n">
        <v>236.54</v>
      </c>
    </row>
    <row r="380" customFormat="false" ht="13.8" hidden="false" customHeight="false" outlineLevel="0" collapsed="false">
      <c r="A380" s="2" t="s">
        <v>419</v>
      </c>
      <c r="B380" s="2" t="n">
        <v>10817</v>
      </c>
      <c r="C380" s="2" t="s">
        <v>420</v>
      </c>
      <c r="D380" s="2" t="s">
        <v>64</v>
      </c>
      <c r="E380" s="2" t="str">
        <f aca="false">_xlfn.CONCAT(D380,"-",B380)</f>
        <v>CE - 0000-10817</v>
      </c>
      <c r="F380" s="2" t="n">
        <v>94</v>
      </c>
      <c r="G380" s="2" t="n">
        <v>1103.67</v>
      </c>
    </row>
    <row r="381" customFormat="false" ht="13.8" hidden="false" customHeight="false" outlineLevel="0" collapsed="false">
      <c r="A381" s="2" t="s">
        <v>419</v>
      </c>
      <c r="B381" s="2" t="n">
        <v>10817</v>
      </c>
      <c r="C381" s="2" t="s">
        <v>420</v>
      </c>
      <c r="D381" s="2" t="s">
        <v>67</v>
      </c>
      <c r="E381" s="2" t="str">
        <f aca="false">_xlfn.CONCAT(D381,"-",B381)</f>
        <v>CE - EUROFARMA G7-10817</v>
      </c>
      <c r="F381" s="2" t="n">
        <v>62</v>
      </c>
      <c r="G381" s="2" t="n">
        <v>741.25</v>
      </c>
    </row>
    <row r="382" customFormat="false" ht="13.8" hidden="false" customHeight="false" outlineLevel="0" collapsed="false">
      <c r="A382" s="2" t="s">
        <v>421</v>
      </c>
      <c r="B382" s="2" t="n">
        <v>10818</v>
      </c>
      <c r="C382" s="2" t="s">
        <v>422</v>
      </c>
      <c r="D382" s="2" t="s">
        <v>64</v>
      </c>
      <c r="E382" s="2" t="str">
        <f aca="false">_xlfn.CONCAT(D382,"-",B382)</f>
        <v>CE - 0000-10818</v>
      </c>
      <c r="F382" s="2" t="n">
        <v>142</v>
      </c>
      <c r="G382" s="2" t="n">
        <v>3958.22</v>
      </c>
    </row>
    <row r="383" customFormat="false" ht="13.8" hidden="false" customHeight="false" outlineLevel="0" collapsed="false">
      <c r="A383" s="2" t="s">
        <v>421</v>
      </c>
      <c r="B383" s="2" t="n">
        <v>10818</v>
      </c>
      <c r="C383" s="2" t="s">
        <v>422</v>
      </c>
      <c r="D383" s="2" t="s">
        <v>68</v>
      </c>
      <c r="E383" s="2" t="str">
        <f aca="false">_xlfn.CONCAT(D383,"-",B383)</f>
        <v>CE - OL 002-10818</v>
      </c>
      <c r="F383" s="2" t="n">
        <v>5</v>
      </c>
      <c r="G383" s="2" t="n">
        <v>152.78</v>
      </c>
    </row>
    <row r="384" customFormat="false" ht="13.8" hidden="false" customHeight="false" outlineLevel="0" collapsed="false">
      <c r="A384" s="2" t="s">
        <v>421</v>
      </c>
      <c r="B384" s="2" t="n">
        <v>10818</v>
      </c>
      <c r="C384" s="2" t="s">
        <v>422</v>
      </c>
      <c r="D384" s="2" t="s">
        <v>67</v>
      </c>
      <c r="E384" s="2" t="str">
        <f aca="false">_xlfn.CONCAT(D384,"-",B384)</f>
        <v>CE - EUROFARMA G7-10818</v>
      </c>
      <c r="F384" s="2" t="n">
        <v>111</v>
      </c>
      <c r="G384" s="2" t="n">
        <v>3129.02</v>
      </c>
    </row>
    <row r="385" customFormat="false" ht="13.8" hidden="false" customHeight="false" outlineLevel="0" collapsed="false">
      <c r="A385" s="2" t="s">
        <v>423</v>
      </c>
      <c r="B385" s="2" t="n">
        <v>10367</v>
      </c>
      <c r="C385" s="2" t="s">
        <v>424</v>
      </c>
      <c r="D385" s="2" t="s">
        <v>64</v>
      </c>
      <c r="E385" s="2" t="str">
        <f aca="false">_xlfn.CONCAT(D385,"-",B385)</f>
        <v>CE - 0000-10367</v>
      </c>
      <c r="F385" s="2" t="n">
        <v>664</v>
      </c>
      <c r="G385" s="2" t="n">
        <v>12778.66</v>
      </c>
    </row>
    <row r="386" customFormat="false" ht="13.8" hidden="false" customHeight="false" outlineLevel="0" collapsed="false">
      <c r="A386" s="2" t="s">
        <v>423</v>
      </c>
      <c r="B386" s="2" t="n">
        <v>10367</v>
      </c>
      <c r="C386" s="2" t="s">
        <v>424</v>
      </c>
      <c r="D386" s="2" t="s">
        <v>68</v>
      </c>
      <c r="E386" s="2" t="str">
        <f aca="false">_xlfn.CONCAT(D386,"-",B386)</f>
        <v>CE - OL 002-10367</v>
      </c>
      <c r="F386" s="2" t="n">
        <v>53</v>
      </c>
      <c r="G386" s="2" t="n">
        <v>1222.77</v>
      </c>
    </row>
    <row r="387" customFormat="false" ht="13.8" hidden="false" customHeight="false" outlineLevel="0" collapsed="false">
      <c r="A387" s="2" t="s">
        <v>423</v>
      </c>
      <c r="B387" s="2" t="n">
        <v>10367</v>
      </c>
      <c r="C387" s="2" t="s">
        <v>424</v>
      </c>
      <c r="D387" s="2" t="s">
        <v>67</v>
      </c>
      <c r="E387" s="2" t="str">
        <f aca="false">_xlfn.CONCAT(D387,"-",B387)</f>
        <v>CE - EUROFARMA G7-10367</v>
      </c>
      <c r="F387" s="2" t="n">
        <v>183</v>
      </c>
      <c r="G387" s="2" t="n">
        <v>3412.62</v>
      </c>
    </row>
    <row r="388" customFormat="false" ht="13.8" hidden="false" customHeight="false" outlineLevel="0" collapsed="false">
      <c r="A388" s="2" t="s">
        <v>425</v>
      </c>
      <c r="B388" s="2" t="n">
        <v>10514</v>
      </c>
      <c r="C388" s="2" t="s">
        <v>426</v>
      </c>
      <c r="D388" s="2" t="s">
        <v>67</v>
      </c>
      <c r="E388" s="2" t="str">
        <f aca="false">_xlfn.CONCAT(D388,"-",B388)</f>
        <v>CE - EUROFARMA G7-10514</v>
      </c>
      <c r="F388" s="2" t="n">
        <v>144</v>
      </c>
      <c r="G388" s="2" t="n">
        <v>2943.39</v>
      </c>
    </row>
    <row r="389" customFormat="false" ht="13.8" hidden="false" customHeight="false" outlineLevel="0" collapsed="false">
      <c r="A389" s="2" t="s">
        <v>425</v>
      </c>
      <c r="B389" s="2" t="n">
        <v>10514</v>
      </c>
      <c r="C389" s="2" t="s">
        <v>426</v>
      </c>
      <c r="D389" s="2" t="s">
        <v>64</v>
      </c>
      <c r="E389" s="2" t="str">
        <f aca="false">_xlfn.CONCAT(D389,"-",B389)</f>
        <v>CE - 0000-10514</v>
      </c>
      <c r="F389" s="2" t="n">
        <v>741</v>
      </c>
      <c r="G389" s="2" t="n">
        <v>15751.49</v>
      </c>
    </row>
    <row r="390" customFormat="false" ht="13.8" hidden="false" customHeight="false" outlineLevel="0" collapsed="false">
      <c r="A390" s="2" t="s">
        <v>425</v>
      </c>
      <c r="B390" s="2" t="n">
        <v>10514</v>
      </c>
      <c r="C390" s="2" t="s">
        <v>426</v>
      </c>
      <c r="D390" s="2" t="s">
        <v>66</v>
      </c>
      <c r="E390" s="2" t="str">
        <f aca="false">_xlfn.CONCAT(D390,"-",B390)</f>
        <v>CE - OL 001-10514</v>
      </c>
      <c r="F390" s="2" t="n">
        <v>3</v>
      </c>
      <c r="G390" s="2" t="n">
        <v>76.71</v>
      </c>
    </row>
    <row r="391" customFormat="false" ht="13.8" hidden="false" customHeight="false" outlineLevel="0" collapsed="false">
      <c r="A391" s="2" t="s">
        <v>425</v>
      </c>
      <c r="B391" s="2" t="n">
        <v>10514</v>
      </c>
      <c r="C391" s="2" t="s">
        <v>426</v>
      </c>
      <c r="D391" s="2" t="s">
        <v>68</v>
      </c>
      <c r="E391" s="2" t="str">
        <f aca="false">_xlfn.CONCAT(D391,"-",B391)</f>
        <v>CE - OL 002-10514</v>
      </c>
      <c r="F391" s="2" t="n">
        <v>69</v>
      </c>
      <c r="G391" s="2" t="n">
        <v>1793.09</v>
      </c>
    </row>
    <row r="392" customFormat="false" ht="13.8" hidden="false" customHeight="false" outlineLevel="0" collapsed="false">
      <c r="A392" s="2" t="s">
        <v>427</v>
      </c>
      <c r="B392" s="2" t="n">
        <v>10521</v>
      </c>
      <c r="C392" s="2" t="s">
        <v>428</v>
      </c>
      <c r="D392" s="2" t="s">
        <v>66</v>
      </c>
      <c r="E392" s="2" t="str">
        <f aca="false">_xlfn.CONCAT(D392,"-",B392)</f>
        <v>CE - OL 001-10521</v>
      </c>
      <c r="F392" s="2" t="n">
        <v>3</v>
      </c>
      <c r="G392" s="2" t="n">
        <v>76.71</v>
      </c>
    </row>
    <row r="393" customFormat="false" ht="13.8" hidden="false" customHeight="false" outlineLevel="0" collapsed="false">
      <c r="A393" s="2" t="s">
        <v>427</v>
      </c>
      <c r="B393" s="2" t="n">
        <v>10521</v>
      </c>
      <c r="C393" s="2" t="s">
        <v>428</v>
      </c>
      <c r="D393" s="2" t="s">
        <v>64</v>
      </c>
      <c r="E393" s="2" t="str">
        <f aca="false">_xlfn.CONCAT(D393,"-",B393)</f>
        <v>CE - 0000-10521</v>
      </c>
      <c r="F393" s="2" t="n">
        <v>1253</v>
      </c>
      <c r="G393" s="2" t="n">
        <v>26850.4</v>
      </c>
    </row>
    <row r="394" customFormat="false" ht="13.8" hidden="false" customHeight="false" outlineLevel="0" collapsed="false">
      <c r="A394" s="2" t="s">
        <v>427</v>
      </c>
      <c r="B394" s="2" t="n">
        <v>10521</v>
      </c>
      <c r="C394" s="2" t="s">
        <v>428</v>
      </c>
      <c r="D394" s="2" t="s">
        <v>68</v>
      </c>
      <c r="E394" s="2" t="str">
        <f aca="false">_xlfn.CONCAT(D394,"-",B394)</f>
        <v>CE - OL 002-10521</v>
      </c>
      <c r="F394" s="2" t="n">
        <v>89</v>
      </c>
      <c r="G394" s="2" t="n">
        <v>2267.63</v>
      </c>
    </row>
    <row r="395" customFormat="false" ht="13.8" hidden="false" customHeight="false" outlineLevel="0" collapsed="false">
      <c r="A395" s="2" t="s">
        <v>427</v>
      </c>
      <c r="B395" s="2" t="n">
        <v>10521</v>
      </c>
      <c r="C395" s="2" t="s">
        <v>428</v>
      </c>
      <c r="D395" s="2" t="s">
        <v>67</v>
      </c>
      <c r="E395" s="2" t="str">
        <f aca="false">_xlfn.CONCAT(D395,"-",B395)</f>
        <v>CE - EUROFARMA G7-10521</v>
      </c>
      <c r="F395" s="2" t="n">
        <v>527</v>
      </c>
      <c r="G395" s="2" t="n">
        <v>11019.69</v>
      </c>
    </row>
    <row r="396" customFormat="false" ht="13.8" hidden="false" customHeight="false" outlineLevel="0" collapsed="false">
      <c r="A396" s="2" t="s">
        <v>429</v>
      </c>
      <c r="B396" s="2" t="n">
        <v>11392</v>
      </c>
      <c r="C396" s="2" t="s">
        <v>430</v>
      </c>
      <c r="D396" s="2" t="s">
        <v>68</v>
      </c>
      <c r="E396" s="2" t="str">
        <f aca="false">_xlfn.CONCAT(D396,"-",B396)</f>
        <v>CE - OL 002-11392</v>
      </c>
      <c r="F396" s="2" t="n">
        <v>57</v>
      </c>
      <c r="G396" s="2" t="n">
        <v>1473.98</v>
      </c>
    </row>
    <row r="397" customFormat="false" ht="13.8" hidden="false" customHeight="false" outlineLevel="0" collapsed="false">
      <c r="A397" s="2" t="s">
        <v>429</v>
      </c>
      <c r="B397" s="2" t="n">
        <v>11392</v>
      </c>
      <c r="C397" s="2" t="s">
        <v>430</v>
      </c>
      <c r="D397" s="2" t="s">
        <v>64</v>
      </c>
      <c r="E397" s="2" t="str">
        <f aca="false">_xlfn.CONCAT(D397,"-",B397)</f>
        <v>CE - 0000-11392</v>
      </c>
      <c r="F397" s="2" t="n">
        <v>515</v>
      </c>
      <c r="G397" s="2" t="n">
        <v>11565.24</v>
      </c>
    </row>
    <row r="398" customFormat="false" ht="13.8" hidden="false" customHeight="false" outlineLevel="0" collapsed="false">
      <c r="A398" s="2" t="s">
        <v>429</v>
      </c>
      <c r="B398" s="2" t="n">
        <v>11392</v>
      </c>
      <c r="C398" s="2" t="s">
        <v>430</v>
      </c>
      <c r="D398" s="2" t="s">
        <v>67</v>
      </c>
      <c r="E398" s="2" t="str">
        <f aca="false">_xlfn.CONCAT(D398,"-",B398)</f>
        <v>CE - EUROFARMA G7-11392</v>
      </c>
      <c r="F398" s="2" t="n">
        <v>225</v>
      </c>
      <c r="G398" s="2" t="n">
        <v>4944.16</v>
      </c>
    </row>
    <row r="399" customFormat="false" ht="13.8" hidden="false" customHeight="false" outlineLevel="0" collapsed="false">
      <c r="A399" s="2" t="s">
        <v>431</v>
      </c>
      <c r="B399" s="2" t="n">
        <v>11697</v>
      </c>
      <c r="C399" s="2" t="s">
        <v>432</v>
      </c>
      <c r="D399" s="2" t="s">
        <v>64</v>
      </c>
      <c r="E399" s="2" t="str">
        <f aca="false">_xlfn.CONCAT(D399,"-",B399)</f>
        <v>CE - 0000-11697</v>
      </c>
      <c r="F399" s="2" t="n">
        <v>681</v>
      </c>
      <c r="G399" s="2" t="n">
        <v>16102.78</v>
      </c>
    </row>
    <row r="400" customFormat="false" ht="13.8" hidden="false" customHeight="false" outlineLevel="0" collapsed="false">
      <c r="A400" s="2" t="s">
        <v>431</v>
      </c>
      <c r="B400" s="2" t="n">
        <v>11697</v>
      </c>
      <c r="C400" s="2" t="s">
        <v>432</v>
      </c>
      <c r="D400" s="2" t="s">
        <v>66</v>
      </c>
      <c r="E400" s="2" t="str">
        <f aca="false">_xlfn.CONCAT(D400,"-",B400)</f>
        <v>CE - OL 001-11697</v>
      </c>
      <c r="F400" s="2" t="n">
        <v>2</v>
      </c>
      <c r="G400" s="2" t="n">
        <v>52.78</v>
      </c>
    </row>
    <row r="401" customFormat="false" ht="13.8" hidden="false" customHeight="false" outlineLevel="0" collapsed="false">
      <c r="A401" s="2" t="s">
        <v>431</v>
      </c>
      <c r="B401" s="2" t="n">
        <v>11697</v>
      </c>
      <c r="C401" s="2" t="s">
        <v>432</v>
      </c>
      <c r="D401" s="2" t="s">
        <v>67</v>
      </c>
      <c r="E401" s="2" t="str">
        <f aca="false">_xlfn.CONCAT(D401,"-",B401)</f>
        <v>CE - EUROFARMA G7-11697</v>
      </c>
      <c r="F401" s="2" t="n">
        <v>293</v>
      </c>
      <c r="G401" s="2" t="n">
        <v>6698.2</v>
      </c>
    </row>
    <row r="402" customFormat="false" ht="13.8" hidden="false" customHeight="false" outlineLevel="0" collapsed="false">
      <c r="A402" s="2" t="s">
        <v>431</v>
      </c>
      <c r="B402" s="2" t="n">
        <v>11697</v>
      </c>
      <c r="C402" s="2" t="s">
        <v>432</v>
      </c>
      <c r="D402" s="2" t="s">
        <v>68</v>
      </c>
      <c r="E402" s="2" t="str">
        <f aca="false">_xlfn.CONCAT(D402,"-",B402)</f>
        <v>CE - OL 002-11697</v>
      </c>
      <c r="F402" s="2" t="n">
        <v>60</v>
      </c>
      <c r="G402" s="2" t="n">
        <v>1609.52</v>
      </c>
    </row>
    <row r="403" customFormat="false" ht="13.8" hidden="false" customHeight="false" outlineLevel="0" collapsed="false">
      <c r="A403" s="2" t="s">
        <v>433</v>
      </c>
      <c r="B403" s="2" t="n">
        <v>10794</v>
      </c>
      <c r="C403" s="2" t="s">
        <v>434</v>
      </c>
      <c r="D403" s="2" t="s">
        <v>68</v>
      </c>
      <c r="E403" s="2" t="str">
        <f aca="false">_xlfn.CONCAT(D403,"-",B403)</f>
        <v>CE - OL 002-10794</v>
      </c>
      <c r="F403" s="2" t="n">
        <v>34</v>
      </c>
      <c r="G403" s="2" t="n">
        <v>368.94</v>
      </c>
    </row>
    <row r="404" customFormat="false" ht="13.8" hidden="false" customHeight="false" outlineLevel="0" collapsed="false">
      <c r="A404" s="2" t="s">
        <v>433</v>
      </c>
      <c r="B404" s="2" t="n">
        <v>10794</v>
      </c>
      <c r="C404" s="2" t="s">
        <v>434</v>
      </c>
      <c r="D404" s="2" t="s">
        <v>67</v>
      </c>
      <c r="E404" s="2" t="str">
        <f aca="false">_xlfn.CONCAT(D404,"-",B404)</f>
        <v>CE - EUROFARMA G7-10794</v>
      </c>
      <c r="F404" s="2" t="n">
        <v>998</v>
      </c>
      <c r="G404" s="2" t="n">
        <v>9272.9</v>
      </c>
    </row>
    <row r="405" customFormat="false" ht="13.8" hidden="false" customHeight="false" outlineLevel="0" collapsed="false">
      <c r="A405" s="2" t="s">
        <v>433</v>
      </c>
      <c r="B405" s="2" t="n">
        <v>10794</v>
      </c>
      <c r="C405" s="2" t="s">
        <v>434</v>
      </c>
      <c r="D405" s="2" t="s">
        <v>64</v>
      </c>
      <c r="E405" s="2" t="str">
        <f aca="false">_xlfn.CONCAT(D405,"-",B405)</f>
        <v>CE - 0000-10794</v>
      </c>
      <c r="F405" s="2" t="n">
        <v>215</v>
      </c>
      <c r="G405" s="2" t="n">
        <v>1978.73</v>
      </c>
    </row>
    <row r="406" customFormat="false" ht="13.8" hidden="false" customHeight="false" outlineLevel="0" collapsed="false">
      <c r="A406" s="2" t="s">
        <v>435</v>
      </c>
      <c r="B406" s="2" t="n">
        <v>10795</v>
      </c>
      <c r="C406" s="2" t="s">
        <v>436</v>
      </c>
      <c r="D406" s="2" t="s">
        <v>64</v>
      </c>
      <c r="E406" s="2" t="str">
        <f aca="false">_xlfn.CONCAT(D406,"-",B406)</f>
        <v>CE - 0000-10795</v>
      </c>
      <c r="F406" s="2" t="n">
        <v>95</v>
      </c>
      <c r="G406" s="2" t="n">
        <v>2259.98</v>
      </c>
    </row>
    <row r="407" customFormat="false" ht="13.8" hidden="false" customHeight="false" outlineLevel="0" collapsed="false">
      <c r="A407" s="2" t="s">
        <v>435</v>
      </c>
      <c r="B407" s="2" t="n">
        <v>10795</v>
      </c>
      <c r="C407" s="2" t="s">
        <v>436</v>
      </c>
      <c r="D407" s="2" t="s">
        <v>67</v>
      </c>
      <c r="E407" s="2" t="str">
        <f aca="false">_xlfn.CONCAT(D407,"-",B407)</f>
        <v>CE - EUROFARMA G7-10795</v>
      </c>
      <c r="F407" s="2" t="n">
        <v>332</v>
      </c>
      <c r="G407" s="2" t="n">
        <v>7625.7</v>
      </c>
    </row>
    <row r="408" customFormat="false" ht="13.8" hidden="false" customHeight="false" outlineLevel="0" collapsed="false">
      <c r="A408" s="2" t="s">
        <v>437</v>
      </c>
      <c r="B408" s="2" t="n">
        <v>21968</v>
      </c>
      <c r="C408" s="2" t="s">
        <v>438</v>
      </c>
      <c r="D408" s="2" t="s">
        <v>68</v>
      </c>
      <c r="E408" s="2" t="str">
        <f aca="false">_xlfn.CONCAT(D408,"-",B408)</f>
        <v>CE - OL 002-21968</v>
      </c>
      <c r="F408" s="2" t="n">
        <v>249</v>
      </c>
      <c r="G408" s="2" t="n">
        <v>1155.61</v>
      </c>
    </row>
    <row r="409" customFormat="false" ht="13.8" hidden="false" customHeight="false" outlineLevel="0" collapsed="false">
      <c r="A409" s="2" t="s">
        <v>437</v>
      </c>
      <c r="B409" s="2" t="n">
        <v>21968</v>
      </c>
      <c r="C409" s="2" t="s">
        <v>438</v>
      </c>
      <c r="D409" s="2" t="s">
        <v>64</v>
      </c>
      <c r="E409" s="2" t="str">
        <f aca="false">_xlfn.CONCAT(D409,"-",B409)</f>
        <v>CE - 0000-21968</v>
      </c>
      <c r="F409" s="2" t="n">
        <v>2424</v>
      </c>
      <c r="G409" s="2" t="n">
        <v>9822.28</v>
      </c>
    </row>
    <row r="410" customFormat="false" ht="13.8" hidden="false" customHeight="false" outlineLevel="0" collapsed="false">
      <c r="A410" s="2" t="s">
        <v>437</v>
      </c>
      <c r="B410" s="2" t="n">
        <v>21968</v>
      </c>
      <c r="C410" s="2" t="s">
        <v>438</v>
      </c>
      <c r="D410" s="2" t="s">
        <v>66</v>
      </c>
      <c r="E410" s="2" t="str">
        <f aca="false">_xlfn.CONCAT(D410,"-",B410)</f>
        <v>CE - OL 001-21968</v>
      </c>
      <c r="F410" s="2" t="n">
        <v>10</v>
      </c>
      <c r="G410" s="2" t="n">
        <v>44.72</v>
      </c>
    </row>
    <row r="411" customFormat="false" ht="13.8" hidden="false" customHeight="false" outlineLevel="0" collapsed="false">
      <c r="A411" s="2" t="s">
        <v>439</v>
      </c>
      <c r="B411" s="2" t="n">
        <v>21165</v>
      </c>
      <c r="C411" s="2" t="s">
        <v>440</v>
      </c>
      <c r="D411" s="2" t="s">
        <v>67</v>
      </c>
      <c r="E411" s="2" t="str">
        <f aca="false">_xlfn.CONCAT(D411,"-",B411)</f>
        <v>CE - EUROFARMA G7-21165</v>
      </c>
      <c r="F411" s="2" t="n">
        <v>171</v>
      </c>
      <c r="G411" s="2" t="n">
        <v>1436.23</v>
      </c>
    </row>
    <row r="412" customFormat="false" ht="13.8" hidden="false" customHeight="false" outlineLevel="0" collapsed="false">
      <c r="A412" s="2" t="s">
        <v>439</v>
      </c>
      <c r="B412" s="2" t="n">
        <v>21165</v>
      </c>
      <c r="C412" s="2" t="s">
        <v>440</v>
      </c>
      <c r="D412" s="2" t="s">
        <v>64</v>
      </c>
      <c r="E412" s="2" t="str">
        <f aca="false">_xlfn.CONCAT(D412,"-",B412)</f>
        <v>CE - 0000-21165</v>
      </c>
      <c r="F412" s="2" t="n">
        <v>1996</v>
      </c>
      <c r="G412" s="2" t="n">
        <v>16779.02</v>
      </c>
    </row>
    <row r="413" customFormat="false" ht="13.8" hidden="false" customHeight="false" outlineLevel="0" collapsed="false">
      <c r="A413" s="2" t="s">
        <v>439</v>
      </c>
      <c r="B413" s="2" t="n">
        <v>21165</v>
      </c>
      <c r="C413" s="2" t="s">
        <v>440</v>
      </c>
      <c r="D413" s="2" t="s">
        <v>68</v>
      </c>
      <c r="E413" s="2" t="str">
        <f aca="false">_xlfn.CONCAT(D413,"-",B413)</f>
        <v>CE - OL 002-21165</v>
      </c>
      <c r="F413" s="2" t="n">
        <v>121</v>
      </c>
      <c r="G413" s="2" t="n">
        <v>1118.22</v>
      </c>
    </row>
    <row r="414" customFormat="false" ht="13.8" hidden="false" customHeight="false" outlineLevel="0" collapsed="false">
      <c r="A414" s="2" t="s">
        <v>441</v>
      </c>
      <c r="B414" s="2" t="n">
        <v>10814</v>
      </c>
      <c r="C414" s="2" t="s">
        <v>442</v>
      </c>
      <c r="D414" s="2" t="s">
        <v>64</v>
      </c>
      <c r="E414" s="2" t="str">
        <f aca="false">_xlfn.CONCAT(D414,"-",B414)</f>
        <v>CE - 0000-10814</v>
      </c>
      <c r="F414" s="2" t="n">
        <v>141</v>
      </c>
      <c r="G414" s="2" t="n">
        <v>1381.58</v>
      </c>
    </row>
    <row r="415" customFormat="false" ht="13.8" hidden="false" customHeight="false" outlineLevel="0" collapsed="false">
      <c r="A415" s="2" t="s">
        <v>441</v>
      </c>
      <c r="B415" s="2" t="n">
        <v>10814</v>
      </c>
      <c r="C415" s="2" t="s">
        <v>442</v>
      </c>
      <c r="D415" s="2" t="s">
        <v>67</v>
      </c>
      <c r="E415" s="2" t="str">
        <f aca="false">_xlfn.CONCAT(D415,"-",B415)</f>
        <v>CE - EUROFARMA G7-10814</v>
      </c>
      <c r="F415" s="2" t="n">
        <v>127</v>
      </c>
      <c r="G415" s="2" t="n">
        <v>1248.69</v>
      </c>
    </row>
    <row r="416" customFormat="false" ht="13.8" hidden="false" customHeight="false" outlineLevel="0" collapsed="false">
      <c r="A416" s="2" t="s">
        <v>443</v>
      </c>
      <c r="B416" s="2" t="n">
        <v>10820</v>
      </c>
      <c r="C416" s="2" t="s">
        <v>444</v>
      </c>
      <c r="D416" s="2" t="s">
        <v>64</v>
      </c>
      <c r="E416" s="2" t="str">
        <f aca="false">_xlfn.CONCAT(D416,"-",B416)</f>
        <v>CE - 0000-10820</v>
      </c>
      <c r="F416" s="2" t="n">
        <v>81</v>
      </c>
      <c r="G416" s="2" t="n">
        <v>1535.15</v>
      </c>
    </row>
    <row r="417" customFormat="false" ht="13.8" hidden="false" customHeight="false" outlineLevel="0" collapsed="false">
      <c r="A417" s="2" t="s">
        <v>443</v>
      </c>
      <c r="B417" s="2" t="n">
        <v>10820</v>
      </c>
      <c r="C417" s="2" t="s">
        <v>444</v>
      </c>
      <c r="D417" s="2" t="s">
        <v>67</v>
      </c>
      <c r="E417" s="2" t="str">
        <f aca="false">_xlfn.CONCAT(D417,"-",B417)</f>
        <v>CE - EUROFARMA G7-10820</v>
      </c>
      <c r="F417" s="2" t="n">
        <v>185</v>
      </c>
      <c r="G417" s="2" t="n">
        <v>3495.62</v>
      </c>
    </row>
    <row r="418" customFormat="false" ht="13.8" hidden="false" customHeight="false" outlineLevel="0" collapsed="false">
      <c r="A418" s="2" t="s">
        <v>445</v>
      </c>
      <c r="B418" s="2" t="n">
        <v>35</v>
      </c>
      <c r="C418" s="2" t="s">
        <v>446</v>
      </c>
      <c r="D418" s="2" t="s">
        <v>64</v>
      </c>
      <c r="E418" s="2" t="str">
        <f aca="false">_xlfn.CONCAT(D418,"-",B418)</f>
        <v>CE - 0000-35</v>
      </c>
      <c r="F418" s="2" t="n">
        <v>37</v>
      </c>
      <c r="G418" s="2" t="n">
        <v>1020.08</v>
      </c>
    </row>
    <row r="419" customFormat="false" ht="13.8" hidden="false" customHeight="false" outlineLevel="0" collapsed="false">
      <c r="A419" s="2" t="s">
        <v>445</v>
      </c>
      <c r="B419" s="2" t="n">
        <v>35</v>
      </c>
      <c r="C419" s="2" t="s">
        <v>446</v>
      </c>
      <c r="D419" s="2" t="s">
        <v>67</v>
      </c>
      <c r="E419" s="2" t="str">
        <f aca="false">_xlfn.CONCAT(D419,"-",B419)</f>
        <v>CE - EUROFARMA G7-35</v>
      </c>
      <c r="F419" s="2" t="n">
        <v>11</v>
      </c>
      <c r="G419" s="2" t="n">
        <v>307.3</v>
      </c>
    </row>
    <row r="420" customFormat="false" ht="13.8" hidden="false" customHeight="false" outlineLevel="0" collapsed="false">
      <c r="A420" s="2" t="s">
        <v>447</v>
      </c>
      <c r="B420" s="2" t="n">
        <v>10803</v>
      </c>
      <c r="C420" s="2" t="s">
        <v>448</v>
      </c>
      <c r="D420" s="2" t="s">
        <v>67</v>
      </c>
      <c r="E420" s="2" t="str">
        <f aca="false">_xlfn.CONCAT(D420,"-",B420)</f>
        <v>CE - EUROFARMA G7-10803</v>
      </c>
      <c r="F420" s="2" t="n">
        <v>217</v>
      </c>
      <c r="G420" s="2" t="n">
        <v>3496.58</v>
      </c>
    </row>
    <row r="421" customFormat="false" ht="13.8" hidden="false" customHeight="false" outlineLevel="0" collapsed="false">
      <c r="A421" s="2" t="s">
        <v>447</v>
      </c>
      <c r="B421" s="2" t="n">
        <v>10803</v>
      </c>
      <c r="C421" s="2" t="s">
        <v>448</v>
      </c>
      <c r="D421" s="2" t="s">
        <v>64</v>
      </c>
      <c r="E421" s="2" t="str">
        <f aca="false">_xlfn.CONCAT(D421,"-",B421)</f>
        <v>CE - 0000-10803</v>
      </c>
      <c r="F421" s="2" t="n">
        <v>105</v>
      </c>
      <c r="G421" s="2" t="n">
        <v>1666.37</v>
      </c>
    </row>
    <row r="422" customFormat="false" ht="13.8" hidden="false" customHeight="false" outlineLevel="0" collapsed="false">
      <c r="A422" s="2" t="s">
        <v>447</v>
      </c>
      <c r="B422" s="2" t="n">
        <v>10803</v>
      </c>
      <c r="C422" s="2" t="s">
        <v>448</v>
      </c>
      <c r="D422" s="2" t="s">
        <v>68</v>
      </c>
      <c r="E422" s="2" t="str">
        <f aca="false">_xlfn.CONCAT(D422,"-",B422)</f>
        <v>CE - OL 002-10803</v>
      </c>
      <c r="F422" s="2" t="n">
        <v>27</v>
      </c>
      <c r="G422" s="2" t="n">
        <v>522.96</v>
      </c>
    </row>
    <row r="423" customFormat="false" ht="13.8" hidden="false" customHeight="false" outlineLevel="0" collapsed="false">
      <c r="A423" s="2" t="s">
        <v>449</v>
      </c>
      <c r="B423" s="2" t="n">
        <v>873</v>
      </c>
      <c r="C423" s="2" t="s">
        <v>450</v>
      </c>
      <c r="D423" s="2" t="s">
        <v>68</v>
      </c>
      <c r="E423" s="2" t="str">
        <f aca="false">_xlfn.CONCAT(D423,"-",B423)</f>
        <v>CE - OL 002-873</v>
      </c>
      <c r="F423" s="2" t="n">
        <v>1</v>
      </c>
      <c r="G423" s="2" t="n">
        <v>68.26</v>
      </c>
    </row>
    <row r="424" customFormat="false" ht="13.8" hidden="false" customHeight="false" outlineLevel="0" collapsed="false">
      <c r="A424" s="2" t="s">
        <v>449</v>
      </c>
      <c r="B424" s="2" t="n">
        <v>873</v>
      </c>
      <c r="C424" s="2" t="s">
        <v>450</v>
      </c>
      <c r="D424" s="2" t="s">
        <v>67</v>
      </c>
      <c r="E424" s="2" t="str">
        <f aca="false">_xlfn.CONCAT(D424,"-",B424)</f>
        <v>CE - EUROFARMA G7-873</v>
      </c>
      <c r="F424" s="2" t="n">
        <v>6</v>
      </c>
      <c r="G424" s="2" t="n">
        <v>394.03</v>
      </c>
    </row>
    <row r="425" customFormat="false" ht="13.8" hidden="false" customHeight="false" outlineLevel="0" collapsed="false">
      <c r="A425" s="2" t="s">
        <v>449</v>
      </c>
      <c r="B425" s="2" t="n">
        <v>873</v>
      </c>
      <c r="C425" s="2" t="s">
        <v>450</v>
      </c>
      <c r="D425" s="2" t="s">
        <v>64</v>
      </c>
      <c r="E425" s="2" t="str">
        <f aca="false">_xlfn.CONCAT(D425,"-",B425)</f>
        <v>CE - 0000-873</v>
      </c>
      <c r="F425" s="2" t="n">
        <v>31</v>
      </c>
      <c r="G425" s="2" t="n">
        <v>1920.32</v>
      </c>
    </row>
    <row r="426" customFormat="false" ht="13.8" hidden="false" customHeight="false" outlineLevel="0" collapsed="false">
      <c r="A426" s="2" t="s">
        <v>451</v>
      </c>
      <c r="B426" s="2" t="n">
        <v>14291</v>
      </c>
      <c r="C426" s="2" t="s">
        <v>452</v>
      </c>
      <c r="D426" s="2" t="s">
        <v>64</v>
      </c>
      <c r="E426" s="2" t="str">
        <f aca="false">_xlfn.CONCAT(D426,"-",B426)</f>
        <v>CE - 0000-14291</v>
      </c>
      <c r="F426" s="2" t="n">
        <v>9</v>
      </c>
      <c r="G426" s="2" t="n">
        <v>298.15</v>
      </c>
    </row>
    <row r="427" customFormat="false" ht="13.8" hidden="false" customHeight="false" outlineLevel="0" collapsed="false">
      <c r="A427" s="2" t="s">
        <v>453</v>
      </c>
      <c r="B427" s="2" t="n">
        <v>14292</v>
      </c>
      <c r="C427" s="2" t="s">
        <v>454</v>
      </c>
      <c r="D427" s="2" t="s">
        <v>67</v>
      </c>
      <c r="E427" s="2" t="str">
        <f aca="false">_xlfn.CONCAT(D427,"-",B427)</f>
        <v>CE - EUROFARMA G7-14292</v>
      </c>
      <c r="F427" s="2" t="n">
        <v>2</v>
      </c>
      <c r="G427" s="2" t="n">
        <v>281.78</v>
      </c>
    </row>
    <row r="428" customFormat="false" ht="13.8" hidden="false" customHeight="false" outlineLevel="0" collapsed="false">
      <c r="A428" s="2" t="s">
        <v>453</v>
      </c>
      <c r="B428" s="2" t="n">
        <v>14292</v>
      </c>
      <c r="C428" s="2" t="s">
        <v>454</v>
      </c>
      <c r="D428" s="2" t="s">
        <v>64</v>
      </c>
      <c r="E428" s="2" t="str">
        <f aca="false">_xlfn.CONCAT(D428,"-",B428)</f>
        <v>CE - 0000-14292</v>
      </c>
      <c r="F428" s="2" t="n">
        <v>8</v>
      </c>
      <c r="G428" s="2" t="n">
        <v>1057.25</v>
      </c>
    </row>
    <row r="429" customFormat="false" ht="13.8" hidden="false" customHeight="false" outlineLevel="0" collapsed="false">
      <c r="A429" s="2" t="s">
        <v>455</v>
      </c>
      <c r="B429" s="2" t="n">
        <v>3156</v>
      </c>
      <c r="C429" s="2" t="s">
        <v>456</v>
      </c>
      <c r="D429" s="2" t="s">
        <v>68</v>
      </c>
      <c r="E429" s="2" t="str">
        <f aca="false">_xlfn.CONCAT(D429,"-",B429)</f>
        <v>CE - OL 002-3156</v>
      </c>
      <c r="F429" s="2" t="n">
        <v>3</v>
      </c>
      <c r="G429" s="2" t="n">
        <v>55.07</v>
      </c>
    </row>
    <row r="430" customFormat="false" ht="13.8" hidden="false" customHeight="false" outlineLevel="0" collapsed="false">
      <c r="A430" s="2" t="s">
        <v>455</v>
      </c>
      <c r="B430" s="2" t="n">
        <v>3156</v>
      </c>
      <c r="C430" s="2" t="s">
        <v>456</v>
      </c>
      <c r="D430" s="2" t="s">
        <v>64</v>
      </c>
      <c r="E430" s="2" t="str">
        <f aca="false">_xlfn.CONCAT(D430,"-",B430)</f>
        <v>CE - 0000-3156</v>
      </c>
      <c r="F430" s="2" t="n">
        <v>17</v>
      </c>
      <c r="G430" s="2" t="n">
        <v>284.65</v>
      </c>
    </row>
    <row r="431" customFormat="false" ht="13.8" hidden="false" customHeight="false" outlineLevel="0" collapsed="false">
      <c r="A431" s="2" t="s">
        <v>457</v>
      </c>
      <c r="B431" s="2" t="n">
        <v>458</v>
      </c>
      <c r="C431" s="2" t="s">
        <v>458</v>
      </c>
      <c r="D431" s="2" t="s">
        <v>68</v>
      </c>
      <c r="E431" s="2" t="str">
        <f aca="false">_xlfn.CONCAT(D431,"-",B431)</f>
        <v>CE - OL 002-458</v>
      </c>
      <c r="F431" s="2" t="n">
        <v>57</v>
      </c>
      <c r="G431" s="2" t="n">
        <v>377.64</v>
      </c>
    </row>
    <row r="432" customFormat="false" ht="13.8" hidden="false" customHeight="false" outlineLevel="0" collapsed="false">
      <c r="A432" s="2" t="s">
        <v>457</v>
      </c>
      <c r="B432" s="2" t="n">
        <v>458</v>
      </c>
      <c r="C432" s="2" t="s">
        <v>458</v>
      </c>
      <c r="D432" s="2" t="s">
        <v>64</v>
      </c>
      <c r="E432" s="2" t="str">
        <f aca="false">_xlfn.CONCAT(D432,"-",B432)</f>
        <v>CE - 0000-458</v>
      </c>
      <c r="F432" s="2" t="n">
        <v>709</v>
      </c>
      <c r="G432" s="2" t="n">
        <v>4218.72</v>
      </c>
    </row>
    <row r="433" customFormat="false" ht="13.8" hidden="false" customHeight="false" outlineLevel="0" collapsed="false">
      <c r="A433" s="2" t="s">
        <v>457</v>
      </c>
      <c r="B433" s="2" t="n">
        <v>458</v>
      </c>
      <c r="C433" s="2" t="s">
        <v>458</v>
      </c>
      <c r="D433" s="2" t="s">
        <v>67</v>
      </c>
      <c r="E433" s="2" t="str">
        <f aca="false">_xlfn.CONCAT(D433,"-",B433)</f>
        <v>CE - EUROFARMA G7-458</v>
      </c>
      <c r="F433" s="2" t="n">
        <v>246</v>
      </c>
      <c r="G433" s="2" t="n">
        <v>1531.59</v>
      </c>
    </row>
    <row r="434" customFormat="false" ht="13.8" hidden="false" customHeight="false" outlineLevel="0" collapsed="false">
      <c r="A434" s="2" t="s">
        <v>459</v>
      </c>
      <c r="B434" s="2" t="n">
        <v>1420</v>
      </c>
      <c r="C434" s="2" t="s">
        <v>460</v>
      </c>
      <c r="D434" s="2" t="s">
        <v>68</v>
      </c>
      <c r="E434" s="2" t="str">
        <f aca="false">_xlfn.CONCAT(D434,"-",B434)</f>
        <v>CE - OL 002-1420</v>
      </c>
      <c r="F434" s="2" t="n">
        <v>3</v>
      </c>
      <c r="G434" s="2" t="n">
        <v>64.42</v>
      </c>
    </row>
    <row r="435" customFormat="false" ht="13.8" hidden="false" customHeight="false" outlineLevel="0" collapsed="false">
      <c r="A435" s="2" t="s">
        <v>459</v>
      </c>
      <c r="B435" s="2" t="n">
        <v>1420</v>
      </c>
      <c r="C435" s="2" t="s">
        <v>460</v>
      </c>
      <c r="D435" s="2" t="s">
        <v>64</v>
      </c>
      <c r="E435" s="2" t="str">
        <f aca="false">_xlfn.CONCAT(D435,"-",B435)</f>
        <v>CE - 0000-1420</v>
      </c>
      <c r="F435" s="2" t="n">
        <v>39</v>
      </c>
      <c r="G435" s="2" t="n">
        <v>763.73</v>
      </c>
    </row>
    <row r="436" customFormat="false" ht="13.8" hidden="false" customHeight="false" outlineLevel="0" collapsed="false">
      <c r="A436" s="2" t="s">
        <v>461</v>
      </c>
      <c r="B436" s="2" t="n">
        <v>1419</v>
      </c>
      <c r="C436" s="2" t="s">
        <v>462</v>
      </c>
      <c r="D436" s="2" t="s">
        <v>64</v>
      </c>
      <c r="E436" s="2" t="str">
        <f aca="false">_xlfn.CONCAT(D436,"-",B436)</f>
        <v>CE - 0000-1419</v>
      </c>
      <c r="F436" s="2" t="n">
        <v>14</v>
      </c>
      <c r="G436" s="2" t="n">
        <v>160.93</v>
      </c>
    </row>
    <row r="437" customFormat="false" ht="13.8" hidden="false" customHeight="false" outlineLevel="0" collapsed="false">
      <c r="A437" s="2" t="s">
        <v>461</v>
      </c>
      <c r="B437" s="2" t="n">
        <v>1419</v>
      </c>
      <c r="C437" s="2" t="s">
        <v>462</v>
      </c>
      <c r="D437" s="2" t="s">
        <v>68</v>
      </c>
      <c r="E437" s="2" t="str">
        <f aca="false">_xlfn.CONCAT(D437,"-",B437)</f>
        <v>CE - OL 002-1419</v>
      </c>
      <c r="F437" s="2" t="n">
        <v>5</v>
      </c>
      <c r="G437" s="2" t="n">
        <v>62.92</v>
      </c>
    </row>
    <row r="438" customFormat="false" ht="13.8" hidden="false" customHeight="false" outlineLevel="0" collapsed="false">
      <c r="A438" s="2" t="s">
        <v>464</v>
      </c>
      <c r="B438" s="2" t="n">
        <v>457</v>
      </c>
      <c r="C438" s="2" t="s">
        <v>465</v>
      </c>
      <c r="D438" s="2" t="s">
        <v>64</v>
      </c>
      <c r="E438" s="2" t="str">
        <f aca="false">_xlfn.CONCAT(D438,"-",B438)</f>
        <v>CE - 0000-457</v>
      </c>
      <c r="F438" s="2" t="n">
        <v>950</v>
      </c>
      <c r="G438" s="2" t="n">
        <v>12901.32</v>
      </c>
    </row>
    <row r="439" customFormat="false" ht="13.8" hidden="false" customHeight="false" outlineLevel="0" collapsed="false">
      <c r="A439" s="2" t="s">
        <v>464</v>
      </c>
      <c r="B439" s="2" t="n">
        <v>457</v>
      </c>
      <c r="C439" s="2" t="s">
        <v>465</v>
      </c>
      <c r="D439" s="2" t="s">
        <v>68</v>
      </c>
      <c r="E439" s="2" t="str">
        <f aca="false">_xlfn.CONCAT(D439,"-",B439)</f>
        <v>CE - OL 002-457</v>
      </c>
      <c r="F439" s="2" t="n">
        <v>77</v>
      </c>
      <c r="G439" s="2" t="n">
        <v>1148.82</v>
      </c>
    </row>
    <row r="440" customFormat="false" ht="13.8" hidden="false" customHeight="false" outlineLevel="0" collapsed="false">
      <c r="A440" s="2" t="s">
        <v>464</v>
      </c>
      <c r="B440" s="2" t="n">
        <v>457</v>
      </c>
      <c r="C440" s="2" t="s">
        <v>465</v>
      </c>
      <c r="D440" s="2" t="s">
        <v>66</v>
      </c>
      <c r="E440" s="2" t="str">
        <f aca="false">_xlfn.CONCAT(D440,"-",B440)</f>
        <v>CE - OL 001-457</v>
      </c>
      <c r="F440" s="2" t="n">
        <v>6</v>
      </c>
      <c r="G440" s="2" t="n">
        <v>90.31</v>
      </c>
    </row>
    <row r="441" customFormat="false" ht="13.8" hidden="false" customHeight="false" outlineLevel="0" collapsed="false">
      <c r="A441" s="2" t="s">
        <v>464</v>
      </c>
      <c r="B441" s="2" t="n">
        <v>457</v>
      </c>
      <c r="C441" s="2" t="s">
        <v>465</v>
      </c>
      <c r="D441" s="2" t="s">
        <v>67</v>
      </c>
      <c r="E441" s="2" t="str">
        <f aca="false">_xlfn.CONCAT(D441,"-",B441)</f>
        <v>CE - EUROFARMA G7-457</v>
      </c>
      <c r="F441" s="2" t="n">
        <v>160</v>
      </c>
      <c r="G441" s="2" t="n">
        <v>2223.45</v>
      </c>
    </row>
    <row r="442" customFormat="false" ht="13.8" hidden="false" customHeight="false" outlineLevel="0" collapsed="false">
      <c r="A442" s="2" t="s">
        <v>466</v>
      </c>
      <c r="B442" s="2" t="n">
        <v>459</v>
      </c>
      <c r="C442" s="2" t="s">
        <v>467</v>
      </c>
      <c r="D442" s="2" t="s">
        <v>64</v>
      </c>
      <c r="E442" s="2" t="str">
        <f aca="false">_xlfn.CONCAT(D442,"-",B442)</f>
        <v>CE - 0000-459</v>
      </c>
      <c r="F442" s="2" t="n">
        <v>30</v>
      </c>
      <c r="G442" s="2" t="n">
        <v>161.81</v>
      </c>
    </row>
    <row r="443" customFormat="false" ht="13.8" hidden="false" customHeight="false" outlineLevel="0" collapsed="false">
      <c r="A443" s="2" t="s">
        <v>466</v>
      </c>
      <c r="B443" s="2" t="n">
        <v>459</v>
      </c>
      <c r="C443" s="2" t="s">
        <v>467</v>
      </c>
      <c r="D443" s="2" t="s">
        <v>68</v>
      </c>
      <c r="E443" s="2" t="str">
        <f aca="false">_xlfn.CONCAT(D443,"-",B443)</f>
        <v>CE - OL 002-459</v>
      </c>
      <c r="F443" s="2" t="n">
        <v>7</v>
      </c>
      <c r="G443" s="2" t="n">
        <v>41.31</v>
      </c>
    </row>
    <row r="444" customFormat="false" ht="13.8" hidden="false" customHeight="false" outlineLevel="0" collapsed="false">
      <c r="A444" s="2" t="s">
        <v>468</v>
      </c>
      <c r="B444" s="2" t="n">
        <v>460</v>
      </c>
      <c r="C444" s="2" t="s">
        <v>469</v>
      </c>
      <c r="D444" s="2" t="s">
        <v>67</v>
      </c>
      <c r="E444" s="2" t="str">
        <f aca="false">_xlfn.CONCAT(D444,"-",B444)</f>
        <v>CE - EUROFARMA G7-460</v>
      </c>
      <c r="F444" s="2" t="n">
        <v>136</v>
      </c>
      <c r="G444" s="2" t="n">
        <v>401.83</v>
      </c>
    </row>
    <row r="445" customFormat="false" ht="13.8" hidden="false" customHeight="false" outlineLevel="0" collapsed="false">
      <c r="A445" s="2" t="s">
        <v>468</v>
      </c>
      <c r="B445" s="2" t="n">
        <v>460</v>
      </c>
      <c r="C445" s="2" t="s">
        <v>469</v>
      </c>
      <c r="D445" s="2" t="s">
        <v>68</v>
      </c>
      <c r="E445" s="2" t="str">
        <f aca="false">_xlfn.CONCAT(D445,"-",B445)</f>
        <v>CE - OL 002-460</v>
      </c>
      <c r="F445" s="2" t="n">
        <v>63</v>
      </c>
      <c r="G445" s="2" t="n">
        <v>217.38</v>
      </c>
    </row>
    <row r="446" customFormat="false" ht="13.8" hidden="false" customHeight="false" outlineLevel="0" collapsed="false">
      <c r="A446" s="2" t="s">
        <v>468</v>
      </c>
      <c r="B446" s="2" t="n">
        <v>460</v>
      </c>
      <c r="C446" s="2" t="s">
        <v>469</v>
      </c>
      <c r="D446" s="2" t="s">
        <v>64</v>
      </c>
      <c r="E446" s="2" t="str">
        <f aca="false">_xlfn.CONCAT(D446,"-",B446)</f>
        <v>CE - 0000-460</v>
      </c>
      <c r="F446" s="2" t="n">
        <v>520</v>
      </c>
      <c r="G446" s="2" t="n">
        <v>1468.61</v>
      </c>
    </row>
    <row r="447" customFormat="false" ht="13.8" hidden="false" customHeight="false" outlineLevel="0" collapsed="false">
      <c r="A447" s="2" t="s">
        <v>470</v>
      </c>
      <c r="B447" s="2" t="n">
        <v>1491</v>
      </c>
      <c r="C447" s="2" t="s">
        <v>471</v>
      </c>
      <c r="D447" s="2" t="s">
        <v>67</v>
      </c>
      <c r="E447" s="2" t="str">
        <f aca="false">_xlfn.CONCAT(D447,"-",B447)</f>
        <v>CE - EUROFARMA G7-1491</v>
      </c>
      <c r="F447" s="2" t="n">
        <v>6</v>
      </c>
      <c r="G447" s="2" t="n">
        <v>114</v>
      </c>
    </row>
    <row r="448" customFormat="false" ht="13.8" hidden="false" customHeight="false" outlineLevel="0" collapsed="false">
      <c r="A448" s="2" t="s">
        <v>470</v>
      </c>
      <c r="B448" s="2" t="n">
        <v>1491</v>
      </c>
      <c r="C448" s="2" t="s">
        <v>471</v>
      </c>
      <c r="D448" s="2" t="s">
        <v>68</v>
      </c>
      <c r="E448" s="2" t="str">
        <f aca="false">_xlfn.CONCAT(D448,"-",B448)</f>
        <v>CE - OL 002-1491</v>
      </c>
      <c r="F448" s="2" t="n">
        <v>26</v>
      </c>
      <c r="G448" s="2" t="n">
        <v>559.46</v>
      </c>
    </row>
    <row r="449" customFormat="false" ht="13.8" hidden="false" customHeight="false" outlineLevel="0" collapsed="false">
      <c r="A449" s="2" t="s">
        <v>470</v>
      </c>
      <c r="B449" s="2" t="n">
        <v>1491</v>
      </c>
      <c r="C449" s="2" t="s">
        <v>471</v>
      </c>
      <c r="D449" s="2" t="s">
        <v>64</v>
      </c>
      <c r="E449" s="2" t="str">
        <f aca="false">_xlfn.CONCAT(D449,"-",B449)</f>
        <v>CE - 0000-1491</v>
      </c>
      <c r="F449" s="2" t="n">
        <v>49</v>
      </c>
      <c r="G449" s="2" t="n">
        <v>868.75</v>
      </c>
    </row>
    <row r="450" customFormat="false" ht="13.8" hidden="false" customHeight="false" outlineLevel="0" collapsed="false">
      <c r="A450" s="2" t="s">
        <v>472</v>
      </c>
      <c r="B450" s="2" t="n">
        <v>1490</v>
      </c>
      <c r="C450" s="2" t="s">
        <v>473</v>
      </c>
      <c r="D450" s="2" t="s">
        <v>64</v>
      </c>
      <c r="E450" s="2" t="str">
        <f aca="false">_xlfn.CONCAT(D450,"-",B450)</f>
        <v>CE - 0000-1490</v>
      </c>
      <c r="F450" s="2" t="n">
        <v>785</v>
      </c>
      <c r="G450" s="2" t="n">
        <v>6726.68</v>
      </c>
    </row>
    <row r="451" customFormat="false" ht="13.8" hidden="false" customHeight="false" outlineLevel="0" collapsed="false">
      <c r="A451" s="2" t="s">
        <v>472</v>
      </c>
      <c r="B451" s="2" t="n">
        <v>1490</v>
      </c>
      <c r="C451" s="2" t="s">
        <v>473</v>
      </c>
      <c r="D451" s="2" t="s">
        <v>67</v>
      </c>
      <c r="E451" s="2" t="str">
        <f aca="false">_xlfn.CONCAT(D451,"-",B451)</f>
        <v>CE - EUROFARMA G7-1490</v>
      </c>
      <c r="F451" s="2" t="n">
        <v>474</v>
      </c>
      <c r="G451" s="2" t="n">
        <v>3939.77</v>
      </c>
    </row>
    <row r="452" customFormat="false" ht="13.8" hidden="false" customHeight="false" outlineLevel="0" collapsed="false">
      <c r="A452" s="2" t="s">
        <v>472</v>
      </c>
      <c r="B452" s="2" t="n">
        <v>1490</v>
      </c>
      <c r="C452" s="2" t="s">
        <v>473</v>
      </c>
      <c r="D452" s="2" t="s">
        <v>68</v>
      </c>
      <c r="E452" s="2" t="str">
        <f aca="false">_xlfn.CONCAT(D452,"-",B452)</f>
        <v>CE - OL 002-1490</v>
      </c>
      <c r="F452" s="2" t="n">
        <v>809</v>
      </c>
      <c r="G452" s="2" t="n">
        <v>10293.81</v>
      </c>
    </row>
    <row r="453" customFormat="false" ht="13.8" hidden="false" customHeight="false" outlineLevel="0" collapsed="false">
      <c r="A453" s="2" t="s">
        <v>474</v>
      </c>
      <c r="B453" s="2" t="n">
        <v>8882</v>
      </c>
      <c r="C453" s="2" t="s">
        <v>475</v>
      </c>
      <c r="D453" s="2" t="s">
        <v>67</v>
      </c>
      <c r="E453" s="2" t="str">
        <f aca="false">_xlfn.CONCAT(D453,"-",B453)</f>
        <v>CE - EUROFARMA G7-8882</v>
      </c>
      <c r="F453" s="2" t="n">
        <v>148</v>
      </c>
      <c r="G453" s="2" t="n">
        <v>6215.5</v>
      </c>
    </row>
    <row r="454" customFormat="false" ht="13.8" hidden="false" customHeight="false" outlineLevel="0" collapsed="false">
      <c r="A454" s="2" t="s">
        <v>474</v>
      </c>
      <c r="B454" s="2" t="n">
        <v>8882</v>
      </c>
      <c r="C454" s="2" t="s">
        <v>475</v>
      </c>
      <c r="D454" s="2" t="s">
        <v>64</v>
      </c>
      <c r="E454" s="2" t="str">
        <f aca="false">_xlfn.CONCAT(D454,"-",B454)</f>
        <v>CE - 0000-8882</v>
      </c>
      <c r="F454" s="2" t="n">
        <v>373</v>
      </c>
      <c r="G454" s="2" t="n">
        <v>15496.19</v>
      </c>
    </row>
    <row r="455" customFormat="false" ht="13.8" hidden="false" customHeight="false" outlineLevel="0" collapsed="false">
      <c r="A455" s="2" t="s">
        <v>474</v>
      </c>
      <c r="B455" s="2" t="n">
        <v>8882</v>
      </c>
      <c r="C455" s="2" t="s">
        <v>475</v>
      </c>
      <c r="D455" s="2" t="s">
        <v>68</v>
      </c>
      <c r="E455" s="2" t="str">
        <f aca="false">_xlfn.CONCAT(D455,"-",B455)</f>
        <v>CE - OL 002-8882</v>
      </c>
      <c r="F455" s="2" t="n">
        <v>28</v>
      </c>
      <c r="G455" s="2" t="n">
        <v>1266.04</v>
      </c>
    </row>
    <row r="456" customFormat="false" ht="13.8" hidden="false" customHeight="false" outlineLevel="0" collapsed="false">
      <c r="A456" s="2" t="s">
        <v>476</v>
      </c>
      <c r="B456" s="2" t="n">
        <v>10833</v>
      </c>
      <c r="C456" s="2" t="s">
        <v>477</v>
      </c>
      <c r="D456" s="2" t="s">
        <v>68</v>
      </c>
      <c r="E456" s="2" t="str">
        <f aca="false">_xlfn.CONCAT(D456,"-",B456)</f>
        <v>CE - OL 002-10833</v>
      </c>
      <c r="F456" s="2" t="n">
        <v>6</v>
      </c>
      <c r="G456" s="2" t="n">
        <v>215.07</v>
      </c>
    </row>
    <row r="457" customFormat="false" ht="13.8" hidden="false" customHeight="false" outlineLevel="0" collapsed="false">
      <c r="A457" s="2" t="s">
        <v>476</v>
      </c>
      <c r="B457" s="2" t="n">
        <v>10833</v>
      </c>
      <c r="C457" s="2" t="s">
        <v>477</v>
      </c>
      <c r="D457" s="2" t="s">
        <v>64</v>
      </c>
      <c r="E457" s="2" t="str">
        <f aca="false">_xlfn.CONCAT(D457,"-",B457)</f>
        <v>CE - 0000-10833</v>
      </c>
      <c r="F457" s="2" t="n">
        <v>23</v>
      </c>
      <c r="G457" s="2" t="n">
        <v>753.49</v>
      </c>
    </row>
    <row r="458" customFormat="false" ht="13.8" hidden="false" customHeight="false" outlineLevel="0" collapsed="false">
      <c r="A458" s="2" t="s">
        <v>478</v>
      </c>
      <c r="B458" s="2" t="n">
        <v>10834</v>
      </c>
      <c r="C458" s="2" t="s">
        <v>479</v>
      </c>
      <c r="D458" s="2" t="s">
        <v>64</v>
      </c>
      <c r="E458" s="2" t="str">
        <f aca="false">_xlfn.CONCAT(D458,"-",B458)</f>
        <v>CE - 0000-10834</v>
      </c>
      <c r="F458" s="2" t="n">
        <v>1</v>
      </c>
      <c r="G458" s="2" t="n">
        <v>65.65</v>
      </c>
    </row>
    <row r="459" customFormat="false" ht="13.8" hidden="false" customHeight="false" outlineLevel="0" collapsed="false">
      <c r="A459" s="2" t="s">
        <v>480</v>
      </c>
      <c r="B459" s="2" t="n">
        <v>12235</v>
      </c>
      <c r="C459" s="2" t="s">
        <v>481</v>
      </c>
      <c r="D459" s="2" t="s">
        <v>67</v>
      </c>
      <c r="E459" s="2" t="str">
        <f aca="false">_xlfn.CONCAT(D459,"-",B459)</f>
        <v>CE - EUROFARMA G7-12235</v>
      </c>
      <c r="F459" s="2" t="n">
        <v>7</v>
      </c>
      <c r="G459" s="2" t="n">
        <v>193.94</v>
      </c>
    </row>
    <row r="460" customFormat="false" ht="13.8" hidden="false" customHeight="false" outlineLevel="0" collapsed="false">
      <c r="A460" s="2" t="s">
        <v>480</v>
      </c>
      <c r="B460" s="2" t="n">
        <v>12235</v>
      </c>
      <c r="C460" s="2" t="s">
        <v>481</v>
      </c>
      <c r="D460" s="2" t="s">
        <v>64</v>
      </c>
      <c r="E460" s="2" t="str">
        <f aca="false">_xlfn.CONCAT(D460,"-",B460)</f>
        <v>CE - 0000-12235</v>
      </c>
      <c r="F460" s="2" t="n">
        <v>20</v>
      </c>
      <c r="G460" s="2" t="n">
        <v>554.69</v>
      </c>
    </row>
    <row r="461" customFormat="false" ht="13.8" hidden="false" customHeight="false" outlineLevel="0" collapsed="false">
      <c r="A461" s="2" t="s">
        <v>482</v>
      </c>
      <c r="B461" s="2" t="n">
        <v>10801</v>
      </c>
      <c r="C461" s="2" t="s">
        <v>483</v>
      </c>
      <c r="D461" s="2" t="s">
        <v>64</v>
      </c>
      <c r="E461" s="2" t="str">
        <f aca="false">_xlfn.CONCAT(D461,"-",B461)</f>
        <v>CE - 0000-10801</v>
      </c>
      <c r="F461" s="2" t="n">
        <v>6</v>
      </c>
      <c r="G461" s="2" t="n">
        <v>432.1</v>
      </c>
    </row>
    <row r="462" customFormat="false" ht="13.8" hidden="false" customHeight="false" outlineLevel="0" collapsed="false">
      <c r="A462" s="2" t="s">
        <v>484</v>
      </c>
      <c r="B462" s="2" t="n">
        <v>10800</v>
      </c>
      <c r="C462" s="2" t="s">
        <v>485</v>
      </c>
      <c r="D462" s="2" t="s">
        <v>64</v>
      </c>
      <c r="E462" s="2" t="str">
        <f aca="false">_xlfn.CONCAT(D462,"-",B462)</f>
        <v>CE - 0000-10800</v>
      </c>
      <c r="F462" s="2" t="n">
        <v>120</v>
      </c>
      <c r="G462" s="2" t="n">
        <v>1996.09</v>
      </c>
    </row>
    <row r="463" customFormat="false" ht="13.8" hidden="false" customHeight="false" outlineLevel="0" collapsed="false">
      <c r="A463" s="2" t="s">
        <v>486</v>
      </c>
      <c r="B463" s="2" t="n">
        <v>27</v>
      </c>
      <c r="C463" s="2" t="s">
        <v>487</v>
      </c>
      <c r="D463" s="2" t="s">
        <v>67</v>
      </c>
      <c r="E463" s="2" t="str">
        <f aca="false">_xlfn.CONCAT(D463,"-",B463)</f>
        <v>CE - EUROFARMA G7-27</v>
      </c>
      <c r="F463" s="2" t="n">
        <v>143</v>
      </c>
      <c r="G463" s="2" t="n">
        <v>10406.89</v>
      </c>
    </row>
    <row r="464" customFormat="false" ht="13.8" hidden="false" customHeight="false" outlineLevel="0" collapsed="false">
      <c r="A464" s="2" t="s">
        <v>486</v>
      </c>
      <c r="B464" s="2" t="n">
        <v>27</v>
      </c>
      <c r="C464" s="2" t="s">
        <v>487</v>
      </c>
      <c r="D464" s="2" t="s">
        <v>64</v>
      </c>
      <c r="E464" s="2" t="str">
        <f aca="false">_xlfn.CONCAT(D464,"-",B464)</f>
        <v>CE - 0000-27</v>
      </c>
      <c r="F464" s="2" t="n">
        <v>634</v>
      </c>
      <c r="G464" s="2" t="n">
        <v>45744.03</v>
      </c>
    </row>
    <row r="465" customFormat="false" ht="13.8" hidden="false" customHeight="false" outlineLevel="0" collapsed="false">
      <c r="A465" s="2" t="s">
        <v>486</v>
      </c>
      <c r="B465" s="2" t="n">
        <v>27</v>
      </c>
      <c r="C465" s="2" t="s">
        <v>487</v>
      </c>
      <c r="D465" s="2" t="s">
        <v>68</v>
      </c>
      <c r="E465" s="2" t="str">
        <f aca="false">_xlfn.CONCAT(D465,"-",B465)</f>
        <v>CE - OL 002-27</v>
      </c>
      <c r="F465" s="2" t="n">
        <v>22</v>
      </c>
      <c r="G465" s="2" t="n">
        <v>1737.19</v>
      </c>
    </row>
    <row r="466" customFormat="false" ht="13.8" hidden="false" customHeight="false" outlineLevel="0" collapsed="false">
      <c r="A466" s="2" t="s">
        <v>488</v>
      </c>
      <c r="B466" s="2" t="n">
        <v>129</v>
      </c>
      <c r="C466" s="2" t="s">
        <v>489</v>
      </c>
      <c r="D466" s="2" t="s">
        <v>68</v>
      </c>
      <c r="E466" s="2" t="str">
        <f aca="false">_xlfn.CONCAT(D466,"-",B466)</f>
        <v>CE - OL 002-129</v>
      </c>
      <c r="F466" s="2" t="n">
        <v>6</v>
      </c>
      <c r="G466" s="2" t="n">
        <v>129.06</v>
      </c>
    </row>
    <row r="467" customFormat="false" ht="13.8" hidden="false" customHeight="false" outlineLevel="0" collapsed="false">
      <c r="A467" s="2" t="s">
        <v>488</v>
      </c>
      <c r="B467" s="2" t="n">
        <v>129</v>
      </c>
      <c r="C467" s="2" t="s">
        <v>489</v>
      </c>
      <c r="D467" s="2" t="s">
        <v>64</v>
      </c>
      <c r="E467" s="2" t="str">
        <f aca="false">_xlfn.CONCAT(D467,"-",B467)</f>
        <v>CE - 0000-129</v>
      </c>
      <c r="F467" s="2" t="n">
        <v>169</v>
      </c>
      <c r="G467" s="2" t="n">
        <v>3310.52</v>
      </c>
    </row>
    <row r="468" customFormat="false" ht="13.8" hidden="false" customHeight="false" outlineLevel="0" collapsed="false">
      <c r="A468" s="2" t="s">
        <v>488</v>
      </c>
      <c r="B468" s="2" t="n">
        <v>129</v>
      </c>
      <c r="C468" s="2" t="s">
        <v>489</v>
      </c>
      <c r="D468" s="2" t="s">
        <v>67</v>
      </c>
      <c r="E468" s="2" t="str">
        <f aca="false">_xlfn.CONCAT(D468,"-",B468)</f>
        <v>CE - EUROFARMA G7-129</v>
      </c>
      <c r="F468" s="2" t="n">
        <v>122</v>
      </c>
      <c r="G468" s="2" t="n">
        <v>2457.74</v>
      </c>
    </row>
    <row r="469" customFormat="false" ht="13.8" hidden="false" customHeight="false" outlineLevel="0" collapsed="false">
      <c r="A469" s="2" t="s">
        <v>490</v>
      </c>
      <c r="B469" s="2" t="n">
        <v>10804</v>
      </c>
      <c r="C469" s="2" t="s">
        <v>491</v>
      </c>
      <c r="D469" s="2" t="s">
        <v>64</v>
      </c>
      <c r="E469" s="2" t="str">
        <f aca="false">_xlfn.CONCAT(D469,"-",B469)</f>
        <v>CE - 0000-10804</v>
      </c>
      <c r="F469" s="2" t="n">
        <v>260</v>
      </c>
      <c r="G469" s="2" t="n">
        <v>2859.99</v>
      </c>
    </row>
    <row r="470" customFormat="false" ht="13.8" hidden="false" customHeight="false" outlineLevel="0" collapsed="false">
      <c r="A470" s="2" t="s">
        <v>490</v>
      </c>
      <c r="B470" s="2" t="n">
        <v>10804</v>
      </c>
      <c r="C470" s="2" t="s">
        <v>491</v>
      </c>
      <c r="D470" s="2" t="s">
        <v>67</v>
      </c>
      <c r="E470" s="2" t="str">
        <f aca="false">_xlfn.CONCAT(D470,"-",B470)</f>
        <v>CE - EUROFARMA G7-10804</v>
      </c>
      <c r="F470" s="2" t="n">
        <v>193</v>
      </c>
      <c r="G470" s="2" t="n">
        <v>2150.54</v>
      </c>
    </row>
    <row r="471" customFormat="false" ht="13.8" hidden="false" customHeight="false" outlineLevel="0" collapsed="false">
      <c r="A471" s="2" t="s">
        <v>490</v>
      </c>
      <c r="B471" s="2" t="n">
        <v>10804</v>
      </c>
      <c r="C471" s="2" t="s">
        <v>491</v>
      </c>
      <c r="D471" s="2" t="s">
        <v>68</v>
      </c>
      <c r="E471" s="2" t="str">
        <f aca="false">_xlfn.CONCAT(D471,"-",B471)</f>
        <v>CE - OL 002-10804</v>
      </c>
      <c r="F471" s="2" t="n">
        <v>16</v>
      </c>
      <c r="G471" s="2" t="n">
        <v>192.41</v>
      </c>
    </row>
    <row r="472" customFormat="false" ht="13.8" hidden="false" customHeight="false" outlineLevel="0" collapsed="false">
      <c r="A472" s="2" t="s">
        <v>492</v>
      </c>
      <c r="B472" s="2" t="n">
        <v>10805</v>
      </c>
      <c r="C472" s="2" t="s">
        <v>493</v>
      </c>
      <c r="D472" s="2" t="s">
        <v>64</v>
      </c>
      <c r="E472" s="2" t="str">
        <f aca="false">_xlfn.CONCAT(D472,"-",B472)</f>
        <v>CE - 0000-10805</v>
      </c>
      <c r="F472" s="2" t="n">
        <v>125</v>
      </c>
      <c r="G472" s="2" t="n">
        <v>1050.35</v>
      </c>
    </row>
    <row r="473" customFormat="false" ht="13.8" hidden="false" customHeight="false" outlineLevel="0" collapsed="false">
      <c r="A473" s="2" t="s">
        <v>492</v>
      </c>
      <c r="B473" s="2" t="n">
        <v>10805</v>
      </c>
      <c r="C473" s="2" t="s">
        <v>493</v>
      </c>
      <c r="D473" s="2" t="s">
        <v>67</v>
      </c>
      <c r="E473" s="2" t="str">
        <f aca="false">_xlfn.CONCAT(D473,"-",B473)</f>
        <v>CE - EUROFARMA G7-10805</v>
      </c>
      <c r="F473" s="2" t="n">
        <v>197</v>
      </c>
      <c r="G473" s="2" t="n">
        <v>1674.85</v>
      </c>
    </row>
    <row r="474" customFormat="false" ht="13.8" hidden="false" customHeight="false" outlineLevel="0" collapsed="false">
      <c r="A474" s="2" t="s">
        <v>494</v>
      </c>
      <c r="B474" s="2" t="n">
        <v>10806</v>
      </c>
      <c r="C474" s="2" t="s">
        <v>495</v>
      </c>
      <c r="D474" s="2" t="s">
        <v>67</v>
      </c>
      <c r="E474" s="2" t="str">
        <f aca="false">_xlfn.CONCAT(D474,"-",B474)</f>
        <v>CE - EUROFARMA G7-10806</v>
      </c>
      <c r="F474" s="2" t="n">
        <v>79</v>
      </c>
      <c r="G474" s="2" t="n">
        <v>980.99</v>
      </c>
    </row>
    <row r="475" customFormat="false" ht="13.8" hidden="false" customHeight="false" outlineLevel="0" collapsed="false">
      <c r="A475" s="2" t="s">
        <v>494</v>
      </c>
      <c r="B475" s="2" t="n">
        <v>10806</v>
      </c>
      <c r="C475" s="2" t="s">
        <v>495</v>
      </c>
      <c r="D475" s="2" t="s">
        <v>68</v>
      </c>
      <c r="E475" s="2" t="str">
        <f aca="false">_xlfn.CONCAT(D475,"-",B475)</f>
        <v>CE - OL 002-10806</v>
      </c>
      <c r="F475" s="2" t="n">
        <v>13</v>
      </c>
      <c r="G475" s="2" t="n">
        <v>175.91</v>
      </c>
    </row>
    <row r="476" customFormat="false" ht="13.8" hidden="false" customHeight="false" outlineLevel="0" collapsed="false">
      <c r="A476" s="2" t="s">
        <v>494</v>
      </c>
      <c r="B476" s="2" t="n">
        <v>10806</v>
      </c>
      <c r="C476" s="2" t="s">
        <v>495</v>
      </c>
      <c r="D476" s="2" t="s">
        <v>64</v>
      </c>
      <c r="E476" s="2" t="str">
        <f aca="false">_xlfn.CONCAT(D476,"-",B476)</f>
        <v>CE - 0000-10806</v>
      </c>
      <c r="F476" s="2" t="n">
        <v>127</v>
      </c>
      <c r="G476" s="2" t="n">
        <v>1564.68</v>
      </c>
    </row>
    <row r="477" customFormat="false" ht="13.8" hidden="false" customHeight="false" outlineLevel="0" collapsed="false">
      <c r="A477" s="2" t="s">
        <v>496</v>
      </c>
      <c r="B477" s="2" t="n">
        <v>15836</v>
      </c>
      <c r="C477" s="2" t="s">
        <v>497</v>
      </c>
      <c r="D477" s="2" t="s">
        <v>64</v>
      </c>
      <c r="E477" s="2" t="str">
        <f aca="false">_xlfn.CONCAT(D477,"-",B477)</f>
        <v>CE - 0000-15836</v>
      </c>
      <c r="F477" s="2" t="n">
        <v>96</v>
      </c>
      <c r="G477" s="2" t="n">
        <v>1511.56</v>
      </c>
    </row>
    <row r="478" customFormat="false" ht="13.8" hidden="false" customHeight="false" outlineLevel="0" collapsed="false">
      <c r="A478" s="2" t="s">
        <v>496</v>
      </c>
      <c r="B478" s="2" t="n">
        <v>15836</v>
      </c>
      <c r="C478" s="2" t="s">
        <v>497</v>
      </c>
      <c r="D478" s="2" t="s">
        <v>68</v>
      </c>
      <c r="E478" s="2" t="str">
        <f aca="false">_xlfn.CONCAT(D478,"-",B478)</f>
        <v>CE - OL 002-15836</v>
      </c>
      <c r="F478" s="2" t="n">
        <v>11</v>
      </c>
      <c r="G478" s="2" t="n">
        <v>189.26</v>
      </c>
    </row>
    <row r="479" customFormat="false" ht="13.8" hidden="false" customHeight="false" outlineLevel="0" collapsed="false">
      <c r="A479" s="2" t="s">
        <v>496</v>
      </c>
      <c r="B479" s="2" t="n">
        <v>15836</v>
      </c>
      <c r="C479" s="2" t="s">
        <v>497</v>
      </c>
      <c r="D479" s="2" t="s">
        <v>67</v>
      </c>
      <c r="E479" s="2" t="str">
        <f aca="false">_xlfn.CONCAT(D479,"-",B479)</f>
        <v>CE - EUROFARMA G7-15836</v>
      </c>
      <c r="F479" s="2" t="n">
        <v>25</v>
      </c>
      <c r="G479" s="2" t="n">
        <v>406.56</v>
      </c>
    </row>
    <row r="480" customFormat="false" ht="13.8" hidden="false" customHeight="false" outlineLevel="0" collapsed="false">
      <c r="A480" s="2" t="s">
        <v>498</v>
      </c>
      <c r="B480" s="2" t="n">
        <v>15837</v>
      </c>
      <c r="C480" s="2" t="s">
        <v>499</v>
      </c>
      <c r="D480" s="2" t="s">
        <v>64</v>
      </c>
      <c r="E480" s="2" t="str">
        <f aca="false">_xlfn.CONCAT(D480,"-",B480)</f>
        <v>CE - 0000-15837</v>
      </c>
      <c r="F480" s="2" t="n">
        <v>102</v>
      </c>
      <c r="G480" s="2" t="n">
        <v>1713.89</v>
      </c>
    </row>
    <row r="481" customFormat="false" ht="13.8" hidden="false" customHeight="false" outlineLevel="0" collapsed="false">
      <c r="A481" s="2" t="s">
        <v>498</v>
      </c>
      <c r="B481" s="2" t="n">
        <v>15837</v>
      </c>
      <c r="C481" s="2" t="s">
        <v>499</v>
      </c>
      <c r="D481" s="2" t="s">
        <v>67</v>
      </c>
      <c r="E481" s="2" t="str">
        <f aca="false">_xlfn.CONCAT(D481,"-",B481)</f>
        <v>CE - EUROFARMA G7-15837</v>
      </c>
      <c r="F481" s="2" t="n">
        <v>27</v>
      </c>
      <c r="G481" s="2" t="n">
        <v>463.64</v>
      </c>
    </row>
    <row r="482" customFormat="false" ht="13.8" hidden="false" customHeight="false" outlineLevel="0" collapsed="false">
      <c r="A482" s="2" t="s">
        <v>498</v>
      </c>
      <c r="B482" s="2" t="n">
        <v>15837</v>
      </c>
      <c r="C482" s="2" t="s">
        <v>499</v>
      </c>
      <c r="D482" s="2" t="s">
        <v>68</v>
      </c>
      <c r="E482" s="2" t="str">
        <f aca="false">_xlfn.CONCAT(D482,"-",B482)</f>
        <v>CE - OL 002-15837</v>
      </c>
      <c r="F482" s="2" t="n">
        <v>5</v>
      </c>
      <c r="G482" s="2" t="n">
        <v>92.58</v>
      </c>
    </row>
    <row r="483" customFormat="false" ht="13.8" hidden="false" customHeight="false" outlineLevel="0" collapsed="false">
      <c r="A483" s="2" t="s">
        <v>500</v>
      </c>
      <c r="B483" s="2" t="n">
        <v>15838</v>
      </c>
      <c r="C483" s="2" t="s">
        <v>501</v>
      </c>
      <c r="D483" s="2" t="s">
        <v>68</v>
      </c>
      <c r="E483" s="2" t="str">
        <f aca="false">_xlfn.CONCAT(D483,"-",B483)</f>
        <v>CE - OL 002-15838</v>
      </c>
      <c r="F483" s="2" t="n">
        <v>25</v>
      </c>
      <c r="G483" s="2" t="n">
        <v>491.99</v>
      </c>
    </row>
    <row r="484" customFormat="false" ht="13.8" hidden="false" customHeight="false" outlineLevel="0" collapsed="false">
      <c r="A484" s="2" t="s">
        <v>500</v>
      </c>
      <c r="B484" s="2" t="n">
        <v>15838</v>
      </c>
      <c r="C484" s="2" t="s">
        <v>501</v>
      </c>
      <c r="D484" s="2" t="s">
        <v>64</v>
      </c>
      <c r="E484" s="2" t="str">
        <f aca="false">_xlfn.CONCAT(D484,"-",B484)</f>
        <v>CE - 0000-15838</v>
      </c>
      <c r="F484" s="2" t="n">
        <v>159</v>
      </c>
      <c r="G484" s="2" t="n">
        <v>2686.2</v>
      </c>
    </row>
    <row r="485" customFormat="false" ht="13.8" hidden="false" customHeight="false" outlineLevel="0" collapsed="false">
      <c r="A485" s="2" t="s">
        <v>500</v>
      </c>
      <c r="B485" s="2" t="n">
        <v>15838</v>
      </c>
      <c r="C485" s="2" t="s">
        <v>501</v>
      </c>
      <c r="D485" s="2" t="s">
        <v>67</v>
      </c>
      <c r="E485" s="2" t="str">
        <f aca="false">_xlfn.CONCAT(D485,"-",B485)</f>
        <v>CE - EUROFARMA G7-15838</v>
      </c>
      <c r="F485" s="2" t="n">
        <v>22</v>
      </c>
      <c r="G485" s="2" t="n">
        <v>382.63</v>
      </c>
    </row>
    <row r="486" customFormat="false" ht="13.8" hidden="false" customHeight="false" outlineLevel="0" collapsed="false">
      <c r="A486" s="2" t="s">
        <v>502</v>
      </c>
      <c r="B486" s="2" t="n">
        <v>1958</v>
      </c>
      <c r="C486" s="2" t="s">
        <v>503</v>
      </c>
      <c r="D486" s="2" t="s">
        <v>68</v>
      </c>
      <c r="E486" s="2" t="str">
        <f aca="false">_xlfn.CONCAT(D486,"-",B486)</f>
        <v>CE - OL 002-1958</v>
      </c>
      <c r="F486" s="2" t="n">
        <v>1</v>
      </c>
      <c r="G486" s="2" t="n">
        <v>14.04</v>
      </c>
    </row>
    <row r="487" customFormat="false" ht="13.8" hidden="false" customHeight="false" outlineLevel="0" collapsed="false">
      <c r="A487" s="2" t="s">
        <v>502</v>
      </c>
      <c r="B487" s="2" t="n">
        <v>1958</v>
      </c>
      <c r="C487" s="2" t="s">
        <v>503</v>
      </c>
      <c r="D487" s="2" t="s">
        <v>64</v>
      </c>
      <c r="E487" s="2" t="str">
        <f aca="false">_xlfn.CONCAT(D487,"-",B487)</f>
        <v>CE - 0000-1958</v>
      </c>
      <c r="F487" s="2" t="n">
        <v>117</v>
      </c>
      <c r="G487" s="2" t="n">
        <v>1399.9</v>
      </c>
    </row>
    <row r="488" customFormat="false" ht="13.8" hidden="false" customHeight="false" outlineLevel="0" collapsed="false">
      <c r="A488" s="2" t="s">
        <v>502</v>
      </c>
      <c r="B488" s="2" t="n">
        <v>1958</v>
      </c>
      <c r="C488" s="2" t="s">
        <v>503</v>
      </c>
      <c r="D488" s="2" t="s">
        <v>67</v>
      </c>
      <c r="E488" s="2" t="str">
        <f aca="false">_xlfn.CONCAT(D488,"-",B488)</f>
        <v>CE - EUROFARMA G7-1958</v>
      </c>
      <c r="F488" s="2" t="n">
        <v>72</v>
      </c>
      <c r="G488" s="2" t="n">
        <v>737.57</v>
      </c>
    </row>
    <row r="489" customFormat="false" ht="13.8" hidden="false" customHeight="false" outlineLevel="0" collapsed="false">
      <c r="A489" s="2" t="s">
        <v>504</v>
      </c>
      <c r="B489" s="2" t="n">
        <v>1961</v>
      </c>
      <c r="C489" s="2" t="s">
        <v>505</v>
      </c>
      <c r="D489" s="2" t="s">
        <v>64</v>
      </c>
      <c r="E489" s="2" t="str">
        <f aca="false">_xlfn.CONCAT(D489,"-",B489)</f>
        <v>CE - 0000-1961</v>
      </c>
      <c r="F489" s="2" t="n">
        <v>86</v>
      </c>
      <c r="G489" s="2" t="n">
        <v>1090.77</v>
      </c>
    </row>
    <row r="490" customFormat="false" ht="13.8" hidden="false" customHeight="false" outlineLevel="0" collapsed="false">
      <c r="A490" s="2" t="s">
        <v>504</v>
      </c>
      <c r="B490" s="2" t="n">
        <v>1961</v>
      </c>
      <c r="C490" s="2" t="s">
        <v>505</v>
      </c>
      <c r="D490" s="2" t="s">
        <v>68</v>
      </c>
      <c r="E490" s="2" t="str">
        <f aca="false">_xlfn.CONCAT(D490,"-",B490)</f>
        <v>CE - OL 002-1961</v>
      </c>
      <c r="F490" s="2" t="n">
        <v>3</v>
      </c>
      <c r="G490" s="2" t="n">
        <v>43.34</v>
      </c>
    </row>
    <row r="491" customFormat="false" ht="13.8" hidden="false" customHeight="false" outlineLevel="0" collapsed="false">
      <c r="A491" s="2" t="s">
        <v>504</v>
      </c>
      <c r="B491" s="2" t="n">
        <v>1961</v>
      </c>
      <c r="C491" s="2" t="s">
        <v>505</v>
      </c>
      <c r="D491" s="2" t="s">
        <v>66</v>
      </c>
      <c r="E491" s="2" t="str">
        <f aca="false">_xlfn.CONCAT(D491,"-",B491)</f>
        <v>CE - OL 001-1961</v>
      </c>
      <c r="F491" s="2" t="n">
        <v>11</v>
      </c>
      <c r="G491" s="2" t="n">
        <v>135.99</v>
      </c>
    </row>
    <row r="492" customFormat="false" ht="13.8" hidden="false" customHeight="false" outlineLevel="0" collapsed="false">
      <c r="A492" s="2" t="s">
        <v>506</v>
      </c>
      <c r="B492" s="2" t="n">
        <v>1957</v>
      </c>
      <c r="C492" s="2" t="s">
        <v>507</v>
      </c>
      <c r="D492" s="2" t="s">
        <v>64</v>
      </c>
      <c r="E492" s="2" t="str">
        <f aca="false">_xlfn.CONCAT(D492,"-",B492)</f>
        <v>CE - 0000-1957</v>
      </c>
      <c r="F492" s="2" t="n">
        <v>200</v>
      </c>
      <c r="G492" s="2" t="n">
        <v>1922.33</v>
      </c>
    </row>
    <row r="493" customFormat="false" ht="13.8" hidden="false" customHeight="false" outlineLevel="0" collapsed="false">
      <c r="A493" s="2" t="s">
        <v>508</v>
      </c>
      <c r="B493" s="2" t="n">
        <v>10809</v>
      </c>
      <c r="C493" s="2" t="s">
        <v>509</v>
      </c>
      <c r="D493" s="2" t="s">
        <v>68</v>
      </c>
      <c r="E493" s="2" t="str">
        <f aca="false">_xlfn.CONCAT(D493,"-",B493)</f>
        <v>CE - OL 002-10809</v>
      </c>
      <c r="F493" s="2" t="n">
        <v>40</v>
      </c>
      <c r="G493" s="2" t="n">
        <v>1056.43</v>
      </c>
    </row>
    <row r="494" customFormat="false" ht="13.8" hidden="false" customHeight="false" outlineLevel="0" collapsed="false">
      <c r="A494" s="2" t="s">
        <v>508</v>
      </c>
      <c r="B494" s="2" t="n">
        <v>10809</v>
      </c>
      <c r="C494" s="2" t="s">
        <v>509</v>
      </c>
      <c r="D494" s="2" t="s">
        <v>64</v>
      </c>
      <c r="E494" s="2" t="str">
        <f aca="false">_xlfn.CONCAT(D494,"-",B494)</f>
        <v>CE - 0000-10809</v>
      </c>
      <c r="F494" s="2" t="n">
        <v>369</v>
      </c>
      <c r="G494" s="2" t="n">
        <v>8645.94</v>
      </c>
    </row>
    <row r="495" customFormat="false" ht="13.8" hidden="false" customHeight="false" outlineLevel="0" collapsed="false">
      <c r="A495" s="2" t="s">
        <v>508</v>
      </c>
      <c r="B495" s="2" t="n">
        <v>10809</v>
      </c>
      <c r="C495" s="2" t="s">
        <v>509</v>
      </c>
      <c r="D495" s="2" t="s">
        <v>67</v>
      </c>
      <c r="E495" s="2" t="str">
        <f aca="false">_xlfn.CONCAT(D495,"-",B495)</f>
        <v>CE - EUROFARMA G7-10809</v>
      </c>
      <c r="F495" s="2" t="n">
        <v>152</v>
      </c>
      <c r="G495" s="2" t="n">
        <v>3658.49</v>
      </c>
    </row>
    <row r="496" customFormat="false" ht="13.8" hidden="false" customHeight="false" outlineLevel="0" collapsed="false">
      <c r="A496" s="2" t="s">
        <v>510</v>
      </c>
      <c r="B496" s="2" t="n">
        <v>10807</v>
      </c>
      <c r="C496" s="2" t="s">
        <v>511</v>
      </c>
      <c r="D496" s="2" t="s">
        <v>64</v>
      </c>
      <c r="E496" s="2" t="str">
        <f aca="false">_xlfn.CONCAT(D496,"-",B496)</f>
        <v>CE - 0000-10807</v>
      </c>
      <c r="F496" s="2" t="n">
        <v>454</v>
      </c>
      <c r="G496" s="2" t="n">
        <v>14370.16</v>
      </c>
    </row>
    <row r="497" customFormat="false" ht="13.8" hidden="false" customHeight="false" outlineLevel="0" collapsed="false">
      <c r="A497" s="2" t="s">
        <v>510</v>
      </c>
      <c r="B497" s="2" t="n">
        <v>10807</v>
      </c>
      <c r="C497" s="2" t="s">
        <v>511</v>
      </c>
      <c r="D497" s="2" t="s">
        <v>68</v>
      </c>
      <c r="E497" s="2" t="str">
        <f aca="false">_xlfn.CONCAT(D497,"-",B497)</f>
        <v>CE - OL 002-10807</v>
      </c>
      <c r="F497" s="2" t="n">
        <v>59</v>
      </c>
      <c r="G497" s="2" t="n">
        <v>2030.46</v>
      </c>
    </row>
    <row r="498" customFormat="false" ht="13.8" hidden="false" customHeight="false" outlineLevel="0" collapsed="false">
      <c r="A498" s="2" t="s">
        <v>510</v>
      </c>
      <c r="B498" s="2" t="n">
        <v>10807</v>
      </c>
      <c r="C498" s="2" t="s">
        <v>511</v>
      </c>
      <c r="D498" s="2" t="s">
        <v>67</v>
      </c>
      <c r="E498" s="2" t="str">
        <f aca="false">_xlfn.CONCAT(D498,"-",B498)</f>
        <v>CE - EUROFARMA G7-10807</v>
      </c>
      <c r="F498" s="2" t="n">
        <v>397</v>
      </c>
      <c r="G498" s="2" t="n">
        <v>12594.28</v>
      </c>
    </row>
    <row r="499" customFormat="false" ht="13.8" hidden="false" customHeight="false" outlineLevel="0" collapsed="false">
      <c r="A499" s="2" t="s">
        <v>512</v>
      </c>
      <c r="B499" s="2" t="n">
        <v>10808</v>
      </c>
      <c r="C499" s="2" t="s">
        <v>513</v>
      </c>
      <c r="D499" s="2" t="s">
        <v>66</v>
      </c>
      <c r="E499" s="2" t="str">
        <f aca="false">_xlfn.CONCAT(D499,"-",B499)</f>
        <v>CE - OL 001-10808</v>
      </c>
      <c r="F499" s="2" t="n">
        <v>2</v>
      </c>
      <c r="G499" s="2" t="n">
        <v>24.84</v>
      </c>
    </row>
    <row r="500" customFormat="false" ht="13.8" hidden="false" customHeight="false" outlineLevel="0" collapsed="false">
      <c r="A500" s="2" t="s">
        <v>512</v>
      </c>
      <c r="B500" s="2" t="n">
        <v>10808</v>
      </c>
      <c r="C500" s="2" t="s">
        <v>513</v>
      </c>
      <c r="D500" s="2" t="s">
        <v>67</v>
      </c>
      <c r="E500" s="2" t="str">
        <f aca="false">_xlfn.CONCAT(D500,"-",B500)</f>
        <v>CE - EUROFARMA G7-10808</v>
      </c>
      <c r="F500" s="2" t="n">
        <v>816</v>
      </c>
      <c r="G500" s="2" t="n">
        <v>9318.62</v>
      </c>
    </row>
    <row r="501" customFormat="false" ht="13.8" hidden="false" customHeight="false" outlineLevel="0" collapsed="false">
      <c r="A501" s="2" t="s">
        <v>512</v>
      </c>
      <c r="B501" s="2" t="n">
        <v>10808</v>
      </c>
      <c r="C501" s="2" t="s">
        <v>513</v>
      </c>
      <c r="D501" s="2" t="s">
        <v>64</v>
      </c>
      <c r="E501" s="2" t="str">
        <f aca="false">_xlfn.CONCAT(D501,"-",B501)</f>
        <v>CE - 0000-10808</v>
      </c>
      <c r="F501" s="2" t="n">
        <v>629</v>
      </c>
      <c r="G501" s="2" t="n">
        <v>7156.69</v>
      </c>
    </row>
    <row r="502" customFormat="false" ht="13.8" hidden="false" customHeight="false" outlineLevel="0" collapsed="false">
      <c r="A502" s="2" t="s">
        <v>512</v>
      </c>
      <c r="B502" s="2" t="n">
        <v>10808</v>
      </c>
      <c r="C502" s="2" t="s">
        <v>513</v>
      </c>
      <c r="D502" s="2" t="s">
        <v>68</v>
      </c>
      <c r="E502" s="2" t="str">
        <f aca="false">_xlfn.CONCAT(D502,"-",B502)</f>
        <v>CE - OL 002-10808</v>
      </c>
      <c r="F502" s="2" t="n">
        <v>62</v>
      </c>
      <c r="G502" s="2" t="n">
        <v>857.58</v>
      </c>
    </row>
    <row r="503" customFormat="false" ht="13.8" hidden="false" customHeight="false" outlineLevel="0" collapsed="false">
      <c r="A503" s="2" t="s">
        <v>514</v>
      </c>
      <c r="B503" s="2" t="n">
        <v>10815</v>
      </c>
      <c r="C503" s="2" t="s">
        <v>515</v>
      </c>
      <c r="D503" s="2" t="s">
        <v>64</v>
      </c>
      <c r="E503" s="2" t="str">
        <f aca="false">_xlfn.CONCAT(D503,"-",B503)</f>
        <v>CE - 0000-10815</v>
      </c>
      <c r="F503" s="2" t="n">
        <v>3</v>
      </c>
      <c r="G503" s="2" t="n">
        <v>48.24</v>
      </c>
    </row>
    <row r="504" customFormat="false" ht="13.8" hidden="false" customHeight="false" outlineLevel="0" collapsed="false">
      <c r="A504" s="2" t="s">
        <v>514</v>
      </c>
      <c r="B504" s="2" t="n">
        <v>10815</v>
      </c>
      <c r="C504" s="2" t="s">
        <v>515</v>
      </c>
      <c r="D504" s="2" t="s">
        <v>67</v>
      </c>
      <c r="E504" s="2" t="str">
        <f aca="false">_xlfn.CONCAT(D504,"-",B504)</f>
        <v>CE - EUROFARMA G7-10815</v>
      </c>
      <c r="F504" s="2" t="n">
        <v>1</v>
      </c>
      <c r="G504" s="2" t="n">
        <v>15.71</v>
      </c>
    </row>
    <row r="505" customFormat="false" ht="13.8" hidden="false" customHeight="false" outlineLevel="0" collapsed="false">
      <c r="A505" s="2" t="s">
        <v>516</v>
      </c>
      <c r="B505" s="2" t="n">
        <v>22719</v>
      </c>
      <c r="C505" s="2" t="s">
        <v>517</v>
      </c>
      <c r="D505" s="2" t="s">
        <v>64</v>
      </c>
      <c r="E505" s="2" t="str">
        <f aca="false">_xlfn.CONCAT(D505,"-",B505)</f>
        <v>CE - 0000-22719</v>
      </c>
      <c r="F505" s="2" t="n">
        <v>4</v>
      </c>
      <c r="G505" s="2" t="n">
        <v>111.07</v>
      </c>
    </row>
    <row r="506" customFormat="false" ht="13.8" hidden="false" customHeight="false" outlineLevel="0" collapsed="false">
      <c r="A506" s="2" t="s">
        <v>516</v>
      </c>
      <c r="B506" s="2" t="n">
        <v>22719</v>
      </c>
      <c r="C506" s="2" t="s">
        <v>517</v>
      </c>
      <c r="D506" s="2" t="s">
        <v>66</v>
      </c>
      <c r="E506" s="2" t="str">
        <f aca="false">_xlfn.CONCAT(D506,"-",B506)</f>
        <v>CE - OL 001-22719</v>
      </c>
      <c r="F506" s="2" t="n">
        <v>20</v>
      </c>
      <c r="G506" s="2" t="n">
        <v>604.7</v>
      </c>
    </row>
    <row r="507" customFormat="false" ht="13.8" hidden="false" customHeight="false" outlineLevel="0" collapsed="false">
      <c r="A507" s="2" t="s">
        <v>518</v>
      </c>
      <c r="B507" s="2" t="n">
        <v>44</v>
      </c>
      <c r="C507" s="2" t="s">
        <v>519</v>
      </c>
      <c r="D507" s="2" t="s">
        <v>64</v>
      </c>
      <c r="E507" s="2" t="str">
        <f aca="false">_xlfn.CONCAT(D507,"-",B507)</f>
        <v>CE - 0000-44</v>
      </c>
      <c r="F507" s="2" t="n">
        <v>31</v>
      </c>
      <c r="G507" s="2" t="n">
        <v>444.79</v>
      </c>
    </row>
    <row r="508" customFormat="false" ht="13.8" hidden="false" customHeight="false" outlineLevel="0" collapsed="false">
      <c r="A508" s="2" t="s">
        <v>518</v>
      </c>
      <c r="B508" s="2" t="n">
        <v>44</v>
      </c>
      <c r="C508" s="2" t="s">
        <v>519</v>
      </c>
      <c r="D508" s="2" t="s">
        <v>68</v>
      </c>
      <c r="E508" s="2" t="str">
        <f aca="false">_xlfn.CONCAT(D508,"-",B508)</f>
        <v>CE - OL 002-44</v>
      </c>
      <c r="F508" s="2" t="n">
        <v>4</v>
      </c>
      <c r="G508" s="2" t="n">
        <v>62.99</v>
      </c>
    </row>
    <row r="509" customFormat="false" ht="13.8" hidden="false" customHeight="false" outlineLevel="0" collapsed="false">
      <c r="A509" s="2" t="s">
        <v>518</v>
      </c>
      <c r="B509" s="2" t="n">
        <v>44</v>
      </c>
      <c r="C509" s="2" t="s">
        <v>519</v>
      </c>
      <c r="D509" s="2" t="s">
        <v>67</v>
      </c>
      <c r="E509" s="2" t="str">
        <f aca="false">_xlfn.CONCAT(D509,"-",B509)</f>
        <v>CE - EUROFARMA G7-44</v>
      </c>
      <c r="F509" s="2" t="n">
        <v>38</v>
      </c>
      <c r="G509" s="2" t="n">
        <v>555.52</v>
      </c>
    </row>
    <row r="510" customFormat="false" ht="13.8" hidden="false" customHeight="false" outlineLevel="0" collapsed="false">
      <c r="A510" s="2" t="s">
        <v>520</v>
      </c>
      <c r="B510" s="2" t="n">
        <v>6662</v>
      </c>
      <c r="C510" s="2" t="s">
        <v>521</v>
      </c>
      <c r="D510" s="2" t="s">
        <v>68</v>
      </c>
      <c r="E510" s="2" t="str">
        <f aca="false">_xlfn.CONCAT(D510,"-",B510)</f>
        <v>CE - OL 002-6662</v>
      </c>
      <c r="F510" s="2" t="n">
        <v>1737</v>
      </c>
      <c r="G510" s="2" t="n">
        <v>3369.99</v>
      </c>
    </row>
    <row r="511" customFormat="false" ht="13.8" hidden="false" customHeight="false" outlineLevel="0" collapsed="false">
      <c r="A511" s="2" t="s">
        <v>520</v>
      </c>
      <c r="B511" s="2" t="n">
        <v>6662</v>
      </c>
      <c r="C511" s="2" t="s">
        <v>521</v>
      </c>
      <c r="D511" s="2" t="s">
        <v>67</v>
      </c>
      <c r="E511" s="2" t="str">
        <f aca="false">_xlfn.CONCAT(D511,"-",B511)</f>
        <v>CE - EUROFARMA G7-6662</v>
      </c>
      <c r="F511" s="2" t="n">
        <v>13409</v>
      </c>
      <c r="G511" s="2" t="n">
        <v>17404.9</v>
      </c>
    </row>
    <row r="512" customFormat="false" ht="13.8" hidden="false" customHeight="false" outlineLevel="0" collapsed="false">
      <c r="A512" s="2" t="s">
        <v>520</v>
      </c>
      <c r="B512" s="2" t="n">
        <v>6662</v>
      </c>
      <c r="C512" s="2" t="s">
        <v>521</v>
      </c>
      <c r="D512" s="2" t="s">
        <v>64</v>
      </c>
      <c r="E512" s="2" t="str">
        <f aca="false">_xlfn.CONCAT(D512,"-",B512)</f>
        <v>CE - 0000-6662</v>
      </c>
      <c r="F512" s="2" t="n">
        <v>5160</v>
      </c>
      <c r="G512" s="2" t="n">
        <v>7198.07</v>
      </c>
    </row>
    <row r="513" customFormat="false" ht="13.8" hidden="false" customHeight="false" outlineLevel="0" collapsed="false">
      <c r="A513" s="2" t="s">
        <v>522</v>
      </c>
      <c r="B513" s="2" t="n">
        <v>9616</v>
      </c>
      <c r="C513" s="2" t="s">
        <v>523</v>
      </c>
      <c r="D513" s="2" t="s">
        <v>64</v>
      </c>
      <c r="E513" s="2" t="str">
        <f aca="false">_xlfn.CONCAT(D513,"-",B513)</f>
        <v>CE - 0000-9616</v>
      </c>
      <c r="F513" s="2" t="n">
        <v>1901</v>
      </c>
      <c r="G513" s="2" t="n">
        <v>10037.51</v>
      </c>
    </row>
    <row r="514" customFormat="false" ht="13.8" hidden="false" customHeight="false" outlineLevel="0" collapsed="false">
      <c r="A514" s="2" t="s">
        <v>522</v>
      </c>
      <c r="B514" s="2" t="n">
        <v>9616</v>
      </c>
      <c r="C514" s="2" t="s">
        <v>523</v>
      </c>
      <c r="D514" s="2" t="s">
        <v>67</v>
      </c>
      <c r="E514" s="2" t="str">
        <f aca="false">_xlfn.CONCAT(D514,"-",B514)</f>
        <v>CE - EUROFARMA G7-9616</v>
      </c>
      <c r="F514" s="2" t="n">
        <v>1363</v>
      </c>
      <c r="G514" s="2" t="n">
        <v>7616.7</v>
      </c>
    </row>
    <row r="515" customFormat="false" ht="13.8" hidden="false" customHeight="false" outlineLevel="0" collapsed="false">
      <c r="A515" s="2" t="s">
        <v>522</v>
      </c>
      <c r="B515" s="2" t="n">
        <v>9616</v>
      </c>
      <c r="C515" s="2" t="s">
        <v>523</v>
      </c>
      <c r="D515" s="2" t="s">
        <v>68</v>
      </c>
      <c r="E515" s="2" t="str">
        <f aca="false">_xlfn.CONCAT(D515,"-",B515)</f>
        <v>CE - OL 002-9616</v>
      </c>
      <c r="F515" s="2" t="n">
        <v>388</v>
      </c>
      <c r="G515" s="2" t="n">
        <v>2337.58</v>
      </c>
    </row>
    <row r="516" customFormat="false" ht="13.8" hidden="false" customHeight="false" outlineLevel="0" collapsed="false">
      <c r="A516" s="2" t="s">
        <v>524</v>
      </c>
      <c r="B516" s="2" t="n">
        <v>8880</v>
      </c>
      <c r="C516" s="2" t="s">
        <v>525</v>
      </c>
      <c r="D516" s="2" t="s">
        <v>64</v>
      </c>
      <c r="E516" s="2" t="str">
        <f aca="false">_xlfn.CONCAT(D516,"-",B516)</f>
        <v>CE - 0000-8880</v>
      </c>
      <c r="F516" s="2" t="n">
        <v>1371</v>
      </c>
      <c r="G516" s="2" t="n">
        <v>13690.04</v>
      </c>
    </row>
    <row r="517" customFormat="false" ht="13.8" hidden="false" customHeight="false" outlineLevel="0" collapsed="false">
      <c r="A517" s="2" t="s">
        <v>524</v>
      </c>
      <c r="B517" s="2" t="n">
        <v>8880</v>
      </c>
      <c r="C517" s="2" t="s">
        <v>525</v>
      </c>
      <c r="D517" s="2" t="s">
        <v>68</v>
      </c>
      <c r="E517" s="2" t="str">
        <f aca="false">_xlfn.CONCAT(D517,"-",B517)</f>
        <v>CE - OL 002-8880</v>
      </c>
      <c r="F517" s="2" t="n">
        <v>96</v>
      </c>
      <c r="G517" s="2" t="n">
        <v>1058.76</v>
      </c>
    </row>
    <row r="518" customFormat="false" ht="13.8" hidden="false" customHeight="false" outlineLevel="0" collapsed="false">
      <c r="A518" s="2" t="s">
        <v>524</v>
      </c>
      <c r="B518" s="2" t="n">
        <v>8880</v>
      </c>
      <c r="C518" s="2" t="s">
        <v>525</v>
      </c>
      <c r="D518" s="2" t="s">
        <v>67</v>
      </c>
      <c r="E518" s="2" t="str">
        <f aca="false">_xlfn.CONCAT(D518,"-",B518)</f>
        <v>CE - EUROFARMA G7-8880</v>
      </c>
      <c r="F518" s="2" t="n">
        <v>519</v>
      </c>
      <c r="G518" s="2" t="n">
        <v>5269.16</v>
      </c>
    </row>
    <row r="519" customFormat="false" ht="13.8" hidden="false" customHeight="false" outlineLevel="0" collapsed="false">
      <c r="A519" s="2" t="s">
        <v>526</v>
      </c>
      <c r="B519" s="2" t="n">
        <v>22502</v>
      </c>
      <c r="C519" s="2" t="s">
        <v>527</v>
      </c>
      <c r="D519" s="2" t="s">
        <v>68</v>
      </c>
      <c r="E519" s="2" t="str">
        <f aca="false">_xlfn.CONCAT(D519,"-",B519)</f>
        <v>CE - OL 002-22502</v>
      </c>
      <c r="F519" s="2" t="n">
        <v>4</v>
      </c>
      <c r="G519" s="2" t="n">
        <v>181.89</v>
      </c>
    </row>
    <row r="520" customFormat="false" ht="13.8" hidden="false" customHeight="false" outlineLevel="0" collapsed="false">
      <c r="A520" s="2" t="s">
        <v>526</v>
      </c>
      <c r="B520" s="2" t="n">
        <v>22502</v>
      </c>
      <c r="C520" s="2" t="s">
        <v>527</v>
      </c>
      <c r="D520" s="2" t="s">
        <v>64</v>
      </c>
      <c r="E520" s="2" t="str">
        <f aca="false">_xlfn.CONCAT(D520,"-",B520)</f>
        <v>CE - 0000-22502</v>
      </c>
      <c r="F520" s="2" t="n">
        <v>61</v>
      </c>
      <c r="G520" s="2" t="n">
        <v>2512.59</v>
      </c>
    </row>
    <row r="521" customFormat="false" ht="13.8" hidden="false" customHeight="false" outlineLevel="0" collapsed="false">
      <c r="A521" s="2" t="s">
        <v>529</v>
      </c>
      <c r="B521" s="2" t="n">
        <v>43</v>
      </c>
      <c r="C521" s="2" t="s">
        <v>530</v>
      </c>
      <c r="D521" s="2" t="s">
        <v>64</v>
      </c>
      <c r="E521" s="2" t="str">
        <f aca="false">_xlfn.CONCAT(D521,"-",B521)</f>
        <v>CE - 0000-43</v>
      </c>
      <c r="F521" s="2" t="n">
        <v>19</v>
      </c>
      <c r="G521" s="2" t="n">
        <v>5355.91</v>
      </c>
    </row>
    <row r="522" customFormat="false" ht="13.8" hidden="false" customHeight="false" outlineLevel="0" collapsed="false">
      <c r="A522" s="2" t="s">
        <v>529</v>
      </c>
      <c r="B522" s="2" t="n">
        <v>43</v>
      </c>
      <c r="C522" s="2" t="s">
        <v>530</v>
      </c>
      <c r="D522" s="2" t="s">
        <v>67</v>
      </c>
      <c r="E522" s="2" t="str">
        <f aca="false">_xlfn.CONCAT(D522,"-",B522)</f>
        <v>CE - EUROFARMA G7-43</v>
      </c>
      <c r="F522" s="2" t="n">
        <v>2</v>
      </c>
      <c r="G522" s="2" t="n">
        <v>599.45</v>
      </c>
    </row>
    <row r="523" customFormat="false" ht="13.8" hidden="false" customHeight="false" outlineLevel="0" collapsed="false">
      <c r="A523" s="2" t="s">
        <v>531</v>
      </c>
      <c r="B523" s="2" t="n">
        <v>3000</v>
      </c>
      <c r="C523" s="2" t="s">
        <v>532</v>
      </c>
      <c r="D523" s="2" t="s">
        <v>67</v>
      </c>
      <c r="E523" s="2" t="str">
        <f aca="false">_xlfn.CONCAT(D523,"-",B523)</f>
        <v>CE - EUROFARMA G7-3000</v>
      </c>
      <c r="F523" s="2" t="n">
        <v>187</v>
      </c>
      <c r="G523" s="2" t="n">
        <v>2670.01</v>
      </c>
    </row>
    <row r="524" customFormat="false" ht="13.8" hidden="false" customHeight="false" outlineLevel="0" collapsed="false">
      <c r="A524" s="2" t="s">
        <v>531</v>
      </c>
      <c r="B524" s="2" t="n">
        <v>3000</v>
      </c>
      <c r="C524" s="2" t="s">
        <v>532</v>
      </c>
      <c r="D524" s="2" t="s">
        <v>68</v>
      </c>
      <c r="E524" s="2" t="str">
        <f aca="false">_xlfn.CONCAT(D524,"-",B524)</f>
        <v>CE - OL 002-3000</v>
      </c>
      <c r="F524" s="2" t="n">
        <v>8</v>
      </c>
      <c r="G524" s="2" t="n">
        <v>124.04</v>
      </c>
    </row>
    <row r="525" customFormat="false" ht="13.8" hidden="false" customHeight="false" outlineLevel="0" collapsed="false">
      <c r="A525" s="2" t="s">
        <v>531</v>
      </c>
      <c r="B525" s="2" t="n">
        <v>3000</v>
      </c>
      <c r="C525" s="2" t="s">
        <v>532</v>
      </c>
      <c r="D525" s="2" t="s">
        <v>64</v>
      </c>
      <c r="E525" s="2" t="str">
        <f aca="false">_xlfn.CONCAT(D525,"-",B525)</f>
        <v>CE - 0000-3000</v>
      </c>
      <c r="F525" s="2" t="n">
        <v>154</v>
      </c>
      <c r="G525" s="2" t="n">
        <v>2176.02</v>
      </c>
    </row>
    <row r="526" customFormat="false" ht="13.8" hidden="false" customHeight="false" outlineLevel="0" collapsed="false">
      <c r="A526" s="2" t="s">
        <v>533</v>
      </c>
      <c r="B526" s="2" t="n">
        <v>12236</v>
      </c>
      <c r="C526" s="2" t="s">
        <v>534</v>
      </c>
      <c r="D526" s="2" t="s">
        <v>67</v>
      </c>
      <c r="E526" s="2" t="str">
        <f aca="false">_xlfn.CONCAT(D526,"-",B526)</f>
        <v>CE - EUROFARMA G7-12236</v>
      </c>
      <c r="F526" s="2" t="n">
        <v>53</v>
      </c>
      <c r="G526" s="2" t="n">
        <v>2294.66</v>
      </c>
    </row>
    <row r="527" customFormat="false" ht="13.8" hidden="false" customHeight="false" outlineLevel="0" collapsed="false">
      <c r="A527" s="2" t="s">
        <v>533</v>
      </c>
      <c r="B527" s="2" t="n">
        <v>12236</v>
      </c>
      <c r="C527" s="2" t="s">
        <v>534</v>
      </c>
      <c r="D527" s="2" t="s">
        <v>64</v>
      </c>
      <c r="E527" s="2" t="str">
        <f aca="false">_xlfn.CONCAT(D527,"-",B527)</f>
        <v>CE - 0000-12236</v>
      </c>
      <c r="F527" s="2" t="n">
        <v>35</v>
      </c>
      <c r="G527" s="2" t="n">
        <v>1493.37</v>
      </c>
    </row>
    <row r="528" customFormat="false" ht="13.8" hidden="false" customHeight="false" outlineLevel="0" collapsed="false">
      <c r="A528" s="2" t="s">
        <v>535</v>
      </c>
      <c r="B528" s="2" t="n">
        <v>10810</v>
      </c>
      <c r="C528" s="2" t="s">
        <v>536</v>
      </c>
      <c r="D528" s="2" t="s">
        <v>64</v>
      </c>
      <c r="E528" s="2" t="str">
        <f aca="false">_xlfn.CONCAT(D528,"-",B528)</f>
        <v>CE - 0000-10810</v>
      </c>
      <c r="F528" s="2" t="n">
        <v>171</v>
      </c>
      <c r="G528" s="2" t="n">
        <v>1810.56</v>
      </c>
    </row>
    <row r="529" customFormat="false" ht="13.8" hidden="false" customHeight="false" outlineLevel="0" collapsed="false">
      <c r="A529" s="2" t="s">
        <v>535</v>
      </c>
      <c r="B529" s="2" t="n">
        <v>10810</v>
      </c>
      <c r="C529" s="2" t="s">
        <v>536</v>
      </c>
      <c r="D529" s="2" t="s">
        <v>67</v>
      </c>
      <c r="E529" s="2" t="str">
        <f aca="false">_xlfn.CONCAT(D529,"-",B529)</f>
        <v>CE - EUROFARMA G7-10810</v>
      </c>
      <c r="F529" s="2" t="n">
        <v>62</v>
      </c>
      <c r="G529" s="2" t="n">
        <v>676.88</v>
      </c>
    </row>
    <row r="530" customFormat="false" ht="13.8" hidden="false" customHeight="false" outlineLevel="0" collapsed="false">
      <c r="A530" s="2" t="s">
        <v>535</v>
      </c>
      <c r="B530" s="2" t="n">
        <v>10810</v>
      </c>
      <c r="C530" s="2" t="s">
        <v>536</v>
      </c>
      <c r="D530" s="2" t="s">
        <v>68</v>
      </c>
      <c r="E530" s="2" t="str">
        <f aca="false">_xlfn.CONCAT(D530,"-",B530)</f>
        <v>CE - OL 002-10810</v>
      </c>
      <c r="F530" s="2" t="n">
        <v>20</v>
      </c>
      <c r="G530" s="2" t="n">
        <v>252.19</v>
      </c>
    </row>
    <row r="531" customFormat="false" ht="13.8" hidden="false" customHeight="false" outlineLevel="0" collapsed="false">
      <c r="A531" s="2" t="s">
        <v>537</v>
      </c>
      <c r="B531" s="2" t="n">
        <v>12237</v>
      </c>
      <c r="C531" s="2" t="s">
        <v>538</v>
      </c>
      <c r="D531" s="2" t="s">
        <v>67</v>
      </c>
      <c r="E531" s="2" t="str">
        <f aca="false">_xlfn.CONCAT(D531,"-",B531)</f>
        <v>CE - EUROFARMA G7-12237</v>
      </c>
      <c r="F531" s="2" t="n">
        <v>91</v>
      </c>
      <c r="G531" s="2" t="n">
        <v>2081.59</v>
      </c>
    </row>
    <row r="532" customFormat="false" ht="13.8" hidden="false" customHeight="false" outlineLevel="0" collapsed="false">
      <c r="A532" s="2" t="s">
        <v>537</v>
      </c>
      <c r="B532" s="2" t="n">
        <v>12237</v>
      </c>
      <c r="C532" s="2" t="s">
        <v>538</v>
      </c>
      <c r="D532" s="2" t="s">
        <v>64</v>
      </c>
      <c r="E532" s="2" t="str">
        <f aca="false">_xlfn.CONCAT(D532,"-",B532)</f>
        <v>CE - 0000-12237</v>
      </c>
      <c r="F532" s="2" t="n">
        <v>80</v>
      </c>
      <c r="G532" s="2" t="n">
        <v>1813.84</v>
      </c>
    </row>
    <row r="533" customFormat="false" ht="13.8" hidden="false" customHeight="false" outlineLevel="0" collapsed="false">
      <c r="A533" s="2" t="s">
        <v>537</v>
      </c>
      <c r="B533" s="2" t="n">
        <v>12237</v>
      </c>
      <c r="C533" s="2" t="s">
        <v>538</v>
      </c>
      <c r="D533" s="2" t="s">
        <v>68</v>
      </c>
      <c r="E533" s="2" t="str">
        <f aca="false">_xlfn.CONCAT(D533,"-",B533)</f>
        <v>CE - OL 002-12237</v>
      </c>
      <c r="F533" s="2" t="n">
        <v>7</v>
      </c>
      <c r="G533" s="2" t="n">
        <v>173.68</v>
      </c>
    </row>
    <row r="534" customFormat="false" ht="13.8" hidden="false" customHeight="false" outlineLevel="0" collapsed="false">
      <c r="A534" s="2" t="s">
        <v>539</v>
      </c>
      <c r="B534" s="2" t="n">
        <v>12389</v>
      </c>
      <c r="C534" s="2" t="s">
        <v>540</v>
      </c>
      <c r="D534" s="2" t="s">
        <v>64</v>
      </c>
      <c r="E534" s="2" t="str">
        <f aca="false">_xlfn.CONCAT(D534,"-",B534)</f>
        <v>CE - 0000-12389</v>
      </c>
      <c r="F534" s="2" t="n">
        <v>234</v>
      </c>
      <c r="G534" s="2" t="n">
        <v>864.65</v>
      </c>
    </row>
    <row r="535" customFormat="false" ht="13.8" hidden="false" customHeight="false" outlineLevel="0" collapsed="false">
      <c r="A535" s="2" t="s">
        <v>543</v>
      </c>
      <c r="B535" s="2" t="n">
        <v>1042</v>
      </c>
      <c r="C535" s="2" t="s">
        <v>544</v>
      </c>
      <c r="D535" s="2" t="s">
        <v>64</v>
      </c>
      <c r="E535" s="2" t="str">
        <f aca="false">_xlfn.CONCAT(D535,"-",B535)</f>
        <v>CE - 0000-1042</v>
      </c>
      <c r="F535" s="2" t="n">
        <v>9</v>
      </c>
      <c r="G535" s="2" t="n">
        <v>87.34</v>
      </c>
    </row>
    <row r="536" customFormat="false" ht="13.8" hidden="false" customHeight="false" outlineLevel="0" collapsed="false">
      <c r="A536" s="2" t="s">
        <v>545</v>
      </c>
      <c r="B536" s="2" t="n">
        <v>7580</v>
      </c>
      <c r="C536" s="2" t="s">
        <v>546</v>
      </c>
      <c r="D536" s="2" t="s">
        <v>64</v>
      </c>
      <c r="E536" s="2" t="str">
        <f aca="false">_xlfn.CONCAT(D536,"-",B536)</f>
        <v>CE - 0000-7580</v>
      </c>
      <c r="F536" s="2" t="n">
        <v>501</v>
      </c>
      <c r="G536" s="2" t="n">
        <v>3115.1</v>
      </c>
    </row>
    <row r="537" customFormat="false" ht="13.8" hidden="false" customHeight="false" outlineLevel="0" collapsed="false">
      <c r="A537" s="2" t="s">
        <v>545</v>
      </c>
      <c r="B537" s="2" t="n">
        <v>7580</v>
      </c>
      <c r="C537" s="2" t="s">
        <v>546</v>
      </c>
      <c r="D537" s="2" t="s">
        <v>68</v>
      </c>
      <c r="E537" s="2" t="str">
        <f aca="false">_xlfn.CONCAT(D537,"-",B537)</f>
        <v>CE - OL 002-7580</v>
      </c>
      <c r="F537" s="2" t="n">
        <v>40</v>
      </c>
      <c r="G537" s="2" t="n">
        <v>272.77</v>
      </c>
    </row>
    <row r="538" customFormat="false" ht="13.8" hidden="false" customHeight="false" outlineLevel="0" collapsed="false">
      <c r="A538" s="2" t="s">
        <v>545</v>
      </c>
      <c r="B538" s="2" t="n">
        <v>7580</v>
      </c>
      <c r="C538" s="2" t="s">
        <v>546</v>
      </c>
      <c r="D538" s="2" t="s">
        <v>67</v>
      </c>
      <c r="E538" s="2" t="str">
        <f aca="false">_xlfn.CONCAT(D538,"-",B538)</f>
        <v>CE - EUROFARMA G7-7580</v>
      </c>
      <c r="F538" s="2" t="n">
        <v>85</v>
      </c>
      <c r="G538" s="2" t="n">
        <v>557.22</v>
      </c>
    </row>
    <row r="539" customFormat="false" ht="13.8" hidden="false" customHeight="false" outlineLevel="0" collapsed="false">
      <c r="A539" s="2" t="s">
        <v>547</v>
      </c>
      <c r="B539" s="2" t="n">
        <v>16080</v>
      </c>
      <c r="C539" s="2" t="s">
        <v>548</v>
      </c>
      <c r="D539" s="2" t="s">
        <v>68</v>
      </c>
      <c r="E539" s="2" t="str">
        <f aca="false">_xlfn.CONCAT(D539,"-",B539)</f>
        <v>CE - OL 002-16080</v>
      </c>
      <c r="F539" s="2" t="n">
        <v>19</v>
      </c>
      <c r="G539" s="2" t="n">
        <v>562.61</v>
      </c>
    </row>
    <row r="540" customFormat="false" ht="13.8" hidden="false" customHeight="false" outlineLevel="0" collapsed="false">
      <c r="A540" s="2" t="s">
        <v>547</v>
      </c>
      <c r="B540" s="2" t="n">
        <v>16080</v>
      </c>
      <c r="C540" s="2" t="s">
        <v>548</v>
      </c>
      <c r="D540" s="2" t="s">
        <v>64</v>
      </c>
      <c r="E540" s="2" t="str">
        <f aca="false">_xlfn.CONCAT(D540,"-",B540)</f>
        <v>CE - 0000-16080</v>
      </c>
      <c r="F540" s="2" t="n">
        <v>225</v>
      </c>
      <c r="G540" s="2" t="n">
        <v>6053.01</v>
      </c>
    </row>
    <row r="541" customFormat="false" ht="13.8" hidden="false" customHeight="false" outlineLevel="0" collapsed="false">
      <c r="A541" s="2" t="s">
        <v>547</v>
      </c>
      <c r="B541" s="2" t="n">
        <v>16080</v>
      </c>
      <c r="C541" s="2" t="s">
        <v>548</v>
      </c>
      <c r="D541" s="2" t="s">
        <v>67</v>
      </c>
      <c r="E541" s="2" t="str">
        <f aca="false">_xlfn.CONCAT(D541,"-",B541)</f>
        <v>CE - EUROFARMA G7-16080</v>
      </c>
      <c r="F541" s="2" t="n">
        <v>29</v>
      </c>
      <c r="G541" s="2" t="n">
        <v>793.42</v>
      </c>
    </row>
    <row r="542" customFormat="false" ht="13.8" hidden="false" customHeight="false" outlineLevel="0" collapsed="false">
      <c r="A542" s="2" t="s">
        <v>551</v>
      </c>
      <c r="B542" s="2" t="n">
        <v>22856</v>
      </c>
      <c r="C542" s="2" t="s">
        <v>552</v>
      </c>
      <c r="D542" s="2" t="s">
        <v>67</v>
      </c>
      <c r="E542" s="2" t="str">
        <f aca="false">_xlfn.CONCAT(D542,"-",B542)</f>
        <v>CE - EUROFARMA G7-22856</v>
      </c>
      <c r="F542" s="2" t="n">
        <v>30</v>
      </c>
      <c r="G542" s="2" t="n">
        <v>500.74</v>
      </c>
    </row>
    <row r="543" customFormat="false" ht="13.8" hidden="false" customHeight="false" outlineLevel="0" collapsed="false">
      <c r="A543" s="2" t="s">
        <v>551</v>
      </c>
      <c r="B543" s="2" t="n">
        <v>22856</v>
      </c>
      <c r="C543" s="2" t="s">
        <v>552</v>
      </c>
      <c r="D543" s="2" t="s">
        <v>66</v>
      </c>
      <c r="E543" s="2" t="str">
        <f aca="false">_xlfn.CONCAT(D543,"-",B543)</f>
        <v>CE - OL 001-22856</v>
      </c>
      <c r="F543" s="2" t="n">
        <v>7</v>
      </c>
      <c r="G543" s="2" t="n">
        <v>125.14</v>
      </c>
    </row>
    <row r="544" customFormat="false" ht="13.8" hidden="false" customHeight="false" outlineLevel="0" collapsed="false">
      <c r="A544" s="2" t="s">
        <v>551</v>
      </c>
      <c r="B544" s="2" t="n">
        <v>22856</v>
      </c>
      <c r="C544" s="2" t="s">
        <v>552</v>
      </c>
      <c r="D544" s="2" t="s">
        <v>64</v>
      </c>
      <c r="E544" s="2" t="str">
        <f aca="false">_xlfn.CONCAT(D544,"-",B544)</f>
        <v>CE - 0000-22856</v>
      </c>
      <c r="F544" s="2" t="n">
        <v>136</v>
      </c>
      <c r="G544" s="2" t="n">
        <v>2115.79</v>
      </c>
    </row>
    <row r="545" customFormat="false" ht="13.8" hidden="false" customHeight="false" outlineLevel="0" collapsed="false">
      <c r="A545" s="2" t="s">
        <v>551</v>
      </c>
      <c r="B545" s="2" t="n">
        <v>22856</v>
      </c>
      <c r="C545" s="2" t="s">
        <v>552</v>
      </c>
      <c r="D545" s="2" t="s">
        <v>68</v>
      </c>
      <c r="E545" s="2" t="str">
        <f aca="false">_xlfn.CONCAT(D545,"-",B545)</f>
        <v>CE - OL 002-22856</v>
      </c>
      <c r="F545" s="2" t="n">
        <v>38</v>
      </c>
      <c r="G545" s="2" t="n">
        <v>803.41</v>
      </c>
    </row>
    <row r="546" customFormat="false" ht="13.8" hidden="false" customHeight="false" outlineLevel="0" collapsed="false">
      <c r="A546" s="2" t="s">
        <v>553</v>
      </c>
      <c r="B546" s="2" t="n">
        <v>22857</v>
      </c>
      <c r="C546" s="2" t="s">
        <v>554</v>
      </c>
      <c r="D546" s="2" t="s">
        <v>66</v>
      </c>
      <c r="E546" s="2" t="str">
        <f aca="false">_xlfn.CONCAT(D546,"-",B546)</f>
        <v>CE - OL 001-22857</v>
      </c>
      <c r="F546" s="2" t="n">
        <v>3</v>
      </c>
      <c r="G546" s="2" t="n">
        <v>101.94</v>
      </c>
    </row>
    <row r="547" customFormat="false" ht="13.8" hidden="false" customHeight="false" outlineLevel="0" collapsed="false">
      <c r="A547" s="2" t="s">
        <v>553</v>
      </c>
      <c r="B547" s="2" t="n">
        <v>22857</v>
      </c>
      <c r="C547" s="2" t="s">
        <v>554</v>
      </c>
      <c r="D547" s="2" t="s">
        <v>67</v>
      </c>
      <c r="E547" s="2" t="str">
        <f aca="false">_xlfn.CONCAT(D547,"-",B547)</f>
        <v>CE - EUROFARMA G7-22857</v>
      </c>
      <c r="F547" s="2" t="n">
        <v>2</v>
      </c>
      <c r="G547" s="2" t="n">
        <v>64.53</v>
      </c>
    </row>
    <row r="548" customFormat="false" ht="13.8" hidden="false" customHeight="false" outlineLevel="0" collapsed="false">
      <c r="A548" s="2" t="s">
        <v>553</v>
      </c>
      <c r="B548" s="2" t="n">
        <v>22857</v>
      </c>
      <c r="C548" s="2" t="s">
        <v>554</v>
      </c>
      <c r="D548" s="2" t="s">
        <v>64</v>
      </c>
      <c r="E548" s="2" t="str">
        <f aca="false">_xlfn.CONCAT(D548,"-",B548)</f>
        <v>CE - 0000-22857</v>
      </c>
      <c r="F548" s="2" t="n">
        <v>3</v>
      </c>
      <c r="G548" s="2" t="n">
        <v>91.11</v>
      </c>
    </row>
    <row r="549" customFormat="false" ht="13.8" hidden="false" customHeight="false" outlineLevel="0" collapsed="false">
      <c r="A549" s="2" t="s">
        <v>553</v>
      </c>
      <c r="B549" s="2" t="n">
        <v>22857</v>
      </c>
      <c r="C549" s="2" t="s">
        <v>554</v>
      </c>
      <c r="D549" s="2" t="s">
        <v>68</v>
      </c>
      <c r="E549" s="2" t="str">
        <f aca="false">_xlfn.CONCAT(D549,"-",B549)</f>
        <v>CE - OL 002-22857</v>
      </c>
      <c r="F549" s="2" t="n">
        <v>6</v>
      </c>
      <c r="G549" s="2" t="n">
        <v>295.22</v>
      </c>
    </row>
    <row r="550" customFormat="false" ht="13.8" hidden="false" customHeight="false" outlineLevel="0" collapsed="false">
      <c r="A550" s="2" t="s">
        <v>555</v>
      </c>
      <c r="B550" s="2" t="n">
        <v>15568</v>
      </c>
      <c r="C550" s="2" t="s">
        <v>556</v>
      </c>
      <c r="D550" s="2" t="s">
        <v>64</v>
      </c>
      <c r="E550" s="2" t="str">
        <f aca="false">_xlfn.CONCAT(D550,"-",B550)</f>
        <v>CE - 0000-15568</v>
      </c>
      <c r="F550" s="2" t="n">
        <v>54</v>
      </c>
      <c r="G550" s="2" t="n">
        <v>1411.96</v>
      </c>
    </row>
    <row r="551" customFormat="false" ht="13.8" hidden="false" customHeight="false" outlineLevel="0" collapsed="false">
      <c r="A551" s="2" t="s">
        <v>555</v>
      </c>
      <c r="B551" s="2" t="n">
        <v>15568</v>
      </c>
      <c r="C551" s="2" t="s">
        <v>556</v>
      </c>
      <c r="D551" s="2" t="s">
        <v>68</v>
      </c>
      <c r="E551" s="2" t="str">
        <f aca="false">_xlfn.CONCAT(D551,"-",B551)</f>
        <v>CE - OL 002-15568</v>
      </c>
      <c r="F551" s="2" t="n">
        <v>3</v>
      </c>
      <c r="G551" s="2" t="n">
        <v>91.17</v>
      </c>
    </row>
    <row r="552" customFormat="false" ht="13.8" hidden="false" customHeight="false" outlineLevel="0" collapsed="false">
      <c r="A552" s="2" t="s">
        <v>555</v>
      </c>
      <c r="B552" s="2" t="n">
        <v>15568</v>
      </c>
      <c r="C552" s="2" t="s">
        <v>556</v>
      </c>
      <c r="D552" s="2" t="s">
        <v>67</v>
      </c>
      <c r="E552" s="2" t="str">
        <f aca="false">_xlfn.CONCAT(D552,"-",B552)</f>
        <v>CE - EUROFARMA G7-15568</v>
      </c>
      <c r="F552" s="2" t="n">
        <v>128</v>
      </c>
      <c r="G552" s="2" t="n">
        <v>3416.82</v>
      </c>
    </row>
    <row r="553" customFormat="false" ht="13.8" hidden="false" customHeight="false" outlineLevel="0" collapsed="false">
      <c r="A553" s="2" t="s">
        <v>557</v>
      </c>
      <c r="B553" s="2" t="n">
        <v>15569</v>
      </c>
      <c r="C553" s="2" t="s">
        <v>558</v>
      </c>
      <c r="D553" s="2" t="s">
        <v>68</v>
      </c>
      <c r="E553" s="2" t="str">
        <f aca="false">_xlfn.CONCAT(D553,"-",B553)</f>
        <v>CE - OL 002-15569</v>
      </c>
      <c r="F553" s="2" t="n">
        <v>4</v>
      </c>
      <c r="G553" s="2" t="n">
        <v>212.98</v>
      </c>
    </row>
    <row r="554" customFormat="false" ht="13.8" hidden="false" customHeight="false" outlineLevel="0" collapsed="false">
      <c r="A554" s="2" t="s">
        <v>557</v>
      </c>
      <c r="B554" s="2" t="n">
        <v>15569</v>
      </c>
      <c r="C554" s="2" t="s">
        <v>558</v>
      </c>
      <c r="D554" s="2" t="s">
        <v>64</v>
      </c>
      <c r="E554" s="2" t="str">
        <f aca="false">_xlfn.CONCAT(D554,"-",B554)</f>
        <v>CE - 0000-15569</v>
      </c>
      <c r="F554" s="2" t="n">
        <v>16</v>
      </c>
      <c r="G554" s="2" t="n">
        <v>654.98</v>
      </c>
    </row>
    <row r="555" customFormat="false" ht="13.8" hidden="false" customHeight="false" outlineLevel="0" collapsed="false">
      <c r="A555" s="2" t="s">
        <v>557</v>
      </c>
      <c r="B555" s="2" t="n">
        <v>15569</v>
      </c>
      <c r="C555" s="2" t="s">
        <v>558</v>
      </c>
      <c r="D555" s="2" t="s">
        <v>67</v>
      </c>
      <c r="E555" s="2" t="str">
        <f aca="false">_xlfn.CONCAT(D555,"-",B555)</f>
        <v>CE - EUROFARMA G7-15569</v>
      </c>
      <c r="F555" s="2" t="n">
        <v>1</v>
      </c>
      <c r="G555" s="2" t="n">
        <v>42.76</v>
      </c>
    </row>
    <row r="556" customFormat="false" ht="13.8" hidden="false" customHeight="false" outlineLevel="0" collapsed="false">
      <c r="A556" s="2" t="s">
        <v>559</v>
      </c>
      <c r="B556" s="2" t="n">
        <v>15567</v>
      </c>
      <c r="C556" s="2" t="s">
        <v>560</v>
      </c>
      <c r="D556" s="2" t="s">
        <v>64</v>
      </c>
      <c r="E556" s="2" t="str">
        <f aca="false">_xlfn.CONCAT(D556,"-",B556)</f>
        <v>CE - 0000-15567</v>
      </c>
      <c r="F556" s="2" t="n">
        <v>32</v>
      </c>
      <c r="G556" s="2" t="n">
        <v>476.48</v>
      </c>
    </row>
    <row r="557" customFormat="false" ht="13.8" hidden="false" customHeight="false" outlineLevel="0" collapsed="false">
      <c r="A557" s="2" t="s">
        <v>559</v>
      </c>
      <c r="B557" s="2" t="n">
        <v>15567</v>
      </c>
      <c r="C557" s="2" t="s">
        <v>560</v>
      </c>
      <c r="D557" s="2" t="s">
        <v>67</v>
      </c>
      <c r="E557" s="2" t="str">
        <f aca="false">_xlfn.CONCAT(D557,"-",B557)</f>
        <v>CE - EUROFARMA G7-15567</v>
      </c>
      <c r="F557" s="2" t="n">
        <v>43</v>
      </c>
      <c r="G557" s="2" t="n">
        <v>670.98</v>
      </c>
    </row>
    <row r="558" customFormat="false" ht="13.8" hidden="false" customHeight="false" outlineLevel="0" collapsed="false">
      <c r="A558" s="2" t="s">
        <v>561</v>
      </c>
      <c r="B558" s="2" t="n">
        <v>10813</v>
      </c>
      <c r="C558" s="2" t="s">
        <v>562</v>
      </c>
      <c r="D558" s="2" t="s">
        <v>64</v>
      </c>
      <c r="E558" s="2" t="str">
        <f aca="false">_xlfn.CONCAT(D558,"-",B558)</f>
        <v>CE - 0000-10813</v>
      </c>
      <c r="F558" s="2" t="n">
        <v>56</v>
      </c>
      <c r="G558" s="2" t="n">
        <v>3020.21</v>
      </c>
    </row>
    <row r="559" customFormat="false" ht="13.8" hidden="false" customHeight="false" outlineLevel="0" collapsed="false">
      <c r="A559" s="2" t="s">
        <v>561</v>
      </c>
      <c r="B559" s="2" t="n">
        <v>10813</v>
      </c>
      <c r="C559" s="2" t="s">
        <v>562</v>
      </c>
      <c r="D559" s="2" t="s">
        <v>68</v>
      </c>
      <c r="E559" s="2" t="str">
        <f aca="false">_xlfn.CONCAT(D559,"-",B559)</f>
        <v>CE - OL 002-10813</v>
      </c>
      <c r="F559" s="2" t="n">
        <v>1</v>
      </c>
      <c r="G559" s="2" t="n">
        <v>61.12</v>
      </c>
    </row>
    <row r="560" customFormat="false" ht="13.8" hidden="false" customHeight="false" outlineLevel="0" collapsed="false">
      <c r="A560" s="2" t="s">
        <v>561</v>
      </c>
      <c r="B560" s="2" t="n">
        <v>10813</v>
      </c>
      <c r="C560" s="2" t="s">
        <v>562</v>
      </c>
      <c r="D560" s="2" t="s">
        <v>67</v>
      </c>
      <c r="E560" s="2" t="str">
        <f aca="false">_xlfn.CONCAT(D560,"-",B560)</f>
        <v>CE - EUROFARMA G7-10813</v>
      </c>
      <c r="F560" s="2" t="n">
        <v>106</v>
      </c>
      <c r="G560" s="2" t="n">
        <v>5949.62</v>
      </c>
    </row>
    <row r="561" customFormat="false" ht="13.8" hidden="false" customHeight="false" outlineLevel="0" collapsed="false">
      <c r="A561" s="2" t="s">
        <v>563</v>
      </c>
      <c r="B561" s="2" t="n">
        <v>10811</v>
      </c>
      <c r="C561" s="2" t="s">
        <v>564</v>
      </c>
      <c r="D561" s="2" t="s">
        <v>64</v>
      </c>
      <c r="E561" s="2" t="str">
        <f aca="false">_xlfn.CONCAT(D561,"-",B561)</f>
        <v>CE - 0000-10811</v>
      </c>
      <c r="F561" s="2" t="n">
        <v>183</v>
      </c>
      <c r="G561" s="2" t="n">
        <v>3025.8</v>
      </c>
    </row>
    <row r="562" customFormat="false" ht="13.8" hidden="false" customHeight="false" outlineLevel="0" collapsed="false">
      <c r="A562" s="2" t="s">
        <v>563</v>
      </c>
      <c r="B562" s="2" t="n">
        <v>10811</v>
      </c>
      <c r="C562" s="2" t="s">
        <v>564</v>
      </c>
      <c r="D562" s="2" t="s">
        <v>68</v>
      </c>
      <c r="E562" s="2" t="str">
        <f aca="false">_xlfn.CONCAT(D562,"-",B562)</f>
        <v>CE - OL 002-10811</v>
      </c>
      <c r="F562" s="2" t="n">
        <v>12</v>
      </c>
      <c r="G562" s="2" t="n">
        <v>243.64</v>
      </c>
    </row>
    <row r="563" customFormat="false" ht="13.8" hidden="false" customHeight="false" outlineLevel="0" collapsed="false">
      <c r="A563" s="2" t="s">
        <v>563</v>
      </c>
      <c r="B563" s="2" t="n">
        <v>10811</v>
      </c>
      <c r="C563" s="2" t="s">
        <v>564</v>
      </c>
      <c r="D563" s="2" t="s">
        <v>67</v>
      </c>
      <c r="E563" s="2" t="str">
        <f aca="false">_xlfn.CONCAT(D563,"-",B563)</f>
        <v>CE - EUROFARMA G7-10811</v>
      </c>
      <c r="F563" s="2" t="n">
        <v>127</v>
      </c>
      <c r="G563" s="2" t="n">
        <v>2168.34</v>
      </c>
    </row>
    <row r="564" customFormat="false" ht="13.8" hidden="false" customHeight="false" outlineLevel="0" collapsed="false">
      <c r="A564" s="2" t="s">
        <v>565</v>
      </c>
      <c r="B564" s="2" t="n">
        <v>10812</v>
      </c>
      <c r="C564" s="2" t="s">
        <v>566</v>
      </c>
      <c r="D564" s="2" t="s">
        <v>67</v>
      </c>
      <c r="E564" s="2" t="str">
        <f aca="false">_xlfn.CONCAT(D564,"-",B564)</f>
        <v>CE - EUROFARMA G7-10812</v>
      </c>
      <c r="F564" s="2" t="n">
        <v>419</v>
      </c>
      <c r="G564" s="2" t="n">
        <v>12746.24</v>
      </c>
    </row>
    <row r="565" customFormat="false" ht="13.8" hidden="false" customHeight="false" outlineLevel="0" collapsed="false">
      <c r="A565" s="2" t="s">
        <v>565</v>
      </c>
      <c r="B565" s="2" t="n">
        <v>10812</v>
      </c>
      <c r="C565" s="2" t="s">
        <v>566</v>
      </c>
      <c r="D565" s="2" t="s">
        <v>64</v>
      </c>
      <c r="E565" s="2" t="str">
        <f aca="false">_xlfn.CONCAT(D565,"-",B565)</f>
        <v>CE - 0000-10812</v>
      </c>
      <c r="F565" s="2" t="n">
        <v>136</v>
      </c>
      <c r="G565" s="2" t="n">
        <v>3992.69</v>
      </c>
    </row>
    <row r="566" customFormat="false" ht="13.8" hidden="false" customHeight="false" outlineLevel="0" collapsed="false">
      <c r="A566" s="2" t="s">
        <v>565</v>
      </c>
      <c r="B566" s="2" t="n">
        <v>10812</v>
      </c>
      <c r="C566" s="2" t="s">
        <v>566</v>
      </c>
      <c r="D566" s="2" t="s">
        <v>68</v>
      </c>
      <c r="E566" s="2" t="str">
        <f aca="false">_xlfn.CONCAT(D566,"-",B566)</f>
        <v>CE - OL 002-10812</v>
      </c>
      <c r="F566" s="2" t="n">
        <v>27</v>
      </c>
      <c r="G566" s="2" t="n">
        <v>911.87</v>
      </c>
    </row>
    <row r="567" customFormat="false" ht="13.8" hidden="false" customHeight="false" outlineLevel="0" collapsed="false">
      <c r="A567" s="2" t="s">
        <v>567</v>
      </c>
      <c r="B567" s="2" t="n">
        <v>16639</v>
      </c>
      <c r="C567" s="2" t="s">
        <v>568</v>
      </c>
      <c r="D567" s="2" t="s">
        <v>64</v>
      </c>
      <c r="E567" s="2" t="str">
        <f aca="false">_xlfn.CONCAT(D567,"-",B567)</f>
        <v>CE - 0000-16639</v>
      </c>
      <c r="F567" s="2" t="n">
        <v>20</v>
      </c>
      <c r="G567" s="2" t="n">
        <v>123.24</v>
      </c>
    </row>
    <row r="568" customFormat="false" ht="13.8" hidden="false" customHeight="false" outlineLevel="0" collapsed="false">
      <c r="A568" s="2" t="s">
        <v>569</v>
      </c>
      <c r="B568" s="2" t="n">
        <v>4087</v>
      </c>
      <c r="C568" s="2" t="s">
        <v>570</v>
      </c>
      <c r="D568" s="2" t="s">
        <v>64</v>
      </c>
      <c r="E568" s="2" t="str">
        <f aca="false">_xlfn.CONCAT(D568,"-",B568)</f>
        <v>CE - 0000-4087</v>
      </c>
      <c r="F568" s="2" t="n">
        <v>309</v>
      </c>
      <c r="G568" s="2" t="n">
        <v>12171.79</v>
      </c>
    </row>
    <row r="569" customFormat="false" ht="13.8" hidden="false" customHeight="false" outlineLevel="0" collapsed="false">
      <c r="A569" s="2" t="s">
        <v>569</v>
      </c>
      <c r="B569" s="2" t="n">
        <v>4087</v>
      </c>
      <c r="C569" s="2" t="s">
        <v>570</v>
      </c>
      <c r="D569" s="2" t="s">
        <v>67</v>
      </c>
      <c r="E569" s="2" t="str">
        <f aca="false">_xlfn.CONCAT(D569,"-",B569)</f>
        <v>CE - EUROFARMA G7-4087</v>
      </c>
      <c r="F569" s="2" t="n">
        <v>155</v>
      </c>
      <c r="G569" s="2" t="n">
        <v>6155.89</v>
      </c>
    </row>
    <row r="570" customFormat="false" ht="13.8" hidden="false" customHeight="false" outlineLevel="0" collapsed="false">
      <c r="A570" s="2" t="s">
        <v>569</v>
      </c>
      <c r="B570" s="2" t="n">
        <v>4087</v>
      </c>
      <c r="C570" s="2" t="s">
        <v>570</v>
      </c>
      <c r="D570" s="2" t="s">
        <v>68</v>
      </c>
      <c r="E570" s="2" t="str">
        <f aca="false">_xlfn.CONCAT(D570,"-",B570)</f>
        <v>CE - OL 002-4087</v>
      </c>
      <c r="F570" s="2" t="n">
        <v>19</v>
      </c>
      <c r="G570" s="2" t="n">
        <v>820.11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2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" activeCellId="0" sqref="L3"/>
    </sheetView>
  </sheetViews>
  <sheetFormatPr defaultColWidth="9.14453125" defaultRowHeight="13.8" zeroHeight="false" outlineLevelRow="0" outlineLevelCol="0"/>
  <cols>
    <col collapsed="false" customWidth="true" hidden="false" outlineLevel="0" max="1" min="1" style="2" width="15.58"/>
    <col collapsed="false" customWidth="true" hidden="false" outlineLevel="0" max="2" min="2" style="2" width="6.76"/>
    <col collapsed="false" customWidth="true" hidden="false" outlineLevel="0" max="3" min="3" style="2" width="62.19"/>
    <col collapsed="false" customWidth="true" hidden="false" outlineLevel="0" max="4" min="4" style="0" width="9.85"/>
    <col collapsed="false" customWidth="true" hidden="false" outlineLevel="0" max="5" min="5" style="0" width="9.52"/>
    <col collapsed="false" customWidth="true" hidden="true" outlineLevel="0" max="6" min="6" style="0" width="13.27"/>
    <col collapsed="false" customWidth="true" hidden="false" outlineLevel="0" max="7" min="7" style="0" width="10.95"/>
    <col collapsed="false" customWidth="true" hidden="true" outlineLevel="0" max="8" min="8" style="0" width="12.49"/>
    <col collapsed="false" customWidth="true" hidden="true" outlineLevel="0" max="9" min="9" style="0" width="9.41"/>
    <col collapsed="false" customWidth="true" hidden="false" outlineLevel="0" max="10" min="10" style="0" width="10.06"/>
    <col collapsed="false" customWidth="true" hidden="false" outlineLevel="0" max="11" min="11" style="0" width="17.23"/>
    <col collapsed="false" customWidth="true" hidden="false" outlineLevel="0" max="12" min="12" style="0" width="9.85"/>
    <col collapsed="false" customWidth="true" hidden="false" outlineLevel="0" max="13" min="13" style="0" width="10.06"/>
    <col collapsed="false" customWidth="true" hidden="false" outlineLevel="0" max="15" min="14" style="0" width="8.97"/>
  </cols>
  <sheetData>
    <row r="1" customFormat="false" ht="13.8" hidden="false" customHeight="false" outlineLevel="0" collapsed="false">
      <c r="L1" s="4" t="s">
        <v>572</v>
      </c>
      <c r="M1" s="4"/>
      <c r="N1" s="4"/>
      <c r="O1" s="4"/>
      <c r="P1" s="4" t="s">
        <v>573</v>
      </c>
      <c r="Q1" s="4"/>
      <c r="R1" s="4"/>
      <c r="S1" s="4"/>
      <c r="T1" s="4" t="s">
        <v>463</v>
      </c>
      <c r="U1" s="4"/>
      <c r="V1" s="4"/>
      <c r="W1" s="4"/>
      <c r="X1" s="4" t="s">
        <v>573</v>
      </c>
      <c r="Y1" s="4"/>
      <c r="Z1" s="4"/>
      <c r="AA1" s="4"/>
      <c r="AB1" s="4" t="s">
        <v>65</v>
      </c>
      <c r="AC1" s="4"/>
      <c r="AD1" s="4"/>
      <c r="AE1" s="4"/>
      <c r="AF1" s="4" t="s">
        <v>573</v>
      </c>
      <c r="AG1" s="4"/>
      <c r="AH1" s="4"/>
      <c r="AI1" s="4"/>
      <c r="AJ1" s="4" t="s">
        <v>69</v>
      </c>
      <c r="AK1" s="4"/>
      <c r="AL1" s="4"/>
      <c r="AM1" s="4"/>
      <c r="AN1" s="5" t="s">
        <v>573</v>
      </c>
      <c r="AO1" s="5"/>
      <c r="AP1" s="5"/>
      <c r="AQ1" s="5"/>
      <c r="AR1" s="4" t="s">
        <v>67</v>
      </c>
      <c r="AS1" s="4"/>
      <c r="AT1" s="4"/>
      <c r="AU1" s="4"/>
      <c r="AV1" s="4" t="s">
        <v>573</v>
      </c>
      <c r="AW1" s="4"/>
      <c r="AX1" s="4"/>
      <c r="AY1" s="4"/>
      <c r="AZ1" s="4" t="s">
        <v>66</v>
      </c>
      <c r="BA1" s="4"/>
      <c r="BB1" s="4"/>
      <c r="BC1" s="4"/>
      <c r="BD1" s="4" t="s">
        <v>573</v>
      </c>
      <c r="BE1" s="4"/>
      <c r="BF1" s="4"/>
      <c r="BG1" s="4"/>
      <c r="BH1" s="4" t="s">
        <v>68</v>
      </c>
      <c r="BI1" s="4"/>
      <c r="BJ1" s="4"/>
      <c r="BK1" s="4"/>
      <c r="BL1" s="4" t="s">
        <v>573</v>
      </c>
      <c r="BM1" s="4"/>
      <c r="BN1" s="4"/>
      <c r="BO1" s="4"/>
      <c r="BP1" s="4" t="s">
        <v>177</v>
      </c>
      <c r="BQ1" s="4"/>
      <c r="BR1" s="4"/>
      <c r="BS1" s="4"/>
      <c r="BT1" s="4" t="s">
        <v>573</v>
      </c>
      <c r="BU1" s="4"/>
      <c r="BV1" s="4"/>
      <c r="BW1" s="4"/>
      <c r="BX1" s="4" t="s">
        <v>90</v>
      </c>
      <c r="BY1" s="4"/>
      <c r="BZ1" s="4"/>
      <c r="CA1" s="4"/>
      <c r="CB1" s="4" t="s">
        <v>573</v>
      </c>
      <c r="CC1" s="4"/>
      <c r="CD1" s="4"/>
      <c r="CE1" s="4"/>
    </row>
    <row r="2" customFormat="false" ht="13.8" hidden="false" customHeight="false" outlineLevel="0" collapsed="false">
      <c r="A2" s="2" t="s">
        <v>55</v>
      </c>
      <c r="B2" s="2" t="s">
        <v>56</v>
      </c>
      <c r="C2" s="2" t="s">
        <v>57</v>
      </c>
      <c r="D2" s="6" t="s">
        <v>574</v>
      </c>
      <c r="E2" s="6" t="s">
        <v>575</v>
      </c>
      <c r="F2" s="6" t="s">
        <v>576</v>
      </c>
      <c r="G2" s="6" t="s">
        <v>577</v>
      </c>
      <c r="H2" s="6" t="s">
        <v>578</v>
      </c>
      <c r="I2" s="6" t="s">
        <v>579</v>
      </c>
      <c r="J2" s="6" t="s">
        <v>580</v>
      </c>
      <c r="K2" s="6" t="s">
        <v>581</v>
      </c>
      <c r="L2" s="0" t="s">
        <v>582</v>
      </c>
      <c r="M2" s="0" t="s">
        <v>583</v>
      </c>
      <c r="O2" s="0" t="s">
        <v>584</v>
      </c>
      <c r="P2" s="0" t="s">
        <v>582</v>
      </c>
      <c r="Q2" s="0" t="s">
        <v>583</v>
      </c>
      <c r="S2" s="0" t="s">
        <v>584</v>
      </c>
      <c r="T2" s="0" t="s">
        <v>582</v>
      </c>
      <c r="U2" s="0" t="s">
        <v>583</v>
      </c>
      <c r="W2" s="0" t="s">
        <v>584</v>
      </c>
      <c r="X2" s="0" t="s">
        <v>582</v>
      </c>
      <c r="Y2" s="0" t="s">
        <v>583</v>
      </c>
      <c r="AA2" s="0" t="s">
        <v>584</v>
      </c>
      <c r="AB2" s="0" t="s">
        <v>582</v>
      </c>
      <c r="AC2" s="0" t="s">
        <v>583</v>
      </c>
      <c r="AE2" s="0" t="s">
        <v>584</v>
      </c>
      <c r="AF2" s="0" t="s">
        <v>582</v>
      </c>
      <c r="AG2" s="0" t="s">
        <v>583</v>
      </c>
      <c r="AI2" s="0" t="s">
        <v>584</v>
      </c>
      <c r="AJ2" s="0" t="s">
        <v>582</v>
      </c>
      <c r="AK2" s="0" t="s">
        <v>583</v>
      </c>
      <c r="AM2" s="0" t="s">
        <v>584</v>
      </c>
      <c r="AN2" s="0" t="s">
        <v>582</v>
      </c>
      <c r="AO2" s="0" t="s">
        <v>583</v>
      </c>
      <c r="AQ2" s="0" t="s">
        <v>584</v>
      </c>
      <c r="AR2" s="0" t="s">
        <v>582</v>
      </c>
      <c r="AS2" s="0" t="s">
        <v>583</v>
      </c>
      <c r="AU2" s="0" t="s">
        <v>584</v>
      </c>
      <c r="AV2" s="0" t="s">
        <v>582</v>
      </c>
      <c r="AW2" s="0" t="s">
        <v>583</v>
      </c>
      <c r="AY2" s="0" t="s">
        <v>584</v>
      </c>
      <c r="AZ2" s="0" t="s">
        <v>582</v>
      </c>
      <c r="BA2" s="0" t="s">
        <v>583</v>
      </c>
      <c r="BC2" s="0" t="s">
        <v>584</v>
      </c>
      <c r="BD2" s="0" t="s">
        <v>582</v>
      </c>
      <c r="BE2" s="0" t="s">
        <v>583</v>
      </c>
      <c r="BG2" s="0" t="s">
        <v>584</v>
      </c>
      <c r="BH2" s="0" t="s">
        <v>582</v>
      </c>
      <c r="BI2" s="0" t="s">
        <v>583</v>
      </c>
      <c r="BK2" s="0" t="s">
        <v>584</v>
      </c>
      <c r="BL2" s="0" t="s">
        <v>582</v>
      </c>
      <c r="BM2" s="0" t="s">
        <v>583</v>
      </c>
      <c r="BO2" s="0" t="s">
        <v>584</v>
      </c>
      <c r="BP2" s="0" t="s">
        <v>582</v>
      </c>
      <c r="BQ2" s="0" t="s">
        <v>583</v>
      </c>
      <c r="BS2" s="0" t="s">
        <v>584</v>
      </c>
      <c r="BT2" s="0" t="s">
        <v>582</v>
      </c>
      <c r="BU2" s="0" t="s">
        <v>583</v>
      </c>
      <c r="BW2" s="0" t="s">
        <v>584</v>
      </c>
      <c r="BX2" s="0" t="s">
        <v>582</v>
      </c>
      <c r="BY2" s="0" t="s">
        <v>583</v>
      </c>
      <c r="CA2" s="0" t="s">
        <v>584</v>
      </c>
      <c r="CB2" s="0" t="s">
        <v>582</v>
      </c>
      <c r="CC2" s="0" t="s">
        <v>583</v>
      </c>
      <c r="CE2" s="0" t="s">
        <v>584</v>
      </c>
    </row>
    <row r="3" customFormat="false" ht="13.8" hidden="false" customHeight="false" outlineLevel="0" collapsed="false">
      <c r="A3" s="2" t="n">
        <v>7891317133689</v>
      </c>
      <c r="B3" s="2" t="n">
        <v>26</v>
      </c>
      <c r="C3" s="2" t="s">
        <v>262</v>
      </c>
      <c r="E3" s="7" t="n">
        <f aca="false">IFERROR(VLOOKUP(B3,Entrada!A:B,2,0),0)</f>
        <v>161.05</v>
      </c>
      <c r="F3" s="7" t="n">
        <f aca="false">IFERROR(VLOOKUP(B3,Entrada!A:C,3,0),0)</f>
        <v>44.604</v>
      </c>
      <c r="G3" s="7" t="n">
        <f aca="false">IFERROR(VLOOKUP(B3,Entrada!K:L,2,0),0)</f>
        <v>47.1</v>
      </c>
      <c r="H3" s="8" t="n">
        <f aca="false">IFERROR(VLOOKUP(B3,Entrada!A:D,4,0),0)</f>
        <v>100</v>
      </c>
      <c r="I3" s="8" t="n">
        <f aca="false">IFERROR(VLOOKUP(B3,Entrada!F:I,4,0),0)</f>
        <v>200</v>
      </c>
      <c r="J3" s="8" t="n">
        <f aca="false">H3+I3</f>
        <v>300</v>
      </c>
      <c r="K3" s="7" t="n">
        <f aca="false">G3*J3</f>
        <v>14130</v>
      </c>
      <c r="L3" s="0" t="str">
        <f aca="false">IFERROR(VLOOKUP(_xlfn.CONCAT($L$1,"-",B3),Saída_2023!$E:$F,2,0),"0")</f>
        <v>0</v>
      </c>
      <c r="P3" s="0" t="n">
        <f aca="false">IFERROR(VLOOKUP(_xlfn.CONCAT($L$1,"-",B3),Saída_DEZ!$E:$F,1,0),0)</f>
        <v>0</v>
      </c>
    </row>
    <row r="4" customFormat="false" ht="13.8" hidden="false" customHeight="false" outlineLevel="0" collapsed="false">
      <c r="A4" s="2" t="n">
        <v>7891317134303</v>
      </c>
      <c r="B4" s="2" t="n">
        <v>27</v>
      </c>
      <c r="C4" s="2" t="s">
        <v>487</v>
      </c>
      <c r="E4" s="7" t="n">
        <f aca="false">IFERROR(VLOOKUP(B4,Entrada!A:B,2,0),0)</f>
        <v>206.46</v>
      </c>
      <c r="F4" s="7" t="n">
        <f aca="false">IFERROR(VLOOKUP(B4,Entrada!A:C,3,0),0)</f>
        <v>31.844367</v>
      </c>
      <c r="G4" s="7" t="n">
        <f aca="false">IFERROR(VLOOKUP(B4,Entrada!K:L,2,0),0)</f>
        <v>51.3</v>
      </c>
      <c r="H4" s="8" t="n">
        <f aca="false">IFERROR(VLOOKUP(B4,Entrada!A:D,4,0),0)</f>
        <v>2027</v>
      </c>
      <c r="I4" s="8" t="n">
        <f aca="false">IFERROR(VLOOKUP(B4,Entrada!F:I,4,0),0)</f>
        <v>0</v>
      </c>
      <c r="J4" s="8" t="n">
        <f aca="false">H4+I4</f>
        <v>2027</v>
      </c>
      <c r="K4" s="7" t="n">
        <f aca="false">G4*J4</f>
        <v>103985.1</v>
      </c>
      <c r="L4" s="0" t="str">
        <f aca="false">IFERROR(VLOOKUP(_xlfn.CONCAT($L$1,"-",B4),Saída_2023!$E:$F,2,0),"0")</f>
        <v>0</v>
      </c>
    </row>
    <row r="5" customFormat="false" ht="13.8" hidden="false" customHeight="false" outlineLevel="0" collapsed="false">
      <c r="A5" s="2" t="n">
        <v>7891317192822</v>
      </c>
      <c r="B5" s="2" t="n">
        <v>35</v>
      </c>
      <c r="C5" s="2" t="s">
        <v>446</v>
      </c>
      <c r="E5" s="7" t="n">
        <f aca="false">IFERROR(VLOOKUP(B5,Entrada!A:B,2,0),0)</f>
        <v>58.76</v>
      </c>
      <c r="F5" s="7" t="n">
        <f aca="false">IFERROR(VLOOKUP(B5,Entrada!A:C,3,0),0)</f>
        <v>19.634583</v>
      </c>
      <c r="G5" s="7" t="n">
        <f aca="false">IFERROR(VLOOKUP(B5,Entrada!K:L,2,0),0)</f>
        <v>19.63</v>
      </c>
      <c r="H5" s="8" t="n">
        <f aca="false">IFERROR(VLOOKUP(B5,Entrada!A:D,4,0),0)</f>
        <v>120</v>
      </c>
      <c r="I5" s="8" t="n">
        <f aca="false">IFERROR(VLOOKUP(B5,Entrada!F:I,4,0),0)</f>
        <v>60</v>
      </c>
      <c r="J5" s="8" t="n">
        <f aca="false">H5+I5</f>
        <v>180</v>
      </c>
      <c r="K5" s="7" t="n">
        <f aca="false">G5*J5</f>
        <v>3533.4</v>
      </c>
      <c r="L5" s="0" t="str">
        <f aca="false">IFERROR(VLOOKUP(_xlfn.CONCAT($L$1,"-",B5),Saída_2023!$E:$F,2,0),"0")</f>
        <v>0</v>
      </c>
    </row>
    <row r="6" customFormat="false" ht="13.8" hidden="false" customHeight="false" outlineLevel="0" collapsed="false">
      <c r="A6" s="2" t="n">
        <v>7891317001872</v>
      </c>
      <c r="B6" s="2" t="n">
        <v>38</v>
      </c>
      <c r="C6" s="2" t="s">
        <v>329</v>
      </c>
      <c r="E6" s="7" t="n">
        <f aca="false">IFERROR(VLOOKUP(B6,Entrada!A:B,2,0),0)</f>
        <v>29.16</v>
      </c>
      <c r="F6" s="7" t="n">
        <f aca="false">IFERROR(VLOOKUP(B6,Entrada!A:C,3,0),0)</f>
        <v>6.088125</v>
      </c>
      <c r="G6" s="7" t="n">
        <f aca="false">IFERROR(VLOOKUP(B6,Entrada!K:L,2,0),0)</f>
        <v>10.96</v>
      </c>
      <c r="H6" s="8" t="n">
        <f aca="false">IFERROR(VLOOKUP(B6,Entrada!A:D,4,0),0)</f>
        <v>240</v>
      </c>
      <c r="I6" s="8" t="n">
        <f aca="false">IFERROR(VLOOKUP(B6,Entrada!F:I,4,0),0)</f>
        <v>240</v>
      </c>
      <c r="J6" s="8" t="n">
        <f aca="false">H6+I6</f>
        <v>480</v>
      </c>
      <c r="K6" s="7" t="n">
        <f aca="false">G6*J6</f>
        <v>5260.8</v>
      </c>
      <c r="L6" s="0" t="str">
        <f aca="false">IFERROR(VLOOKUP(_xlfn.CONCAT($L$1,"-",B6),Saída_2023!$E:$F,2,0),"0")</f>
        <v>0</v>
      </c>
    </row>
    <row r="7" customFormat="false" ht="13.8" hidden="false" customHeight="false" outlineLevel="0" collapsed="false">
      <c r="A7" s="2" t="n">
        <v>7891317001513</v>
      </c>
      <c r="B7" s="2" t="n">
        <v>39</v>
      </c>
      <c r="C7" s="2" t="s">
        <v>85</v>
      </c>
      <c r="E7" s="7" t="n">
        <f aca="false">IFERROR(VLOOKUP(B7,Entrada!A:B,2,0),0)</f>
        <v>78.18</v>
      </c>
      <c r="F7" s="7" t="n">
        <f aca="false">IFERROR(VLOOKUP(B7,Entrada!A:C,3,0),0)</f>
        <v>12.777</v>
      </c>
      <c r="G7" s="7" t="n">
        <f aca="false">IFERROR(VLOOKUP(B7,Entrada!K:L,2,0),0)</f>
        <v>12.78</v>
      </c>
      <c r="H7" s="8" t="n">
        <f aca="false">IFERROR(VLOOKUP(B7,Entrada!A:D,4,0),0)</f>
        <v>200</v>
      </c>
      <c r="I7" s="8" t="n">
        <f aca="false">IFERROR(VLOOKUP(B7,Entrada!F:I,4,0),0)</f>
        <v>0</v>
      </c>
      <c r="J7" s="8" t="n">
        <f aca="false">H7+I7</f>
        <v>200</v>
      </c>
      <c r="K7" s="7" t="n">
        <f aca="false">G7*J7</f>
        <v>2556</v>
      </c>
      <c r="L7" s="0" t="str">
        <f aca="false">IFERROR(VLOOKUP(_xlfn.CONCAT($L$1,"-",B7),Saída_2023!$E:$F,2,0),"0")</f>
        <v>0</v>
      </c>
    </row>
    <row r="8" customFormat="false" ht="13.8" hidden="false" customHeight="false" outlineLevel="0" collapsed="false">
      <c r="A8" s="2" t="n">
        <v>7891317140854</v>
      </c>
      <c r="B8" s="2" t="n">
        <v>42</v>
      </c>
      <c r="C8" s="2" t="s">
        <v>392</v>
      </c>
      <c r="E8" s="7" t="n">
        <f aca="false">IFERROR(VLOOKUP(B8,Entrada!A:B,2,0),0)</f>
        <v>85.63</v>
      </c>
      <c r="F8" s="7" t="n">
        <f aca="false">IFERROR(VLOOKUP(B8,Entrada!A:C,3,0),0)</f>
        <v>13.2527</v>
      </c>
      <c r="G8" s="7" t="n">
        <f aca="false">IFERROR(VLOOKUP(B8,Entrada!K:L,2,0),0)</f>
        <v>17.68</v>
      </c>
      <c r="H8" s="8" t="n">
        <f aca="false">IFERROR(VLOOKUP(B8,Entrada!A:D,4,0),0)</f>
        <v>100</v>
      </c>
      <c r="I8" s="8" t="n">
        <f aca="false">IFERROR(VLOOKUP(B8,Entrada!F:I,4,0),0)</f>
        <v>880</v>
      </c>
      <c r="J8" s="8" t="n">
        <f aca="false">H8+I8</f>
        <v>980</v>
      </c>
      <c r="K8" s="7" t="n">
        <f aca="false">G8*J8</f>
        <v>17326.4</v>
      </c>
      <c r="L8" s="0" t="str">
        <f aca="false">IFERROR(VLOOKUP(_xlfn.CONCAT($L$1,"-",B8),Saída_2023!$E:$F,2,0),"0")</f>
        <v>0</v>
      </c>
    </row>
    <row r="9" customFormat="false" ht="13.8" hidden="false" customHeight="false" outlineLevel="0" collapsed="false">
      <c r="A9" s="2" t="n">
        <v>7891317001414</v>
      </c>
      <c r="B9" s="2" t="n">
        <v>43</v>
      </c>
      <c r="C9" s="2" t="s">
        <v>530</v>
      </c>
      <c r="E9" s="7" t="n">
        <f aca="false">IFERROR(VLOOKUP(B9,Entrada!A:B,2,0),0)</f>
        <v>388.56</v>
      </c>
      <c r="F9" s="7" t="n">
        <f aca="false">IFERROR(VLOOKUP(B9,Entrada!A:C,3,0),0)</f>
        <v>200.5462</v>
      </c>
      <c r="G9" s="7" t="n">
        <f aca="false">IFERROR(VLOOKUP(B9,Entrada!K:L,2,0),0)</f>
        <v>200.55</v>
      </c>
      <c r="H9" s="8" t="n">
        <f aca="false">IFERROR(VLOOKUP(B9,Entrada!A:D,4,0),0)</f>
        <v>150</v>
      </c>
      <c r="I9" s="8" t="n">
        <f aca="false">IFERROR(VLOOKUP(B9,Entrada!F:I,4,0),0)</f>
        <v>0</v>
      </c>
      <c r="J9" s="8" t="n">
        <f aca="false">H9+I9</f>
        <v>150</v>
      </c>
      <c r="K9" s="7" t="n">
        <f aca="false">G9*J9</f>
        <v>30082.5</v>
      </c>
      <c r="L9" s="0" t="str">
        <f aca="false">IFERROR(VLOOKUP(_xlfn.CONCAT($L$1,"-",B9),Saída_2023!$E:$F,2,0),"0")</f>
        <v>0</v>
      </c>
    </row>
    <row r="10" customFormat="false" ht="13.8" hidden="false" customHeight="false" outlineLevel="0" collapsed="false">
      <c r="A10" s="2" t="n">
        <v>7891317481636</v>
      </c>
      <c r="B10" s="2" t="n">
        <v>44</v>
      </c>
      <c r="C10" s="2" t="s">
        <v>519</v>
      </c>
      <c r="E10" s="7" t="n">
        <f aca="false">IFERROR(VLOOKUP(B10,Entrada!A:B,2,0),0)</f>
        <v>59.65</v>
      </c>
      <c r="F10" s="7" t="n">
        <f aca="false">IFERROR(VLOOKUP(B10,Entrada!A:C,3,0),0)</f>
        <v>10.2224</v>
      </c>
      <c r="G10" s="7" t="n">
        <f aca="false">IFERROR(VLOOKUP(B10,Entrada!K:L,2,0),0)</f>
        <v>6.78</v>
      </c>
      <c r="H10" s="8" t="n">
        <f aca="false">IFERROR(VLOOKUP(B10,Entrada!A:D,4,0),0)</f>
        <v>300</v>
      </c>
      <c r="I10" s="8" t="n">
        <f aca="false">IFERROR(VLOOKUP(B10,Entrada!F:I,4,0),0)</f>
        <v>100</v>
      </c>
      <c r="J10" s="8" t="n">
        <f aca="false">H10+I10</f>
        <v>400</v>
      </c>
      <c r="K10" s="7" t="n">
        <f aca="false">G10*J10</f>
        <v>2712</v>
      </c>
      <c r="L10" s="0" t="str">
        <f aca="false">IFERROR(VLOOKUP(_xlfn.CONCAT($L$1,"-",B10),Saída_2023!$E:$F,2,0),"0")</f>
        <v>0</v>
      </c>
    </row>
    <row r="11" customFormat="false" ht="13.8" hidden="false" customHeight="false" outlineLevel="0" collapsed="false">
      <c r="A11" s="2" t="n">
        <v>7891317472139</v>
      </c>
      <c r="B11" s="2" t="n">
        <v>45</v>
      </c>
      <c r="C11" s="2" t="s">
        <v>382</v>
      </c>
      <c r="E11" s="7" t="n">
        <f aca="false">IFERROR(VLOOKUP(B11,Entrada!A:B,2,0),0)</f>
        <v>50.83</v>
      </c>
      <c r="F11" s="7" t="n">
        <f aca="false">IFERROR(VLOOKUP(B11,Entrada!A:C,3,0),0)</f>
        <v>15.94272</v>
      </c>
      <c r="G11" s="7" t="n">
        <f aca="false">IFERROR(VLOOKUP(B11,Entrada!K:L,2,0),0)</f>
        <v>0</v>
      </c>
      <c r="H11" s="8" t="n">
        <f aca="false">IFERROR(VLOOKUP(B11,Entrada!A:D,4,0),0)</f>
        <v>0</v>
      </c>
      <c r="I11" s="8" t="n">
        <f aca="false">IFERROR(VLOOKUP(B11,Entrada!F:I,4,0),0)</f>
        <v>0</v>
      </c>
      <c r="J11" s="8" t="n">
        <f aca="false">H11+I11</f>
        <v>0</v>
      </c>
      <c r="K11" s="7" t="n">
        <f aca="false">G11*J11</f>
        <v>0</v>
      </c>
      <c r="L11" s="0" t="str">
        <f aca="false">IFERROR(VLOOKUP(_xlfn.CONCAT($L$1,"-",B11),Saída_2023!$E:$F,2,0),"0")</f>
        <v>0</v>
      </c>
    </row>
    <row r="12" customFormat="false" ht="13.8" hidden="false" customHeight="false" outlineLevel="0" collapsed="false">
      <c r="A12" s="2" t="n">
        <v>7891317002190</v>
      </c>
      <c r="B12" s="2" t="n">
        <v>47</v>
      </c>
      <c r="C12" s="2" t="s">
        <v>181</v>
      </c>
      <c r="E12" s="7" t="n">
        <f aca="false">IFERROR(VLOOKUP(B12,Entrada!A:B,2,0),0)</f>
        <v>150.05</v>
      </c>
      <c r="F12" s="7" t="n">
        <f aca="false">IFERROR(VLOOKUP(B12,Entrada!A:C,3,0),0)</f>
        <v>41.303063</v>
      </c>
      <c r="G12" s="7" t="n">
        <f aca="false">IFERROR(VLOOKUP(B12,Entrada!K:L,2,0),0)</f>
        <v>41.3</v>
      </c>
      <c r="H12" s="8" t="n">
        <f aca="false">IFERROR(VLOOKUP(B12,Entrada!A:D,4,0),0)</f>
        <v>320</v>
      </c>
      <c r="I12" s="8" t="n">
        <f aca="false">IFERROR(VLOOKUP(B12,Entrada!F:I,4,0),0)</f>
        <v>0</v>
      </c>
      <c r="J12" s="8" t="n">
        <f aca="false">H12+I12</f>
        <v>320</v>
      </c>
      <c r="K12" s="7" t="n">
        <f aca="false">G12*J12</f>
        <v>13216</v>
      </c>
      <c r="L12" s="0" t="str">
        <f aca="false">IFERROR(VLOOKUP(_xlfn.CONCAT($L$1,"-",B12),Saída_2023!$E:$F,2,0),"0")</f>
        <v>0</v>
      </c>
    </row>
    <row r="13" customFormat="false" ht="13.8" hidden="false" customHeight="false" outlineLevel="0" collapsed="false">
      <c r="A13" s="2" t="n">
        <v>7891317002022</v>
      </c>
      <c r="B13" s="2" t="n">
        <v>129</v>
      </c>
      <c r="C13" s="2" t="s">
        <v>489</v>
      </c>
      <c r="E13" s="7" t="n">
        <f aca="false">IFERROR(VLOOKUP(B13,Entrada!A:B,2,0),0)</f>
        <v>116.04</v>
      </c>
      <c r="F13" s="7" t="n">
        <f aca="false">IFERROR(VLOOKUP(B13,Entrada!A:C,3,0),0)</f>
        <v>13.974428</v>
      </c>
      <c r="G13" s="7" t="n">
        <f aca="false">IFERROR(VLOOKUP(B13,Entrada!K:L,2,0),0)</f>
        <v>13.97</v>
      </c>
      <c r="H13" s="8" t="n">
        <f aca="false">IFERROR(VLOOKUP(B13,Entrada!A:D,4,0),0)</f>
        <v>490</v>
      </c>
      <c r="I13" s="8" t="n">
        <f aca="false">IFERROR(VLOOKUP(B13,Entrada!F:I,4,0),0)</f>
        <v>980</v>
      </c>
      <c r="J13" s="8" t="n">
        <f aca="false">H13+I13</f>
        <v>1470</v>
      </c>
      <c r="K13" s="7" t="n">
        <f aca="false">G13*J13</f>
        <v>20535.9</v>
      </c>
      <c r="L13" s="0" t="str">
        <f aca="false">IFERROR(VLOOKUP(_xlfn.CONCAT($L$1,"-",B13),Saída_2023!$E:$F,2,0),"0")</f>
        <v>0</v>
      </c>
    </row>
    <row r="14" customFormat="false" ht="13.8" hidden="false" customHeight="false" outlineLevel="0" collapsed="false">
      <c r="A14" s="2" t="n">
        <v>7891317005757</v>
      </c>
      <c r="B14" s="2" t="n">
        <v>255</v>
      </c>
      <c r="C14" s="2" t="s">
        <v>157</v>
      </c>
      <c r="E14" s="7" t="n">
        <f aca="false">IFERROR(VLOOKUP(B14,Entrada!A:B,2,0),0)</f>
        <v>69.06</v>
      </c>
      <c r="F14" s="7" t="n">
        <f aca="false">IFERROR(VLOOKUP(B14,Entrada!A:C,3,0),0)</f>
        <v>11.8818</v>
      </c>
      <c r="G14" s="7" t="n">
        <f aca="false">IFERROR(VLOOKUP(B14,Entrada!K:L,2,0),0)</f>
        <v>20.2</v>
      </c>
      <c r="H14" s="8" t="n">
        <f aca="false">IFERROR(VLOOKUP(B14,Entrada!A:D,4,0),0)</f>
        <v>250</v>
      </c>
      <c r="I14" s="8" t="n">
        <f aca="false">IFERROR(VLOOKUP(B14,Entrada!F:I,4,0),0)</f>
        <v>400</v>
      </c>
      <c r="J14" s="8" t="n">
        <f aca="false">H14+I14</f>
        <v>650</v>
      </c>
      <c r="K14" s="7" t="n">
        <f aca="false">G14*J14</f>
        <v>13130</v>
      </c>
      <c r="L14" s="0" t="str">
        <f aca="false">IFERROR(VLOOKUP(_xlfn.CONCAT($L$1,"-",B14),Saída_2023!$E:$F,2,0),"0")</f>
        <v>0</v>
      </c>
    </row>
    <row r="15" customFormat="false" ht="13.8" hidden="false" customHeight="false" outlineLevel="0" collapsed="false">
      <c r="A15" s="2" t="n">
        <v>7891317005764</v>
      </c>
      <c r="B15" s="2" t="n">
        <v>257</v>
      </c>
      <c r="C15" s="2" t="s">
        <v>159</v>
      </c>
      <c r="E15" s="7" t="n">
        <f aca="false">IFERROR(VLOOKUP(B15,Entrada!A:B,2,0),0)</f>
        <v>238.78</v>
      </c>
      <c r="F15" s="7" t="n">
        <f aca="false">IFERROR(VLOOKUP(B15,Entrada!A:C,3,0),0)</f>
        <v>58.350906</v>
      </c>
      <c r="G15" s="7" t="n">
        <f aca="false">IFERROR(VLOOKUP(B15,Entrada!K:L,2,0),0)</f>
        <v>65.73</v>
      </c>
      <c r="H15" s="8" t="n">
        <f aca="false">IFERROR(VLOOKUP(B15,Entrada!A:D,4,0),0)</f>
        <v>0</v>
      </c>
      <c r="I15" s="8" t="n">
        <f aca="false">IFERROR(VLOOKUP(B15,Entrada!F:I,4,0),0)</f>
        <v>50</v>
      </c>
      <c r="J15" s="8" t="n">
        <f aca="false">H15+I15</f>
        <v>50</v>
      </c>
      <c r="K15" s="7" t="n">
        <f aca="false">G15*J15</f>
        <v>3286.5</v>
      </c>
      <c r="L15" s="0" t="str">
        <f aca="false">IFERROR(VLOOKUP(_xlfn.CONCAT($L$1,"-",B15),Saída_2023!$E:$F,2,0),"0")</f>
        <v>0</v>
      </c>
    </row>
    <row r="16" customFormat="false" ht="13.8" hidden="false" customHeight="false" outlineLevel="0" collapsed="false">
      <c r="A16" s="2" t="n">
        <v>7891317004330</v>
      </c>
      <c r="B16" s="2" t="n">
        <v>457</v>
      </c>
      <c r="C16" s="2" t="s">
        <v>465</v>
      </c>
      <c r="E16" s="7" t="n">
        <f aca="false">IFERROR(VLOOKUP(B16,Entrada!A:B,2,0),0)</f>
        <v>31.36</v>
      </c>
      <c r="F16" s="7" t="n">
        <f aca="false">IFERROR(VLOOKUP(B16,Entrada!A:C,3,0),0)</f>
        <v>7.824202</v>
      </c>
      <c r="G16" s="7" t="n">
        <f aca="false">IFERROR(VLOOKUP(B16,Entrada!K:L,2,0),0)</f>
        <v>9.71</v>
      </c>
      <c r="H16" s="8" t="n">
        <f aca="false">IFERROR(VLOOKUP(B16,Entrada!A:D,4,0),0)</f>
        <v>2190</v>
      </c>
      <c r="I16" s="8" t="n">
        <f aca="false">IFERROR(VLOOKUP(B16,Entrada!F:I,4,0),0)</f>
        <v>3740</v>
      </c>
      <c r="J16" s="8" t="n">
        <f aca="false">H16+I16</f>
        <v>5930</v>
      </c>
      <c r="K16" s="7" t="n">
        <f aca="false">G16*J16</f>
        <v>57580.3</v>
      </c>
      <c r="L16" s="0" t="str">
        <f aca="false">IFERROR(VLOOKUP(_xlfn.CONCAT($L$1,"-",B16),Saída_2023!$E:$F,2,0),"0")</f>
        <v>0</v>
      </c>
    </row>
    <row r="17" customFormat="false" ht="13.8" hidden="false" customHeight="false" outlineLevel="0" collapsed="false">
      <c r="A17" s="2" t="n">
        <v>7891317004323</v>
      </c>
      <c r="B17" s="2" t="n">
        <v>458</v>
      </c>
      <c r="C17" s="2" t="s">
        <v>458</v>
      </c>
      <c r="E17" s="7" t="n">
        <f aca="false">IFERROR(VLOOKUP(B17,Entrada!A:B,2,0),0)</f>
        <v>16.16</v>
      </c>
      <c r="F17" s="7" t="n">
        <f aca="false">IFERROR(VLOOKUP(B17,Entrada!A:C,3,0),0)</f>
        <v>4.3103666</v>
      </c>
      <c r="G17" s="7" t="n">
        <f aca="false">IFERROR(VLOOKUP(B17,Entrada!K:L,2,0),0)</f>
        <v>4.31</v>
      </c>
      <c r="H17" s="8" t="n">
        <f aca="false">IFERROR(VLOOKUP(B17,Entrada!A:D,4,0),0)</f>
        <v>1800</v>
      </c>
      <c r="I17" s="8" t="n">
        <f aca="false">IFERROR(VLOOKUP(B17,Entrada!F:I,4,0),0)</f>
        <v>4770</v>
      </c>
      <c r="J17" s="8" t="n">
        <f aca="false">H17+I17</f>
        <v>6570</v>
      </c>
      <c r="K17" s="7" t="n">
        <f aca="false">G17*J17</f>
        <v>28316.7</v>
      </c>
      <c r="L17" s="0" t="str">
        <f aca="false">IFERROR(VLOOKUP(_xlfn.CONCAT($L$1,"-",B17),Saída_2023!$E:$F,2,0),"0")</f>
        <v>0</v>
      </c>
    </row>
    <row r="18" customFormat="false" ht="13.8" hidden="false" customHeight="false" outlineLevel="0" collapsed="false">
      <c r="A18" s="2" t="n">
        <v>7891317004316</v>
      </c>
      <c r="B18" s="2" t="n">
        <v>459</v>
      </c>
      <c r="C18" s="2" t="s">
        <v>467</v>
      </c>
      <c r="E18" s="7" t="n">
        <f aca="false">IFERROR(VLOOKUP(B18,Entrada!A:B,2,0),0)</f>
        <v>12.06</v>
      </c>
      <c r="F18" s="7" t="n">
        <f aca="false">IFERROR(VLOOKUP(B18,Entrada!A:C,3,0),0)</f>
        <v>3.40266667</v>
      </c>
      <c r="G18" s="7" t="n">
        <f aca="false">IFERROR(VLOOKUP(B18,Entrada!K:L,2,0),0)</f>
        <v>3.83</v>
      </c>
      <c r="H18" s="8" t="n">
        <f aca="false">IFERROR(VLOOKUP(B18,Entrada!A:D,4,0),0)</f>
        <v>670</v>
      </c>
      <c r="I18" s="8" t="n">
        <f aca="false">IFERROR(VLOOKUP(B18,Entrada!F:I,4,0),0)</f>
        <v>500</v>
      </c>
      <c r="J18" s="8" t="n">
        <f aca="false">H18+I18</f>
        <v>1170</v>
      </c>
      <c r="K18" s="7" t="n">
        <f aca="false">G18*J18</f>
        <v>4481.1</v>
      </c>
      <c r="L18" s="0" t="str">
        <f aca="false">IFERROR(VLOOKUP(_xlfn.CONCAT($L$1,"-",B18),Saída_2023!$E:$F,2,0),"0")</f>
        <v>0</v>
      </c>
    </row>
    <row r="19" customFormat="false" ht="13.8" hidden="false" customHeight="false" outlineLevel="0" collapsed="false">
      <c r="A19" s="2" t="n">
        <v>7891317004293</v>
      </c>
      <c r="B19" s="2" t="n">
        <v>460</v>
      </c>
      <c r="C19" s="2" t="s">
        <v>469</v>
      </c>
      <c r="E19" s="7" t="n">
        <f aca="false">IFERROR(VLOOKUP(B19,Entrada!A:B,2,0),0)</f>
        <v>6.16</v>
      </c>
      <c r="F19" s="7" t="n">
        <f aca="false">IFERROR(VLOOKUP(B19,Entrada!A:C,3,0),0)</f>
        <v>1.60539936</v>
      </c>
      <c r="G19" s="7" t="n">
        <f aca="false">IFERROR(VLOOKUP(B19,Entrada!K:L,2,0),0)</f>
        <v>2.07</v>
      </c>
      <c r="H19" s="8" t="n">
        <f aca="false">IFERROR(VLOOKUP(B19,Entrada!A:D,4,0),0)</f>
        <v>1000</v>
      </c>
      <c r="I19" s="8" t="n">
        <f aca="false">IFERROR(VLOOKUP(B19,Entrada!F:I,4,0),0)</f>
        <v>2400</v>
      </c>
      <c r="J19" s="8" t="n">
        <f aca="false">H19+I19</f>
        <v>3400</v>
      </c>
      <c r="K19" s="7" t="n">
        <f aca="false">G19*J19</f>
        <v>7038</v>
      </c>
      <c r="L19" s="0" t="str">
        <f aca="false">IFERROR(VLOOKUP(_xlfn.CONCAT($L$1,"-",B19),Saída_2023!$E:$F,2,0),"0")</f>
        <v>0</v>
      </c>
    </row>
    <row r="20" customFormat="false" ht="13.8" hidden="false" customHeight="false" outlineLevel="0" collapsed="false">
      <c r="A20" s="2" t="n">
        <v>7891317180539</v>
      </c>
      <c r="B20" s="2" t="n">
        <v>687</v>
      </c>
      <c r="C20" s="2" t="s">
        <v>240</v>
      </c>
      <c r="E20" s="7" t="n">
        <f aca="false">IFERROR(VLOOKUP(B20,Entrada!A:B,2,0),0)</f>
        <v>26.28</v>
      </c>
      <c r="F20" s="7" t="n">
        <f aca="false">IFERROR(VLOOKUP(B20,Entrada!A:C,3,0),0)</f>
        <v>4.06746</v>
      </c>
      <c r="G20" s="7" t="n">
        <f aca="false">IFERROR(VLOOKUP(B20,Entrada!K:L,2,0),0)</f>
        <v>4.3</v>
      </c>
      <c r="H20" s="8" t="n">
        <f aca="false">IFERROR(VLOOKUP(B20,Entrada!A:D,4,0),0)</f>
        <v>500</v>
      </c>
      <c r="I20" s="8" t="n">
        <f aca="false">IFERROR(VLOOKUP(B20,Entrada!F:I,4,0),0)</f>
        <v>14600</v>
      </c>
      <c r="J20" s="8" t="n">
        <f aca="false">H20+I20</f>
        <v>15100</v>
      </c>
      <c r="K20" s="7" t="n">
        <f aca="false">G20*J20</f>
        <v>64930</v>
      </c>
      <c r="L20" s="0" t="str">
        <f aca="false">IFERROR(VLOOKUP(_xlfn.CONCAT($L$1,"-",B20),Saída_2023!$E:$F,2,0),"0")</f>
        <v>0</v>
      </c>
    </row>
    <row r="21" customFormat="false" ht="13.8" hidden="false" customHeight="false" outlineLevel="0" collapsed="false">
      <c r="A21" s="2" t="n">
        <v>7891317180553</v>
      </c>
      <c r="B21" s="2" t="n">
        <v>691</v>
      </c>
      <c r="C21" s="2" t="s">
        <v>585</v>
      </c>
      <c r="E21" s="7" t="n">
        <f aca="false">IFERROR(VLOOKUP(B21,Entrada!A:B,2,0),0)</f>
        <v>65.88</v>
      </c>
      <c r="F21" s="7" t="n">
        <f aca="false">IFERROR(VLOOKUP(B21,Entrada!A:C,3,0),0)</f>
        <v>10.7320524</v>
      </c>
      <c r="G21" s="7" t="n">
        <f aca="false">IFERROR(VLOOKUP(B21,Entrada!K:L,2,0),0)</f>
        <v>10.77</v>
      </c>
      <c r="H21" s="8" t="n">
        <f aca="false">IFERROR(VLOOKUP(B21,Entrada!A:D,4,0),0)</f>
        <v>560</v>
      </c>
      <c r="I21" s="8" t="n">
        <f aca="false">IFERROR(VLOOKUP(B21,Entrada!F:I,4,0),0)</f>
        <v>2660</v>
      </c>
      <c r="J21" s="8" t="n">
        <f aca="false">H21+I21</f>
        <v>3220</v>
      </c>
      <c r="K21" s="7" t="n">
        <f aca="false">G21*J21</f>
        <v>34679.4</v>
      </c>
      <c r="L21" s="0" t="str">
        <f aca="false">IFERROR(VLOOKUP(_xlfn.CONCAT($L$1,"-",B21),Saída_2023!$E:$F,2,0),"0")</f>
        <v>0</v>
      </c>
    </row>
    <row r="22" customFormat="false" ht="13.8" hidden="false" customHeight="false" outlineLevel="0" collapsed="false">
      <c r="A22" s="2" t="n">
        <v>7891317140779</v>
      </c>
      <c r="B22" s="2" t="n">
        <v>873</v>
      </c>
      <c r="C22" s="2" t="s">
        <v>450</v>
      </c>
      <c r="E22" s="7" t="n">
        <f aca="false">IFERROR(VLOOKUP(B22,Entrada!A:B,2,0),0)</f>
        <v>79.03</v>
      </c>
      <c r="F22" s="7" t="n">
        <f aca="false">IFERROR(VLOOKUP(B22,Entrada!A:C,3,0),0)</f>
        <v>31.14866667</v>
      </c>
      <c r="G22" s="7" t="n">
        <f aca="false">IFERROR(VLOOKUP(B22,Entrada!K:L,2,0),0)</f>
        <v>31.15</v>
      </c>
      <c r="H22" s="8" t="n">
        <f aca="false">IFERROR(VLOOKUP(B22,Entrada!A:D,4,0),0)</f>
        <v>360</v>
      </c>
      <c r="I22" s="8" t="n">
        <f aca="false">IFERROR(VLOOKUP(B22,Entrada!F:I,4,0),0)</f>
        <v>0</v>
      </c>
      <c r="J22" s="8" t="n">
        <f aca="false">H22+I22</f>
        <v>360</v>
      </c>
      <c r="K22" s="7" t="n">
        <f aca="false">G22*J22</f>
        <v>11214</v>
      </c>
      <c r="L22" s="0" t="str">
        <f aca="false">IFERROR(VLOOKUP(_xlfn.CONCAT($L$1,"-",B22),Saída_2023!$E:$F,2,0),"0")</f>
        <v>0</v>
      </c>
    </row>
    <row r="23" customFormat="false" ht="13.8" hidden="false" customHeight="false" outlineLevel="0" collapsed="false">
      <c r="A23" s="2" t="n">
        <v>7891317454371</v>
      </c>
      <c r="B23" s="2" t="n">
        <v>1042</v>
      </c>
      <c r="C23" s="2" t="s">
        <v>544</v>
      </c>
      <c r="E23" s="7" t="n">
        <f aca="false">IFERROR(VLOOKUP(B23,Entrada!A:B,2,0),0)</f>
        <v>35.52</v>
      </c>
      <c r="F23" s="7" t="n">
        <f aca="false">IFERROR(VLOOKUP(B23,Entrada!A:C,3,0),0)</f>
        <v>5.188125</v>
      </c>
      <c r="G23" s="7" t="n">
        <f aca="false">IFERROR(VLOOKUP(B23,Entrada!K:L,2,0),0)</f>
        <v>0</v>
      </c>
      <c r="H23" s="8" t="n">
        <f aca="false">IFERROR(VLOOKUP(B23,Entrada!A:D,4,0),0)</f>
        <v>0</v>
      </c>
      <c r="I23" s="8" t="n">
        <f aca="false">IFERROR(VLOOKUP(B23,Entrada!F:I,4,0),0)</f>
        <v>0</v>
      </c>
      <c r="J23" s="8" t="n">
        <f aca="false">H23+I23</f>
        <v>0</v>
      </c>
      <c r="K23" s="7" t="n">
        <f aca="false">G23*J23</f>
        <v>0</v>
      </c>
      <c r="L23" s="0" t="str">
        <f aca="false">IFERROR(VLOOKUP(_xlfn.CONCAT($L$1,"-",B23),Saída_2023!$E:$F,2,0),"0")</f>
        <v>0</v>
      </c>
    </row>
    <row r="24" customFormat="false" ht="13.8" hidden="false" customHeight="false" outlineLevel="0" collapsed="false">
      <c r="A24" s="2" t="n">
        <v>7891317002442</v>
      </c>
      <c r="B24" s="2" t="n">
        <v>1044</v>
      </c>
      <c r="C24" s="2" t="s">
        <v>187</v>
      </c>
      <c r="E24" s="7" t="n">
        <f aca="false">IFERROR(VLOOKUP(B24,Entrada!A:B,2,0),0)</f>
        <v>21.38</v>
      </c>
      <c r="F24" s="7" t="n">
        <f aca="false">IFERROR(VLOOKUP(B24,Entrada!A:C,3,0),0)</f>
        <v>4.39725</v>
      </c>
      <c r="G24" s="7" t="n">
        <f aca="false">IFERROR(VLOOKUP(B24,Entrada!K:L,2,0),0)</f>
        <v>4.76</v>
      </c>
      <c r="H24" s="8" t="n">
        <f aca="false">IFERROR(VLOOKUP(B24,Entrada!A:D,4,0),0)</f>
        <v>320</v>
      </c>
      <c r="I24" s="8" t="n">
        <f aca="false">IFERROR(VLOOKUP(B24,Entrada!F:I,4,0),0)</f>
        <v>1040</v>
      </c>
      <c r="J24" s="8" t="n">
        <f aca="false">H24+I24</f>
        <v>1360</v>
      </c>
      <c r="K24" s="7" t="n">
        <f aca="false">G24*J24</f>
        <v>6473.6</v>
      </c>
      <c r="L24" s="0" t="str">
        <f aca="false">IFERROR(VLOOKUP(_xlfn.CONCAT($L$1,"-",B24),Saída_2023!$E:$F,2,0),"0")</f>
        <v>0</v>
      </c>
    </row>
    <row r="25" customFormat="false" ht="13.8" hidden="false" customHeight="false" outlineLevel="0" collapsed="false">
      <c r="A25" s="2" t="n">
        <v>7891317002459</v>
      </c>
      <c r="B25" s="2" t="n">
        <v>1045</v>
      </c>
      <c r="C25" s="2" t="s">
        <v>189</v>
      </c>
      <c r="E25" s="7" t="n">
        <f aca="false">IFERROR(VLOOKUP(B25,Entrada!A:B,2,0),0)</f>
        <v>20.89</v>
      </c>
      <c r="F25" s="7" t="n">
        <f aca="false">IFERROR(VLOOKUP(B25,Entrada!A:C,3,0),0)</f>
        <v>5.9311875</v>
      </c>
      <c r="G25" s="7" t="n">
        <f aca="false">IFERROR(VLOOKUP(B25,Entrada!K:L,2,0),0)</f>
        <v>6.26</v>
      </c>
      <c r="H25" s="8" t="n">
        <f aca="false">IFERROR(VLOOKUP(B25,Entrada!A:D,4,0),0)</f>
        <v>320</v>
      </c>
      <c r="I25" s="8" t="n">
        <f aca="false">IFERROR(VLOOKUP(B25,Entrada!F:I,4,0),0)</f>
        <v>800</v>
      </c>
      <c r="J25" s="8" t="n">
        <f aca="false">H25+I25</f>
        <v>1120</v>
      </c>
      <c r="K25" s="7" t="n">
        <f aca="false">G25*J25</f>
        <v>7011.2</v>
      </c>
      <c r="L25" s="0" t="str">
        <f aca="false">IFERROR(VLOOKUP(_xlfn.CONCAT($L$1,"-",B25),Saída_2023!$E:$F,2,0),"0")</f>
        <v>0</v>
      </c>
    </row>
    <row r="26" customFormat="false" ht="13.8" hidden="false" customHeight="false" outlineLevel="0" collapsed="false">
      <c r="A26" s="2" t="n">
        <v>7891317002503</v>
      </c>
      <c r="B26" s="2" t="n">
        <v>1046</v>
      </c>
      <c r="C26" s="2" t="s">
        <v>191</v>
      </c>
      <c r="E26" s="7" t="n">
        <f aca="false">IFERROR(VLOOKUP(B26,Entrada!A:B,2,0),0)</f>
        <v>23.2</v>
      </c>
      <c r="F26" s="7" t="n">
        <f aca="false">IFERROR(VLOOKUP(B26,Entrada!A:C,3,0),0)</f>
        <v>4.3295625</v>
      </c>
      <c r="G26" s="7" t="n">
        <f aca="false">IFERROR(VLOOKUP(B26,Entrada!K:L,2,0),0)</f>
        <v>5.17</v>
      </c>
      <c r="H26" s="8" t="n">
        <f aca="false">IFERROR(VLOOKUP(B26,Entrada!A:D,4,0),0)</f>
        <v>480</v>
      </c>
      <c r="I26" s="8" t="n">
        <f aca="false">IFERROR(VLOOKUP(B26,Entrada!F:I,4,0),0)</f>
        <v>1360</v>
      </c>
      <c r="J26" s="8" t="n">
        <f aca="false">H26+I26</f>
        <v>1840</v>
      </c>
      <c r="K26" s="7" t="n">
        <f aca="false">G26*J26</f>
        <v>9512.8</v>
      </c>
      <c r="L26" s="0" t="str">
        <f aca="false">IFERROR(VLOOKUP(_xlfn.CONCAT($L$1,"-",B26),Saída_2023!$E:$F,2,0),"0")</f>
        <v>0</v>
      </c>
    </row>
    <row r="27" customFormat="false" ht="13.8" hidden="false" customHeight="false" outlineLevel="0" collapsed="false">
      <c r="A27" s="2" t="n">
        <v>7891317002497</v>
      </c>
      <c r="B27" s="2" t="n">
        <v>1047</v>
      </c>
      <c r="C27" s="2" t="s">
        <v>193</v>
      </c>
      <c r="E27" s="7" t="n">
        <f aca="false">IFERROR(VLOOKUP(B27,Entrada!A:B,2,0),0)</f>
        <v>21.65</v>
      </c>
      <c r="F27" s="7" t="n">
        <f aca="false">IFERROR(VLOOKUP(B27,Entrada!A:C,3,0),0)</f>
        <v>6.1471875</v>
      </c>
      <c r="G27" s="7" t="n">
        <f aca="false">IFERROR(VLOOKUP(B27,Entrada!K:L,2,0),0)</f>
        <v>6.49</v>
      </c>
      <c r="H27" s="8" t="n">
        <f aca="false">IFERROR(VLOOKUP(B27,Entrada!A:D,4,0),0)</f>
        <v>320</v>
      </c>
      <c r="I27" s="8" t="n">
        <f aca="false">IFERROR(VLOOKUP(B27,Entrada!F:I,4,0),0)</f>
        <v>880</v>
      </c>
      <c r="J27" s="8" t="n">
        <f aca="false">H27+I27</f>
        <v>1200</v>
      </c>
      <c r="K27" s="7" t="n">
        <f aca="false">G27*J27</f>
        <v>7788</v>
      </c>
      <c r="L27" s="0" t="str">
        <f aca="false">IFERROR(VLOOKUP(_xlfn.CONCAT($L$1,"-",B27),Saída_2023!$E:$F,2,0),"0")</f>
        <v>0</v>
      </c>
    </row>
    <row r="28" customFormat="false" ht="13.8" hidden="false" customHeight="false" outlineLevel="0" collapsed="false">
      <c r="A28" s="2" t="n">
        <v>7891317002688</v>
      </c>
      <c r="B28" s="2" t="n">
        <v>1049</v>
      </c>
      <c r="C28" s="2" t="s">
        <v>63</v>
      </c>
      <c r="E28" s="7" t="n">
        <f aca="false">IFERROR(VLOOKUP(B28,Entrada!A:B,2,0),0)</f>
        <v>21.36</v>
      </c>
      <c r="F28" s="7" t="n">
        <f aca="false">IFERROR(VLOOKUP(B28,Entrada!A:C,3,0),0)</f>
        <v>6.98235833</v>
      </c>
      <c r="G28" s="7" t="n">
        <f aca="false">IFERROR(VLOOKUP(B28,Entrada!K:L,2,0),0)</f>
        <v>6.98</v>
      </c>
      <c r="H28" s="8" t="n">
        <f aca="false">IFERROR(VLOOKUP(B28,Entrada!A:D,4,0),0)</f>
        <v>7071</v>
      </c>
      <c r="I28" s="8" t="n">
        <f aca="false">IFERROR(VLOOKUP(B28,Entrada!F:I,4,0),0)</f>
        <v>0</v>
      </c>
      <c r="J28" s="8" t="n">
        <f aca="false">H28+I28</f>
        <v>7071</v>
      </c>
      <c r="K28" s="7" t="n">
        <f aca="false">G28*J28</f>
        <v>49355.58</v>
      </c>
      <c r="L28" s="0" t="str">
        <f aca="false">IFERROR(VLOOKUP(_xlfn.CONCAT($L$1,"-",B28),Saída_2023!$E:$F,2,0),"0")</f>
        <v>0</v>
      </c>
    </row>
    <row r="29" customFormat="false" ht="13.8" hidden="false" customHeight="false" outlineLevel="0" collapsed="false">
      <c r="A29" s="2" t="n">
        <v>7891317002695</v>
      </c>
      <c r="B29" s="2" t="n">
        <v>1050</v>
      </c>
      <c r="C29" s="2" t="s">
        <v>71</v>
      </c>
      <c r="E29" s="7" t="n">
        <f aca="false">IFERROR(VLOOKUP(B29,Entrada!A:B,2,0),0)</f>
        <v>30.11</v>
      </c>
      <c r="F29" s="7" t="n">
        <f aca="false">IFERROR(VLOOKUP(B29,Entrada!A:C,3,0),0)</f>
        <v>8.2894</v>
      </c>
      <c r="G29" s="7" t="n">
        <f aca="false">IFERROR(VLOOKUP(B29,Entrada!K:L,2,0),0)</f>
        <v>8.29</v>
      </c>
      <c r="H29" s="8" t="n">
        <f aca="false">IFERROR(VLOOKUP(B29,Entrada!A:D,4,0),0)</f>
        <v>8000</v>
      </c>
      <c r="I29" s="8" t="n">
        <f aca="false">IFERROR(VLOOKUP(B29,Entrada!F:I,4,0),0)</f>
        <v>0</v>
      </c>
      <c r="J29" s="8" t="n">
        <f aca="false">H29+I29</f>
        <v>8000</v>
      </c>
      <c r="K29" s="7" t="n">
        <f aca="false">G29*J29</f>
        <v>66320</v>
      </c>
      <c r="L29" s="0" t="str">
        <f aca="false">IFERROR(VLOOKUP(_xlfn.CONCAT($L$1,"-",B29),Saída_2023!$E:$F,2,0),"0")</f>
        <v>0</v>
      </c>
    </row>
    <row r="30" customFormat="false" ht="13.8" hidden="false" customHeight="false" outlineLevel="0" collapsed="false">
      <c r="A30" s="2" t="n">
        <v>7891317001636</v>
      </c>
      <c r="B30" s="2" t="n">
        <v>1052</v>
      </c>
      <c r="C30" s="2" t="s">
        <v>103</v>
      </c>
      <c r="E30" s="7" t="n">
        <f aca="false">IFERROR(VLOOKUP(B30,Entrada!A:B,2,0),0)</f>
        <v>29.26</v>
      </c>
      <c r="F30" s="7" t="n">
        <f aca="false">IFERROR(VLOOKUP(B30,Entrada!A:C,3,0),0)</f>
        <v>12.586264</v>
      </c>
      <c r="G30" s="7" t="n">
        <f aca="false">IFERROR(VLOOKUP(B30,Entrada!K:L,2,0),0)</f>
        <v>12.59</v>
      </c>
      <c r="H30" s="8" t="n">
        <f aca="false">IFERROR(VLOOKUP(B30,Entrada!A:D,4,0),0)</f>
        <v>3240</v>
      </c>
      <c r="I30" s="8" t="n">
        <f aca="false">IFERROR(VLOOKUP(B30,Entrada!F:I,4,0),0)</f>
        <v>0</v>
      </c>
      <c r="J30" s="8" t="n">
        <f aca="false">H30+I30</f>
        <v>3240</v>
      </c>
      <c r="K30" s="7" t="n">
        <f aca="false">G30*J30</f>
        <v>40791.6</v>
      </c>
      <c r="L30" s="0" t="str">
        <f aca="false">IFERROR(VLOOKUP(_xlfn.CONCAT($L$1,"-",B30),Saída_2023!$E:$F,2,0),"0")</f>
        <v>0</v>
      </c>
    </row>
    <row r="31" customFormat="false" ht="13.8" hidden="false" customHeight="false" outlineLevel="0" collapsed="false">
      <c r="A31" s="2" t="n">
        <v>7891317001568</v>
      </c>
      <c r="B31" s="2" t="n">
        <v>1056</v>
      </c>
      <c r="C31" s="2" t="s">
        <v>99</v>
      </c>
      <c r="E31" s="7" t="n">
        <f aca="false">IFERROR(VLOOKUP(B31,Entrada!A:B,2,0),0)</f>
        <v>24.35</v>
      </c>
      <c r="F31" s="7" t="n">
        <f aca="false">IFERROR(VLOOKUP(B31,Entrada!A:C,3,0),0)</f>
        <v>8.17018786</v>
      </c>
      <c r="G31" s="7" t="n">
        <f aca="false">IFERROR(VLOOKUP(B31,Entrada!K:L,2,0),0)</f>
        <v>8.17</v>
      </c>
      <c r="H31" s="8" t="n">
        <f aca="false">IFERROR(VLOOKUP(B31,Entrada!A:D,4,0),0)</f>
        <v>87600</v>
      </c>
      <c r="I31" s="8" t="n">
        <f aca="false">IFERROR(VLOOKUP(B31,Entrada!F:I,4,0),0)</f>
        <v>0</v>
      </c>
      <c r="J31" s="8" t="n">
        <f aca="false">H31+I31</f>
        <v>87600</v>
      </c>
      <c r="K31" s="7" t="n">
        <f aca="false">G31*J31</f>
        <v>715692</v>
      </c>
      <c r="L31" s="0" t="str">
        <f aca="false">IFERROR(VLOOKUP(_xlfn.CONCAT($L$1,"-",B31),Saída_2023!$E:$F,2,0),"0")</f>
        <v>0</v>
      </c>
    </row>
    <row r="32" customFormat="false" ht="13.8" hidden="false" customHeight="false" outlineLevel="0" collapsed="false">
      <c r="A32" s="2" t="n">
        <v>7891317008406</v>
      </c>
      <c r="B32" s="2" t="n">
        <v>1057</v>
      </c>
      <c r="C32" s="2" t="s">
        <v>105</v>
      </c>
      <c r="E32" s="7" t="n">
        <f aca="false">IFERROR(VLOOKUP(B32,Entrada!A:B,2,0),0)</f>
        <v>55.41</v>
      </c>
      <c r="F32" s="7" t="n">
        <f aca="false">IFERROR(VLOOKUP(B32,Entrada!A:C,3,0),0)</f>
        <v>10.015267</v>
      </c>
      <c r="G32" s="7" t="n">
        <f aca="false">IFERROR(VLOOKUP(B32,Entrada!K:L,2,0),0)</f>
        <v>10.02</v>
      </c>
      <c r="H32" s="8" t="n">
        <f aca="false">IFERROR(VLOOKUP(B32,Entrada!A:D,4,0),0)</f>
        <v>504</v>
      </c>
      <c r="I32" s="8" t="n">
        <f aca="false">IFERROR(VLOOKUP(B32,Entrada!F:I,4,0),0)</f>
        <v>0</v>
      </c>
      <c r="J32" s="8" t="n">
        <f aca="false">H32+I32</f>
        <v>504</v>
      </c>
      <c r="K32" s="7" t="n">
        <f aca="false">G32*J32</f>
        <v>5050.08</v>
      </c>
      <c r="L32" s="0" t="str">
        <f aca="false">IFERROR(VLOOKUP(_xlfn.CONCAT($L$1,"-",B32),Saída_2023!$E:$F,2,0),"0")</f>
        <v>0</v>
      </c>
    </row>
    <row r="33" customFormat="false" ht="13.8" hidden="false" customHeight="false" outlineLevel="0" collapsed="false">
      <c r="A33" s="2" t="n">
        <v>7891317001438</v>
      </c>
      <c r="B33" s="2" t="n">
        <v>1063</v>
      </c>
      <c r="C33" s="2" t="s">
        <v>171</v>
      </c>
      <c r="E33" s="7" t="n">
        <f aca="false">IFERROR(VLOOKUP(B33,Entrada!A:B,2,0),0)</f>
        <v>45.83</v>
      </c>
      <c r="F33" s="7" t="n">
        <f aca="false">IFERROR(VLOOKUP(B33,Entrada!A:C,3,0),0)</f>
        <v>6.7015142</v>
      </c>
      <c r="G33" s="7" t="n">
        <f aca="false">IFERROR(VLOOKUP(B33,Entrada!K:L,2,0),0)</f>
        <v>9.86</v>
      </c>
      <c r="H33" s="8" t="n">
        <f aca="false">IFERROR(VLOOKUP(B33,Entrada!A:D,4,0),0)</f>
        <v>1253</v>
      </c>
      <c r="I33" s="8" t="n">
        <f aca="false">IFERROR(VLOOKUP(B33,Entrada!F:I,4,0),0)</f>
        <v>3080</v>
      </c>
      <c r="J33" s="8" t="n">
        <f aca="false">H33+I33</f>
        <v>4333</v>
      </c>
      <c r="K33" s="7" t="n">
        <f aca="false">G33*J33</f>
        <v>42723.38</v>
      </c>
      <c r="L33" s="0" t="str">
        <f aca="false">IFERROR(VLOOKUP(_xlfn.CONCAT($L$1,"-",B33),Saída_2023!$E:$F,2,0),"0")</f>
        <v>0</v>
      </c>
    </row>
    <row r="34" customFormat="false" ht="13.8" hidden="false" customHeight="false" outlineLevel="0" collapsed="false">
      <c r="A34" s="2" t="n">
        <v>7891317001421</v>
      </c>
      <c r="B34" s="2" t="n">
        <v>1064</v>
      </c>
      <c r="C34" s="2" t="s">
        <v>169</v>
      </c>
      <c r="E34" s="7" t="n">
        <f aca="false">IFERROR(VLOOKUP(B34,Entrada!A:B,2,0),0)</f>
        <v>61.54</v>
      </c>
      <c r="F34" s="7" t="n">
        <f aca="false">IFERROR(VLOOKUP(B34,Entrada!A:C,3,0),0)</f>
        <v>10.0249375</v>
      </c>
      <c r="G34" s="7" t="n">
        <f aca="false">IFERROR(VLOOKUP(B34,Entrada!K:L,2,0),0)</f>
        <v>32.82</v>
      </c>
      <c r="H34" s="8" t="n">
        <f aca="false">IFERROR(VLOOKUP(B34,Entrada!A:D,4,0),0)</f>
        <v>0</v>
      </c>
      <c r="I34" s="8" t="n">
        <f aca="false">IFERROR(VLOOKUP(B34,Entrada!F:I,4,0),0)</f>
        <v>704</v>
      </c>
      <c r="J34" s="8" t="n">
        <f aca="false">H34+I34</f>
        <v>704</v>
      </c>
      <c r="K34" s="7" t="n">
        <f aca="false">G34*J34</f>
        <v>23105.28</v>
      </c>
      <c r="L34" s="0" t="str">
        <f aca="false">IFERROR(VLOOKUP(_xlfn.CONCAT($L$1,"-",B34),Saída_2023!$E:$F,2,0),"0")</f>
        <v>0</v>
      </c>
    </row>
    <row r="35" customFormat="false" ht="13.8" hidden="false" customHeight="false" outlineLevel="0" collapsed="false">
      <c r="A35" s="2" t="n">
        <v>7891317007898</v>
      </c>
      <c r="B35" s="2" t="n">
        <v>1066</v>
      </c>
      <c r="C35" s="2" t="s">
        <v>174</v>
      </c>
      <c r="E35" s="7" t="n">
        <f aca="false">IFERROR(VLOOKUP(B35,Entrada!A:B,2,0),0)</f>
        <v>45.73</v>
      </c>
      <c r="F35" s="7" t="n">
        <f aca="false">IFERROR(VLOOKUP(B35,Entrada!A:C,3,0),0)</f>
        <v>17.306375</v>
      </c>
      <c r="G35" s="7" t="n">
        <f aca="false">IFERROR(VLOOKUP(B35,Entrada!K:L,2,0),0)</f>
        <v>17.31</v>
      </c>
      <c r="H35" s="8" t="n">
        <f aca="false">IFERROR(VLOOKUP(B35,Entrada!A:D,4,0),0)</f>
        <v>320</v>
      </c>
      <c r="I35" s="8" t="n">
        <f aca="false">IFERROR(VLOOKUP(B35,Entrada!F:I,4,0),0)</f>
        <v>0</v>
      </c>
      <c r="J35" s="8" t="n">
        <f aca="false">H35+I35</f>
        <v>320</v>
      </c>
      <c r="K35" s="7" t="n">
        <f aca="false">G35*J35</f>
        <v>5539.2</v>
      </c>
      <c r="L35" s="0" t="str">
        <f aca="false">IFERROR(VLOOKUP(_xlfn.CONCAT($L$1,"-",B35),Saída_2023!$E:$F,2,0),"0")</f>
        <v>0</v>
      </c>
    </row>
    <row r="36" customFormat="false" ht="13.8" hidden="false" customHeight="false" outlineLevel="0" collapsed="false">
      <c r="A36" s="2" t="n">
        <v>7891317007829</v>
      </c>
      <c r="B36" s="2" t="n">
        <v>1067</v>
      </c>
      <c r="C36" s="2" t="s">
        <v>179</v>
      </c>
      <c r="E36" s="7" t="n">
        <f aca="false">IFERROR(VLOOKUP(B36,Entrada!A:B,2,0),0)</f>
        <v>22.18</v>
      </c>
      <c r="F36" s="7" t="n">
        <f aca="false">IFERROR(VLOOKUP(B36,Entrada!A:C,3,0),0)</f>
        <v>6.102767</v>
      </c>
      <c r="G36" s="7" t="n">
        <f aca="false">IFERROR(VLOOKUP(B36,Entrada!K:L,2,0),0)</f>
        <v>6.1</v>
      </c>
      <c r="H36" s="8" t="n">
        <f aca="false">IFERROR(VLOOKUP(B36,Entrada!A:D,4,0),0)</f>
        <v>2940</v>
      </c>
      <c r="I36" s="8" t="n">
        <f aca="false">IFERROR(VLOOKUP(B36,Entrada!F:I,4,0),0)</f>
        <v>0</v>
      </c>
      <c r="J36" s="8" t="n">
        <f aca="false">H36+I36</f>
        <v>2940</v>
      </c>
      <c r="K36" s="7" t="n">
        <f aca="false">G36*J36</f>
        <v>17934</v>
      </c>
      <c r="L36" s="0" t="str">
        <f aca="false">IFERROR(VLOOKUP(_xlfn.CONCAT($L$1,"-",B36),Saída_2023!$E:$F,2,0),"0")</f>
        <v>0</v>
      </c>
    </row>
    <row r="37" customFormat="false" ht="13.8" hidden="false" customHeight="false" outlineLevel="0" collapsed="false">
      <c r="A37" s="2" t="n">
        <v>7891317007836</v>
      </c>
      <c r="B37" s="2" t="n">
        <v>1068</v>
      </c>
      <c r="C37" s="2" t="s">
        <v>176</v>
      </c>
      <c r="E37" s="7" t="n">
        <f aca="false">IFERROR(VLOOKUP(B37,Entrada!A:B,2,0),0)</f>
        <v>33.34</v>
      </c>
      <c r="F37" s="7" t="n">
        <f aca="false">IFERROR(VLOOKUP(B37,Entrada!A:C,3,0),0)</f>
        <v>6.2459666</v>
      </c>
      <c r="G37" s="7" t="n">
        <f aca="false">IFERROR(VLOOKUP(B37,Entrada!K:L,2,0),0)</f>
        <v>6.25</v>
      </c>
      <c r="H37" s="8" t="n">
        <f aca="false">IFERROR(VLOOKUP(B37,Entrada!A:D,4,0),0)</f>
        <v>3600</v>
      </c>
      <c r="I37" s="8" t="n">
        <f aca="false">IFERROR(VLOOKUP(B37,Entrada!F:I,4,0),0)</f>
        <v>0</v>
      </c>
      <c r="J37" s="8" t="n">
        <f aca="false">H37+I37</f>
        <v>3600</v>
      </c>
      <c r="K37" s="7" t="n">
        <f aca="false">G37*J37</f>
        <v>22500</v>
      </c>
      <c r="L37" s="0" t="str">
        <f aca="false">IFERROR(VLOOKUP(_xlfn.CONCAT($L$1,"-",B37),Saída_2023!$E:$F,2,0),"0")</f>
        <v>0</v>
      </c>
    </row>
    <row r="38" customFormat="false" ht="13.8" hidden="false" customHeight="false" outlineLevel="0" collapsed="false">
      <c r="A38" s="2" t="n">
        <v>7891317011154</v>
      </c>
      <c r="B38" s="2" t="n">
        <v>1097</v>
      </c>
      <c r="C38" s="2" t="s">
        <v>81</v>
      </c>
      <c r="E38" s="7" t="n">
        <f aca="false">IFERROR(VLOOKUP(B38,Entrada!A:B,2,0),0)</f>
        <v>35.64</v>
      </c>
      <c r="F38" s="7" t="n">
        <f aca="false">IFERROR(VLOOKUP(B38,Entrada!A:C,3,0),0)</f>
        <v>12.522258</v>
      </c>
      <c r="G38" s="7" t="n">
        <f aca="false">IFERROR(VLOOKUP(B38,Entrada!K:L,2,0),0)</f>
        <v>12.52</v>
      </c>
      <c r="H38" s="8" t="n">
        <f aca="false">IFERROR(VLOOKUP(B38,Entrada!A:D,4,0),0)</f>
        <v>5400</v>
      </c>
      <c r="I38" s="8" t="n">
        <f aca="false">IFERROR(VLOOKUP(B38,Entrada!F:I,4,0),0)</f>
        <v>0</v>
      </c>
      <c r="J38" s="8" t="n">
        <f aca="false">H38+I38</f>
        <v>5400</v>
      </c>
      <c r="K38" s="7" t="n">
        <f aca="false">G38*J38</f>
        <v>67608</v>
      </c>
      <c r="L38" s="0" t="str">
        <f aca="false">IFERROR(VLOOKUP(_xlfn.CONCAT($L$1,"-",B38),Saída_2023!$E:$F,2,0),"0")</f>
        <v>0</v>
      </c>
    </row>
    <row r="39" customFormat="false" ht="13.8" hidden="false" customHeight="false" outlineLevel="0" collapsed="false">
      <c r="A39" s="2" t="n">
        <v>7891317004354</v>
      </c>
      <c r="B39" s="2" t="n">
        <v>1419</v>
      </c>
      <c r="C39" s="2" t="s">
        <v>462</v>
      </c>
      <c r="E39" s="7" t="n">
        <f aca="false">IFERROR(VLOOKUP(B39,Entrada!A:B,2,0),0)</f>
        <v>14.41</v>
      </c>
      <c r="F39" s="7" t="n">
        <f aca="false">IFERROR(VLOOKUP(B39,Entrada!A:C,3,0),0)</f>
        <v>7.438025</v>
      </c>
      <c r="G39" s="7" t="n">
        <f aca="false">IFERROR(VLOOKUP(B39,Entrada!K:L,2,0),0)</f>
        <v>8.18</v>
      </c>
      <c r="H39" s="8" t="n">
        <f aca="false">IFERROR(VLOOKUP(B39,Entrada!A:D,4,0),0)</f>
        <v>1200</v>
      </c>
      <c r="I39" s="8" t="n">
        <f aca="false">IFERROR(VLOOKUP(B39,Entrada!F:I,4,0),0)</f>
        <v>1200</v>
      </c>
      <c r="J39" s="8" t="n">
        <f aca="false">H39+I39</f>
        <v>2400</v>
      </c>
      <c r="K39" s="7" t="n">
        <f aca="false">G39*J39</f>
        <v>19632</v>
      </c>
      <c r="L39" s="0" t="str">
        <f aca="false">IFERROR(VLOOKUP(_xlfn.CONCAT($L$1,"-",B39),Saída_2023!$E:$F,2,0),"0")</f>
        <v>0</v>
      </c>
    </row>
    <row r="40" customFormat="false" ht="13.8" hidden="false" customHeight="false" outlineLevel="0" collapsed="false">
      <c r="A40" s="2" t="n">
        <v>7891317004361</v>
      </c>
      <c r="B40" s="2" t="n">
        <v>1420</v>
      </c>
      <c r="C40" s="2" t="s">
        <v>460</v>
      </c>
      <c r="E40" s="7" t="n">
        <f aca="false">IFERROR(VLOOKUP(B40,Entrada!A:B,2,0),0)</f>
        <v>28.45</v>
      </c>
      <c r="F40" s="7" t="n">
        <f aca="false">IFERROR(VLOOKUP(B40,Entrada!A:C,3,0),0)</f>
        <v>13.2075</v>
      </c>
      <c r="G40" s="7" t="n">
        <f aca="false">IFERROR(VLOOKUP(B40,Entrada!K:L,2,0),0)</f>
        <v>13.95</v>
      </c>
      <c r="H40" s="8" t="n">
        <f aca="false">IFERROR(VLOOKUP(B40,Entrada!A:D,4,0),0)</f>
        <v>320</v>
      </c>
      <c r="I40" s="8" t="n">
        <f aca="false">IFERROR(VLOOKUP(B40,Entrada!F:I,4,0),0)</f>
        <v>736</v>
      </c>
      <c r="J40" s="8" t="n">
        <f aca="false">H40+I40</f>
        <v>1056</v>
      </c>
      <c r="K40" s="7" t="n">
        <f aca="false">G40*J40</f>
        <v>14731.2</v>
      </c>
      <c r="L40" s="0" t="str">
        <f aca="false">IFERROR(VLOOKUP(_xlfn.CONCAT($L$1,"-",B40),Saída_2023!$E:$F,2,0),"0")</f>
        <v>0</v>
      </c>
    </row>
    <row r="41" customFormat="false" ht="13.8" hidden="false" customHeight="false" outlineLevel="0" collapsed="false">
      <c r="A41" s="2" t="n">
        <v>7891317139384</v>
      </c>
      <c r="B41" s="2" t="n">
        <v>1490</v>
      </c>
      <c r="C41" s="2" t="s">
        <v>473</v>
      </c>
      <c r="E41" s="7" t="n">
        <f aca="false">IFERROR(VLOOKUP(B41,Entrada!A:B,2,0),0)</f>
        <v>104</v>
      </c>
      <c r="F41" s="7" t="n">
        <f aca="false">IFERROR(VLOOKUP(B41,Entrada!A:C,3,0),0)</f>
        <v>6.2620083</v>
      </c>
      <c r="G41" s="7" t="n">
        <f aca="false">IFERROR(VLOOKUP(B41,Entrada!K:L,2,0),0)</f>
        <v>8.05</v>
      </c>
      <c r="H41" s="8" t="n">
        <f aca="false">IFERROR(VLOOKUP(B41,Entrada!A:D,4,0),0)</f>
        <v>300</v>
      </c>
      <c r="I41" s="8" t="n">
        <f aca="false">IFERROR(VLOOKUP(B41,Entrada!F:I,4,0),0)</f>
        <v>13500</v>
      </c>
      <c r="J41" s="8" t="n">
        <f aca="false">H41+I41</f>
        <v>13800</v>
      </c>
      <c r="K41" s="7" t="n">
        <f aca="false">G41*J41</f>
        <v>111090</v>
      </c>
      <c r="L41" s="0" t="str">
        <f aca="false">IFERROR(VLOOKUP(_xlfn.CONCAT($L$1,"-",B41),Saída_2023!$E:$F,2,0),"0")</f>
        <v>0</v>
      </c>
    </row>
    <row r="42" customFormat="false" ht="13.8" hidden="false" customHeight="false" outlineLevel="0" collapsed="false">
      <c r="A42" s="2" t="n">
        <v>7891317139469</v>
      </c>
      <c r="B42" s="2" t="n">
        <v>1491</v>
      </c>
      <c r="C42" s="2" t="s">
        <v>471</v>
      </c>
      <c r="E42" s="7" t="n">
        <f aca="false">IFERROR(VLOOKUP(B42,Entrada!A:B,2,0),0)</f>
        <v>146.46</v>
      </c>
      <c r="F42" s="7" t="n">
        <f aca="false">IFERROR(VLOOKUP(B42,Entrada!A:C,3,0),0)</f>
        <v>10.0789</v>
      </c>
      <c r="G42" s="7" t="n">
        <f aca="false">IFERROR(VLOOKUP(B42,Entrada!K:L,2,0),0)</f>
        <v>20.16</v>
      </c>
      <c r="H42" s="8" t="n">
        <f aca="false">IFERROR(VLOOKUP(B42,Entrada!A:D,4,0),0)</f>
        <v>400</v>
      </c>
      <c r="I42" s="8" t="n">
        <f aca="false">IFERROR(VLOOKUP(B42,Entrada!F:I,4,0),0)</f>
        <v>500</v>
      </c>
      <c r="J42" s="8" t="n">
        <f aca="false">H42+I42</f>
        <v>900</v>
      </c>
      <c r="K42" s="7" t="n">
        <f aca="false">G42*J42</f>
        <v>18144</v>
      </c>
      <c r="L42" s="0" t="str">
        <f aca="false">IFERROR(VLOOKUP(_xlfn.CONCAT($L$1,"-",B42),Saída_2023!$E:$F,2,0),"0")</f>
        <v>0</v>
      </c>
    </row>
    <row r="43" customFormat="false" ht="13.8" hidden="false" customHeight="false" outlineLevel="0" collapsed="false">
      <c r="A43" s="2" t="n">
        <v>7891317009434</v>
      </c>
      <c r="B43" s="2" t="n">
        <v>1574</v>
      </c>
      <c r="C43" s="2" t="s">
        <v>313</v>
      </c>
      <c r="E43" s="7" t="n">
        <f aca="false">IFERROR(VLOOKUP(B43,Entrada!A:B,2,0),0)</f>
        <v>40.76</v>
      </c>
      <c r="F43" s="7" t="n">
        <f aca="false">IFERROR(VLOOKUP(B43,Entrada!A:C,3,0),0)</f>
        <v>9.77876</v>
      </c>
      <c r="G43" s="7" t="n">
        <f aca="false">IFERROR(VLOOKUP(B43,Entrada!K:L,2,0),0)</f>
        <v>9.78</v>
      </c>
      <c r="H43" s="8" t="n">
        <f aca="false">IFERROR(VLOOKUP(B43,Entrada!A:D,4,0),0)</f>
        <v>1700</v>
      </c>
      <c r="I43" s="8" t="n">
        <f aca="false">IFERROR(VLOOKUP(B43,Entrada!F:I,4,0),0)</f>
        <v>0</v>
      </c>
      <c r="J43" s="8" t="n">
        <f aca="false">H43+I43</f>
        <v>1700</v>
      </c>
      <c r="K43" s="7" t="n">
        <f aca="false">G43*J43</f>
        <v>16626</v>
      </c>
      <c r="L43" s="0" t="str">
        <f aca="false">IFERROR(VLOOKUP(_xlfn.CONCAT($L$1,"-",B43),Saída_2023!$E:$F,2,0),"0")</f>
        <v>0</v>
      </c>
    </row>
    <row r="44" customFormat="false" ht="13.8" hidden="false" customHeight="false" outlineLevel="0" collapsed="false">
      <c r="A44" s="2" t="n">
        <v>7891317009441</v>
      </c>
      <c r="B44" s="2" t="n">
        <v>1575</v>
      </c>
      <c r="C44" s="2" t="s">
        <v>315</v>
      </c>
      <c r="E44" s="7" t="n">
        <f aca="false">IFERROR(VLOOKUP(B44,Entrada!A:B,2,0),0)</f>
        <v>61.03</v>
      </c>
      <c r="F44" s="7" t="n">
        <f aca="false">IFERROR(VLOOKUP(B44,Entrada!A:C,3,0),0)</f>
        <v>11.5046</v>
      </c>
      <c r="G44" s="7" t="n">
        <f aca="false">IFERROR(VLOOKUP(B44,Entrada!K:L,2,0),0)</f>
        <v>11.5</v>
      </c>
      <c r="H44" s="8" t="n">
        <f aca="false">IFERROR(VLOOKUP(B44,Entrada!A:D,4,0),0)</f>
        <v>1100</v>
      </c>
      <c r="I44" s="8" t="n">
        <f aca="false">IFERROR(VLOOKUP(B44,Entrada!F:I,4,0),0)</f>
        <v>0</v>
      </c>
      <c r="J44" s="8" t="n">
        <f aca="false">H44+I44</f>
        <v>1100</v>
      </c>
      <c r="K44" s="7" t="n">
        <f aca="false">G44*J44</f>
        <v>12650</v>
      </c>
      <c r="L44" s="0" t="str">
        <f aca="false">IFERROR(VLOOKUP(_xlfn.CONCAT($L$1,"-",B44),Saída_2023!$E:$F,2,0),"0")</f>
        <v>0</v>
      </c>
    </row>
    <row r="45" customFormat="false" ht="13.8" hidden="false" customHeight="false" outlineLevel="0" collapsed="false">
      <c r="A45" s="2" t="n">
        <v>7891317154721</v>
      </c>
      <c r="B45" s="2" t="n">
        <v>1938</v>
      </c>
      <c r="C45" s="2" t="s">
        <v>230</v>
      </c>
      <c r="E45" s="7" t="n">
        <f aca="false">IFERROR(VLOOKUP(B45,Entrada!A:B,2,0),0)</f>
        <v>30.21</v>
      </c>
      <c r="F45" s="7" t="n">
        <f aca="false">IFERROR(VLOOKUP(B45,Entrada!A:C,3,0),0)</f>
        <v>3.6912</v>
      </c>
      <c r="G45" s="7" t="n">
        <f aca="false">IFERROR(VLOOKUP(B45,Entrada!K:L,2,0),0)</f>
        <v>9.1</v>
      </c>
      <c r="H45" s="8" t="n">
        <f aca="false">IFERROR(VLOOKUP(B45,Entrada!A:D,4,0),0)</f>
        <v>100</v>
      </c>
      <c r="I45" s="8" t="n">
        <f aca="false">IFERROR(VLOOKUP(B45,Entrada!F:I,4,0),0)</f>
        <v>400</v>
      </c>
      <c r="J45" s="8" t="n">
        <f aca="false">H45+I45</f>
        <v>500</v>
      </c>
      <c r="K45" s="7" t="n">
        <f aca="false">G45*J45</f>
        <v>4550</v>
      </c>
      <c r="L45" s="0" t="str">
        <f aca="false">IFERROR(VLOOKUP(_xlfn.CONCAT($L$1,"-",B45),Saída_2023!$E:$F,2,0),"0")</f>
        <v>0</v>
      </c>
    </row>
    <row r="46" customFormat="false" ht="13.8" hidden="false" customHeight="false" outlineLevel="0" collapsed="false">
      <c r="A46" s="2" t="n">
        <v>7891317172664</v>
      </c>
      <c r="B46" s="2" t="n">
        <v>1946</v>
      </c>
      <c r="C46" s="2" t="s">
        <v>412</v>
      </c>
      <c r="E46" s="7" t="n">
        <f aca="false">IFERROR(VLOOKUP(B46,Entrada!A:B,2,0),0)</f>
        <v>46.41</v>
      </c>
      <c r="F46" s="7" t="n">
        <f aca="false">IFERROR(VLOOKUP(B46,Entrada!A:C,3,0),0)</f>
        <v>13.52</v>
      </c>
      <c r="G46" s="7" t="n">
        <f aca="false">IFERROR(VLOOKUP(B46,Entrada!K:L,2,0),0)</f>
        <v>13.52</v>
      </c>
      <c r="H46" s="8" t="n">
        <f aca="false">IFERROR(VLOOKUP(B46,Entrada!A:D,4,0),0)</f>
        <v>4160</v>
      </c>
      <c r="I46" s="8" t="n">
        <f aca="false">IFERROR(VLOOKUP(B46,Entrada!F:I,4,0),0)</f>
        <v>0</v>
      </c>
      <c r="J46" s="8" t="n">
        <f aca="false">H46+I46</f>
        <v>4160</v>
      </c>
      <c r="K46" s="7" t="n">
        <f aca="false">G46*J46</f>
        <v>56243.2</v>
      </c>
      <c r="L46" s="0" t="str">
        <f aca="false">IFERROR(VLOOKUP(_xlfn.CONCAT($L$1,"-",B46),Saída_2023!$E:$F,2,0),"0")</f>
        <v>0</v>
      </c>
    </row>
    <row r="47" customFormat="false" ht="13.8" hidden="false" customHeight="false" outlineLevel="0" collapsed="false">
      <c r="A47" s="2" t="n">
        <v>7891317172657</v>
      </c>
      <c r="B47" s="2" t="n">
        <v>1947</v>
      </c>
      <c r="C47" s="2" t="s">
        <v>414</v>
      </c>
      <c r="E47" s="7" t="n">
        <f aca="false">IFERROR(VLOOKUP(B47,Entrada!A:B,2,0),0)</f>
        <v>22.37</v>
      </c>
      <c r="F47" s="7" t="n">
        <f aca="false">IFERROR(VLOOKUP(B47,Entrada!A:C,3,0),0)</f>
        <v>5.942125</v>
      </c>
      <c r="G47" s="7" t="n">
        <f aca="false">IFERROR(VLOOKUP(B47,Entrada!K:L,2,0),0)</f>
        <v>5.94</v>
      </c>
      <c r="H47" s="8" t="n">
        <f aca="false">IFERROR(VLOOKUP(B47,Entrada!A:D,4,0),0)</f>
        <v>13500</v>
      </c>
      <c r="I47" s="8" t="n">
        <f aca="false">IFERROR(VLOOKUP(B47,Entrada!F:I,4,0),0)</f>
        <v>0</v>
      </c>
      <c r="J47" s="8" t="n">
        <f aca="false">H47+I47</f>
        <v>13500</v>
      </c>
      <c r="K47" s="7" t="n">
        <f aca="false">G47*J47</f>
        <v>80190</v>
      </c>
      <c r="L47" s="0" t="str">
        <f aca="false">IFERROR(VLOOKUP(_xlfn.CONCAT($L$1,"-",B47),Saída_2023!$E:$F,2,0),"0")</f>
        <v>0</v>
      </c>
    </row>
    <row r="48" customFormat="false" ht="13.8" hidden="false" customHeight="false" outlineLevel="0" collapsed="false">
      <c r="A48" s="2" t="n">
        <v>7891317155056</v>
      </c>
      <c r="B48" s="2" t="n">
        <v>1957</v>
      </c>
      <c r="C48" s="2" t="s">
        <v>507</v>
      </c>
      <c r="E48" s="7" t="n">
        <f aca="false">IFERROR(VLOOKUP(B48,Entrada!A:B,2,0),0)</f>
        <v>50.27</v>
      </c>
      <c r="F48" s="7" t="n">
        <f aca="false">IFERROR(VLOOKUP(B48,Entrada!A:C,3,0),0)</f>
        <v>6.6485</v>
      </c>
      <c r="G48" s="7" t="n">
        <f aca="false">IFERROR(VLOOKUP(B48,Entrada!K:L,2,0),0)</f>
        <v>7.09</v>
      </c>
      <c r="H48" s="8" t="n">
        <f aca="false">IFERROR(VLOOKUP(B48,Entrada!A:D,4,0),0)</f>
        <v>200</v>
      </c>
      <c r="I48" s="8" t="n">
        <f aca="false">IFERROR(VLOOKUP(B48,Entrada!F:I,4,0),0)</f>
        <v>300</v>
      </c>
      <c r="J48" s="8" t="n">
        <f aca="false">H48+I48</f>
        <v>500</v>
      </c>
      <c r="K48" s="7" t="n">
        <f aca="false">G48*J48</f>
        <v>3545</v>
      </c>
      <c r="L48" s="0" t="str">
        <f aca="false">IFERROR(VLOOKUP(_xlfn.CONCAT($L$1,"-",B48),Saída_2023!$E:$F,2,0),"0")</f>
        <v>0</v>
      </c>
    </row>
    <row r="49" customFormat="false" ht="13.8" hidden="false" customHeight="false" outlineLevel="0" collapsed="false">
      <c r="A49" s="2" t="n">
        <v>7891317155131</v>
      </c>
      <c r="B49" s="2" t="n">
        <v>1958</v>
      </c>
      <c r="C49" s="2" t="s">
        <v>503</v>
      </c>
      <c r="E49" s="7" t="n">
        <f aca="false">IFERROR(VLOOKUP(B49,Entrada!A:B,2,0),0)</f>
        <v>88.83</v>
      </c>
      <c r="F49" s="7" t="n">
        <f aca="false">IFERROR(VLOOKUP(B49,Entrada!A:C,3,0),0)</f>
        <v>10.6971</v>
      </c>
      <c r="G49" s="7" t="n">
        <f aca="false">IFERROR(VLOOKUP(B49,Entrada!K:L,2,0),0)</f>
        <v>9.17</v>
      </c>
      <c r="H49" s="8" t="n">
        <f aca="false">IFERROR(VLOOKUP(B49,Entrada!A:D,4,0),0)</f>
        <v>160</v>
      </c>
      <c r="I49" s="8" t="n">
        <f aca="false">IFERROR(VLOOKUP(B49,Entrada!F:I,4,0),0)</f>
        <v>300</v>
      </c>
      <c r="J49" s="8" t="n">
        <f aca="false">H49+I49</f>
        <v>460</v>
      </c>
      <c r="K49" s="7" t="n">
        <f aca="false">G49*J49</f>
        <v>4218.2</v>
      </c>
      <c r="L49" s="0" t="str">
        <f aca="false">IFERROR(VLOOKUP(_xlfn.CONCAT($L$1,"-",B49),Saída_2023!$E:$F,2,0),"0")</f>
        <v>0</v>
      </c>
    </row>
    <row r="50" customFormat="false" ht="13.8" hidden="false" customHeight="false" outlineLevel="0" collapsed="false">
      <c r="A50" s="2" t="n">
        <v>7891317155216</v>
      </c>
      <c r="B50" s="2" t="n">
        <v>1961</v>
      </c>
      <c r="C50" s="2" t="s">
        <v>505</v>
      </c>
      <c r="E50" s="7" t="n">
        <f aca="false">IFERROR(VLOOKUP(B50,Entrada!A:B,2,0),0)</f>
        <v>151.8</v>
      </c>
      <c r="F50" s="7" t="n">
        <f aca="false">IFERROR(VLOOKUP(B50,Entrada!A:C,3,0),0)</f>
        <v>12.6744</v>
      </c>
      <c r="G50" s="7" t="n">
        <f aca="false">IFERROR(VLOOKUP(B50,Entrada!K:L,2,0),0)</f>
        <v>9.37</v>
      </c>
      <c r="H50" s="8" t="n">
        <f aca="false">IFERROR(VLOOKUP(B50,Entrada!A:D,4,0),0)</f>
        <v>100</v>
      </c>
      <c r="I50" s="8" t="n">
        <f aca="false">IFERROR(VLOOKUP(B50,Entrada!F:I,4,0),0)</f>
        <v>500</v>
      </c>
      <c r="J50" s="8" t="n">
        <f aca="false">H50+I50</f>
        <v>600</v>
      </c>
      <c r="K50" s="7" t="n">
        <f aca="false">G50*J50</f>
        <v>5622</v>
      </c>
      <c r="L50" s="0" t="str">
        <f aca="false">IFERROR(VLOOKUP(_xlfn.CONCAT($L$1,"-",B50),Saída_2023!$E:$F,2,0),"0")</f>
        <v>0</v>
      </c>
    </row>
    <row r="51" customFormat="false" ht="13.8" hidden="false" customHeight="false" outlineLevel="0" collapsed="false">
      <c r="A51" s="2" t="n">
        <v>7891317002572</v>
      </c>
      <c r="B51" s="2" t="n">
        <v>2007</v>
      </c>
      <c r="C51" s="2" t="s">
        <v>317</v>
      </c>
      <c r="E51" s="7" t="n">
        <f aca="false">IFERROR(VLOOKUP(B51,Entrada!A:B,2,0),0)</f>
        <v>95.99</v>
      </c>
      <c r="F51" s="7" t="n">
        <f aca="false">IFERROR(VLOOKUP(B51,Entrada!A:C,3,0),0)</f>
        <v>9.08285</v>
      </c>
      <c r="G51" s="7" t="n">
        <f aca="false">IFERROR(VLOOKUP(B51,Entrada!K:L,2,0),0)</f>
        <v>14.04</v>
      </c>
      <c r="H51" s="8" t="n">
        <f aca="false">IFERROR(VLOOKUP(B51,Entrada!A:D,4,0),0)</f>
        <v>628</v>
      </c>
      <c r="I51" s="8" t="n">
        <f aca="false">IFERROR(VLOOKUP(B51,Entrada!F:I,4,0),0)</f>
        <v>500</v>
      </c>
      <c r="J51" s="8" t="n">
        <f aca="false">H51+I51</f>
        <v>1128</v>
      </c>
      <c r="K51" s="7" t="n">
        <f aca="false">G51*J51</f>
        <v>15837.12</v>
      </c>
      <c r="L51" s="0" t="str">
        <f aca="false">IFERROR(VLOOKUP(_xlfn.CONCAT($L$1,"-",B51),Saída_2023!$E:$F,2,0),"0")</f>
        <v>0</v>
      </c>
    </row>
    <row r="52" customFormat="false" ht="13.8" hidden="false" customHeight="false" outlineLevel="0" collapsed="false">
      <c r="A52" s="2" t="n">
        <v>7891317007607</v>
      </c>
      <c r="B52" s="2" t="n">
        <v>2149</v>
      </c>
      <c r="C52" s="2" t="s">
        <v>332</v>
      </c>
      <c r="E52" s="7" t="n">
        <f aca="false">IFERROR(VLOOKUP(B52,Entrada!A:B,2,0),0)</f>
        <v>66.45</v>
      </c>
      <c r="F52" s="7" t="n">
        <f aca="false">IFERROR(VLOOKUP(B52,Entrada!A:C,3,0),0)</f>
        <v>5.5377142</v>
      </c>
      <c r="G52" s="7" t="n">
        <f aca="false">IFERROR(VLOOKUP(B52,Entrada!K:L,2,0),0)</f>
        <v>9.41</v>
      </c>
      <c r="H52" s="8" t="n">
        <f aca="false">IFERROR(VLOOKUP(B52,Entrada!A:D,4,0),0)</f>
        <v>70</v>
      </c>
      <c r="I52" s="8" t="n">
        <f aca="false">IFERROR(VLOOKUP(B52,Entrada!F:I,4,0),0)</f>
        <v>560</v>
      </c>
      <c r="J52" s="8" t="n">
        <f aca="false">H52+I52</f>
        <v>630</v>
      </c>
      <c r="K52" s="7" t="n">
        <f aca="false">G52*J52</f>
        <v>5928.3</v>
      </c>
      <c r="L52" s="0" t="str">
        <f aca="false">IFERROR(VLOOKUP(_xlfn.CONCAT($L$1,"-",B52),Saída_2023!$E:$F,2,0),"0")</f>
        <v>0</v>
      </c>
    </row>
    <row r="53" customFormat="false" ht="13.8" hidden="false" customHeight="false" outlineLevel="0" collapsed="false">
      <c r="A53" s="2" t="n">
        <v>7891317009168</v>
      </c>
      <c r="B53" s="2" t="n">
        <v>3000</v>
      </c>
      <c r="C53" s="2" t="s">
        <v>532</v>
      </c>
      <c r="E53" s="7" t="n">
        <f aca="false">IFERROR(VLOOKUP(B53,Entrada!A:B,2,0),0)</f>
        <v>23.37</v>
      </c>
      <c r="F53" s="7" t="n">
        <f aca="false">IFERROR(VLOOKUP(B53,Entrada!A:C,3,0),0)</f>
        <v>7.624</v>
      </c>
      <c r="G53" s="7" t="n">
        <f aca="false">IFERROR(VLOOKUP(B53,Entrada!K:L,2,0),0)</f>
        <v>7.62</v>
      </c>
      <c r="H53" s="8" t="n">
        <f aca="false">IFERROR(VLOOKUP(B53,Entrada!A:D,4,0),0)</f>
        <v>1260</v>
      </c>
      <c r="I53" s="8" t="n">
        <f aca="false">IFERROR(VLOOKUP(B53,Entrada!F:I,4,0),0)</f>
        <v>360</v>
      </c>
      <c r="J53" s="8" t="n">
        <f aca="false">H53+I53</f>
        <v>1620</v>
      </c>
      <c r="K53" s="7" t="n">
        <f aca="false">G53*J53</f>
        <v>12344.4</v>
      </c>
      <c r="L53" s="0" t="str">
        <f aca="false">IFERROR(VLOOKUP(_xlfn.CONCAT($L$1,"-",B53),Saída_2023!$E:$F,2,0),"0")</f>
        <v>0</v>
      </c>
    </row>
    <row r="54" customFormat="false" ht="13.8" hidden="false" customHeight="false" outlineLevel="0" collapsed="false">
      <c r="A54" s="2" t="n">
        <v>7891317004347</v>
      </c>
      <c r="B54" s="2" t="n">
        <v>3156</v>
      </c>
      <c r="C54" s="2" t="s">
        <v>456</v>
      </c>
      <c r="E54" s="7" t="n">
        <f aca="false">IFERROR(VLOOKUP(B54,Entrada!A:B,2,0),0)</f>
        <v>20.66</v>
      </c>
      <c r="F54" s="7" t="n">
        <f aca="false">IFERROR(VLOOKUP(B54,Entrada!A:C,3,0),0)</f>
        <v>7.99875</v>
      </c>
      <c r="G54" s="7" t="n">
        <f aca="false">IFERROR(VLOOKUP(B54,Entrada!K:L,2,0),0)</f>
        <v>11.91</v>
      </c>
      <c r="H54" s="8" t="n">
        <f aca="false">IFERROR(VLOOKUP(B54,Entrada!A:D,4,0),0)</f>
        <v>288</v>
      </c>
      <c r="I54" s="8" t="n">
        <f aca="false">IFERROR(VLOOKUP(B54,Entrada!F:I,4,0),0)</f>
        <v>192</v>
      </c>
      <c r="J54" s="8" t="n">
        <f aca="false">H54+I54</f>
        <v>480</v>
      </c>
      <c r="K54" s="7" t="n">
        <f aca="false">G54*J54</f>
        <v>5716.8</v>
      </c>
      <c r="L54" s="0" t="str">
        <f aca="false">IFERROR(VLOOKUP(_xlfn.CONCAT($L$1,"-",B54),Saída_2023!$E:$F,2,0),"0")</f>
        <v>0</v>
      </c>
    </row>
    <row r="55" customFormat="false" ht="13.8" hidden="false" customHeight="false" outlineLevel="0" collapsed="false">
      <c r="A55" s="2" t="n">
        <v>7891317414139</v>
      </c>
      <c r="B55" s="2" t="n">
        <v>3283</v>
      </c>
      <c r="C55" s="2" t="s">
        <v>362</v>
      </c>
      <c r="E55" s="7" t="n">
        <f aca="false">IFERROR(VLOOKUP(B55,Entrada!A:B,2,0),0)</f>
        <v>87.49</v>
      </c>
      <c r="F55" s="7" t="n">
        <f aca="false">IFERROR(VLOOKUP(B55,Entrada!A:C,3,0),0)</f>
        <v>5.2677166</v>
      </c>
      <c r="G55" s="7" t="n">
        <f aca="false">IFERROR(VLOOKUP(B55,Entrada!K:L,2,0),0)</f>
        <v>5.27</v>
      </c>
      <c r="H55" s="8" t="n">
        <f aca="false">IFERROR(VLOOKUP(B55,Entrada!A:D,4,0),0)</f>
        <v>5700</v>
      </c>
      <c r="I55" s="8" t="n">
        <f aca="false">IFERROR(VLOOKUP(B55,Entrada!F:I,4,0),0)</f>
        <v>5500</v>
      </c>
      <c r="J55" s="8" t="n">
        <f aca="false">H55+I55</f>
        <v>11200</v>
      </c>
      <c r="K55" s="7" t="n">
        <f aca="false">G55*J55</f>
        <v>59024</v>
      </c>
      <c r="L55" s="0" t="str">
        <f aca="false">IFERROR(VLOOKUP(_xlfn.CONCAT($L$1,"-",B55),Saída_2023!$E:$F,2,0),"0")</f>
        <v>0</v>
      </c>
    </row>
    <row r="56" customFormat="false" ht="13.8" hidden="false" customHeight="false" outlineLevel="0" collapsed="false">
      <c r="A56" s="2" t="n">
        <v>7891317421854</v>
      </c>
      <c r="B56" s="2" t="n">
        <v>3284</v>
      </c>
      <c r="C56" s="2" t="s">
        <v>374</v>
      </c>
      <c r="E56" s="7" t="n">
        <f aca="false">IFERROR(VLOOKUP(B56,Entrada!A:B,2,0),0)</f>
        <v>23.71</v>
      </c>
      <c r="F56" s="7" t="n">
        <f aca="false">IFERROR(VLOOKUP(B56,Entrada!A:C,3,0),0)</f>
        <v>1.930923</v>
      </c>
      <c r="G56" s="7" t="n">
        <f aca="false">IFERROR(VLOOKUP(B56,Entrada!K:L,2,0),0)</f>
        <v>1.84</v>
      </c>
      <c r="H56" s="8" t="n">
        <f aca="false">IFERROR(VLOOKUP(B56,Entrada!A:D,4,0),0)</f>
        <v>3000</v>
      </c>
      <c r="I56" s="8" t="n">
        <f aca="false">IFERROR(VLOOKUP(B56,Entrada!F:I,4,0),0)</f>
        <v>5850</v>
      </c>
      <c r="J56" s="8" t="n">
        <f aca="false">H56+I56</f>
        <v>8850</v>
      </c>
      <c r="K56" s="7" t="n">
        <f aca="false">G56*J56</f>
        <v>16284</v>
      </c>
      <c r="L56" s="0" t="str">
        <f aca="false">IFERROR(VLOOKUP(_xlfn.CONCAT($L$1,"-",B56),Saída_2023!$E:$F,2,0),"0")</f>
        <v>0</v>
      </c>
    </row>
    <row r="57" customFormat="false" ht="13.8" hidden="false" customHeight="false" outlineLevel="0" collapsed="false">
      <c r="A57" s="2" t="n">
        <v>7891317421991</v>
      </c>
      <c r="B57" s="2" t="n">
        <v>3285</v>
      </c>
      <c r="C57" s="2" t="s">
        <v>123</v>
      </c>
      <c r="E57" s="7" t="n">
        <f aca="false">IFERROR(VLOOKUP(B57,Entrada!A:B,2,0),0)</f>
        <v>38.41</v>
      </c>
      <c r="F57" s="7" t="n">
        <f aca="false">IFERROR(VLOOKUP(B57,Entrada!A:C,3,0),0)</f>
        <v>3.754984</v>
      </c>
      <c r="G57" s="7" t="n">
        <f aca="false">IFERROR(VLOOKUP(B57,Entrada!K:L,2,0),0)</f>
        <v>3.97</v>
      </c>
      <c r="H57" s="8" t="n">
        <f aca="false">IFERROR(VLOOKUP(B57,Entrada!A:D,4,0),0)</f>
        <v>2000</v>
      </c>
      <c r="I57" s="8" t="n">
        <f aca="false">IFERROR(VLOOKUP(B57,Entrada!F:I,4,0),0)</f>
        <v>43000</v>
      </c>
      <c r="J57" s="8" t="n">
        <f aca="false">H57+I57</f>
        <v>45000</v>
      </c>
      <c r="K57" s="7" t="n">
        <f aca="false">G57*J57</f>
        <v>178650</v>
      </c>
      <c r="L57" s="0" t="str">
        <f aca="false">IFERROR(VLOOKUP(_xlfn.CONCAT($L$1,"-",B57),Saída_2023!$E:$F,2,0),"0")</f>
        <v>0</v>
      </c>
    </row>
    <row r="58" customFormat="false" ht="13.8" hidden="false" customHeight="false" outlineLevel="0" collapsed="false">
      <c r="A58" s="2" t="n">
        <v>7891317001070</v>
      </c>
      <c r="B58" s="2" t="n">
        <v>3287</v>
      </c>
      <c r="C58" s="2" t="s">
        <v>83</v>
      </c>
      <c r="E58" s="7" t="n">
        <f aca="false">IFERROR(VLOOKUP(B58,Entrada!A:B,2,0),0)</f>
        <v>66.52</v>
      </c>
      <c r="F58" s="7" t="n">
        <f aca="false">IFERROR(VLOOKUP(B58,Entrada!A:C,3,0),0)</f>
        <v>17.100567</v>
      </c>
      <c r="G58" s="7" t="n">
        <f aca="false">IFERROR(VLOOKUP(B58,Entrada!K:L,2,0),0)</f>
        <v>17.1</v>
      </c>
      <c r="H58" s="8" t="n">
        <f aca="false">IFERROR(VLOOKUP(B58,Entrada!A:D,4,0),0)</f>
        <v>1500</v>
      </c>
      <c r="I58" s="8" t="n">
        <f aca="false">IFERROR(VLOOKUP(B58,Entrada!F:I,4,0),0)</f>
        <v>0</v>
      </c>
      <c r="J58" s="8" t="n">
        <f aca="false">H58+I58</f>
        <v>1500</v>
      </c>
      <c r="K58" s="7" t="n">
        <f aca="false">G58*J58</f>
        <v>25650</v>
      </c>
      <c r="L58" s="0" t="str">
        <f aca="false">IFERROR(VLOOKUP(_xlfn.CONCAT($L$1,"-",B58),Saída_2023!$E:$F,2,0),"0")</f>
        <v>0</v>
      </c>
    </row>
    <row r="59" customFormat="false" ht="13.8" hidden="false" customHeight="false" outlineLevel="0" collapsed="false">
      <c r="A59" s="2" t="n">
        <v>7891317422028</v>
      </c>
      <c r="B59" s="2" t="n">
        <v>3322</v>
      </c>
      <c r="C59" s="2" t="s">
        <v>410</v>
      </c>
      <c r="E59" s="7" t="n">
        <f aca="false">IFERROR(VLOOKUP(B59,Entrada!A:B,2,0),0)</f>
        <v>25.29</v>
      </c>
      <c r="F59" s="7" t="n">
        <f aca="false">IFERROR(VLOOKUP(B59,Entrada!A:C,3,0),0)</f>
        <v>2.8277</v>
      </c>
      <c r="G59" s="7" t="n">
        <f aca="false">IFERROR(VLOOKUP(B59,Entrada!K:L,2,0),0)</f>
        <v>2.83</v>
      </c>
      <c r="H59" s="8" t="n">
        <f aca="false">IFERROR(VLOOKUP(B59,Entrada!A:D,4,0),0)</f>
        <v>5200</v>
      </c>
      <c r="I59" s="8" t="n">
        <f aca="false">IFERROR(VLOOKUP(B59,Entrada!F:I,4,0),0)</f>
        <v>0</v>
      </c>
      <c r="J59" s="8" t="n">
        <f aca="false">H59+I59</f>
        <v>5200</v>
      </c>
      <c r="K59" s="7" t="n">
        <f aca="false">G59*J59</f>
        <v>14716</v>
      </c>
      <c r="L59" s="0" t="str">
        <f aca="false">IFERROR(VLOOKUP(_xlfn.CONCAT($L$1,"-",B59),Saída_2023!$E:$F,2,0),"0")</f>
        <v>0</v>
      </c>
    </row>
    <row r="60" customFormat="false" ht="13.8" hidden="false" customHeight="false" outlineLevel="0" collapsed="false">
      <c r="A60" s="2" t="n">
        <v>7891317424565</v>
      </c>
      <c r="B60" s="2" t="n">
        <v>3323</v>
      </c>
      <c r="C60" s="2" t="s">
        <v>376</v>
      </c>
      <c r="E60" s="7" t="n">
        <f aca="false">IFERROR(VLOOKUP(B60,Entrada!A:B,2,0),0)</f>
        <v>37.73</v>
      </c>
      <c r="F60" s="7" t="n">
        <f aca="false">IFERROR(VLOOKUP(B60,Entrada!A:C,3,0),0)</f>
        <v>9.40951389</v>
      </c>
      <c r="G60" s="7" t="n">
        <f aca="false">IFERROR(VLOOKUP(B60,Entrada!K:L,2,0),0)</f>
        <v>9.41</v>
      </c>
      <c r="H60" s="8" t="n">
        <f aca="false">IFERROR(VLOOKUP(B60,Entrada!A:D,4,0),0)</f>
        <v>936</v>
      </c>
      <c r="I60" s="8" t="n">
        <f aca="false">IFERROR(VLOOKUP(B60,Entrada!F:I,4,0),0)</f>
        <v>0</v>
      </c>
      <c r="J60" s="8" t="n">
        <f aca="false">H60+I60</f>
        <v>936</v>
      </c>
      <c r="K60" s="7" t="n">
        <f aca="false">G60*J60</f>
        <v>8807.76</v>
      </c>
      <c r="L60" s="0" t="str">
        <f aca="false">IFERROR(VLOOKUP(_xlfn.CONCAT($L$1,"-",B60),Saída_2023!$E:$F,2,0),"0")</f>
        <v>0</v>
      </c>
    </row>
    <row r="61" customFormat="false" ht="13.8" hidden="false" customHeight="false" outlineLevel="0" collapsed="false">
      <c r="A61" s="2" t="n">
        <v>7891317433673</v>
      </c>
      <c r="B61" s="2" t="n">
        <v>3822</v>
      </c>
      <c r="C61" s="2" t="s">
        <v>205</v>
      </c>
      <c r="E61" s="7" t="n">
        <f aca="false">IFERROR(VLOOKUP(B61,Entrada!A:B,2,0),0)</f>
        <v>30.31</v>
      </c>
      <c r="F61" s="7" t="n">
        <f aca="false">IFERROR(VLOOKUP(B61,Entrada!A:C,3,0),0)</f>
        <v>6.03955</v>
      </c>
      <c r="G61" s="7" t="n">
        <f aca="false">IFERROR(VLOOKUP(B61,Entrada!K:L,2,0),0)</f>
        <v>6.29</v>
      </c>
      <c r="H61" s="8" t="n">
        <f aca="false">IFERROR(VLOOKUP(B61,Entrada!A:D,4,0),0)</f>
        <v>300</v>
      </c>
      <c r="I61" s="8" t="n">
        <f aca="false">IFERROR(VLOOKUP(B61,Entrada!F:I,4,0),0)</f>
        <v>500</v>
      </c>
      <c r="J61" s="8" t="n">
        <f aca="false">H61+I61</f>
        <v>800</v>
      </c>
      <c r="K61" s="7" t="n">
        <f aca="false">G61*J61</f>
        <v>5032</v>
      </c>
      <c r="L61" s="0" t="str">
        <f aca="false">IFERROR(VLOOKUP(_xlfn.CONCAT($L$1,"-",B61),Saída_2023!$E:$F,2,0),"0")</f>
        <v>0</v>
      </c>
    </row>
    <row r="62" customFormat="false" ht="13.8" hidden="false" customHeight="false" outlineLevel="0" collapsed="false">
      <c r="A62" s="2" t="n">
        <v>7891317433642</v>
      </c>
      <c r="B62" s="2" t="n">
        <v>3823</v>
      </c>
      <c r="C62" s="2" t="s">
        <v>201</v>
      </c>
      <c r="E62" s="7" t="n">
        <f aca="false">IFERROR(VLOOKUP(B62,Entrada!A:B,2,0),0)</f>
        <v>33.77</v>
      </c>
      <c r="F62" s="7" t="n">
        <f aca="false">IFERROR(VLOOKUP(B62,Entrada!A:C,3,0),0)</f>
        <v>6.72836667</v>
      </c>
      <c r="G62" s="7" t="n">
        <f aca="false">IFERROR(VLOOKUP(B62,Entrada!K:L,2,0),0)</f>
        <v>7.01</v>
      </c>
      <c r="H62" s="8" t="n">
        <f aca="false">IFERROR(VLOOKUP(B62,Entrada!A:D,4,0),0)</f>
        <v>1000</v>
      </c>
      <c r="I62" s="8" t="n">
        <f aca="false">IFERROR(VLOOKUP(B62,Entrada!F:I,4,0),0)</f>
        <v>1000</v>
      </c>
      <c r="J62" s="8" t="n">
        <f aca="false">H62+I62</f>
        <v>2000</v>
      </c>
      <c r="K62" s="7" t="n">
        <f aca="false">G62*J62</f>
        <v>14020</v>
      </c>
      <c r="L62" s="0" t="str">
        <f aca="false">IFERROR(VLOOKUP(_xlfn.CONCAT($L$1,"-",B62),Saída_2023!$E:$F,2,0),"0")</f>
        <v>0</v>
      </c>
    </row>
    <row r="63" customFormat="false" ht="13.8" hidden="false" customHeight="false" outlineLevel="0" collapsed="false">
      <c r="A63" s="2" t="n">
        <v>7891317004606</v>
      </c>
      <c r="B63" s="2" t="n">
        <v>4087</v>
      </c>
      <c r="C63" s="2" t="s">
        <v>570</v>
      </c>
      <c r="E63" s="7" t="n">
        <f aca="false">IFERROR(VLOOKUP(B63,Entrada!A:B,2,0),0)</f>
        <v>67.89</v>
      </c>
      <c r="F63" s="7" t="n">
        <f aca="false">IFERROR(VLOOKUP(B63,Entrada!A:C,3,0),0)</f>
        <v>15.76665625</v>
      </c>
      <c r="G63" s="7" t="n">
        <f aca="false">IFERROR(VLOOKUP(B63,Entrada!K:L,2,0),0)</f>
        <v>15.77</v>
      </c>
      <c r="H63" s="8" t="n">
        <f aca="false">IFERROR(VLOOKUP(B63,Entrada!A:D,4,0),0)</f>
        <v>4049</v>
      </c>
      <c r="I63" s="8" t="n">
        <f aca="false">IFERROR(VLOOKUP(B63,Entrada!F:I,4,0),0)</f>
        <v>0</v>
      </c>
      <c r="J63" s="8" t="n">
        <f aca="false">H63+I63</f>
        <v>4049</v>
      </c>
      <c r="K63" s="7" t="n">
        <f aca="false">G63*J63</f>
        <v>63852.73</v>
      </c>
      <c r="L63" s="0" t="str">
        <f aca="false">IFERROR(VLOOKUP(_xlfn.CONCAT($L$1,"-",B63),Saída_2023!$E:$F,2,0),"0")</f>
        <v>0</v>
      </c>
    </row>
    <row r="64" customFormat="false" ht="13.8" hidden="false" customHeight="false" outlineLevel="0" collapsed="false">
      <c r="A64" s="2" t="n">
        <v>7891317421861</v>
      </c>
      <c r="B64" s="2" t="n">
        <v>4123</v>
      </c>
      <c r="C64" s="2" t="s">
        <v>378</v>
      </c>
      <c r="E64" s="7" t="n">
        <f aca="false">IFERROR(VLOOKUP(B64,Entrada!A:B,2,0),0)</f>
        <v>18.8</v>
      </c>
      <c r="F64" s="7" t="n">
        <f aca="false">IFERROR(VLOOKUP(B64,Entrada!A:C,3,0),0)</f>
        <v>2.04827727</v>
      </c>
      <c r="G64" s="7" t="n">
        <f aca="false">IFERROR(VLOOKUP(B64,Entrada!K:L,2,0),0)</f>
        <v>3.16</v>
      </c>
      <c r="H64" s="8" t="n">
        <f aca="false">IFERROR(VLOOKUP(B64,Entrada!A:D,4,0),0)</f>
        <v>100</v>
      </c>
      <c r="I64" s="8" t="n">
        <f aca="false">IFERROR(VLOOKUP(B64,Entrada!F:I,4,0),0)</f>
        <v>400</v>
      </c>
      <c r="J64" s="8" t="n">
        <f aca="false">H64+I64</f>
        <v>500</v>
      </c>
      <c r="K64" s="7" t="n">
        <f aca="false">G64*J64</f>
        <v>1580</v>
      </c>
      <c r="L64" s="0" t="str">
        <f aca="false">IFERROR(VLOOKUP(_xlfn.CONCAT($L$1,"-",B64),Saída_2023!$E:$F,2,0),"0")</f>
        <v>0</v>
      </c>
    </row>
    <row r="65" customFormat="false" ht="13.8" hidden="false" customHeight="false" outlineLevel="0" collapsed="false">
      <c r="A65" s="2" t="n">
        <v>7891317001063</v>
      </c>
      <c r="B65" s="2" t="n">
        <v>4242</v>
      </c>
      <c r="C65" s="2" t="s">
        <v>79</v>
      </c>
      <c r="E65" s="7" t="n">
        <f aca="false">IFERROR(VLOOKUP(B65,Entrada!A:B,2,0),0)</f>
        <v>29.89</v>
      </c>
      <c r="F65" s="7" t="n">
        <f aca="false">IFERROR(VLOOKUP(B65,Entrada!A:C,3,0),0)</f>
        <v>11.526</v>
      </c>
      <c r="G65" s="7" t="n">
        <f aca="false">IFERROR(VLOOKUP(B65,Entrada!K:L,2,0),0)</f>
        <v>11.53</v>
      </c>
      <c r="H65" s="8" t="n">
        <f aca="false">IFERROR(VLOOKUP(B65,Entrada!A:D,4,0),0)</f>
        <v>250</v>
      </c>
      <c r="I65" s="8" t="n">
        <f aca="false">IFERROR(VLOOKUP(B65,Entrada!F:I,4,0),0)</f>
        <v>0</v>
      </c>
      <c r="J65" s="8" t="n">
        <f aca="false">H65+I65</f>
        <v>250</v>
      </c>
      <c r="K65" s="7" t="n">
        <f aca="false">G65*J65</f>
        <v>2882.5</v>
      </c>
      <c r="L65" s="0" t="str">
        <f aca="false">IFERROR(VLOOKUP(_xlfn.CONCAT($L$1,"-",B65),Saída_2023!$E:$F,2,0),"0")</f>
        <v>0</v>
      </c>
    </row>
    <row r="66" customFormat="false" ht="13.8" hidden="false" customHeight="false" outlineLevel="0" collapsed="false">
      <c r="A66" s="2" t="n">
        <v>7891317427542</v>
      </c>
      <c r="B66" s="2" t="n">
        <v>4266</v>
      </c>
      <c r="C66" s="2" t="s">
        <v>368</v>
      </c>
      <c r="E66" s="7" t="n">
        <f aca="false">IFERROR(VLOOKUP(B66,Entrada!A:B,2,0),0)</f>
        <v>16.88</v>
      </c>
      <c r="F66" s="7" t="n">
        <f aca="false">IFERROR(VLOOKUP(B66,Entrada!A:C,3,0),0)</f>
        <v>2.08363298</v>
      </c>
      <c r="G66" s="7" t="n">
        <f aca="false">IFERROR(VLOOKUP(B66,Entrada!K:L,2,0),0)</f>
        <v>2.08</v>
      </c>
      <c r="H66" s="8" t="n">
        <f aca="false">IFERROR(VLOOKUP(B66,Entrada!A:D,4,0),0)</f>
        <v>170000</v>
      </c>
      <c r="I66" s="8" t="n">
        <f aca="false">IFERROR(VLOOKUP(B66,Entrada!F:I,4,0),0)</f>
        <v>0</v>
      </c>
      <c r="J66" s="8" t="n">
        <f aca="false">H66+I66</f>
        <v>170000</v>
      </c>
      <c r="K66" s="7" t="n">
        <f aca="false">G66*J66</f>
        <v>353600</v>
      </c>
      <c r="L66" s="0" t="str">
        <f aca="false">IFERROR(VLOOKUP(_xlfn.CONCAT($L$1,"-",B66),Saída_2023!$E:$F,2,0),"0")</f>
        <v>0</v>
      </c>
    </row>
    <row r="67" customFormat="false" ht="13.8" hidden="false" customHeight="false" outlineLevel="0" collapsed="false">
      <c r="A67" s="2" t="n">
        <v>7891317446772</v>
      </c>
      <c r="B67" s="2" t="n">
        <v>4546</v>
      </c>
      <c r="C67" s="2" t="s">
        <v>199</v>
      </c>
      <c r="E67" s="7" t="n">
        <f aca="false">IFERROR(VLOOKUP(B67,Entrada!A:B,2,0),0)</f>
        <v>16.88</v>
      </c>
      <c r="F67" s="7" t="n">
        <f aca="false">IFERROR(VLOOKUP(B67,Entrada!A:C,3,0),0)</f>
        <v>4.3427666</v>
      </c>
      <c r="G67" s="7" t="n">
        <f aca="false">IFERROR(VLOOKUP(B67,Entrada!K:L,2,0),0)</f>
        <v>4.76</v>
      </c>
      <c r="H67" s="8" t="n">
        <f aca="false">IFERROR(VLOOKUP(B67,Entrada!A:D,4,0),0)</f>
        <v>1600</v>
      </c>
      <c r="I67" s="8" t="n">
        <f aca="false">IFERROR(VLOOKUP(B67,Entrada!F:I,4,0),0)</f>
        <v>2600</v>
      </c>
      <c r="J67" s="8" t="n">
        <f aca="false">H67+I67</f>
        <v>4200</v>
      </c>
      <c r="K67" s="7" t="n">
        <f aca="false">G67*J67</f>
        <v>19992</v>
      </c>
      <c r="L67" s="0" t="str">
        <f aca="false">IFERROR(VLOOKUP(_xlfn.CONCAT($L$1,"-",B67),Saída_2023!$E:$F,2,0),"0")</f>
        <v>0</v>
      </c>
    </row>
    <row r="68" customFormat="false" ht="13.8" hidden="false" customHeight="false" outlineLevel="0" collapsed="false">
      <c r="A68" s="2" t="n">
        <v>7891317446819</v>
      </c>
      <c r="B68" s="2" t="n">
        <v>4547</v>
      </c>
      <c r="C68" s="2" t="s">
        <v>203</v>
      </c>
      <c r="E68" s="7" t="n">
        <f aca="false">IFERROR(VLOOKUP(B68,Entrada!A:B,2,0),0)</f>
        <v>15.15</v>
      </c>
      <c r="F68" s="7" t="n">
        <f aca="false">IFERROR(VLOOKUP(B68,Entrada!A:C,3,0),0)</f>
        <v>3.8979</v>
      </c>
      <c r="G68" s="7" t="n">
        <f aca="false">IFERROR(VLOOKUP(B68,Entrada!K:L,2,0),0)</f>
        <v>4.4</v>
      </c>
      <c r="H68" s="8" t="n">
        <f aca="false">IFERROR(VLOOKUP(B68,Entrada!A:D,4,0),0)</f>
        <v>700</v>
      </c>
      <c r="I68" s="8" t="n">
        <f aca="false">IFERROR(VLOOKUP(B68,Entrada!F:I,4,0),0)</f>
        <v>3600</v>
      </c>
      <c r="J68" s="8" t="n">
        <f aca="false">H68+I68</f>
        <v>4300</v>
      </c>
      <c r="K68" s="7" t="n">
        <f aca="false">G68*J68</f>
        <v>18920</v>
      </c>
      <c r="L68" s="0" t="str">
        <f aca="false">IFERROR(VLOOKUP(_xlfn.CONCAT($L$1,"-",B68),Saída_2023!$E:$F,2,0),"0")</f>
        <v>0</v>
      </c>
    </row>
    <row r="69" customFormat="false" ht="13.8" hidden="false" customHeight="false" outlineLevel="0" collapsed="false">
      <c r="A69" s="2" t="n">
        <v>7891317450359</v>
      </c>
      <c r="B69" s="2" t="n">
        <v>4632</v>
      </c>
      <c r="C69" s="2" t="s">
        <v>127</v>
      </c>
      <c r="E69" s="7" t="n">
        <f aca="false">IFERROR(VLOOKUP(B69,Entrada!A:B,2,0),0)</f>
        <v>401.01</v>
      </c>
      <c r="F69" s="7" t="n">
        <f aca="false">IFERROR(VLOOKUP(B69,Entrada!A:C,3,0),0)</f>
        <v>120.53393939</v>
      </c>
      <c r="G69" s="7" t="n">
        <f aca="false">IFERROR(VLOOKUP(B69,Entrada!K:L,2,0),0)</f>
        <v>0</v>
      </c>
      <c r="H69" s="8" t="n">
        <f aca="false">IFERROR(VLOOKUP(B69,Entrada!A:D,4,0),0)</f>
        <v>0</v>
      </c>
      <c r="I69" s="8" t="n">
        <f aca="false">IFERROR(VLOOKUP(B69,Entrada!F:I,4,0),0)</f>
        <v>0</v>
      </c>
      <c r="J69" s="8" t="n">
        <f aca="false">H69+I69</f>
        <v>0</v>
      </c>
      <c r="K69" s="7" t="n">
        <f aca="false">G69*J69</f>
        <v>0</v>
      </c>
      <c r="L69" s="0" t="str">
        <f aca="false">IFERROR(VLOOKUP(_xlfn.CONCAT($L$1,"-",B69),Saída_2023!$E:$F,2,0),"0")</f>
        <v>0</v>
      </c>
    </row>
    <row r="70" customFormat="false" ht="13.8" hidden="false" customHeight="false" outlineLevel="0" collapsed="false">
      <c r="A70" s="2" t="n">
        <v>7891317001056</v>
      </c>
      <c r="B70" s="2" t="n">
        <v>4633</v>
      </c>
      <c r="C70" s="2" t="s">
        <v>75</v>
      </c>
      <c r="E70" s="7" t="n">
        <f aca="false">IFERROR(VLOOKUP(B70,Entrada!A:B,2,0),0)</f>
        <v>26.77</v>
      </c>
      <c r="F70" s="7" t="n">
        <f aca="false">IFERROR(VLOOKUP(B70,Entrada!A:C,3,0),0)</f>
        <v>10.3199</v>
      </c>
      <c r="G70" s="7" t="n">
        <f aca="false">IFERROR(VLOOKUP(B70,Entrada!K:L,2,0),0)</f>
        <v>10.32</v>
      </c>
      <c r="H70" s="8" t="n">
        <f aca="false">IFERROR(VLOOKUP(B70,Entrada!A:D,4,0),0)</f>
        <v>350</v>
      </c>
      <c r="I70" s="8" t="n">
        <f aca="false">IFERROR(VLOOKUP(B70,Entrada!F:I,4,0),0)</f>
        <v>0</v>
      </c>
      <c r="J70" s="8" t="n">
        <f aca="false">H70+I70</f>
        <v>350</v>
      </c>
      <c r="K70" s="7" t="n">
        <f aca="false">G70*J70</f>
        <v>3612</v>
      </c>
      <c r="L70" s="0" t="str">
        <f aca="false">IFERROR(VLOOKUP(_xlfn.CONCAT($L$1,"-",B70),Saída_2023!$E:$F,2,0),"0")</f>
        <v>0</v>
      </c>
    </row>
    <row r="71" customFormat="false" ht="13.8" hidden="false" customHeight="false" outlineLevel="0" collapsed="false">
      <c r="A71" s="2" t="n">
        <v>7891317431358</v>
      </c>
      <c r="B71" s="2" t="n">
        <v>5196</v>
      </c>
      <c r="C71" s="2" t="s">
        <v>307</v>
      </c>
      <c r="E71" s="7" t="n">
        <f aca="false">IFERROR(VLOOKUP(B71,Entrada!A:B,2,0),0)</f>
        <v>21.2</v>
      </c>
      <c r="F71" s="7" t="n">
        <f aca="false">IFERROR(VLOOKUP(B71,Entrada!A:C,3,0),0)</f>
        <v>5.47611</v>
      </c>
      <c r="G71" s="7" t="n">
        <f aca="false">IFERROR(VLOOKUP(B71,Entrada!K:L,2,0),0)</f>
        <v>5.48</v>
      </c>
      <c r="H71" s="8" t="n">
        <f aca="false">IFERROR(VLOOKUP(B71,Entrada!A:D,4,0),0)</f>
        <v>15400</v>
      </c>
      <c r="I71" s="8" t="n">
        <f aca="false">IFERROR(VLOOKUP(B71,Entrada!F:I,4,0),0)</f>
        <v>0</v>
      </c>
      <c r="J71" s="8" t="n">
        <f aca="false">H71+I71</f>
        <v>15400</v>
      </c>
      <c r="K71" s="7" t="n">
        <f aca="false">G71*J71</f>
        <v>84392</v>
      </c>
      <c r="L71" s="0" t="str">
        <f aca="false">IFERROR(VLOOKUP(_xlfn.CONCAT($L$1,"-",B71),Saída_2023!$E:$F,2,0),"0")</f>
        <v>0</v>
      </c>
    </row>
    <row r="72" customFormat="false" ht="13.8" hidden="false" customHeight="false" outlineLevel="0" collapsed="false">
      <c r="A72" s="2" t="n">
        <v>7891317448936</v>
      </c>
      <c r="B72" s="2" t="n">
        <v>5197</v>
      </c>
      <c r="C72" s="2" t="s">
        <v>244</v>
      </c>
      <c r="E72" s="7" t="n">
        <f aca="false">IFERROR(VLOOKUP(B72,Entrada!A:B,2,0),0)</f>
        <v>29.13</v>
      </c>
      <c r="F72" s="7" t="n">
        <f aca="false">IFERROR(VLOOKUP(B72,Entrada!A:C,3,0),0)</f>
        <v>8.2662</v>
      </c>
      <c r="G72" s="7" t="n">
        <f aca="false">IFERROR(VLOOKUP(B72,Entrada!K:L,2,0),0)</f>
        <v>8.27</v>
      </c>
      <c r="H72" s="8" t="n">
        <f aca="false">IFERROR(VLOOKUP(B72,Entrada!A:D,4,0),0)</f>
        <v>300</v>
      </c>
      <c r="I72" s="8" t="n">
        <f aca="false">IFERROR(VLOOKUP(B72,Entrada!F:I,4,0),0)</f>
        <v>0</v>
      </c>
      <c r="J72" s="8" t="n">
        <f aca="false">H72+I72</f>
        <v>300</v>
      </c>
      <c r="K72" s="7" t="n">
        <f aca="false">G72*J72</f>
        <v>2481</v>
      </c>
      <c r="L72" s="0" t="str">
        <f aca="false">IFERROR(VLOOKUP(_xlfn.CONCAT($L$1,"-",B72),Saída_2023!$E:$F,2,0),"0")</f>
        <v>0</v>
      </c>
    </row>
    <row r="73" customFormat="false" ht="13.8" hidden="false" customHeight="false" outlineLevel="0" collapsed="false">
      <c r="A73" s="2" t="n">
        <v>7891317448943</v>
      </c>
      <c r="B73" s="2" t="n">
        <v>5198</v>
      </c>
      <c r="C73" s="2" t="s">
        <v>246</v>
      </c>
      <c r="E73" s="7" t="n">
        <f aca="false">IFERROR(VLOOKUP(B73,Entrada!A:B,2,0),0)</f>
        <v>23.31</v>
      </c>
      <c r="F73" s="7" t="n">
        <f aca="false">IFERROR(VLOOKUP(B73,Entrada!A:C,3,0),0)</f>
        <v>6.6164666</v>
      </c>
      <c r="G73" s="7" t="n">
        <f aca="false">IFERROR(VLOOKUP(B73,Entrada!K:L,2,0),0)</f>
        <v>6.62</v>
      </c>
      <c r="H73" s="8" t="n">
        <f aca="false">IFERROR(VLOOKUP(B73,Entrada!A:D,4,0),0)</f>
        <v>300</v>
      </c>
      <c r="I73" s="8" t="n">
        <f aca="false">IFERROR(VLOOKUP(B73,Entrada!F:I,4,0),0)</f>
        <v>0</v>
      </c>
      <c r="J73" s="8" t="n">
        <f aca="false">H73+I73</f>
        <v>300</v>
      </c>
      <c r="K73" s="7" t="n">
        <f aca="false">G73*J73</f>
        <v>1986</v>
      </c>
      <c r="L73" s="0" t="str">
        <f aca="false">IFERROR(VLOOKUP(_xlfn.CONCAT($L$1,"-",B73),Saída_2023!$E:$F,2,0),"0")</f>
        <v>0</v>
      </c>
    </row>
    <row r="74" customFormat="false" ht="13.8" hidden="false" customHeight="false" outlineLevel="0" collapsed="false">
      <c r="A74" s="2" t="n">
        <v>7891317431334</v>
      </c>
      <c r="B74" s="2" t="n">
        <v>5356</v>
      </c>
      <c r="C74" s="2" t="s">
        <v>309</v>
      </c>
      <c r="E74" s="7" t="n">
        <f aca="false">IFERROR(VLOOKUP(B74,Entrada!A:B,2,0),0)</f>
        <v>33.34</v>
      </c>
      <c r="F74" s="7" t="n">
        <f aca="false">IFERROR(VLOOKUP(B74,Entrada!A:C,3,0),0)</f>
        <v>8.659222</v>
      </c>
      <c r="G74" s="7" t="n">
        <f aca="false">IFERROR(VLOOKUP(B74,Entrada!K:L,2,0),0)</f>
        <v>8.66</v>
      </c>
      <c r="H74" s="8" t="n">
        <f aca="false">IFERROR(VLOOKUP(B74,Entrada!A:D,4,0),0)</f>
        <v>1245</v>
      </c>
      <c r="I74" s="8" t="n">
        <f aca="false">IFERROR(VLOOKUP(B74,Entrada!F:I,4,0),0)</f>
        <v>0</v>
      </c>
      <c r="J74" s="8" t="n">
        <f aca="false">H74+I74</f>
        <v>1245</v>
      </c>
      <c r="K74" s="7" t="n">
        <f aca="false">G74*J74</f>
        <v>10781.7</v>
      </c>
      <c r="L74" s="0" t="str">
        <f aca="false">IFERROR(VLOOKUP(_xlfn.CONCAT($L$1,"-",B74),Saída_2023!$E:$F,2,0),"0")</f>
        <v>0</v>
      </c>
    </row>
    <row r="75" customFormat="false" ht="13.8" hidden="false" customHeight="false" outlineLevel="0" collapsed="false">
      <c r="A75" s="2" t="n">
        <v>7891317414221</v>
      </c>
      <c r="B75" s="2" t="n">
        <v>5478</v>
      </c>
      <c r="C75" s="2" t="s">
        <v>360</v>
      </c>
      <c r="E75" s="7" t="n">
        <f aca="false">IFERROR(VLOOKUP(B75,Entrada!A:B,2,0),0)</f>
        <v>124.85</v>
      </c>
      <c r="F75" s="7" t="n">
        <f aca="false">IFERROR(VLOOKUP(B75,Entrada!A:C,3,0),0)</f>
        <v>6.1017166</v>
      </c>
      <c r="G75" s="7" t="n">
        <f aca="false">IFERROR(VLOOKUP(B75,Entrada!K:L,2,0),0)</f>
        <v>7.52</v>
      </c>
      <c r="H75" s="8" t="n">
        <f aca="false">IFERROR(VLOOKUP(B75,Entrada!A:D,4,0),0)</f>
        <v>3200</v>
      </c>
      <c r="I75" s="8" t="n">
        <f aca="false">IFERROR(VLOOKUP(B75,Entrada!F:I,4,0),0)</f>
        <v>700</v>
      </c>
      <c r="J75" s="8" t="n">
        <f aca="false">H75+I75</f>
        <v>3900</v>
      </c>
      <c r="K75" s="7" t="n">
        <f aca="false">G75*J75</f>
        <v>29328</v>
      </c>
      <c r="L75" s="0" t="str">
        <f aca="false">IFERROR(VLOOKUP(_xlfn.CONCAT($L$1,"-",B75),Saída_2023!$E:$F,2,0),"0")</f>
        <v>0</v>
      </c>
    </row>
    <row r="76" customFormat="false" ht="13.8" hidden="false" customHeight="false" outlineLevel="0" collapsed="false">
      <c r="A76" s="2" t="n">
        <v>7891317445287</v>
      </c>
      <c r="B76" s="2" t="n">
        <v>5479</v>
      </c>
      <c r="C76" s="2" t="s">
        <v>372</v>
      </c>
      <c r="E76" s="7" t="n">
        <f aca="false">IFERROR(VLOOKUP(B76,Entrada!A:B,2,0),0)</f>
        <v>46.96</v>
      </c>
      <c r="F76" s="7" t="n">
        <f aca="false">IFERROR(VLOOKUP(B76,Entrada!A:C,3,0),0)</f>
        <v>3.838</v>
      </c>
      <c r="G76" s="7" t="n">
        <f aca="false">IFERROR(VLOOKUP(B76,Entrada!K:L,2,0),0)</f>
        <v>5.25</v>
      </c>
      <c r="H76" s="8" t="n">
        <f aca="false">IFERROR(VLOOKUP(B76,Entrada!A:D,4,0),0)</f>
        <v>400</v>
      </c>
      <c r="I76" s="8" t="n">
        <f aca="false">IFERROR(VLOOKUP(B76,Entrada!F:I,4,0),0)</f>
        <v>400</v>
      </c>
      <c r="J76" s="8" t="n">
        <f aca="false">H76+I76</f>
        <v>800</v>
      </c>
      <c r="K76" s="7" t="n">
        <f aca="false">G76*J76</f>
        <v>4200</v>
      </c>
      <c r="L76" s="0" t="str">
        <f aca="false">IFERROR(VLOOKUP(_xlfn.CONCAT($L$1,"-",B76),Saída_2023!$E:$F,2,0),"0")</f>
        <v>0</v>
      </c>
    </row>
    <row r="77" customFormat="false" ht="13.8" hidden="false" customHeight="false" outlineLevel="0" collapsed="false">
      <c r="A77" s="2" t="n">
        <v>7891317421823</v>
      </c>
      <c r="B77" s="2" t="n">
        <v>5573</v>
      </c>
      <c r="C77" s="2" t="s">
        <v>325</v>
      </c>
      <c r="E77" s="7" t="n">
        <f aca="false">IFERROR(VLOOKUP(B77,Entrada!A:B,2,0),0)</f>
        <v>46.19</v>
      </c>
      <c r="F77" s="7" t="n">
        <f aca="false">IFERROR(VLOOKUP(B77,Entrada!A:C,3,0),0)</f>
        <v>3.849</v>
      </c>
      <c r="G77" s="7" t="n">
        <f aca="false">IFERROR(VLOOKUP(B77,Entrada!K:L,2,0),0)</f>
        <v>3.85</v>
      </c>
      <c r="H77" s="8" t="n">
        <f aca="false">IFERROR(VLOOKUP(B77,Entrada!A:D,4,0),0)</f>
        <v>100</v>
      </c>
      <c r="I77" s="8" t="n">
        <f aca="false">IFERROR(VLOOKUP(B77,Entrada!F:I,4,0),0)</f>
        <v>400</v>
      </c>
      <c r="J77" s="8" t="n">
        <f aca="false">H77+I77</f>
        <v>500</v>
      </c>
      <c r="K77" s="7" t="n">
        <f aca="false">G77*J77</f>
        <v>1925</v>
      </c>
      <c r="L77" s="0" t="str">
        <f aca="false">IFERROR(VLOOKUP(_xlfn.CONCAT($L$1,"-",B77),Saída_2023!$E:$F,2,0),"0")</f>
        <v>0</v>
      </c>
    </row>
    <row r="78" customFormat="false" ht="13.8" hidden="false" customHeight="false" outlineLevel="0" collapsed="false">
      <c r="A78" s="2" t="n">
        <v>7891317451035</v>
      </c>
      <c r="B78" s="2" t="n">
        <v>5609</v>
      </c>
      <c r="C78" s="2" t="s">
        <v>115</v>
      </c>
      <c r="E78" s="7" t="n">
        <f aca="false">IFERROR(VLOOKUP(B78,Entrada!A:B,2,0),0)</f>
        <v>27.75</v>
      </c>
      <c r="F78" s="7" t="n">
        <f aca="false">IFERROR(VLOOKUP(B78,Entrada!A:C,3,0),0)</f>
        <v>3.46848</v>
      </c>
      <c r="G78" s="7" t="n">
        <f aca="false">IFERROR(VLOOKUP(B78,Entrada!K:L,2,0),0)</f>
        <v>3.93</v>
      </c>
      <c r="H78" s="8" t="n">
        <f aca="false">IFERROR(VLOOKUP(B78,Entrada!A:D,4,0),0)</f>
        <v>700</v>
      </c>
      <c r="I78" s="8" t="n">
        <f aca="false">IFERROR(VLOOKUP(B78,Entrada!F:I,4,0),0)</f>
        <v>1000</v>
      </c>
      <c r="J78" s="8" t="n">
        <f aca="false">H78+I78</f>
        <v>1700</v>
      </c>
      <c r="K78" s="7" t="n">
        <f aca="false">G78*J78</f>
        <v>6681</v>
      </c>
      <c r="L78" s="0" t="str">
        <f aca="false">IFERROR(VLOOKUP(_xlfn.CONCAT($L$1,"-",B78),Saída_2023!$E:$F,2,0),"0")</f>
        <v>0</v>
      </c>
    </row>
    <row r="79" customFormat="false" ht="13.8" hidden="false" customHeight="false" outlineLevel="0" collapsed="false">
      <c r="A79" s="2" t="n">
        <v>7891317435936</v>
      </c>
      <c r="B79" s="2" t="n">
        <v>5768</v>
      </c>
      <c r="C79" s="2" t="s">
        <v>211</v>
      </c>
      <c r="E79" s="7" t="n">
        <f aca="false">IFERROR(VLOOKUP(B79,Entrada!A:B,2,0),0)</f>
        <v>29.87</v>
      </c>
      <c r="F79" s="7" t="n">
        <f aca="false">IFERROR(VLOOKUP(B79,Entrada!A:C,3,0),0)</f>
        <v>6.5841</v>
      </c>
      <c r="G79" s="7" t="n">
        <f aca="false">IFERROR(VLOOKUP(B79,Entrada!K:L,2,0),0)</f>
        <v>6.58</v>
      </c>
      <c r="H79" s="8" t="n">
        <f aca="false">IFERROR(VLOOKUP(B79,Entrada!A:D,4,0),0)</f>
        <v>700</v>
      </c>
      <c r="I79" s="8" t="n">
        <f aca="false">IFERROR(VLOOKUP(B79,Entrada!F:I,4,0),0)</f>
        <v>0</v>
      </c>
      <c r="J79" s="8" t="n">
        <f aca="false">H79+I79</f>
        <v>700</v>
      </c>
      <c r="K79" s="7" t="n">
        <f aca="false">G79*J79</f>
        <v>4606</v>
      </c>
      <c r="L79" s="0" t="str">
        <f aca="false">IFERROR(VLOOKUP(_xlfn.CONCAT($L$1,"-",B79),Saída_2023!$E:$F,2,0),"0")</f>
        <v>0</v>
      </c>
    </row>
    <row r="80" customFormat="false" ht="13.8" hidden="false" customHeight="false" outlineLevel="0" collapsed="false">
      <c r="A80" s="2" t="n">
        <v>7891317444747</v>
      </c>
      <c r="B80" s="2" t="n">
        <v>5777</v>
      </c>
      <c r="C80" s="2" t="s">
        <v>113</v>
      </c>
      <c r="E80" s="7" t="n">
        <f aca="false">IFERROR(VLOOKUP(B80,Entrada!A:B,2,0),0)</f>
        <v>41.9</v>
      </c>
      <c r="F80" s="7" t="n">
        <f aca="false">IFERROR(VLOOKUP(B80,Entrada!A:C,3,0),0)</f>
        <v>5.23795</v>
      </c>
      <c r="G80" s="7" t="n">
        <f aca="false">IFERROR(VLOOKUP(B80,Entrada!K:L,2,0),0)</f>
        <v>5.94</v>
      </c>
      <c r="H80" s="8" t="n">
        <f aca="false">IFERROR(VLOOKUP(B80,Entrada!A:D,4,0),0)</f>
        <v>400</v>
      </c>
      <c r="I80" s="8" t="n">
        <f aca="false">IFERROR(VLOOKUP(B80,Entrada!F:I,4,0),0)</f>
        <v>600</v>
      </c>
      <c r="J80" s="8" t="n">
        <f aca="false">H80+I80</f>
        <v>1000</v>
      </c>
      <c r="K80" s="7" t="n">
        <f aca="false">G80*J80</f>
        <v>5940</v>
      </c>
      <c r="L80" s="0" t="str">
        <f aca="false">IFERROR(VLOOKUP(_xlfn.CONCAT($L$1,"-",B80),Saída_2023!$E:$F,2,0),"0")</f>
        <v>0</v>
      </c>
    </row>
    <row r="81" customFormat="false" ht="13.8" hidden="false" customHeight="false" outlineLevel="0" collapsed="false">
      <c r="A81" s="2" t="n">
        <v>7891317445294</v>
      </c>
      <c r="B81" s="2" t="n">
        <v>5858</v>
      </c>
      <c r="C81" s="2" t="s">
        <v>370</v>
      </c>
      <c r="E81" s="7" t="n">
        <f aca="false">IFERROR(VLOOKUP(B81,Entrada!A:B,2,0),0)</f>
        <v>77.46</v>
      </c>
      <c r="F81" s="7" t="n">
        <f aca="false">IFERROR(VLOOKUP(B81,Entrada!A:C,3,0),0)</f>
        <v>8.83322328</v>
      </c>
      <c r="G81" s="7" t="n">
        <f aca="false">IFERROR(VLOOKUP(B81,Entrada!K:L,2,0),0)</f>
        <v>10.66</v>
      </c>
      <c r="H81" s="8" t="n">
        <f aca="false">IFERROR(VLOOKUP(B81,Entrada!A:D,4,0),0)</f>
        <v>300</v>
      </c>
      <c r="I81" s="8" t="n">
        <f aca="false">IFERROR(VLOOKUP(B81,Entrada!F:I,4,0),0)</f>
        <v>600</v>
      </c>
      <c r="J81" s="8" t="n">
        <f aca="false">H81+I81</f>
        <v>900</v>
      </c>
      <c r="K81" s="7" t="n">
        <f aca="false">G81*J81</f>
        <v>9594</v>
      </c>
      <c r="L81" s="0" t="str">
        <f aca="false">IFERROR(VLOOKUP(_xlfn.CONCAT($L$1,"-",B81),Saída_2023!$E:$F,2,0),"0")</f>
        <v>0</v>
      </c>
    </row>
    <row r="82" customFormat="false" ht="13.8" hidden="false" customHeight="false" outlineLevel="0" collapsed="false">
      <c r="A82" s="2" t="n">
        <v>7891317457266</v>
      </c>
      <c r="B82" s="2" t="n">
        <v>5859</v>
      </c>
      <c r="C82" s="2" t="s">
        <v>358</v>
      </c>
      <c r="E82" s="7" t="n">
        <f aca="false">IFERROR(VLOOKUP(B82,Entrada!A:B,2,0),0)</f>
        <v>34.17</v>
      </c>
      <c r="F82" s="7" t="n">
        <f aca="false">IFERROR(VLOOKUP(B82,Entrada!A:C,3,0),0)</f>
        <v>3.51375556</v>
      </c>
      <c r="G82" s="7" t="n">
        <f aca="false">IFERROR(VLOOKUP(B82,Entrada!K:L,2,0),0)</f>
        <v>3.51</v>
      </c>
      <c r="H82" s="8" t="n">
        <f aca="false">IFERROR(VLOOKUP(B82,Entrada!A:D,4,0),0)</f>
        <v>4460</v>
      </c>
      <c r="I82" s="8" t="n">
        <f aca="false">IFERROR(VLOOKUP(B82,Entrada!F:I,4,0),0)</f>
        <v>0</v>
      </c>
      <c r="J82" s="8" t="n">
        <f aca="false">H82+I82</f>
        <v>4460</v>
      </c>
      <c r="K82" s="7" t="n">
        <f aca="false">G82*J82</f>
        <v>15654.6</v>
      </c>
      <c r="L82" s="0" t="str">
        <f aca="false">IFERROR(VLOOKUP(_xlfn.CONCAT($L$1,"-",B82),Saída_2023!$E:$F,2,0),"0")</f>
        <v>0</v>
      </c>
    </row>
    <row r="83" customFormat="false" ht="13.8" hidden="false" customHeight="false" outlineLevel="0" collapsed="false">
      <c r="A83" s="2" t="n">
        <v>7891317445300</v>
      </c>
      <c r="B83" s="2" t="n">
        <v>6055</v>
      </c>
      <c r="C83" s="2" t="s">
        <v>89</v>
      </c>
      <c r="E83" s="7" t="n">
        <f aca="false">IFERROR(VLOOKUP(B83,Entrada!A:B,2,0),0)</f>
        <v>11.8</v>
      </c>
      <c r="F83" s="7" t="n">
        <f aca="false">IFERROR(VLOOKUP(B83,Entrada!A:C,3,0),0)</f>
        <v>8.16042917</v>
      </c>
      <c r="G83" s="7" t="n">
        <f aca="false">IFERROR(VLOOKUP(B83,Entrada!K:L,2,0),0)</f>
        <v>8.16</v>
      </c>
      <c r="H83" s="8" t="n">
        <f aca="false">IFERROR(VLOOKUP(B83,Entrada!A:D,4,0),0)</f>
        <v>31316</v>
      </c>
      <c r="I83" s="8" t="n">
        <f aca="false">IFERROR(VLOOKUP(B83,Entrada!F:I,4,0),0)</f>
        <v>0</v>
      </c>
      <c r="J83" s="8" t="n">
        <f aca="false">H83+I83</f>
        <v>31316</v>
      </c>
      <c r="K83" s="7" t="n">
        <f aca="false">G83*J83</f>
        <v>255538.56</v>
      </c>
      <c r="L83" s="0" t="str">
        <f aca="false">IFERROR(VLOOKUP(_xlfn.CONCAT($L$1,"-",B83),Saída_2023!$E:$F,2,0),"0")</f>
        <v>0</v>
      </c>
    </row>
    <row r="84" customFormat="false" ht="13.8" hidden="false" customHeight="false" outlineLevel="0" collapsed="false">
      <c r="A84" s="2" t="n">
        <v>7891317422042</v>
      </c>
      <c r="B84" s="2" t="n">
        <v>6056</v>
      </c>
      <c r="C84" s="2" t="s">
        <v>109</v>
      </c>
      <c r="E84" s="7" t="n">
        <f aca="false">IFERROR(VLOOKUP(B84,Entrada!A:B,2,0),0)</f>
        <v>135.56</v>
      </c>
      <c r="F84" s="7" t="n">
        <f aca="false">IFERROR(VLOOKUP(B84,Entrada!A:C,3,0),0)</f>
        <v>51.31</v>
      </c>
      <c r="G84" s="7" t="n">
        <f aca="false">IFERROR(VLOOKUP(B84,Entrada!K:L,2,0),0)</f>
        <v>51.31</v>
      </c>
      <c r="H84" s="8" t="n">
        <f aca="false">IFERROR(VLOOKUP(B84,Entrada!A:D,4,0),0)</f>
        <v>15225</v>
      </c>
      <c r="I84" s="8" t="n">
        <f aca="false">IFERROR(VLOOKUP(B84,Entrada!F:I,4,0),0)</f>
        <v>0</v>
      </c>
      <c r="J84" s="8" t="n">
        <f aca="false">H84+I84</f>
        <v>15225</v>
      </c>
      <c r="K84" s="7" t="n">
        <f aca="false">G84*J84</f>
        <v>781194.75</v>
      </c>
      <c r="L84" s="0" t="str">
        <f aca="false">IFERROR(VLOOKUP(_xlfn.CONCAT($L$1,"-",B84),Saída_2023!$E:$F,2,0),"0")</f>
        <v>0</v>
      </c>
    </row>
    <row r="85" customFormat="false" ht="13.8" hidden="false" customHeight="false" outlineLevel="0" collapsed="false">
      <c r="A85" s="2" t="n">
        <v>7891317489366</v>
      </c>
      <c r="B85" s="2" t="n">
        <v>6529</v>
      </c>
      <c r="C85" s="2" t="s">
        <v>119</v>
      </c>
      <c r="E85" s="7" t="n">
        <f aca="false">IFERROR(VLOOKUP(B85,Entrada!A:B,2,0),0)</f>
        <v>54.87</v>
      </c>
      <c r="F85" s="7" t="n">
        <f aca="false">IFERROR(VLOOKUP(B85,Entrada!A:C,3,0),0)</f>
        <v>7.32868333</v>
      </c>
      <c r="G85" s="7" t="n">
        <f aca="false">IFERROR(VLOOKUP(B85,Entrada!K:L,2,0),0)</f>
        <v>7.74</v>
      </c>
      <c r="H85" s="8" t="n">
        <f aca="false">IFERROR(VLOOKUP(B85,Entrada!A:D,4,0),0)</f>
        <v>1000</v>
      </c>
      <c r="I85" s="8" t="n">
        <f aca="false">IFERROR(VLOOKUP(B85,Entrada!F:I,4,0),0)</f>
        <v>1500</v>
      </c>
      <c r="J85" s="8" t="n">
        <f aca="false">H85+I85</f>
        <v>2500</v>
      </c>
      <c r="K85" s="7" t="n">
        <f aca="false">G85*J85</f>
        <v>19350</v>
      </c>
      <c r="L85" s="0" t="str">
        <f aca="false">IFERROR(VLOOKUP(_xlfn.CONCAT($L$1,"-",B85),Saída_2023!$E:$F,2,0),"0")</f>
        <v>0</v>
      </c>
    </row>
    <row r="86" customFormat="false" ht="13.8" hidden="false" customHeight="false" outlineLevel="0" collapsed="false">
      <c r="A86" s="2" t="n">
        <v>7891317477592</v>
      </c>
      <c r="B86" s="2" t="n">
        <v>6662</v>
      </c>
      <c r="C86" s="2" t="s">
        <v>521</v>
      </c>
      <c r="E86" s="7" t="n">
        <f aca="false">IFERROR(VLOOKUP(B86,Entrada!A:B,2,0),0)</f>
        <v>25.51</v>
      </c>
      <c r="F86" s="7" t="n">
        <f aca="false">IFERROR(VLOOKUP(B86,Entrada!A:C,3,0),0)</f>
        <v>1.306591</v>
      </c>
      <c r="G86" s="7" t="n">
        <f aca="false">IFERROR(VLOOKUP(B86,Entrada!K:L,2,0),0)</f>
        <v>1.53</v>
      </c>
      <c r="H86" s="8" t="n">
        <f aca="false">IFERROR(VLOOKUP(B86,Entrada!A:D,4,0),0)</f>
        <v>0</v>
      </c>
      <c r="I86" s="8" t="n">
        <f aca="false">IFERROR(VLOOKUP(B86,Entrada!F:I,4,0),0)</f>
        <v>149000</v>
      </c>
      <c r="J86" s="8" t="n">
        <f aca="false">H86+I86</f>
        <v>149000</v>
      </c>
      <c r="K86" s="7" t="n">
        <f aca="false">G86*J86</f>
        <v>227970</v>
      </c>
      <c r="L86" s="0" t="str">
        <f aca="false">IFERROR(VLOOKUP(_xlfn.CONCAT($L$1,"-",B86),Saída_2023!$E:$F,2,0),"0")</f>
        <v>0</v>
      </c>
    </row>
    <row r="87" customFormat="false" ht="13.8" hidden="false" customHeight="false" outlineLevel="0" collapsed="false">
      <c r="A87" s="2" t="n">
        <v>7891317452995</v>
      </c>
      <c r="B87" s="2" t="n">
        <v>6678</v>
      </c>
      <c r="C87" s="2" t="s">
        <v>270</v>
      </c>
      <c r="E87" s="7" t="n">
        <f aca="false">IFERROR(VLOOKUP(B87,Entrada!A:B,2,0),0)</f>
        <v>17.6</v>
      </c>
      <c r="F87" s="7" t="n">
        <f aca="false">IFERROR(VLOOKUP(B87,Entrada!A:C,3,0),0)</f>
        <v>2.6292276</v>
      </c>
      <c r="G87" s="7" t="n">
        <f aca="false">IFERROR(VLOOKUP(B87,Entrada!K:L,2,0),0)</f>
        <v>3.36</v>
      </c>
      <c r="H87" s="8" t="n">
        <f aca="false">IFERROR(VLOOKUP(B87,Entrada!A:D,4,0),0)</f>
        <v>2800</v>
      </c>
      <c r="I87" s="8" t="n">
        <f aca="false">IFERROR(VLOOKUP(B87,Entrada!F:I,4,0),0)</f>
        <v>9700</v>
      </c>
      <c r="J87" s="8" t="n">
        <f aca="false">H87+I87</f>
        <v>12500</v>
      </c>
      <c r="K87" s="7" t="n">
        <f aca="false">G87*J87</f>
        <v>42000</v>
      </c>
      <c r="L87" s="0" t="str">
        <f aca="false">IFERROR(VLOOKUP(_xlfn.CONCAT($L$1,"-",B87),Saída_2023!$E:$F,2,0),"0")</f>
        <v>0</v>
      </c>
    </row>
    <row r="88" customFormat="false" ht="13.8" hidden="false" customHeight="false" outlineLevel="0" collapsed="false">
      <c r="A88" s="2" t="n">
        <v>7891317005054</v>
      </c>
      <c r="B88" s="2" t="n">
        <v>6943</v>
      </c>
      <c r="C88" s="2" t="s">
        <v>101</v>
      </c>
      <c r="E88" s="7" t="n">
        <f aca="false">IFERROR(VLOOKUP(B88,Entrada!A:B,2,0),0)</f>
        <v>36.73</v>
      </c>
      <c r="F88" s="7" t="n">
        <f aca="false">IFERROR(VLOOKUP(B88,Entrada!A:C,3,0),0)</f>
        <v>8.21375</v>
      </c>
      <c r="G88" s="7" t="n">
        <f aca="false">IFERROR(VLOOKUP(B88,Entrada!K:L,2,0),0)</f>
        <v>8.21</v>
      </c>
      <c r="H88" s="8" t="n">
        <f aca="false">IFERROR(VLOOKUP(B88,Entrada!A:D,4,0),0)</f>
        <v>2880</v>
      </c>
      <c r="I88" s="8" t="n">
        <f aca="false">IFERROR(VLOOKUP(B88,Entrada!F:I,4,0),0)</f>
        <v>0</v>
      </c>
      <c r="J88" s="8" t="n">
        <f aca="false">H88+I88</f>
        <v>2880</v>
      </c>
      <c r="K88" s="7" t="n">
        <f aca="false">G88*J88</f>
        <v>23644.8</v>
      </c>
      <c r="L88" s="0" t="str">
        <f aca="false">IFERROR(VLOOKUP(_xlfn.CONCAT($L$1,"-",B88),Saída_2023!$E:$F,2,0),"0")</f>
        <v>0</v>
      </c>
    </row>
    <row r="89" customFormat="false" ht="13.8" hidden="false" customHeight="false" outlineLevel="0" collapsed="false">
      <c r="A89" s="2" t="n">
        <v>7891317452964</v>
      </c>
      <c r="B89" s="2" t="n">
        <v>6944</v>
      </c>
      <c r="C89" s="2" t="s">
        <v>276</v>
      </c>
      <c r="E89" s="7" t="n">
        <f aca="false">IFERROR(VLOOKUP(B89,Entrada!A:B,2,0),0)</f>
        <v>42.09</v>
      </c>
      <c r="F89" s="7" t="n">
        <f aca="false">IFERROR(VLOOKUP(B89,Entrada!A:C,3,0),0)</f>
        <v>1.75722873</v>
      </c>
      <c r="G89" s="7" t="n">
        <f aca="false">IFERROR(VLOOKUP(B89,Entrada!K:L,2,0),0)</f>
        <v>1.76</v>
      </c>
      <c r="H89" s="8" t="n">
        <f aca="false">IFERROR(VLOOKUP(B89,Entrada!A:D,4,0),0)</f>
        <v>5500</v>
      </c>
      <c r="I89" s="8" t="n">
        <f aca="false">IFERROR(VLOOKUP(B89,Entrada!F:I,4,0),0)</f>
        <v>0</v>
      </c>
      <c r="J89" s="8" t="n">
        <f aca="false">H89+I89</f>
        <v>5500</v>
      </c>
      <c r="K89" s="7" t="n">
        <f aca="false">G89*J89</f>
        <v>9680</v>
      </c>
      <c r="L89" s="0" t="str">
        <f aca="false">IFERROR(VLOOKUP(_xlfn.CONCAT($L$1,"-",B89),Saída_2023!$E:$F,2,0),"0")</f>
        <v>0</v>
      </c>
    </row>
    <row r="90" customFormat="false" ht="13.8" hidden="false" customHeight="false" outlineLevel="0" collapsed="false">
      <c r="A90" s="2" t="n">
        <v>7891317465643</v>
      </c>
      <c r="B90" s="2" t="n">
        <v>7580</v>
      </c>
      <c r="C90" s="2" t="s">
        <v>546</v>
      </c>
      <c r="E90" s="7" t="n">
        <f aca="false">IFERROR(VLOOKUP(B90,Entrada!A:B,2,0),0)</f>
        <v>11.99</v>
      </c>
      <c r="F90" s="7" t="n">
        <f aca="false">IFERROR(VLOOKUP(B90,Entrada!A:C,3,0),0)</f>
        <v>3.9041676</v>
      </c>
      <c r="G90" s="7" t="n">
        <f aca="false">IFERROR(VLOOKUP(B90,Entrada!K:L,2,0),0)</f>
        <v>4.44</v>
      </c>
      <c r="H90" s="8" t="n">
        <f aca="false">IFERROR(VLOOKUP(B90,Entrada!A:D,4,0),0)</f>
        <v>0</v>
      </c>
      <c r="I90" s="8" t="n">
        <f aca="false">IFERROR(VLOOKUP(B90,Entrada!F:I,4,0),0)</f>
        <v>2800</v>
      </c>
      <c r="J90" s="8" t="n">
        <f aca="false">H90+I90</f>
        <v>2800</v>
      </c>
      <c r="K90" s="7" t="n">
        <f aca="false">G90*J90</f>
        <v>12432</v>
      </c>
      <c r="L90" s="0" t="str">
        <f aca="false">IFERROR(VLOOKUP(_xlfn.CONCAT($L$1,"-",B90),Saída_2023!$E:$F,2,0),"0")</f>
        <v>0</v>
      </c>
    </row>
    <row r="91" customFormat="false" ht="13.8" hidden="false" customHeight="false" outlineLevel="0" collapsed="false">
      <c r="A91" s="2" t="n">
        <v>7891317435943</v>
      </c>
      <c r="B91" s="2" t="n">
        <v>7617</v>
      </c>
      <c r="C91" s="2" t="s">
        <v>207</v>
      </c>
      <c r="E91" s="7" t="n">
        <f aca="false">IFERROR(VLOOKUP(B91,Entrada!A:B,2,0),0)</f>
        <v>60.31</v>
      </c>
      <c r="F91" s="7" t="n">
        <f aca="false">IFERROR(VLOOKUP(B91,Entrada!A:C,3,0),0)</f>
        <v>12.451</v>
      </c>
      <c r="G91" s="7" t="n">
        <f aca="false">IFERROR(VLOOKUP(B91,Entrada!K:L,2,0),0)</f>
        <v>12.45</v>
      </c>
      <c r="H91" s="8" t="n">
        <f aca="false">IFERROR(VLOOKUP(B91,Entrada!A:D,4,0),0)</f>
        <v>2600</v>
      </c>
      <c r="I91" s="8" t="n">
        <f aca="false">IFERROR(VLOOKUP(B91,Entrada!F:I,4,0),0)</f>
        <v>0</v>
      </c>
      <c r="J91" s="8" t="n">
        <f aca="false">H91+I91</f>
        <v>2600</v>
      </c>
      <c r="K91" s="7" t="n">
        <f aca="false">G91*J91</f>
        <v>32370</v>
      </c>
      <c r="L91" s="0" t="str">
        <f aca="false">IFERROR(VLOOKUP(_xlfn.CONCAT($L$1,"-",B91),Saída_2023!$E:$F,2,0),"0")</f>
        <v>0</v>
      </c>
    </row>
    <row r="92" customFormat="false" ht="13.8" hidden="false" customHeight="false" outlineLevel="0" collapsed="false">
      <c r="A92" s="2" t="n">
        <v>7891317469283</v>
      </c>
      <c r="B92" s="2" t="n">
        <v>8416</v>
      </c>
      <c r="C92" s="2" t="s">
        <v>107</v>
      </c>
      <c r="E92" s="7" t="n">
        <f aca="false">IFERROR(VLOOKUP(B92,Entrada!A:B,2,0),0)</f>
        <v>84.2</v>
      </c>
      <c r="F92" s="7" t="n">
        <f aca="false">IFERROR(VLOOKUP(B92,Entrada!A:C,3,0),0)</f>
        <v>13.356609</v>
      </c>
      <c r="G92" s="7" t="n">
        <f aca="false">IFERROR(VLOOKUP(B92,Entrada!K:L,2,0),0)</f>
        <v>13.36</v>
      </c>
      <c r="H92" s="8" t="n">
        <f aca="false">IFERROR(VLOOKUP(B92,Entrada!A:D,4,0),0)</f>
        <v>16000</v>
      </c>
      <c r="I92" s="8" t="n">
        <f aca="false">IFERROR(VLOOKUP(B92,Entrada!F:I,4,0),0)</f>
        <v>0</v>
      </c>
      <c r="J92" s="8" t="n">
        <f aca="false">H92+I92</f>
        <v>16000</v>
      </c>
      <c r="K92" s="7" t="n">
        <f aca="false">G92*J92</f>
        <v>213760</v>
      </c>
      <c r="L92" s="0" t="str">
        <f aca="false">IFERROR(VLOOKUP(_xlfn.CONCAT($L$1,"-",B92),Saída_2023!$E:$F,2,0),"0")</f>
        <v>0</v>
      </c>
    </row>
    <row r="93" customFormat="false" ht="13.8" hidden="false" customHeight="false" outlineLevel="0" collapsed="false">
      <c r="A93" s="2" t="n">
        <v>7891317444921</v>
      </c>
      <c r="B93" s="2" t="n">
        <v>8417</v>
      </c>
      <c r="C93" s="2" t="s">
        <v>125</v>
      </c>
      <c r="E93" s="7" t="n">
        <f aca="false">IFERROR(VLOOKUP(B93,Entrada!A:B,2,0),0)</f>
        <v>54.74</v>
      </c>
      <c r="F93" s="7" t="n">
        <f aca="false">IFERROR(VLOOKUP(B93,Entrada!A:C,3,0),0)</f>
        <v>10.25514167</v>
      </c>
      <c r="G93" s="7" t="n">
        <f aca="false">IFERROR(VLOOKUP(B93,Entrada!K:L,2,0),0)</f>
        <v>7.06</v>
      </c>
      <c r="H93" s="8" t="n">
        <f aca="false">IFERROR(VLOOKUP(B93,Entrada!A:D,4,0),0)</f>
        <v>0</v>
      </c>
      <c r="I93" s="8" t="n">
        <f aca="false">IFERROR(VLOOKUP(B93,Entrada!F:I,4,0),0)</f>
        <v>10500</v>
      </c>
      <c r="J93" s="8" t="n">
        <f aca="false">H93+I93</f>
        <v>10500</v>
      </c>
      <c r="K93" s="7" t="n">
        <f aca="false">G93*J93</f>
        <v>74130</v>
      </c>
      <c r="L93" s="0" t="str">
        <f aca="false">IFERROR(VLOOKUP(_xlfn.CONCAT($L$1,"-",B93),Saída_2023!$E:$F,2,0),"0")</f>
        <v>0</v>
      </c>
    </row>
    <row r="94" customFormat="false" ht="13.8" hidden="false" customHeight="false" outlineLevel="0" collapsed="false">
      <c r="A94" s="2" t="n">
        <v>7891317488833</v>
      </c>
      <c r="B94" s="2" t="n">
        <v>8418</v>
      </c>
      <c r="C94" s="2" t="s">
        <v>311</v>
      </c>
      <c r="E94" s="7" t="n">
        <f aca="false">IFERROR(VLOOKUP(B94,Entrada!A:B,2,0),0)</f>
        <v>42.52</v>
      </c>
      <c r="F94" s="7" t="n">
        <f aca="false">IFERROR(VLOOKUP(B94,Entrada!A:C,3,0),0)</f>
        <v>10.56775</v>
      </c>
      <c r="G94" s="7" t="n">
        <f aca="false">IFERROR(VLOOKUP(B94,Entrada!K:L,2,0),0)</f>
        <v>13.48</v>
      </c>
      <c r="H94" s="8" t="n">
        <f aca="false">IFERROR(VLOOKUP(B94,Entrada!A:D,4,0),0)</f>
        <v>480</v>
      </c>
      <c r="I94" s="8" t="n">
        <f aca="false">IFERROR(VLOOKUP(B94,Entrada!F:I,4,0),0)</f>
        <v>630</v>
      </c>
      <c r="J94" s="8" t="n">
        <f aca="false">H94+I94</f>
        <v>1110</v>
      </c>
      <c r="K94" s="7" t="n">
        <f aca="false">G94*J94</f>
        <v>14962.8</v>
      </c>
      <c r="L94" s="0" t="str">
        <f aca="false">IFERROR(VLOOKUP(_xlfn.CONCAT($L$1,"-",B94),Saída_2023!$E:$F,2,0),"0")</f>
        <v>0</v>
      </c>
    </row>
    <row r="95" customFormat="false" ht="13.8" hidden="false" customHeight="false" outlineLevel="0" collapsed="false">
      <c r="A95" s="2" t="n">
        <v>7891317141967</v>
      </c>
      <c r="B95" s="2" t="n">
        <v>8541</v>
      </c>
      <c r="C95" s="2" t="s">
        <v>268</v>
      </c>
      <c r="E95" s="7" t="n">
        <f aca="false">IFERROR(VLOOKUP(B95,Entrada!A:B,2,0),0)</f>
        <v>20.35</v>
      </c>
      <c r="F95" s="7" t="n">
        <f aca="false">IFERROR(VLOOKUP(B95,Entrada!A:C,3,0),0)</f>
        <v>2.73002379</v>
      </c>
      <c r="G95" s="7" t="n">
        <f aca="false">IFERROR(VLOOKUP(B95,Entrada!K:L,2,0),0)</f>
        <v>2.45</v>
      </c>
      <c r="H95" s="8" t="n">
        <f aca="false">IFERROR(VLOOKUP(B95,Entrada!A:D,4,0),0)</f>
        <v>8000</v>
      </c>
      <c r="I95" s="8" t="n">
        <f aca="false">IFERROR(VLOOKUP(B95,Entrada!F:I,4,0),0)</f>
        <v>41669</v>
      </c>
      <c r="J95" s="8" t="n">
        <f aca="false">H95+I95</f>
        <v>49669</v>
      </c>
      <c r="K95" s="7" t="n">
        <f aca="false">G95*J95</f>
        <v>121689.05</v>
      </c>
      <c r="L95" s="0" t="str">
        <f aca="false">IFERROR(VLOOKUP(_xlfn.CONCAT($L$1,"-",B95),Saída_2023!$E:$F,2,0),"0")</f>
        <v>0</v>
      </c>
    </row>
    <row r="96" customFormat="false" ht="13.8" hidden="false" customHeight="false" outlineLevel="0" collapsed="false">
      <c r="A96" s="2" t="n">
        <v>7891317478766</v>
      </c>
      <c r="B96" s="2" t="n">
        <v>8847</v>
      </c>
      <c r="C96" s="2" t="s">
        <v>258</v>
      </c>
      <c r="E96" s="7" t="n">
        <f aca="false">IFERROR(VLOOKUP(B96,Entrada!A:B,2,0),0)</f>
        <v>22.45</v>
      </c>
      <c r="F96" s="7" t="n">
        <f aca="false">IFERROR(VLOOKUP(B96,Entrada!A:C,3,0),0)</f>
        <v>4.80967407</v>
      </c>
      <c r="G96" s="7" t="n">
        <f aca="false">IFERROR(VLOOKUP(B96,Entrada!K:L,2,0),0)</f>
        <v>5.39</v>
      </c>
      <c r="H96" s="8" t="n">
        <f aca="false">IFERROR(VLOOKUP(B96,Entrada!A:D,4,0),0)</f>
        <v>2295</v>
      </c>
      <c r="I96" s="8" t="n">
        <f aca="false">IFERROR(VLOOKUP(B96,Entrada!F:I,4,0),0)</f>
        <v>2025</v>
      </c>
      <c r="J96" s="8" t="n">
        <f aca="false">H96+I96</f>
        <v>4320</v>
      </c>
      <c r="K96" s="7" t="n">
        <f aca="false">G96*J96</f>
        <v>23284.8</v>
      </c>
      <c r="L96" s="0" t="str">
        <f aca="false">IFERROR(VLOOKUP(_xlfn.CONCAT($L$1,"-",B96),Saída_2023!$E:$F,2,0),"0")</f>
        <v>0</v>
      </c>
    </row>
    <row r="97" customFormat="false" ht="13.8" hidden="false" customHeight="false" outlineLevel="0" collapsed="false">
      <c r="A97" s="2" t="n">
        <v>7891317489328</v>
      </c>
      <c r="B97" s="2" t="n">
        <v>8850</v>
      </c>
      <c r="C97" s="2" t="s">
        <v>117</v>
      </c>
      <c r="E97" s="7" t="n">
        <f aca="false">IFERROR(VLOOKUP(B97,Entrada!A:B,2,0),0)</f>
        <v>56.24</v>
      </c>
      <c r="F97" s="7" t="n">
        <f aca="false">IFERROR(VLOOKUP(B97,Entrada!A:C,3,0),0)</f>
        <v>4.5804315</v>
      </c>
      <c r="G97" s="7" t="n">
        <f aca="false">IFERROR(VLOOKUP(B97,Entrada!K:L,2,0),0)</f>
        <v>5.04</v>
      </c>
      <c r="H97" s="8" t="n">
        <f aca="false">IFERROR(VLOOKUP(B97,Entrada!A:D,4,0),0)</f>
        <v>900</v>
      </c>
      <c r="I97" s="8" t="n">
        <f aca="false">IFERROR(VLOOKUP(B97,Entrada!F:I,4,0),0)</f>
        <v>500</v>
      </c>
      <c r="J97" s="8" t="n">
        <f aca="false">H97+I97</f>
        <v>1400</v>
      </c>
      <c r="K97" s="7" t="n">
        <f aca="false">G97*J97</f>
        <v>7056</v>
      </c>
      <c r="L97" s="0" t="str">
        <f aca="false">IFERROR(VLOOKUP(_xlfn.CONCAT($L$1,"-",B97),Saída_2023!$E:$F,2,0),"0")</f>
        <v>0</v>
      </c>
    </row>
    <row r="98" customFormat="false" ht="13.8" hidden="false" customHeight="false" outlineLevel="0" collapsed="false">
      <c r="A98" s="2" t="n">
        <v>7891317489403</v>
      </c>
      <c r="B98" s="2" t="n">
        <v>8851</v>
      </c>
      <c r="C98" s="2" t="s">
        <v>121</v>
      </c>
      <c r="E98" s="7" t="n">
        <f aca="false">IFERROR(VLOOKUP(B98,Entrada!A:B,2,0),0)</f>
        <v>109.74</v>
      </c>
      <c r="F98" s="7" t="n">
        <f aca="false">IFERROR(VLOOKUP(B98,Entrada!A:C,3,0),0)</f>
        <v>12.5785</v>
      </c>
      <c r="G98" s="7" t="n">
        <f aca="false">IFERROR(VLOOKUP(B98,Entrada!K:L,2,0),0)</f>
        <v>12.58</v>
      </c>
      <c r="H98" s="8" t="n">
        <f aca="false">IFERROR(VLOOKUP(B98,Entrada!A:D,4,0),0)</f>
        <v>2600</v>
      </c>
      <c r="I98" s="8" t="n">
        <f aca="false">IFERROR(VLOOKUP(B98,Entrada!F:I,4,0),0)</f>
        <v>400</v>
      </c>
      <c r="J98" s="8" t="n">
        <f aca="false">H98+I98</f>
        <v>3000</v>
      </c>
      <c r="K98" s="7" t="n">
        <f aca="false">G98*J98</f>
        <v>37740</v>
      </c>
      <c r="L98" s="0" t="str">
        <f aca="false">IFERROR(VLOOKUP(_xlfn.CONCAT($L$1,"-",B98),Saída_2023!$E:$F,2,0),"0")</f>
        <v>0</v>
      </c>
    </row>
    <row r="99" customFormat="false" ht="13.8" hidden="false" customHeight="false" outlineLevel="0" collapsed="false">
      <c r="A99" s="2" t="n">
        <v>7891317127725</v>
      </c>
      <c r="B99" s="2" t="n">
        <v>8880</v>
      </c>
      <c r="C99" s="2" t="s">
        <v>525</v>
      </c>
      <c r="E99" s="7" t="n">
        <f aca="false">IFERROR(VLOOKUP(B99,Entrada!A:B,2,0),0)</f>
        <v>276.6</v>
      </c>
      <c r="F99" s="7" t="n">
        <f aca="false">IFERROR(VLOOKUP(B99,Entrada!A:C,3,0),0)</f>
        <v>7.1378</v>
      </c>
      <c r="G99" s="7" t="n">
        <f aca="false">IFERROR(VLOOKUP(B99,Entrada!K:L,2,0),0)</f>
        <v>7.14</v>
      </c>
      <c r="H99" s="8" t="n">
        <f aca="false">IFERROR(VLOOKUP(B99,Entrada!A:D,4,0),0)</f>
        <v>7466</v>
      </c>
      <c r="I99" s="8" t="n">
        <f aca="false">IFERROR(VLOOKUP(B99,Entrada!F:I,4,0),0)</f>
        <v>11920</v>
      </c>
      <c r="J99" s="8" t="n">
        <f aca="false">H99+I99</f>
        <v>19386</v>
      </c>
      <c r="K99" s="7" t="n">
        <f aca="false">G99*J99</f>
        <v>138416.04</v>
      </c>
      <c r="L99" s="0" t="str">
        <f aca="false">IFERROR(VLOOKUP(_xlfn.CONCAT($L$1,"-",B99),Saída_2023!$E:$F,2,0),"0")</f>
        <v>0</v>
      </c>
    </row>
    <row r="100" customFormat="false" ht="13.8" hidden="false" customHeight="false" outlineLevel="0" collapsed="false">
      <c r="A100" s="2" t="n">
        <v>7891317490003</v>
      </c>
      <c r="B100" s="2" t="n">
        <v>8882</v>
      </c>
      <c r="C100" s="2" t="s">
        <v>475</v>
      </c>
      <c r="E100" s="7" t="n">
        <f aca="false">IFERROR(VLOOKUP(B100,Entrada!A:B,2,0),0)</f>
        <v>54.23</v>
      </c>
      <c r="F100" s="7" t="n">
        <f aca="false">IFERROR(VLOOKUP(B100,Entrada!A:C,3,0),0)</f>
        <v>26.585916</v>
      </c>
      <c r="G100" s="7" t="n">
        <f aca="false">IFERROR(VLOOKUP(B100,Entrada!K:L,2,0),0)</f>
        <v>26.59</v>
      </c>
      <c r="H100" s="8" t="n">
        <f aca="false">IFERROR(VLOOKUP(B100,Entrada!A:D,4,0),0)</f>
        <v>4080</v>
      </c>
      <c r="I100" s="8" t="n">
        <f aca="false">IFERROR(VLOOKUP(B100,Entrada!F:I,4,0),0)</f>
        <v>0</v>
      </c>
      <c r="J100" s="8" t="n">
        <f aca="false">H100+I100</f>
        <v>4080</v>
      </c>
      <c r="K100" s="7" t="n">
        <f aca="false">G100*J100</f>
        <v>108487.2</v>
      </c>
      <c r="L100" s="0" t="str">
        <f aca="false">IFERROR(VLOOKUP(_xlfn.CONCAT($L$1,"-",B100),Saída_2023!$E:$F,2,0),"0")</f>
        <v>0</v>
      </c>
    </row>
    <row r="101" customFormat="false" ht="13.8" hidden="false" customHeight="false" outlineLevel="0" collapsed="false">
      <c r="A101" s="2" t="n">
        <v>7891317102012</v>
      </c>
      <c r="B101" s="2" t="n">
        <v>8883</v>
      </c>
      <c r="C101" s="2" t="s">
        <v>131</v>
      </c>
      <c r="E101" s="7" t="n">
        <f aca="false">IFERROR(VLOOKUP(B101,Entrada!A:B,2,0),0)</f>
        <v>48.6</v>
      </c>
      <c r="F101" s="7" t="n">
        <f aca="false">IFERROR(VLOOKUP(B101,Entrada!A:C,3,0),0)</f>
        <v>9.19630433</v>
      </c>
      <c r="G101" s="7" t="n">
        <f aca="false">IFERROR(VLOOKUP(B101,Entrada!K:L,2,0),0)</f>
        <v>9.2</v>
      </c>
      <c r="H101" s="8" t="n">
        <f aca="false">IFERROR(VLOOKUP(B101,Entrada!A:D,4,0),0)</f>
        <v>6900</v>
      </c>
      <c r="I101" s="8" t="n">
        <f aca="false">IFERROR(VLOOKUP(B101,Entrada!F:I,4,0),0)</f>
        <v>0</v>
      </c>
      <c r="J101" s="8" t="n">
        <f aca="false">H101+I101</f>
        <v>6900</v>
      </c>
      <c r="K101" s="7" t="n">
        <f aca="false">G101*J101</f>
        <v>63480</v>
      </c>
      <c r="L101" s="0" t="str">
        <f aca="false">IFERROR(VLOOKUP(_xlfn.CONCAT($L$1,"-",B101),Saída_2023!$E:$F,2,0),"0")</f>
        <v>0</v>
      </c>
    </row>
    <row r="102" customFormat="false" ht="13.8" hidden="false" customHeight="false" outlineLevel="0" collapsed="false">
      <c r="A102" s="2" t="n">
        <v>7891317101985</v>
      </c>
      <c r="B102" s="2" t="n">
        <v>8884</v>
      </c>
      <c r="C102" s="2" t="s">
        <v>133</v>
      </c>
      <c r="E102" s="7" t="n">
        <f aca="false">IFERROR(VLOOKUP(B102,Entrada!A:B,2,0),0)</f>
        <v>58.37</v>
      </c>
      <c r="F102" s="7" t="n">
        <f aca="false">IFERROR(VLOOKUP(B102,Entrada!A:C,3,0),0)</f>
        <v>10.8076</v>
      </c>
      <c r="G102" s="7" t="n">
        <f aca="false">IFERROR(VLOOKUP(B102,Entrada!K:L,2,0),0)</f>
        <v>10.81</v>
      </c>
      <c r="H102" s="8" t="n">
        <f aca="false">IFERROR(VLOOKUP(B102,Entrada!A:D,4,0),0)</f>
        <v>3300</v>
      </c>
      <c r="I102" s="8" t="n">
        <f aca="false">IFERROR(VLOOKUP(B102,Entrada!F:I,4,0),0)</f>
        <v>0</v>
      </c>
      <c r="J102" s="8" t="n">
        <f aca="false">H102+I102</f>
        <v>3300</v>
      </c>
      <c r="K102" s="7" t="n">
        <f aca="false">G102*J102</f>
        <v>35673</v>
      </c>
      <c r="L102" s="0" t="str">
        <f aca="false">IFERROR(VLOOKUP(_xlfn.CONCAT($L$1,"-",B102),Saída_2023!$E:$F,2,0),"0")</f>
        <v>0</v>
      </c>
    </row>
    <row r="103" customFormat="false" ht="13.8" hidden="false" customHeight="false" outlineLevel="0" collapsed="false">
      <c r="A103" s="2" t="n">
        <v>7891317496753</v>
      </c>
      <c r="B103" s="2" t="n">
        <v>9378</v>
      </c>
      <c r="C103" s="2" t="s">
        <v>224</v>
      </c>
      <c r="E103" s="7" t="n">
        <f aca="false">IFERROR(VLOOKUP(B103,Entrada!A:B,2,0),0)</f>
        <v>106.76</v>
      </c>
      <c r="F103" s="7" t="n">
        <f aca="false">IFERROR(VLOOKUP(B103,Entrada!A:C,3,0),0)</f>
        <v>13.91393136</v>
      </c>
      <c r="G103" s="7" t="n">
        <f aca="false">IFERROR(VLOOKUP(B103,Entrada!K:L,2,0),0)</f>
        <v>11.02</v>
      </c>
      <c r="H103" s="8" t="n">
        <f aca="false">IFERROR(VLOOKUP(B103,Entrada!A:D,4,0),0)</f>
        <v>100</v>
      </c>
      <c r="I103" s="8" t="n">
        <f aca="false">IFERROR(VLOOKUP(B103,Entrada!F:I,4,0),0)</f>
        <v>700</v>
      </c>
      <c r="J103" s="8" t="n">
        <f aca="false">H103+I103</f>
        <v>800</v>
      </c>
      <c r="K103" s="7" t="n">
        <f aca="false">G103*J103</f>
        <v>8816</v>
      </c>
      <c r="L103" s="0" t="str">
        <f aca="false">IFERROR(VLOOKUP(_xlfn.CONCAT($L$1,"-",B103),Saída_2023!$E:$F,2,0),"0")</f>
        <v>0</v>
      </c>
    </row>
    <row r="104" customFormat="false" ht="13.8" hidden="false" customHeight="false" outlineLevel="0" collapsed="false">
      <c r="A104" s="2" t="n">
        <v>7891317478810</v>
      </c>
      <c r="B104" s="2" t="n">
        <v>9523</v>
      </c>
      <c r="C104" s="2" t="s">
        <v>260</v>
      </c>
      <c r="E104" s="7" t="n">
        <f aca="false">IFERROR(VLOOKUP(B104,Entrada!A:B,2,0),0)</f>
        <v>29.34</v>
      </c>
      <c r="F104" s="7" t="n">
        <f aca="false">IFERROR(VLOOKUP(B104,Entrada!A:C,3,0),0)</f>
        <v>6.101364</v>
      </c>
      <c r="G104" s="7" t="n">
        <f aca="false">IFERROR(VLOOKUP(B104,Entrada!K:L,2,0),0)</f>
        <v>6.7</v>
      </c>
      <c r="H104" s="8" t="n">
        <f aca="false">IFERROR(VLOOKUP(B104,Entrada!A:D,4,0),0)</f>
        <v>2769</v>
      </c>
      <c r="I104" s="8" t="n">
        <f aca="false">IFERROR(VLOOKUP(B104,Entrada!F:I,4,0),0)</f>
        <v>9700</v>
      </c>
      <c r="J104" s="8" t="n">
        <f aca="false">H104+I104</f>
        <v>12469</v>
      </c>
      <c r="K104" s="7" t="n">
        <f aca="false">G104*J104</f>
        <v>83542.3</v>
      </c>
      <c r="L104" s="0" t="str">
        <f aca="false">IFERROR(VLOOKUP(_xlfn.CONCAT($L$1,"-",B104),Saída_2023!$E:$F,2,0),"0")</f>
        <v>0</v>
      </c>
    </row>
    <row r="105" customFormat="false" ht="13.8" hidden="false" customHeight="false" outlineLevel="0" collapsed="false">
      <c r="A105" s="2" t="n">
        <v>7891317127800</v>
      </c>
      <c r="B105" s="2" t="n">
        <v>9616</v>
      </c>
      <c r="C105" s="2" t="s">
        <v>523</v>
      </c>
      <c r="E105" s="7" t="n">
        <f aca="false">IFERROR(VLOOKUP(B105,Entrada!A:B,2,0),0)</f>
        <v>147.5</v>
      </c>
      <c r="F105" s="7" t="n">
        <f aca="false">IFERROR(VLOOKUP(B105,Entrada!A:C,3,0),0)</f>
        <v>3.8063</v>
      </c>
      <c r="G105" s="7" t="n">
        <f aca="false">IFERROR(VLOOKUP(B105,Entrada!K:L,2,0),0)</f>
        <v>3.81</v>
      </c>
      <c r="H105" s="8" t="n">
        <f aca="false">IFERROR(VLOOKUP(B105,Entrada!A:D,4,0),0)</f>
        <v>4200</v>
      </c>
      <c r="I105" s="8" t="n">
        <f aca="false">IFERROR(VLOOKUP(B105,Entrada!F:I,4,0),0)</f>
        <v>20300</v>
      </c>
      <c r="J105" s="8" t="n">
        <f aca="false">H105+I105</f>
        <v>24500</v>
      </c>
      <c r="K105" s="7" t="n">
        <f aca="false">G105*J105</f>
        <v>93345</v>
      </c>
      <c r="L105" s="0" t="str">
        <f aca="false">IFERROR(VLOOKUP(_xlfn.CONCAT($L$1,"-",B105),Saída_2023!$E:$F,2,0),"0")</f>
        <v>0</v>
      </c>
    </row>
    <row r="106" customFormat="false" ht="13.8" hidden="false" customHeight="false" outlineLevel="0" collapsed="false">
      <c r="A106" s="2" t="n">
        <v>7891317127404</v>
      </c>
      <c r="B106" s="2" t="n">
        <v>9690</v>
      </c>
      <c r="C106" s="2" t="s">
        <v>334</v>
      </c>
      <c r="E106" s="7" t="n">
        <f aca="false">IFERROR(VLOOKUP(B106,Entrada!A:B,2,0),0)</f>
        <v>26.6</v>
      </c>
      <c r="F106" s="7" t="n">
        <f aca="false">IFERROR(VLOOKUP(B106,Entrada!A:C,3,0),0)</f>
        <v>5.033633</v>
      </c>
      <c r="G106" s="7" t="n">
        <f aca="false">IFERROR(VLOOKUP(B106,Entrada!K:L,2,0),0)</f>
        <v>5.03</v>
      </c>
      <c r="H106" s="8" t="n">
        <f aca="false">IFERROR(VLOOKUP(B106,Entrada!A:D,4,0),0)</f>
        <v>6780</v>
      </c>
      <c r="I106" s="8" t="n">
        <f aca="false">IFERROR(VLOOKUP(B106,Entrada!F:I,4,0),0)</f>
        <v>2700</v>
      </c>
      <c r="J106" s="8" t="n">
        <f aca="false">H106+I106</f>
        <v>9480</v>
      </c>
      <c r="K106" s="7" t="n">
        <f aca="false">G106*J106</f>
        <v>47684.4</v>
      </c>
      <c r="L106" s="0" t="str">
        <f aca="false">IFERROR(VLOOKUP(_xlfn.CONCAT($L$1,"-",B106),Saída_2023!$E:$F,2,0),"0")</f>
        <v>0</v>
      </c>
    </row>
    <row r="107" customFormat="false" ht="13.8" hidden="false" customHeight="false" outlineLevel="0" collapsed="false">
      <c r="A107" s="2" t="n">
        <v>7891317496388</v>
      </c>
      <c r="B107" s="2" t="n">
        <v>9817</v>
      </c>
      <c r="C107" s="2" t="s">
        <v>299</v>
      </c>
      <c r="E107" s="7" t="n">
        <f aca="false">IFERROR(VLOOKUP(B107,Entrada!A:B,2,0),0)</f>
        <v>21.59</v>
      </c>
      <c r="F107" s="7" t="n">
        <f aca="false">IFERROR(VLOOKUP(B107,Entrada!A:C,3,0),0)</f>
        <v>15.83072</v>
      </c>
      <c r="G107" s="7" t="n">
        <f aca="false">IFERROR(VLOOKUP(B107,Entrada!K:L,2,0),0)</f>
        <v>15.83</v>
      </c>
      <c r="H107" s="8" t="n">
        <f aca="false">IFERROR(VLOOKUP(B107,Entrada!A:D,4,0),0)</f>
        <v>750</v>
      </c>
      <c r="I107" s="8" t="n">
        <f aca="false">IFERROR(VLOOKUP(B107,Entrada!F:I,4,0),0)</f>
        <v>0</v>
      </c>
      <c r="J107" s="8" t="n">
        <f aca="false">H107+I107</f>
        <v>750</v>
      </c>
      <c r="K107" s="7" t="n">
        <f aca="false">G107*J107</f>
        <v>11872.5</v>
      </c>
      <c r="L107" s="0" t="str">
        <f aca="false">IFERROR(VLOOKUP(_xlfn.CONCAT($L$1,"-",B107),Saída_2023!$E:$F,2,0),"0")</f>
        <v>0</v>
      </c>
    </row>
    <row r="108" customFormat="false" ht="13.8" hidden="false" customHeight="false" outlineLevel="0" collapsed="false">
      <c r="A108" s="2" t="n">
        <v>7891317000066</v>
      </c>
      <c r="B108" s="2" t="n">
        <v>9855</v>
      </c>
      <c r="C108" s="2" t="s">
        <v>323</v>
      </c>
      <c r="E108" s="7" t="n">
        <f aca="false">IFERROR(VLOOKUP(B108,Entrada!A:B,2,0),0)</f>
        <v>25.9</v>
      </c>
      <c r="F108" s="7" t="n">
        <f aca="false">IFERROR(VLOOKUP(B108,Entrada!A:C,3,0),0)</f>
        <v>3.2378</v>
      </c>
      <c r="G108" s="7" t="n">
        <f aca="false">IFERROR(VLOOKUP(B108,Entrada!K:L,2,0),0)</f>
        <v>3.24</v>
      </c>
      <c r="H108" s="8" t="n">
        <f aca="false">IFERROR(VLOOKUP(B108,Entrada!A:D,4,0),0)</f>
        <v>200</v>
      </c>
      <c r="I108" s="8" t="n">
        <f aca="false">IFERROR(VLOOKUP(B108,Entrada!F:I,4,0),0)</f>
        <v>400</v>
      </c>
      <c r="J108" s="8" t="n">
        <f aca="false">H108+I108</f>
        <v>600</v>
      </c>
      <c r="K108" s="7" t="n">
        <f aca="false">G108*J108</f>
        <v>1944</v>
      </c>
      <c r="L108" s="0" t="str">
        <f aca="false">IFERROR(VLOOKUP(_xlfn.CONCAT($L$1,"-",B108),Saída_2023!$E:$F,2,0),"0")</f>
        <v>0</v>
      </c>
    </row>
    <row r="109" customFormat="false" ht="13.8" hidden="false" customHeight="false" outlineLevel="0" collapsed="false">
      <c r="A109" s="2" t="n">
        <v>7891317017019</v>
      </c>
      <c r="B109" s="2" t="n">
        <v>10279</v>
      </c>
      <c r="C109" s="2" t="s">
        <v>214</v>
      </c>
      <c r="E109" s="7" t="n">
        <f aca="false">IFERROR(VLOOKUP(B109,Entrada!A:B,2,0),0)</f>
        <v>36.94</v>
      </c>
      <c r="F109" s="7" t="n">
        <f aca="false">IFERROR(VLOOKUP(B109,Entrada!A:C,3,0),0)</f>
        <v>13.346166</v>
      </c>
      <c r="G109" s="7" t="n">
        <f aca="false">IFERROR(VLOOKUP(B109,Entrada!K:L,2,0),0)</f>
        <v>13.35</v>
      </c>
      <c r="H109" s="8" t="n">
        <f aca="false">IFERROR(VLOOKUP(B109,Entrada!A:D,4,0),0)</f>
        <v>60</v>
      </c>
      <c r="I109" s="8" t="n">
        <f aca="false">IFERROR(VLOOKUP(B109,Entrada!F:I,4,0),0)</f>
        <v>0</v>
      </c>
      <c r="J109" s="8" t="n">
        <f aca="false">H109+I109</f>
        <v>60</v>
      </c>
      <c r="K109" s="7" t="n">
        <f aca="false">G109*J109</f>
        <v>801</v>
      </c>
      <c r="L109" s="0" t="str">
        <f aca="false">IFERROR(VLOOKUP(_xlfn.CONCAT($L$1,"-",B109),Saída_2023!$E:$F,2,0),"0")</f>
        <v>0</v>
      </c>
    </row>
    <row r="110" customFormat="false" ht="13.8" hidden="false" customHeight="false" outlineLevel="0" collapsed="false">
      <c r="A110" s="2" t="n">
        <v>7891317123956</v>
      </c>
      <c r="B110" s="2" t="n">
        <v>10367</v>
      </c>
      <c r="C110" s="2" t="s">
        <v>424</v>
      </c>
      <c r="E110" s="7" t="n">
        <f aca="false">IFERROR(VLOOKUP(B110,Entrada!A:B,2,0),0)</f>
        <v>43.39</v>
      </c>
      <c r="F110" s="7" t="n">
        <f aca="false">IFERROR(VLOOKUP(B110,Entrada!A:C,3,0),0)</f>
        <v>12.6896</v>
      </c>
      <c r="G110" s="7" t="n">
        <f aca="false">IFERROR(VLOOKUP(B110,Entrada!K:L,2,0),0)</f>
        <v>12.69</v>
      </c>
      <c r="H110" s="8" t="n">
        <f aca="false">IFERROR(VLOOKUP(B110,Entrada!A:D,4,0),0)</f>
        <v>4800</v>
      </c>
      <c r="I110" s="8" t="n">
        <f aca="false">IFERROR(VLOOKUP(B110,Entrada!F:I,4,0),0)</f>
        <v>0</v>
      </c>
      <c r="J110" s="8" t="n">
        <f aca="false">H110+I110</f>
        <v>4800</v>
      </c>
      <c r="K110" s="7" t="n">
        <f aca="false">G110*J110</f>
        <v>60912</v>
      </c>
      <c r="L110" s="0" t="str">
        <f aca="false">IFERROR(VLOOKUP(_xlfn.CONCAT($L$1,"-",B110),Saída_2023!$E:$F,2,0),"0")</f>
        <v>0</v>
      </c>
    </row>
    <row r="111" customFormat="false" ht="13.8" hidden="false" customHeight="false" outlineLevel="0" collapsed="false">
      <c r="A111" s="2" t="n">
        <v>7891317123994</v>
      </c>
      <c r="B111" s="2" t="n">
        <v>10514</v>
      </c>
      <c r="C111" s="2" t="s">
        <v>426</v>
      </c>
      <c r="E111" s="7" t="n">
        <f aca="false">IFERROR(VLOOKUP(B111,Entrada!A:B,2,0),0)</f>
        <v>49.43</v>
      </c>
      <c r="F111" s="7" t="n">
        <f aca="false">IFERROR(VLOOKUP(B111,Entrada!A:C,3,0),0)</f>
        <v>16.581067</v>
      </c>
      <c r="G111" s="7" t="n">
        <f aca="false">IFERROR(VLOOKUP(B111,Entrada!K:L,2,0),0)</f>
        <v>16.58</v>
      </c>
      <c r="H111" s="8" t="n">
        <f aca="false">IFERROR(VLOOKUP(B111,Entrada!A:D,4,0),0)</f>
        <v>6000</v>
      </c>
      <c r="I111" s="8" t="n">
        <f aca="false">IFERROR(VLOOKUP(B111,Entrada!F:I,4,0),0)</f>
        <v>0</v>
      </c>
      <c r="J111" s="8" t="n">
        <f aca="false">H111+I111</f>
        <v>6000</v>
      </c>
      <c r="K111" s="7" t="n">
        <f aca="false">G111*J111</f>
        <v>99480</v>
      </c>
      <c r="L111" s="0" t="str">
        <f aca="false">IFERROR(VLOOKUP(_xlfn.CONCAT($L$1,"-",B111),Saída_2023!$E:$F,2,0),"0")</f>
        <v>0</v>
      </c>
    </row>
    <row r="112" customFormat="false" ht="13.8" hidden="false" customHeight="false" outlineLevel="0" collapsed="false">
      <c r="A112" s="2" t="n">
        <v>7891317124038</v>
      </c>
      <c r="B112" s="2" t="n">
        <v>10521</v>
      </c>
      <c r="C112" s="2" t="s">
        <v>428</v>
      </c>
      <c r="E112" s="7" t="n">
        <f aca="false">IFERROR(VLOOKUP(B112,Entrada!A:B,2,0),0)</f>
        <v>49.43</v>
      </c>
      <c r="F112" s="7" t="n">
        <f aca="false">IFERROR(VLOOKUP(B112,Entrada!A:C,3,0),0)</f>
        <v>17.00625</v>
      </c>
      <c r="G112" s="7" t="n">
        <f aca="false">IFERROR(VLOOKUP(B112,Entrada!K:L,2,0),0)</f>
        <v>17.01</v>
      </c>
      <c r="H112" s="8" t="n">
        <f aca="false">IFERROR(VLOOKUP(B112,Entrada!A:D,4,0),0)</f>
        <v>8740</v>
      </c>
      <c r="I112" s="8" t="n">
        <f aca="false">IFERROR(VLOOKUP(B112,Entrada!F:I,4,0),0)</f>
        <v>0</v>
      </c>
      <c r="J112" s="8" t="n">
        <f aca="false">H112+I112</f>
        <v>8740</v>
      </c>
      <c r="K112" s="7" t="n">
        <f aca="false">G112*J112</f>
        <v>148667.4</v>
      </c>
      <c r="L112" s="0" t="str">
        <f aca="false">IFERROR(VLOOKUP(_xlfn.CONCAT($L$1,"-",B112),Saída_2023!$E:$F,2,0),"0")</f>
        <v>0</v>
      </c>
    </row>
    <row r="113" customFormat="false" ht="13.8" hidden="false" customHeight="false" outlineLevel="0" collapsed="false">
      <c r="A113" s="2" t="n">
        <v>7891317140458</v>
      </c>
      <c r="B113" s="2" t="n">
        <v>10527</v>
      </c>
      <c r="C113" s="2" t="s">
        <v>264</v>
      </c>
      <c r="E113" s="7" t="n">
        <f aca="false">IFERROR(VLOOKUP(B113,Entrada!A:B,2,0),0)</f>
        <v>59.77</v>
      </c>
      <c r="F113" s="7" t="n">
        <f aca="false">IFERROR(VLOOKUP(B113,Entrada!A:C,3,0),0)</f>
        <v>10.670508</v>
      </c>
      <c r="G113" s="7" t="n">
        <f aca="false">IFERROR(VLOOKUP(B113,Entrada!K:L,2,0),0)</f>
        <v>10.76</v>
      </c>
      <c r="H113" s="8" t="n">
        <f aca="false">IFERROR(VLOOKUP(B113,Entrada!A:D,4,0),0)</f>
        <v>1700</v>
      </c>
      <c r="I113" s="8" t="n">
        <f aca="false">IFERROR(VLOOKUP(B113,Entrada!F:I,4,0),0)</f>
        <v>4400</v>
      </c>
      <c r="J113" s="8" t="n">
        <f aca="false">H113+I113</f>
        <v>6100</v>
      </c>
      <c r="K113" s="7" t="n">
        <f aca="false">G113*J113</f>
        <v>65636</v>
      </c>
      <c r="L113" s="0" t="str">
        <f aca="false">IFERROR(VLOOKUP(_xlfn.CONCAT($L$1,"-",B113),Saída_2023!$E:$F,2,0),"0")</f>
        <v>0</v>
      </c>
    </row>
    <row r="114" customFormat="false" ht="13.8" hidden="false" customHeight="false" outlineLevel="0" collapsed="false">
      <c r="A114" s="2" t="n">
        <v>7891317477301</v>
      </c>
      <c r="B114" s="2" t="n">
        <v>10529</v>
      </c>
      <c r="C114" s="2" t="s">
        <v>400</v>
      </c>
      <c r="E114" s="7" t="n">
        <f aca="false">IFERROR(VLOOKUP(B114,Entrada!A:B,2,0),0)</f>
        <v>85.84</v>
      </c>
      <c r="F114" s="7" t="n">
        <f aca="false">IFERROR(VLOOKUP(B114,Entrada!A:C,3,0),0)</f>
        <v>25.1034</v>
      </c>
      <c r="G114" s="7" t="n">
        <f aca="false">IFERROR(VLOOKUP(B114,Entrada!K:L,2,0),0)</f>
        <v>30.27</v>
      </c>
      <c r="H114" s="8" t="n">
        <f aca="false">IFERROR(VLOOKUP(B114,Entrada!A:D,4,0),0)</f>
        <v>800</v>
      </c>
      <c r="I114" s="8" t="n">
        <f aca="false">IFERROR(VLOOKUP(B114,Entrada!F:I,4,0),0)</f>
        <v>200</v>
      </c>
      <c r="J114" s="8" t="n">
        <f aca="false">H114+I114</f>
        <v>1000</v>
      </c>
      <c r="K114" s="7" t="n">
        <f aca="false">G114*J114</f>
        <v>30270</v>
      </c>
      <c r="L114" s="0" t="str">
        <f aca="false">IFERROR(VLOOKUP(_xlfn.CONCAT($L$1,"-",B114),Saída_2023!$E:$F,2,0),"0")</f>
        <v>0</v>
      </c>
    </row>
    <row r="115" customFormat="false" ht="13.8" hidden="false" customHeight="false" outlineLevel="0" collapsed="false">
      <c r="A115" s="2" t="n">
        <v>7891317477271</v>
      </c>
      <c r="B115" s="2" t="n">
        <v>10530</v>
      </c>
      <c r="C115" s="2" t="s">
        <v>404</v>
      </c>
      <c r="E115" s="7" t="n">
        <f aca="false">IFERROR(VLOOKUP(B115,Entrada!A:B,2,0),0)</f>
        <v>85.84</v>
      </c>
      <c r="F115" s="7" t="n">
        <f aca="false">IFERROR(VLOOKUP(B115,Entrada!A:C,3,0),0)</f>
        <v>23.7723954</v>
      </c>
      <c r="G115" s="7" t="n">
        <f aca="false">IFERROR(VLOOKUP(B115,Entrada!K:L,2,0),0)</f>
        <v>25.84</v>
      </c>
      <c r="H115" s="8" t="n">
        <f aca="false">IFERROR(VLOOKUP(B115,Entrada!A:D,4,0),0)</f>
        <v>400</v>
      </c>
      <c r="I115" s="8" t="n">
        <f aca="false">IFERROR(VLOOKUP(B115,Entrada!F:I,4,0),0)</f>
        <v>1100</v>
      </c>
      <c r="J115" s="8" t="n">
        <f aca="false">H115+I115</f>
        <v>1500</v>
      </c>
      <c r="K115" s="7" t="n">
        <f aca="false">G115*J115</f>
        <v>38760</v>
      </c>
      <c r="L115" s="0" t="str">
        <f aca="false">IFERROR(VLOOKUP(_xlfn.CONCAT($L$1,"-",B115),Saída_2023!$E:$F,2,0),"0")</f>
        <v>0</v>
      </c>
    </row>
    <row r="116" customFormat="false" ht="13.8" hidden="false" customHeight="false" outlineLevel="0" collapsed="false">
      <c r="A116" s="2" t="n">
        <v>7891317193164</v>
      </c>
      <c r="B116" s="2" t="n">
        <v>10674</v>
      </c>
      <c r="C116" s="2" t="s">
        <v>344</v>
      </c>
      <c r="E116" s="7" t="n">
        <f aca="false">IFERROR(VLOOKUP(B116,Entrada!A:B,2,0),0)</f>
        <v>125.4</v>
      </c>
      <c r="F116" s="7" t="n">
        <f aca="false">IFERROR(VLOOKUP(B116,Entrada!A:C,3,0),0)</f>
        <v>17.6905</v>
      </c>
      <c r="G116" s="7" t="n">
        <f aca="false">IFERROR(VLOOKUP(B116,Entrada!K:L,2,0),0)</f>
        <v>22.11</v>
      </c>
      <c r="H116" s="8" t="n">
        <f aca="false">IFERROR(VLOOKUP(B116,Entrada!A:D,4,0),0)</f>
        <v>120</v>
      </c>
      <c r="I116" s="8" t="n">
        <f aca="false">IFERROR(VLOOKUP(B116,Entrada!F:I,4,0),0)</f>
        <v>180</v>
      </c>
      <c r="J116" s="8" t="n">
        <f aca="false">H116+I116</f>
        <v>300</v>
      </c>
      <c r="K116" s="7" t="n">
        <f aca="false">G116*J116</f>
        <v>6633</v>
      </c>
      <c r="L116" s="0" t="str">
        <f aca="false">IFERROR(VLOOKUP(_xlfn.CONCAT($L$1,"-",B116),Saída_2023!$E:$F,2,0),"0")</f>
        <v>0</v>
      </c>
    </row>
    <row r="117" customFormat="false" ht="13.8" hidden="false" customHeight="false" outlineLevel="0" collapsed="false">
      <c r="A117" s="2" t="n">
        <v>7891317124472</v>
      </c>
      <c r="B117" s="2" t="n">
        <v>10675</v>
      </c>
      <c r="C117" s="2" t="s">
        <v>406</v>
      </c>
      <c r="E117" s="7" t="n">
        <f aca="false">IFERROR(VLOOKUP(B117,Entrada!A:B,2,0),0)</f>
        <v>120.12</v>
      </c>
      <c r="F117" s="7" t="n">
        <f aca="false">IFERROR(VLOOKUP(B117,Entrada!A:C,3,0),0)</f>
        <v>26.4774</v>
      </c>
      <c r="G117" s="7" t="n">
        <f aca="false">IFERROR(VLOOKUP(B117,Entrada!K:L,2,0),0)</f>
        <v>26.48</v>
      </c>
      <c r="H117" s="8" t="n">
        <f aca="false">IFERROR(VLOOKUP(B117,Entrada!A:D,4,0),0)</f>
        <v>50</v>
      </c>
      <c r="I117" s="8" t="n">
        <f aca="false">IFERROR(VLOOKUP(B117,Entrada!F:I,4,0),0)</f>
        <v>100</v>
      </c>
      <c r="J117" s="8" t="n">
        <f aca="false">H117+I117</f>
        <v>150</v>
      </c>
      <c r="K117" s="7" t="n">
        <f aca="false">G117*J117</f>
        <v>3972</v>
      </c>
      <c r="L117" s="0" t="str">
        <f aca="false">IFERROR(VLOOKUP(_xlfn.CONCAT($L$1,"-",B117),Saída_2023!$E:$F,2,0),"0")</f>
        <v>0</v>
      </c>
    </row>
    <row r="118" customFormat="false" ht="13.8" hidden="false" customHeight="false" outlineLevel="0" collapsed="false">
      <c r="A118" s="2" t="n">
        <v>7891317124489</v>
      </c>
      <c r="B118" s="2" t="n">
        <v>10676</v>
      </c>
      <c r="C118" s="2" t="s">
        <v>408</v>
      </c>
      <c r="E118" s="7" t="n">
        <f aca="false">IFERROR(VLOOKUP(B118,Entrada!A:B,2,0),0)</f>
        <v>155.71</v>
      </c>
      <c r="F118" s="7" t="n">
        <f aca="false">IFERROR(VLOOKUP(B118,Entrada!A:C,3,0),0)</f>
        <v>33.4846</v>
      </c>
      <c r="G118" s="7" t="n">
        <f aca="false">IFERROR(VLOOKUP(B118,Entrada!K:L,2,0),0)</f>
        <v>33.48</v>
      </c>
      <c r="H118" s="8" t="n">
        <f aca="false">IFERROR(VLOOKUP(B118,Entrada!A:D,4,0),0)</f>
        <v>50</v>
      </c>
      <c r="I118" s="8" t="n">
        <f aca="false">IFERROR(VLOOKUP(B118,Entrada!F:I,4,0),0)</f>
        <v>200</v>
      </c>
      <c r="J118" s="8" t="n">
        <f aca="false">H118+I118</f>
        <v>250</v>
      </c>
      <c r="K118" s="7" t="n">
        <f aca="false">G118*J118</f>
        <v>8370</v>
      </c>
      <c r="L118" s="0" t="str">
        <f aca="false">IFERROR(VLOOKUP(_xlfn.CONCAT($L$1,"-",B118),Saída_2023!$E:$F,2,0),"0")</f>
        <v>0</v>
      </c>
    </row>
    <row r="119" customFormat="false" ht="13.8" hidden="false" customHeight="false" outlineLevel="0" collapsed="false">
      <c r="A119" s="2" t="n">
        <v>7891317191757</v>
      </c>
      <c r="B119" s="2" t="n">
        <v>10753</v>
      </c>
      <c r="C119" s="2" t="s">
        <v>346</v>
      </c>
      <c r="E119" s="7" t="n">
        <f aca="false">IFERROR(VLOOKUP(B119,Entrada!A:B,2,0),0)</f>
        <v>42.3</v>
      </c>
      <c r="F119" s="7" t="n">
        <f aca="false">IFERROR(VLOOKUP(B119,Entrada!A:C,3,0),0)</f>
        <v>5.59277005</v>
      </c>
      <c r="G119" s="7" t="n">
        <f aca="false">IFERROR(VLOOKUP(B119,Entrada!K:L,2,0),0)</f>
        <v>6.55</v>
      </c>
      <c r="H119" s="8" t="n">
        <f aca="false">IFERROR(VLOOKUP(B119,Entrada!A:D,4,0),0)</f>
        <v>0</v>
      </c>
      <c r="I119" s="8" t="n">
        <f aca="false">IFERROR(VLOOKUP(B119,Entrada!F:I,4,0),0)</f>
        <v>600</v>
      </c>
      <c r="J119" s="8" t="n">
        <f aca="false">H119+I119</f>
        <v>600</v>
      </c>
      <c r="K119" s="7" t="n">
        <f aca="false">G119*J119</f>
        <v>3930</v>
      </c>
      <c r="L119" s="0" t="str">
        <f aca="false">IFERROR(VLOOKUP(_xlfn.CONCAT($L$1,"-",B119),Saída_2023!$E:$F,2,0),"0")</f>
        <v>0</v>
      </c>
    </row>
    <row r="120" customFormat="false" ht="13.8" hidden="false" customHeight="false" outlineLevel="0" collapsed="false">
      <c r="A120" s="2" t="n">
        <v>7891317462031</v>
      </c>
      <c r="B120" s="2" t="n">
        <v>10789</v>
      </c>
      <c r="C120" s="2" t="s">
        <v>92</v>
      </c>
      <c r="E120" s="7" t="n">
        <f aca="false">IFERROR(VLOOKUP(B120,Entrada!A:B,2,0),0)</f>
        <v>39.34</v>
      </c>
      <c r="F120" s="7" t="n">
        <f aca="false">IFERROR(VLOOKUP(B120,Entrada!A:C,3,0),0)</f>
        <v>2.79245</v>
      </c>
      <c r="G120" s="7" t="n">
        <f aca="false">IFERROR(VLOOKUP(B120,Entrada!K:L,2,0),0)</f>
        <v>3.61</v>
      </c>
      <c r="H120" s="8" t="n">
        <f aca="false">IFERROR(VLOOKUP(B120,Entrada!A:D,4,0),0)</f>
        <v>200</v>
      </c>
      <c r="I120" s="8" t="n">
        <f aca="false">IFERROR(VLOOKUP(B120,Entrada!F:I,4,0),0)</f>
        <v>400</v>
      </c>
      <c r="J120" s="8" t="n">
        <f aca="false">H120+I120</f>
        <v>600</v>
      </c>
      <c r="K120" s="7" t="n">
        <f aca="false">G120*J120</f>
        <v>2166</v>
      </c>
      <c r="L120" s="0" t="str">
        <f aca="false">IFERROR(VLOOKUP(_xlfn.CONCAT($L$1,"-",B120),Saída_2023!$E:$F,2,0),"0")</f>
        <v>0</v>
      </c>
    </row>
    <row r="121" customFormat="false" ht="13.8" hidden="false" customHeight="false" outlineLevel="0" collapsed="false">
      <c r="A121" s="2" t="n">
        <v>7891317408060</v>
      </c>
      <c r="B121" s="2" t="n">
        <v>10790</v>
      </c>
      <c r="C121" s="2" t="s">
        <v>97</v>
      </c>
      <c r="E121" s="7" t="n">
        <f aca="false">IFERROR(VLOOKUP(B121,Entrada!A:B,2,0),0)</f>
        <v>15.78</v>
      </c>
      <c r="F121" s="7" t="n">
        <f aca="false">IFERROR(VLOOKUP(B121,Entrada!A:C,3,0),0)</f>
        <v>2.495915</v>
      </c>
      <c r="G121" s="7" t="n">
        <f aca="false">IFERROR(VLOOKUP(B121,Entrada!K:L,2,0),0)</f>
        <v>0</v>
      </c>
      <c r="H121" s="8" t="n">
        <f aca="false">IFERROR(VLOOKUP(B121,Entrada!A:D,4,0),0)</f>
        <v>0</v>
      </c>
      <c r="I121" s="8" t="n">
        <f aca="false">IFERROR(VLOOKUP(B121,Entrada!F:I,4,0),0)</f>
        <v>0</v>
      </c>
      <c r="J121" s="8" t="n">
        <f aca="false">H121+I121</f>
        <v>0</v>
      </c>
      <c r="K121" s="7" t="n">
        <f aca="false">G121*J121</f>
        <v>0</v>
      </c>
      <c r="L121" s="0" t="str">
        <f aca="false">IFERROR(VLOOKUP(_xlfn.CONCAT($L$1,"-",B121),Saída_2023!$E:$F,2,0),"0")</f>
        <v>0</v>
      </c>
    </row>
    <row r="122" customFormat="false" ht="13.8" hidden="false" customHeight="false" outlineLevel="0" collapsed="false">
      <c r="A122" s="2" t="n">
        <v>7891317189631</v>
      </c>
      <c r="B122" s="2" t="n">
        <v>10791</v>
      </c>
      <c r="C122" s="2" t="s">
        <v>147</v>
      </c>
      <c r="E122" s="7" t="n">
        <f aca="false">IFERROR(VLOOKUP(B122,Entrada!A:B,2,0),0)</f>
        <v>98.66</v>
      </c>
      <c r="F122" s="7" t="n">
        <f aca="false">IFERROR(VLOOKUP(B122,Entrada!A:C,3,0),0)</f>
        <v>17.8232</v>
      </c>
      <c r="G122" s="7" t="n">
        <f aca="false">IFERROR(VLOOKUP(B122,Entrada!K:L,2,0),0)</f>
        <v>18.67</v>
      </c>
      <c r="H122" s="8" t="n">
        <f aca="false">IFERROR(VLOOKUP(B122,Entrada!A:D,4,0),0)</f>
        <v>700</v>
      </c>
      <c r="I122" s="8" t="n">
        <f aca="false">IFERROR(VLOOKUP(B122,Entrada!F:I,4,0),0)</f>
        <v>900</v>
      </c>
      <c r="J122" s="8" t="n">
        <f aca="false">H122+I122</f>
        <v>1600</v>
      </c>
      <c r="K122" s="7" t="n">
        <f aca="false">G122*J122</f>
        <v>29872</v>
      </c>
      <c r="L122" s="0" t="str">
        <f aca="false">IFERROR(VLOOKUP(_xlfn.CONCAT($L$1,"-",B122),Saída_2023!$E:$F,2,0),"0")</f>
        <v>0</v>
      </c>
    </row>
    <row r="123" customFormat="false" ht="13.8" hidden="false" customHeight="false" outlineLevel="0" collapsed="false">
      <c r="A123" s="2" t="n">
        <v>7891317476465</v>
      </c>
      <c r="B123" s="2" t="n">
        <v>10794</v>
      </c>
      <c r="C123" s="2" t="s">
        <v>434</v>
      </c>
      <c r="E123" s="7" t="n">
        <f aca="false">IFERROR(VLOOKUP(B123,Entrada!A:B,2,0),0)</f>
        <v>47.65</v>
      </c>
      <c r="F123" s="7" t="n">
        <f aca="false">IFERROR(VLOOKUP(B123,Entrada!A:C,3,0),0)</f>
        <v>4.508926</v>
      </c>
      <c r="G123" s="7" t="n">
        <f aca="false">IFERROR(VLOOKUP(B123,Entrada!K:L,2,0),0)</f>
        <v>4.51</v>
      </c>
      <c r="H123" s="8" t="n">
        <f aca="false">IFERROR(VLOOKUP(B123,Entrada!A:D,4,0),0)</f>
        <v>2605</v>
      </c>
      <c r="I123" s="8" t="n">
        <f aca="false">IFERROR(VLOOKUP(B123,Entrada!F:I,4,0),0)</f>
        <v>5400</v>
      </c>
      <c r="J123" s="8" t="n">
        <f aca="false">H123+I123</f>
        <v>8005</v>
      </c>
      <c r="K123" s="7" t="n">
        <f aca="false">G123*J123</f>
        <v>36102.55</v>
      </c>
      <c r="L123" s="0" t="str">
        <f aca="false">IFERROR(VLOOKUP(_xlfn.CONCAT($L$1,"-",B123),Saída_2023!$E:$F,2,0),"0")</f>
        <v>0</v>
      </c>
    </row>
    <row r="124" customFormat="false" ht="13.8" hidden="false" customHeight="false" outlineLevel="0" collapsed="false">
      <c r="A124" s="2" t="n">
        <v>7891317476526</v>
      </c>
      <c r="B124" s="2" t="n">
        <v>10795</v>
      </c>
      <c r="C124" s="2" t="s">
        <v>436</v>
      </c>
      <c r="E124" s="7" t="n">
        <f aca="false">IFERROR(VLOOKUP(B124,Entrada!A:B,2,0),0)</f>
        <v>106.19</v>
      </c>
      <c r="F124" s="7" t="n">
        <f aca="false">IFERROR(VLOOKUP(B124,Entrada!A:C,3,0),0)</f>
        <v>9.134415</v>
      </c>
      <c r="G124" s="7" t="n">
        <f aca="false">IFERROR(VLOOKUP(B124,Entrada!K:L,2,0),0)</f>
        <v>16.44</v>
      </c>
      <c r="H124" s="8" t="n">
        <f aca="false">IFERROR(VLOOKUP(B124,Entrada!A:D,4,0),0)</f>
        <v>200</v>
      </c>
      <c r="I124" s="8" t="n">
        <f aca="false">IFERROR(VLOOKUP(B124,Entrada!F:I,4,0),0)</f>
        <v>2255</v>
      </c>
      <c r="J124" s="8" t="n">
        <f aca="false">H124+I124</f>
        <v>2455</v>
      </c>
      <c r="K124" s="7" t="n">
        <f aca="false">G124*J124</f>
        <v>40360.2</v>
      </c>
      <c r="L124" s="0" t="str">
        <f aca="false">IFERROR(VLOOKUP(_xlfn.CONCAT($L$1,"-",B124),Saída_2023!$E:$F,2,0),"0")</f>
        <v>0</v>
      </c>
    </row>
    <row r="125" customFormat="false" ht="13.8" hidden="false" customHeight="false" outlineLevel="0" collapsed="false">
      <c r="A125" s="2" t="n">
        <v>7891317160920</v>
      </c>
      <c r="B125" s="2" t="n">
        <v>10796</v>
      </c>
      <c r="C125" s="2" t="s">
        <v>319</v>
      </c>
      <c r="E125" s="7" t="n">
        <f aca="false">IFERROR(VLOOKUP(B125,Entrada!A:B,2,0),0)</f>
        <v>42.01</v>
      </c>
      <c r="F125" s="7" t="n">
        <f aca="false">IFERROR(VLOOKUP(B125,Entrada!A:C,3,0),0)</f>
        <v>5.55604</v>
      </c>
      <c r="G125" s="7" t="n">
        <f aca="false">IFERROR(VLOOKUP(B125,Entrada!K:L,2,0),0)</f>
        <v>5.56</v>
      </c>
      <c r="H125" s="8" t="n">
        <f aca="false">IFERROR(VLOOKUP(B125,Entrada!A:D,4,0),0)</f>
        <v>800</v>
      </c>
      <c r="I125" s="8" t="n">
        <f aca="false">IFERROR(VLOOKUP(B125,Entrada!F:I,4,0),0)</f>
        <v>1400</v>
      </c>
      <c r="J125" s="8" t="n">
        <f aca="false">H125+I125</f>
        <v>2200</v>
      </c>
      <c r="K125" s="7" t="n">
        <f aca="false">G125*J125</f>
        <v>12232</v>
      </c>
      <c r="L125" s="0" t="str">
        <f aca="false">IFERROR(VLOOKUP(_xlfn.CONCAT($L$1,"-",B125),Saída_2023!$E:$F,2,0),"0")</f>
        <v>0</v>
      </c>
    </row>
    <row r="126" customFormat="false" ht="13.8" hidden="false" customHeight="false" outlineLevel="0" collapsed="false">
      <c r="A126" s="2" t="n">
        <v>7891317473648</v>
      </c>
      <c r="B126" s="2" t="n">
        <v>10797</v>
      </c>
      <c r="C126" s="2" t="s">
        <v>350</v>
      </c>
      <c r="E126" s="7" t="n">
        <f aca="false">IFERROR(VLOOKUP(B126,Entrada!A:B,2,0),0)</f>
        <v>41.7</v>
      </c>
      <c r="F126" s="7" t="n">
        <f aca="false">IFERROR(VLOOKUP(B126,Entrada!A:C,3,0),0)</f>
        <v>5.14735</v>
      </c>
      <c r="G126" s="7" t="n">
        <f aca="false">IFERROR(VLOOKUP(B126,Entrada!K:L,2,0),0)</f>
        <v>5.15</v>
      </c>
      <c r="H126" s="8" t="n">
        <f aca="false">IFERROR(VLOOKUP(B126,Entrada!A:D,4,0),0)</f>
        <v>396</v>
      </c>
      <c r="I126" s="8" t="n">
        <f aca="false">IFERROR(VLOOKUP(B126,Entrada!F:I,4,0),0)</f>
        <v>700</v>
      </c>
      <c r="J126" s="8" t="n">
        <f aca="false">H126+I126</f>
        <v>1096</v>
      </c>
      <c r="K126" s="7" t="n">
        <f aca="false">G126*J126</f>
        <v>5644.4</v>
      </c>
      <c r="L126" s="0" t="str">
        <f aca="false">IFERROR(VLOOKUP(_xlfn.CONCAT($L$1,"-",B126),Saída_2023!$E:$F,2,0),"0")</f>
        <v>0</v>
      </c>
    </row>
    <row r="127" customFormat="false" ht="13.8" hidden="false" customHeight="false" outlineLevel="0" collapsed="false">
      <c r="A127" s="2" t="n">
        <v>7891317473679</v>
      </c>
      <c r="B127" s="2" t="n">
        <v>10798</v>
      </c>
      <c r="C127" s="2" t="s">
        <v>352</v>
      </c>
      <c r="E127" s="7" t="n">
        <f aca="false">IFERROR(VLOOKUP(B127,Entrada!A:B,2,0),0)</f>
        <v>69.76</v>
      </c>
      <c r="F127" s="7" t="n">
        <f aca="false">IFERROR(VLOOKUP(B127,Entrada!A:C,3,0),0)</f>
        <v>8.4012</v>
      </c>
      <c r="G127" s="7" t="n">
        <f aca="false">IFERROR(VLOOKUP(B127,Entrada!K:L,2,0),0)</f>
        <v>4.8</v>
      </c>
      <c r="H127" s="8" t="n">
        <f aca="false">IFERROR(VLOOKUP(B127,Entrada!A:D,4,0),0)</f>
        <v>300</v>
      </c>
      <c r="I127" s="8" t="n">
        <f aca="false">IFERROR(VLOOKUP(B127,Entrada!F:I,4,0),0)</f>
        <v>500</v>
      </c>
      <c r="J127" s="8" t="n">
        <f aca="false">H127+I127</f>
        <v>800</v>
      </c>
      <c r="K127" s="7" t="n">
        <f aca="false">G127*J127</f>
        <v>3840</v>
      </c>
      <c r="L127" s="0" t="str">
        <f aca="false">IFERROR(VLOOKUP(_xlfn.CONCAT($L$1,"-",B127),Saída_2023!$E:$F,2,0),"0")</f>
        <v>0</v>
      </c>
    </row>
    <row r="128" customFormat="false" ht="13.8" hidden="false" customHeight="false" outlineLevel="0" collapsed="false">
      <c r="A128" s="2" t="n">
        <v>7891317473709</v>
      </c>
      <c r="B128" s="2" t="n">
        <v>10799</v>
      </c>
      <c r="C128" s="2" t="s">
        <v>348</v>
      </c>
      <c r="E128" s="7" t="n">
        <f aca="false">IFERROR(VLOOKUP(B128,Entrada!A:B,2,0),0)</f>
        <v>118.65</v>
      </c>
      <c r="F128" s="7" t="n">
        <f aca="false">IFERROR(VLOOKUP(B128,Entrada!A:C,3,0),0)</f>
        <v>8.3691</v>
      </c>
      <c r="G128" s="7" t="n">
        <f aca="false">IFERROR(VLOOKUP(B128,Entrada!K:L,2,0),0)</f>
        <v>14.65</v>
      </c>
      <c r="H128" s="8" t="n">
        <f aca="false">IFERROR(VLOOKUP(B128,Entrada!A:D,4,0),0)</f>
        <v>400</v>
      </c>
      <c r="I128" s="8" t="n">
        <f aca="false">IFERROR(VLOOKUP(B128,Entrada!F:I,4,0),0)</f>
        <v>200</v>
      </c>
      <c r="J128" s="8" t="n">
        <f aca="false">H128+I128</f>
        <v>600</v>
      </c>
      <c r="K128" s="7" t="n">
        <f aca="false">G128*J128</f>
        <v>8790</v>
      </c>
      <c r="L128" s="0" t="str">
        <f aca="false">IFERROR(VLOOKUP(_xlfn.CONCAT($L$1,"-",B128),Saída_2023!$E:$F,2,0),"0")</f>
        <v>0</v>
      </c>
    </row>
    <row r="129" customFormat="false" ht="13.8" hidden="false" customHeight="false" outlineLevel="0" collapsed="false">
      <c r="A129" s="2" t="n">
        <v>7891317191771</v>
      </c>
      <c r="B129" s="2" t="n">
        <v>10800</v>
      </c>
      <c r="C129" s="2" t="s">
        <v>485</v>
      </c>
      <c r="E129" s="7" t="n">
        <f aca="false">IFERROR(VLOOKUP(B129,Entrada!A:B,2,0),0)</f>
        <v>80.36</v>
      </c>
      <c r="F129" s="7" t="n">
        <f aca="false">IFERROR(VLOOKUP(B129,Entrada!A:C,3,0),0)</f>
        <v>12.045083</v>
      </c>
      <c r="G129" s="7" t="n">
        <f aca="false">IFERROR(VLOOKUP(B129,Entrada!K:L,2,0),0)</f>
        <v>12.05</v>
      </c>
      <c r="H129" s="8" t="n">
        <f aca="false">IFERROR(VLOOKUP(B129,Entrada!A:D,4,0),0)</f>
        <v>240</v>
      </c>
      <c r="I129" s="8" t="n">
        <f aca="false">IFERROR(VLOOKUP(B129,Entrada!F:I,4,0),0)</f>
        <v>660</v>
      </c>
      <c r="J129" s="8" t="n">
        <f aca="false">H129+I129</f>
        <v>900</v>
      </c>
      <c r="K129" s="7" t="n">
        <f aca="false">G129*J129</f>
        <v>10845</v>
      </c>
      <c r="L129" s="0" t="str">
        <f aca="false">IFERROR(VLOOKUP(_xlfn.CONCAT($L$1,"-",B129),Saída_2023!$E:$F,2,0),"0")</f>
        <v>0</v>
      </c>
    </row>
    <row r="130" customFormat="false" ht="13.8" hidden="false" customHeight="false" outlineLevel="0" collapsed="false">
      <c r="A130" s="2" t="n">
        <v>7891317191795</v>
      </c>
      <c r="B130" s="2" t="n">
        <v>10801</v>
      </c>
      <c r="C130" s="2" t="s">
        <v>483</v>
      </c>
      <c r="E130" s="7" t="n">
        <f aca="false">IFERROR(VLOOKUP(B130,Entrada!A:B,2,0),0)</f>
        <v>598.16</v>
      </c>
      <c r="F130" s="7" t="n">
        <f aca="false">IFERROR(VLOOKUP(B130,Entrada!A:C,3,0),0)</f>
        <v>51.255833</v>
      </c>
      <c r="G130" s="7" t="n">
        <f aca="false">IFERROR(VLOOKUP(B130,Entrada!K:L,2,0),0)</f>
        <v>48.54</v>
      </c>
      <c r="H130" s="8" t="n">
        <f aca="false">IFERROR(VLOOKUP(B130,Entrada!A:D,4,0),0)</f>
        <v>0</v>
      </c>
      <c r="I130" s="8" t="n">
        <f aca="false">IFERROR(VLOOKUP(B130,Entrada!F:I,4,0),0)</f>
        <v>24</v>
      </c>
      <c r="J130" s="8" t="n">
        <f aca="false">H130+I130</f>
        <v>24</v>
      </c>
      <c r="K130" s="7" t="n">
        <f aca="false">G130*J130</f>
        <v>1164.96</v>
      </c>
      <c r="L130" s="0" t="str">
        <f aca="false">IFERROR(VLOOKUP(_xlfn.CONCAT($L$1,"-",B130),Saída_2023!$E:$F,2,0),"0")</f>
        <v>0</v>
      </c>
    </row>
    <row r="131" customFormat="false" ht="13.8" hidden="false" customHeight="false" outlineLevel="0" collapsed="false">
      <c r="A131" s="2" t="n">
        <v>7891317472122</v>
      </c>
      <c r="B131" s="2" t="n">
        <v>10802</v>
      </c>
      <c r="C131" s="2" t="s">
        <v>380</v>
      </c>
      <c r="E131" s="7" t="n">
        <f aca="false">IFERROR(VLOOKUP(B131,Entrada!A:B,2,0),0)</f>
        <v>46.19</v>
      </c>
      <c r="F131" s="7" t="n">
        <f aca="false">IFERROR(VLOOKUP(B131,Entrada!A:C,3,0),0)</f>
        <v>4.7675333</v>
      </c>
      <c r="G131" s="7" t="n">
        <f aca="false">IFERROR(VLOOKUP(B131,Entrada!K:L,2,0),0)</f>
        <v>7.15</v>
      </c>
      <c r="H131" s="8" t="n">
        <f aca="false">IFERROR(VLOOKUP(B131,Entrada!A:D,4,0),0)</f>
        <v>700</v>
      </c>
      <c r="I131" s="8" t="n">
        <f aca="false">IFERROR(VLOOKUP(B131,Entrada!F:I,4,0),0)</f>
        <v>400</v>
      </c>
      <c r="J131" s="8" t="n">
        <f aca="false">H131+I131</f>
        <v>1100</v>
      </c>
      <c r="K131" s="7" t="n">
        <f aca="false">G131*J131</f>
        <v>7865</v>
      </c>
      <c r="L131" s="0" t="str">
        <f aca="false">IFERROR(VLOOKUP(_xlfn.CONCAT($L$1,"-",B131),Saída_2023!$E:$F,2,0),"0")</f>
        <v>0</v>
      </c>
    </row>
    <row r="132" customFormat="false" ht="13.8" hidden="false" customHeight="false" outlineLevel="0" collapsed="false">
      <c r="A132" s="2" t="n">
        <v>7891317420338</v>
      </c>
      <c r="B132" s="2" t="n">
        <v>10803</v>
      </c>
      <c r="C132" s="2" t="s">
        <v>448</v>
      </c>
      <c r="E132" s="7" t="n">
        <f aca="false">IFERROR(VLOOKUP(B132,Entrada!A:B,2,0),0)</f>
        <v>55.61</v>
      </c>
      <c r="F132" s="7" t="n">
        <f aca="false">IFERROR(VLOOKUP(B132,Entrada!A:C,3,0),0)</f>
        <v>5.4362</v>
      </c>
      <c r="G132" s="7" t="n">
        <f aca="false">IFERROR(VLOOKUP(B132,Entrada!K:L,2,0),0)</f>
        <v>11.48</v>
      </c>
      <c r="H132" s="8" t="n">
        <f aca="false">IFERROR(VLOOKUP(B132,Entrada!A:D,4,0),0)</f>
        <v>200</v>
      </c>
      <c r="I132" s="8" t="n">
        <f aca="false">IFERROR(VLOOKUP(B132,Entrada!F:I,4,0),0)</f>
        <v>1500</v>
      </c>
      <c r="J132" s="8" t="n">
        <f aca="false">H132+I132</f>
        <v>1700</v>
      </c>
      <c r="K132" s="7" t="n">
        <f aca="false">G132*J132</f>
        <v>19516</v>
      </c>
      <c r="L132" s="0" t="str">
        <f aca="false">IFERROR(VLOOKUP(_xlfn.CONCAT($L$1,"-",B132),Saída_2023!$E:$F,2,0),"0")</f>
        <v>0</v>
      </c>
    </row>
    <row r="133" customFormat="false" ht="13.8" hidden="false" customHeight="false" outlineLevel="0" collapsed="false">
      <c r="A133" s="2" t="n">
        <v>7891317448653</v>
      </c>
      <c r="B133" s="2" t="n">
        <v>10804</v>
      </c>
      <c r="C133" s="2" t="s">
        <v>491</v>
      </c>
      <c r="E133" s="7" t="n">
        <f aca="false">IFERROR(VLOOKUP(B133,Entrada!A:B,2,0),0)</f>
        <v>53.61</v>
      </c>
      <c r="F133" s="7" t="n">
        <f aca="false">IFERROR(VLOOKUP(B133,Entrada!A:C,3,0),0)</f>
        <v>3.2279</v>
      </c>
      <c r="G133" s="7" t="n">
        <f aca="false">IFERROR(VLOOKUP(B133,Entrada!K:L,2,0),0)</f>
        <v>7.84</v>
      </c>
      <c r="H133" s="8" t="n">
        <f aca="false">IFERROR(VLOOKUP(B133,Entrada!A:D,4,0),0)</f>
        <v>1648</v>
      </c>
      <c r="I133" s="8" t="n">
        <f aca="false">IFERROR(VLOOKUP(B133,Entrada!F:I,4,0),0)</f>
        <v>1040</v>
      </c>
      <c r="J133" s="8" t="n">
        <f aca="false">H133+I133</f>
        <v>2688</v>
      </c>
      <c r="K133" s="7" t="n">
        <f aca="false">G133*J133</f>
        <v>21073.92</v>
      </c>
      <c r="L133" s="0" t="str">
        <f aca="false">IFERROR(VLOOKUP(_xlfn.CONCAT($L$1,"-",B133),Saída_2023!$E:$F,2,0),"0")</f>
        <v>0</v>
      </c>
    </row>
    <row r="134" customFormat="false" ht="13.8" hidden="false" customHeight="false" outlineLevel="0" collapsed="false">
      <c r="A134" s="2" t="n">
        <v>7891317448677</v>
      </c>
      <c r="B134" s="2" t="n">
        <v>10805</v>
      </c>
      <c r="C134" s="2" t="s">
        <v>493</v>
      </c>
      <c r="E134" s="7" t="n">
        <f aca="false">IFERROR(VLOOKUP(B134,Entrada!A:B,2,0),0)</f>
        <v>53.61</v>
      </c>
      <c r="F134" s="7" t="n">
        <f aca="false">IFERROR(VLOOKUP(B134,Entrada!A:C,3,0),0)</f>
        <v>5.533542</v>
      </c>
      <c r="G134" s="7" t="n">
        <f aca="false">IFERROR(VLOOKUP(B134,Entrada!K:L,2,0),0)</f>
        <v>5.99</v>
      </c>
      <c r="H134" s="8" t="n">
        <f aca="false">IFERROR(VLOOKUP(B134,Entrada!A:D,4,0),0)</f>
        <v>183</v>
      </c>
      <c r="I134" s="8" t="n">
        <f aca="false">IFERROR(VLOOKUP(B134,Entrada!F:I,4,0),0)</f>
        <v>720</v>
      </c>
      <c r="J134" s="8" t="n">
        <f aca="false">H134+I134</f>
        <v>903</v>
      </c>
      <c r="K134" s="7" t="n">
        <f aca="false">G134*J134</f>
        <v>5408.97</v>
      </c>
      <c r="L134" s="0" t="str">
        <f aca="false">IFERROR(VLOOKUP(_xlfn.CONCAT($L$1,"-",B134),Saída_2023!$E:$F,2,0),"0")</f>
        <v>0</v>
      </c>
    </row>
    <row r="135" customFormat="false" ht="13.8" hidden="false" customHeight="false" outlineLevel="0" collapsed="false">
      <c r="A135" s="2" t="n">
        <v>7891317446659</v>
      </c>
      <c r="B135" s="2" t="n">
        <v>10806</v>
      </c>
      <c r="C135" s="2" t="s">
        <v>495</v>
      </c>
      <c r="E135" s="7" t="n">
        <f aca="false">IFERROR(VLOOKUP(B135,Entrada!A:B,2,0),0)</f>
        <v>53.94</v>
      </c>
      <c r="F135" s="7" t="n">
        <f aca="false">IFERROR(VLOOKUP(B135,Entrada!A:C,3,0),0)</f>
        <v>7.42325</v>
      </c>
      <c r="G135" s="7" t="n">
        <f aca="false">IFERROR(VLOOKUP(B135,Entrada!K:L,2,0),0)</f>
        <v>8.82</v>
      </c>
      <c r="H135" s="8" t="n">
        <f aca="false">IFERROR(VLOOKUP(B135,Entrada!A:D,4,0),0)</f>
        <v>480</v>
      </c>
      <c r="I135" s="8" t="n">
        <f aca="false">IFERROR(VLOOKUP(B135,Entrada!F:I,4,0),0)</f>
        <v>720</v>
      </c>
      <c r="J135" s="8" t="n">
        <f aca="false">H135+I135</f>
        <v>1200</v>
      </c>
      <c r="K135" s="7" t="n">
        <f aca="false">G135*J135</f>
        <v>10584</v>
      </c>
      <c r="L135" s="0" t="str">
        <f aca="false">IFERROR(VLOOKUP(_xlfn.CONCAT($L$1,"-",B135),Saída_2023!$E:$F,2,0),"0")</f>
        <v>0</v>
      </c>
    </row>
    <row r="136" customFormat="false" ht="13.8" hidden="false" customHeight="false" outlineLevel="0" collapsed="false">
      <c r="A136" s="2" t="n">
        <v>7891317456559</v>
      </c>
      <c r="B136" s="2" t="n">
        <v>10807</v>
      </c>
      <c r="C136" s="2" t="s">
        <v>511</v>
      </c>
      <c r="E136" s="7" t="n">
        <f aca="false">IFERROR(VLOOKUP(B136,Entrada!A:B,2,0),0)</f>
        <v>55.16</v>
      </c>
      <c r="F136" s="7" t="n">
        <f aca="false">IFERROR(VLOOKUP(B136,Entrada!A:C,3,0),0)</f>
        <v>5.694375</v>
      </c>
      <c r="G136" s="7" t="n">
        <f aca="false">IFERROR(VLOOKUP(B136,Entrada!K:L,2,0),0)</f>
        <v>22.3</v>
      </c>
      <c r="H136" s="8" t="n">
        <f aca="false">IFERROR(VLOOKUP(B136,Entrada!A:D,4,0),0)</f>
        <v>1377</v>
      </c>
      <c r="I136" s="8" t="n">
        <f aca="false">IFERROR(VLOOKUP(B136,Entrada!F:I,4,0),0)</f>
        <v>4700</v>
      </c>
      <c r="J136" s="8" t="n">
        <f aca="false">H136+I136</f>
        <v>6077</v>
      </c>
      <c r="K136" s="7" t="n">
        <f aca="false">G136*J136</f>
        <v>135517.1</v>
      </c>
      <c r="L136" s="0" t="str">
        <f aca="false">IFERROR(VLOOKUP(_xlfn.CONCAT($L$1,"-",B136),Saída_2023!$E:$F,2,0),"0")</f>
        <v>0</v>
      </c>
    </row>
    <row r="137" customFormat="false" ht="13.8" hidden="false" customHeight="false" outlineLevel="0" collapsed="false">
      <c r="A137" s="2" t="n">
        <v>7891317446031</v>
      </c>
      <c r="B137" s="2" t="n">
        <v>10808</v>
      </c>
      <c r="C137" s="2" t="s">
        <v>513</v>
      </c>
      <c r="E137" s="7" t="n">
        <f aca="false">IFERROR(VLOOKUP(B137,Entrada!A:B,2,0),0)</f>
        <v>70.75</v>
      </c>
      <c r="F137" s="7" t="n">
        <f aca="false">IFERROR(VLOOKUP(B137,Entrada!A:C,3,0),0)</f>
        <v>7.6796</v>
      </c>
      <c r="G137" s="7" t="n">
        <f aca="false">IFERROR(VLOOKUP(B137,Entrada!K:L,2,0),0)</f>
        <v>8.11</v>
      </c>
      <c r="H137" s="8" t="n">
        <f aca="false">IFERROR(VLOOKUP(B137,Entrada!A:D,4,0),0)</f>
        <v>1300</v>
      </c>
      <c r="I137" s="8" t="n">
        <f aca="false">IFERROR(VLOOKUP(B137,Entrada!F:I,4,0),0)</f>
        <v>6200</v>
      </c>
      <c r="J137" s="8" t="n">
        <f aca="false">H137+I137</f>
        <v>7500</v>
      </c>
      <c r="K137" s="7" t="n">
        <f aca="false">G137*J137</f>
        <v>60825</v>
      </c>
      <c r="L137" s="0" t="str">
        <f aca="false">IFERROR(VLOOKUP(_xlfn.CONCAT($L$1,"-",B137),Saída_2023!$E:$F,2,0),"0")</f>
        <v>0</v>
      </c>
    </row>
    <row r="138" customFormat="false" ht="13.8" hidden="false" customHeight="false" outlineLevel="0" collapsed="false">
      <c r="A138" s="2" t="n">
        <v>7891317446963</v>
      </c>
      <c r="B138" s="2" t="n">
        <v>10809</v>
      </c>
      <c r="C138" s="2" t="s">
        <v>509</v>
      </c>
      <c r="E138" s="7" t="n">
        <f aca="false">IFERROR(VLOOKUP(B138,Entrada!A:B,2,0),0)</f>
        <v>148.78</v>
      </c>
      <c r="F138" s="7" t="n">
        <f aca="false">IFERROR(VLOOKUP(B138,Entrada!A:C,3,0),0)</f>
        <v>16.63724</v>
      </c>
      <c r="G138" s="7" t="n">
        <f aca="false">IFERROR(VLOOKUP(B138,Entrada!K:L,2,0),0)</f>
        <v>16.64</v>
      </c>
      <c r="H138" s="8" t="n">
        <f aca="false">IFERROR(VLOOKUP(B138,Entrada!A:D,4,0),0)</f>
        <v>500</v>
      </c>
      <c r="I138" s="8" t="n">
        <f aca="false">IFERROR(VLOOKUP(B138,Entrada!F:I,4,0),0)</f>
        <v>2200</v>
      </c>
      <c r="J138" s="8" t="n">
        <f aca="false">H138+I138</f>
        <v>2700</v>
      </c>
      <c r="K138" s="7" t="n">
        <f aca="false">G138*J138</f>
        <v>44928</v>
      </c>
      <c r="L138" s="0" t="str">
        <f aca="false">IFERROR(VLOOKUP(_xlfn.CONCAT($L$1,"-",B138),Saída_2023!$E:$F,2,0),"0")</f>
        <v>0</v>
      </c>
    </row>
    <row r="139" customFormat="false" ht="13.8" hidden="false" customHeight="false" outlineLevel="0" collapsed="false">
      <c r="A139" s="2" t="n">
        <v>7891317434328</v>
      </c>
      <c r="B139" s="2" t="n">
        <v>10810</v>
      </c>
      <c r="C139" s="2" t="s">
        <v>536</v>
      </c>
      <c r="E139" s="7" t="n">
        <f aca="false">IFERROR(VLOOKUP(B139,Entrada!A:B,2,0),0)</f>
        <v>72.02</v>
      </c>
      <c r="F139" s="7" t="n">
        <f aca="false">IFERROR(VLOOKUP(B139,Entrada!A:C,3,0),0)</f>
        <v>7.62</v>
      </c>
      <c r="G139" s="7" t="n">
        <f aca="false">IFERROR(VLOOKUP(B139,Entrada!K:L,2,0),0)</f>
        <v>7.62</v>
      </c>
      <c r="H139" s="8" t="n">
        <f aca="false">IFERROR(VLOOKUP(B139,Entrada!A:D,4,0),0)</f>
        <v>240</v>
      </c>
      <c r="I139" s="8" t="n">
        <f aca="false">IFERROR(VLOOKUP(B139,Entrada!F:I,4,0),0)</f>
        <v>1320</v>
      </c>
      <c r="J139" s="8" t="n">
        <f aca="false">H139+I139</f>
        <v>1560</v>
      </c>
      <c r="K139" s="7" t="n">
        <f aca="false">G139*J139</f>
        <v>11887.2</v>
      </c>
      <c r="L139" s="0" t="str">
        <f aca="false">IFERROR(VLOOKUP(_xlfn.CONCAT($L$1,"-",B139),Saída_2023!$E:$F,2,0),"0")</f>
        <v>0</v>
      </c>
    </row>
    <row r="140" customFormat="false" ht="13.8" hidden="false" customHeight="false" outlineLevel="0" collapsed="false">
      <c r="A140" s="2" t="n">
        <v>7891317464523</v>
      </c>
      <c r="B140" s="2" t="n">
        <v>10811</v>
      </c>
      <c r="C140" s="2" t="s">
        <v>564</v>
      </c>
      <c r="E140" s="7" t="n">
        <f aca="false">IFERROR(VLOOKUP(B140,Entrada!A:B,2,0),0)</f>
        <v>41.98</v>
      </c>
      <c r="F140" s="7" t="n">
        <f aca="false">IFERROR(VLOOKUP(B140,Entrada!A:C,3,0),0)</f>
        <v>11.2872</v>
      </c>
      <c r="G140" s="7" t="n">
        <f aca="false">IFERROR(VLOOKUP(B140,Entrada!K:L,2,0),0)</f>
        <v>11.91</v>
      </c>
      <c r="H140" s="8" t="n">
        <f aca="false">IFERROR(VLOOKUP(B140,Entrada!A:D,4,0),0)</f>
        <v>400</v>
      </c>
      <c r="I140" s="8" t="n">
        <f aca="false">IFERROR(VLOOKUP(B140,Entrada!F:I,4,0),0)</f>
        <v>700</v>
      </c>
      <c r="J140" s="8" t="n">
        <f aca="false">H140+I140</f>
        <v>1100</v>
      </c>
      <c r="K140" s="7" t="n">
        <f aca="false">G140*J140</f>
        <v>13101</v>
      </c>
      <c r="L140" s="0" t="str">
        <f aca="false">IFERROR(VLOOKUP(_xlfn.CONCAT($L$1,"-",B140),Saída_2023!$E:$F,2,0),"0")</f>
        <v>0</v>
      </c>
    </row>
    <row r="141" customFormat="false" ht="13.8" hidden="false" customHeight="false" outlineLevel="0" collapsed="false">
      <c r="A141" s="2" t="n">
        <v>7891317430368</v>
      </c>
      <c r="B141" s="2" t="n">
        <v>10812</v>
      </c>
      <c r="C141" s="2" t="s">
        <v>566</v>
      </c>
      <c r="E141" s="7" t="n">
        <f aca="false">IFERROR(VLOOKUP(B141,Entrada!A:B,2,0),0)</f>
        <v>76.1</v>
      </c>
      <c r="F141" s="7" t="n">
        <f aca="false">IFERROR(VLOOKUP(B141,Entrada!A:C,3,0),0)</f>
        <v>15.8429</v>
      </c>
      <c r="G141" s="7" t="n">
        <f aca="false">IFERROR(VLOOKUP(B141,Entrada!K:L,2,0),0)</f>
        <v>20.29</v>
      </c>
      <c r="H141" s="8" t="n">
        <f aca="false">IFERROR(VLOOKUP(B141,Entrada!A:D,4,0),0)</f>
        <v>1000</v>
      </c>
      <c r="I141" s="8" t="n">
        <f aca="false">IFERROR(VLOOKUP(B141,Entrada!F:I,4,0),0)</f>
        <v>1462</v>
      </c>
      <c r="J141" s="8" t="n">
        <f aca="false">H141+I141</f>
        <v>2462</v>
      </c>
      <c r="K141" s="7" t="n">
        <f aca="false">G141*J141</f>
        <v>49953.98</v>
      </c>
      <c r="L141" s="0" t="str">
        <f aca="false">IFERROR(VLOOKUP(_xlfn.CONCAT($L$1,"-",B141),Saída_2023!$E:$F,2,0),"0")</f>
        <v>0</v>
      </c>
    </row>
    <row r="142" customFormat="false" ht="13.8" hidden="false" customHeight="false" outlineLevel="0" collapsed="false">
      <c r="A142" s="2" t="n">
        <v>7891317463076</v>
      </c>
      <c r="B142" s="2" t="n">
        <v>10813</v>
      </c>
      <c r="C142" s="2" t="s">
        <v>562</v>
      </c>
      <c r="E142" s="7" t="n">
        <f aca="false">IFERROR(VLOOKUP(B142,Entrada!A:B,2,0),0)</f>
        <v>128.38</v>
      </c>
      <c r="F142" s="7" t="n">
        <f aca="false">IFERROR(VLOOKUP(B142,Entrada!A:C,3,0),0)</f>
        <v>29.17765725</v>
      </c>
      <c r="G142" s="7" t="n">
        <f aca="false">IFERROR(VLOOKUP(B142,Entrada!K:L,2,0),0)</f>
        <v>38.38</v>
      </c>
      <c r="H142" s="8" t="n">
        <f aca="false">IFERROR(VLOOKUP(B142,Entrada!A:D,4,0),0)</f>
        <v>240</v>
      </c>
      <c r="I142" s="8" t="n">
        <f aca="false">IFERROR(VLOOKUP(B142,Entrada!F:I,4,0),0)</f>
        <v>420</v>
      </c>
      <c r="J142" s="8" t="n">
        <f aca="false">H142+I142</f>
        <v>660</v>
      </c>
      <c r="K142" s="7" t="n">
        <f aca="false">G142*J142</f>
        <v>25330.8</v>
      </c>
      <c r="L142" s="0" t="str">
        <f aca="false">IFERROR(VLOOKUP(_xlfn.CONCAT($L$1,"-",B142),Saída_2023!$E:$F,2,0),"0")</f>
        <v>0</v>
      </c>
    </row>
    <row r="143" customFormat="false" ht="13.8" hidden="false" customHeight="false" outlineLevel="0" collapsed="false">
      <c r="A143" s="2" t="n">
        <v>7891317000110</v>
      </c>
      <c r="B143" s="2" t="n">
        <v>10814</v>
      </c>
      <c r="C143" s="2" t="s">
        <v>442</v>
      </c>
      <c r="E143" s="7" t="n">
        <f aca="false">IFERROR(VLOOKUP(B143,Entrada!A:B,2,0),0)</f>
        <v>19.84</v>
      </c>
      <c r="F143" s="7" t="n">
        <f aca="false">IFERROR(VLOOKUP(B143,Entrada!A:C,3,0),0)</f>
        <v>5.9528</v>
      </c>
      <c r="G143" s="7" t="n">
        <f aca="false">IFERROR(VLOOKUP(B143,Entrada!K:L,2,0),0)</f>
        <v>6.97</v>
      </c>
      <c r="H143" s="8" t="n">
        <f aca="false">IFERROR(VLOOKUP(B143,Entrada!A:D,4,0),0)</f>
        <v>400</v>
      </c>
      <c r="I143" s="8" t="n">
        <f aca="false">IFERROR(VLOOKUP(B143,Entrada!F:I,4,0),0)</f>
        <v>1100</v>
      </c>
      <c r="J143" s="8" t="n">
        <f aca="false">H143+I143</f>
        <v>1500</v>
      </c>
      <c r="K143" s="7" t="n">
        <f aca="false">G143*J143</f>
        <v>10455</v>
      </c>
      <c r="L143" s="0" t="str">
        <f aca="false">IFERROR(VLOOKUP(_xlfn.CONCAT($L$1,"-",B143),Saída_2023!$E:$F,2,0),"0")</f>
        <v>0</v>
      </c>
    </row>
    <row r="144" customFormat="false" ht="13.8" hidden="false" customHeight="false" outlineLevel="0" collapsed="false">
      <c r="A144" s="2" t="n">
        <v>7891317481629</v>
      </c>
      <c r="B144" s="2" t="n">
        <v>10815</v>
      </c>
      <c r="C144" s="2" t="s">
        <v>515</v>
      </c>
      <c r="E144" s="7" t="n">
        <f aca="false">IFERROR(VLOOKUP(B144,Entrada!A:B,2,0),0)</f>
        <v>73.7</v>
      </c>
      <c r="F144" s="7" t="n">
        <f aca="false">IFERROR(VLOOKUP(B144,Entrada!A:C,3,0),0)</f>
        <v>11.36811</v>
      </c>
      <c r="G144" s="7" t="n">
        <f aca="false">IFERROR(VLOOKUP(B144,Entrada!K:L,2,0),0)</f>
        <v>11.37</v>
      </c>
      <c r="H144" s="8" t="n">
        <f aca="false">IFERROR(VLOOKUP(B144,Entrada!A:D,4,0),0)</f>
        <v>0</v>
      </c>
      <c r="I144" s="8" t="n">
        <f aca="false">IFERROR(VLOOKUP(B144,Entrada!F:I,4,0),0)</f>
        <v>1400</v>
      </c>
      <c r="J144" s="8" t="n">
        <f aca="false">H144+I144</f>
        <v>1400</v>
      </c>
      <c r="K144" s="7" t="n">
        <f aca="false">G144*J144</f>
        <v>15918</v>
      </c>
      <c r="L144" s="0" t="str">
        <f aca="false">IFERROR(VLOOKUP(_xlfn.CONCAT($L$1,"-",B144),Saída_2023!$E:$F,2,0),"0")</f>
        <v>0</v>
      </c>
    </row>
    <row r="145" customFormat="false" ht="13.8" hidden="false" customHeight="false" outlineLevel="0" collapsed="false">
      <c r="A145" s="2" t="n">
        <v>7891317430146</v>
      </c>
      <c r="B145" s="2" t="n">
        <v>10816</v>
      </c>
      <c r="C145" s="2" t="s">
        <v>416</v>
      </c>
      <c r="E145" s="7" t="n">
        <f aca="false">IFERROR(VLOOKUP(B145,Entrada!A:B,2,0),0)</f>
        <v>29.46</v>
      </c>
      <c r="F145" s="7" t="n">
        <f aca="false">IFERROR(VLOOKUP(B145,Entrada!A:C,3,0),0)</f>
        <v>9.375825</v>
      </c>
      <c r="G145" s="7" t="n">
        <f aca="false">IFERROR(VLOOKUP(B145,Entrada!K:L,2,0),0)</f>
        <v>6.9</v>
      </c>
      <c r="H145" s="8" t="n">
        <f aca="false">IFERROR(VLOOKUP(B145,Entrada!A:D,4,0),0)</f>
        <v>4197</v>
      </c>
      <c r="I145" s="8" t="n">
        <f aca="false">IFERROR(VLOOKUP(B145,Entrada!F:I,4,0),0)</f>
        <v>0</v>
      </c>
      <c r="J145" s="8" t="n">
        <f aca="false">H145+I145</f>
        <v>4197</v>
      </c>
      <c r="K145" s="7" t="n">
        <f aca="false">G145*J145</f>
        <v>28959.3</v>
      </c>
      <c r="L145" s="0" t="str">
        <f aca="false">IFERROR(VLOOKUP(_xlfn.CONCAT($L$1,"-",B145),Saída_2023!$E:$F,2,0),"0")</f>
        <v>0</v>
      </c>
    </row>
    <row r="146" customFormat="false" ht="13.8" hidden="false" customHeight="false" outlineLevel="0" collapsed="false">
      <c r="A146" s="2" t="n">
        <v>7891317484262</v>
      </c>
      <c r="B146" s="2" t="n">
        <v>10817</v>
      </c>
      <c r="C146" s="2" t="s">
        <v>420</v>
      </c>
      <c r="E146" s="7" t="n">
        <f aca="false">IFERROR(VLOOKUP(B146,Entrada!A:B,2,0),0)</f>
        <v>195.16</v>
      </c>
      <c r="F146" s="7" t="n">
        <f aca="false">IFERROR(VLOOKUP(B146,Entrada!A:C,3,0),0)</f>
        <v>8.3938</v>
      </c>
      <c r="G146" s="7" t="n">
        <f aca="false">IFERROR(VLOOKUP(B146,Entrada!K:L,2,0),0)</f>
        <v>8.39</v>
      </c>
      <c r="H146" s="8" t="n">
        <f aca="false">IFERROR(VLOOKUP(B146,Entrada!A:D,4,0),0)</f>
        <v>500</v>
      </c>
      <c r="I146" s="8" t="n">
        <f aca="false">IFERROR(VLOOKUP(B146,Entrada!F:I,4,0),0)</f>
        <v>700</v>
      </c>
      <c r="J146" s="8" t="n">
        <f aca="false">H146+I146</f>
        <v>1200</v>
      </c>
      <c r="K146" s="7" t="n">
        <f aca="false">G146*J146</f>
        <v>10068</v>
      </c>
      <c r="L146" s="0" t="str">
        <f aca="false">IFERROR(VLOOKUP(_xlfn.CONCAT($L$1,"-",B146),Saída_2023!$E:$F,2,0),"0")</f>
        <v>0</v>
      </c>
    </row>
    <row r="147" customFormat="false" ht="13.8" hidden="false" customHeight="false" outlineLevel="0" collapsed="false">
      <c r="A147" s="2" t="n">
        <v>7891317484330</v>
      </c>
      <c r="B147" s="2" t="n">
        <v>10818</v>
      </c>
      <c r="C147" s="2" t="s">
        <v>422</v>
      </c>
      <c r="E147" s="7" t="n">
        <f aca="false">IFERROR(VLOOKUP(B147,Entrada!A:B,2,0),0)</f>
        <v>288.23</v>
      </c>
      <c r="F147" s="7" t="n">
        <f aca="false">IFERROR(VLOOKUP(B147,Entrada!A:C,3,0),0)</f>
        <v>19.83475</v>
      </c>
      <c r="G147" s="7" t="n">
        <f aca="false">IFERROR(VLOOKUP(B147,Entrada!K:L,2,0),0)</f>
        <v>19.83</v>
      </c>
      <c r="H147" s="8" t="n">
        <f aca="false">IFERROR(VLOOKUP(B147,Entrada!A:D,4,0),0)</f>
        <v>700</v>
      </c>
      <c r="I147" s="8" t="n">
        <f aca="false">IFERROR(VLOOKUP(B147,Entrada!F:I,4,0),0)</f>
        <v>1080</v>
      </c>
      <c r="J147" s="8" t="n">
        <f aca="false">H147+I147</f>
        <v>1780</v>
      </c>
      <c r="K147" s="7" t="n">
        <f aca="false">G147*J147</f>
        <v>35297.4</v>
      </c>
      <c r="L147" s="0" t="str">
        <f aca="false">IFERROR(VLOOKUP(_xlfn.CONCAT($L$1,"-",B147),Saída_2023!$E:$F,2,0),"0")</f>
        <v>0</v>
      </c>
    </row>
    <row r="148" customFormat="false" ht="13.8" hidden="false" customHeight="false" outlineLevel="0" collapsed="false">
      <c r="A148" s="2" t="n">
        <v>7891317484408</v>
      </c>
      <c r="B148" s="2" t="n">
        <v>10819</v>
      </c>
      <c r="C148" s="2" t="s">
        <v>418</v>
      </c>
      <c r="E148" s="7" t="n">
        <f aca="false">IFERROR(VLOOKUP(B148,Entrada!A:B,2,0),0)</f>
        <v>576.53</v>
      </c>
      <c r="F148" s="7" t="n">
        <f aca="false">IFERROR(VLOOKUP(B148,Entrada!A:C,3,0),0)</f>
        <v>39.6737</v>
      </c>
      <c r="G148" s="7" t="n">
        <f aca="false">IFERROR(VLOOKUP(B148,Entrada!K:L,2,0),0)</f>
        <v>39.67</v>
      </c>
      <c r="H148" s="8" t="n">
        <f aca="false">IFERROR(VLOOKUP(B148,Entrada!A:D,4,0),0)</f>
        <v>500</v>
      </c>
      <c r="I148" s="8" t="n">
        <f aca="false">IFERROR(VLOOKUP(B148,Entrada!F:I,4,0),0)</f>
        <v>237</v>
      </c>
      <c r="J148" s="8" t="n">
        <f aca="false">H148+I148</f>
        <v>737</v>
      </c>
      <c r="K148" s="7" t="n">
        <f aca="false">G148*J148</f>
        <v>29236.79</v>
      </c>
      <c r="L148" s="0" t="str">
        <f aca="false">IFERROR(VLOOKUP(_xlfn.CONCAT($L$1,"-",B148),Saída_2023!$E:$F,2,0),"0")</f>
        <v>0</v>
      </c>
    </row>
    <row r="149" customFormat="false" ht="13.8" hidden="false" customHeight="false" outlineLevel="0" collapsed="false">
      <c r="A149" s="2" t="n">
        <v>7891317000127</v>
      </c>
      <c r="B149" s="2" t="n">
        <v>10820</v>
      </c>
      <c r="C149" s="2" t="s">
        <v>444</v>
      </c>
      <c r="E149" s="7" t="n">
        <f aca="false">IFERROR(VLOOKUP(B149,Entrada!A:B,2,0),0)</f>
        <v>38.22</v>
      </c>
      <c r="F149" s="7" t="n">
        <f aca="false">IFERROR(VLOOKUP(B149,Entrada!A:C,3,0),0)</f>
        <v>12.1315</v>
      </c>
      <c r="G149" s="7" t="n">
        <f aca="false">IFERROR(VLOOKUP(B149,Entrada!K:L,2,0),0)</f>
        <v>13.48</v>
      </c>
      <c r="H149" s="8" t="n">
        <f aca="false">IFERROR(VLOOKUP(B149,Entrada!A:D,4,0),0)</f>
        <v>1192</v>
      </c>
      <c r="I149" s="8" t="n">
        <f aca="false">IFERROR(VLOOKUP(B149,Entrada!F:I,4,0),0)</f>
        <v>100</v>
      </c>
      <c r="J149" s="8" t="n">
        <f aca="false">H149+I149</f>
        <v>1292</v>
      </c>
      <c r="K149" s="7" t="n">
        <f aca="false">G149*J149</f>
        <v>17416.16</v>
      </c>
      <c r="L149" s="0" t="str">
        <f aca="false">IFERROR(VLOOKUP(_xlfn.CONCAT($L$1,"-",B149),Saída_2023!$E:$F,2,0),"0")</f>
        <v>0</v>
      </c>
    </row>
    <row r="150" customFormat="false" ht="13.8" hidden="false" customHeight="false" outlineLevel="0" collapsed="false">
      <c r="A150" s="2" t="n">
        <v>7891317143046</v>
      </c>
      <c r="B150" s="2" t="n">
        <v>10833</v>
      </c>
      <c r="C150" s="2" t="s">
        <v>477</v>
      </c>
      <c r="E150" s="7" t="n">
        <f aca="false">IFERROR(VLOOKUP(B150,Entrada!A:B,2,0),0)</f>
        <v>66.1</v>
      </c>
      <c r="F150" s="7" t="n">
        <f aca="false">IFERROR(VLOOKUP(B150,Entrada!A:C,3,0),0)</f>
        <v>16.901285</v>
      </c>
      <c r="G150" s="7" t="n">
        <f aca="false">IFERROR(VLOOKUP(B150,Entrada!K:L,2,0),0)</f>
        <v>16.9</v>
      </c>
      <c r="H150" s="8" t="n">
        <f aca="false">IFERROR(VLOOKUP(B150,Entrada!A:D,4,0),0)</f>
        <v>140</v>
      </c>
      <c r="I150" s="8" t="n">
        <f aca="false">IFERROR(VLOOKUP(B150,Entrada!F:I,4,0),0)</f>
        <v>0</v>
      </c>
      <c r="J150" s="8" t="n">
        <f aca="false">H150+I150</f>
        <v>140</v>
      </c>
      <c r="K150" s="7" t="n">
        <f aca="false">G150*J150</f>
        <v>2366</v>
      </c>
      <c r="L150" s="0" t="str">
        <f aca="false">IFERROR(VLOOKUP(_xlfn.CONCAT($L$1,"-",B150),Saída_2023!$E:$F,2,0),"0")</f>
        <v>0</v>
      </c>
    </row>
    <row r="151" customFormat="false" ht="13.8" hidden="false" customHeight="false" outlineLevel="0" collapsed="false">
      <c r="A151" s="2" t="n">
        <v>7891317143053</v>
      </c>
      <c r="B151" s="2" t="n">
        <v>10834</v>
      </c>
      <c r="C151" s="2" t="s">
        <v>479</v>
      </c>
      <c r="E151" s="7" t="n">
        <f aca="false">IFERROR(VLOOKUP(B151,Entrada!A:B,2,0),0)</f>
        <v>135.48</v>
      </c>
      <c r="F151" s="7" t="n">
        <f aca="false">IFERROR(VLOOKUP(B151,Entrada!A:C,3,0),0)</f>
        <v>36.12551</v>
      </c>
      <c r="G151" s="7" t="n">
        <f aca="false">IFERROR(VLOOKUP(B151,Entrada!K:L,2,0),0)</f>
        <v>36.13</v>
      </c>
      <c r="H151" s="8" t="n">
        <f aca="false">IFERROR(VLOOKUP(B151,Entrada!A:D,4,0),0)</f>
        <v>49</v>
      </c>
      <c r="I151" s="8" t="n">
        <f aca="false">IFERROR(VLOOKUP(B151,Entrada!F:I,4,0),0)</f>
        <v>0</v>
      </c>
      <c r="J151" s="8" t="n">
        <f aca="false">H151+I151</f>
        <v>49</v>
      </c>
      <c r="K151" s="7" t="n">
        <f aca="false">G151*J151</f>
        <v>1770.37</v>
      </c>
      <c r="L151" s="0" t="str">
        <f aca="false">IFERROR(VLOOKUP(_xlfn.CONCAT($L$1,"-",B151),Saída_2023!$E:$F,2,0),"0")</f>
        <v>0</v>
      </c>
    </row>
    <row r="152" customFormat="false" ht="13.8" hidden="false" customHeight="false" outlineLevel="0" collapsed="false">
      <c r="A152" s="2" t="n">
        <v>7891317452971</v>
      </c>
      <c r="B152" s="2" t="n">
        <v>10845</v>
      </c>
      <c r="C152" s="2" t="s">
        <v>274</v>
      </c>
      <c r="E152" s="7" t="n">
        <f aca="false">IFERROR(VLOOKUP(B152,Entrada!A:B,2,0),0)</f>
        <v>41.49</v>
      </c>
      <c r="F152" s="7" t="n">
        <f aca="false">IFERROR(VLOOKUP(B152,Entrada!A:C,3,0),0)</f>
        <v>8.53415241</v>
      </c>
      <c r="G152" s="7" t="n">
        <f aca="false">IFERROR(VLOOKUP(B152,Entrada!K:L,2,0),0)</f>
        <v>8.53</v>
      </c>
      <c r="H152" s="8" t="n">
        <f aca="false">IFERROR(VLOOKUP(B152,Entrada!A:D,4,0),0)</f>
        <v>30365</v>
      </c>
      <c r="I152" s="8" t="n">
        <f aca="false">IFERROR(VLOOKUP(B152,Entrada!F:I,4,0),0)</f>
        <v>0</v>
      </c>
      <c r="J152" s="8" t="n">
        <f aca="false">H152+I152</f>
        <v>30365</v>
      </c>
      <c r="K152" s="7" t="n">
        <f aca="false">G152*J152</f>
        <v>259013.45</v>
      </c>
      <c r="L152" s="0" t="str">
        <f aca="false">IFERROR(VLOOKUP(_xlfn.CONCAT($L$1,"-",B152),Saída_2023!$E:$F,2,0),"0")</f>
        <v>0</v>
      </c>
    </row>
    <row r="153" customFormat="false" ht="13.8" hidden="false" customHeight="false" outlineLevel="0" collapsed="false">
      <c r="A153" s="2" t="n">
        <v>7891317141974</v>
      </c>
      <c r="B153" s="2" t="n">
        <v>10846</v>
      </c>
      <c r="C153" s="2" t="s">
        <v>266</v>
      </c>
      <c r="E153" s="7" t="n">
        <f aca="false">IFERROR(VLOOKUP(B153,Entrada!A:B,2,0),0)</f>
        <v>107.26</v>
      </c>
      <c r="F153" s="7" t="n">
        <f aca="false">IFERROR(VLOOKUP(B153,Entrada!A:C,3,0),0)</f>
        <v>14.185666</v>
      </c>
      <c r="G153" s="7" t="n">
        <f aca="false">IFERROR(VLOOKUP(B153,Entrada!K:L,2,0),0)</f>
        <v>14.19</v>
      </c>
      <c r="H153" s="8" t="n">
        <f aca="false">IFERROR(VLOOKUP(B153,Entrada!A:D,4,0),0)</f>
        <v>5040</v>
      </c>
      <c r="I153" s="8" t="n">
        <f aca="false">IFERROR(VLOOKUP(B153,Entrada!F:I,4,0),0)</f>
        <v>0</v>
      </c>
      <c r="J153" s="8" t="n">
        <f aca="false">H153+I153</f>
        <v>5040</v>
      </c>
      <c r="K153" s="7" t="n">
        <f aca="false">G153*J153</f>
        <v>71517.6</v>
      </c>
      <c r="L153" s="0" t="str">
        <f aca="false">IFERROR(VLOOKUP(_xlfn.CONCAT($L$1,"-",B153),Saída_2023!$E:$F,2,0),"0")</f>
        <v>0</v>
      </c>
    </row>
    <row r="154" customFormat="false" ht="13.8" hidden="false" customHeight="false" outlineLevel="0" collapsed="false">
      <c r="A154" s="2" t="n">
        <v>7891317121198</v>
      </c>
      <c r="B154" s="2" t="n">
        <v>11392</v>
      </c>
      <c r="C154" s="2" t="s">
        <v>430</v>
      </c>
      <c r="E154" s="7" t="n">
        <f aca="false">IFERROR(VLOOKUP(B154,Entrada!A:B,2,0),0)</f>
        <v>37.04</v>
      </c>
      <c r="F154" s="7" t="n">
        <f aca="false">IFERROR(VLOOKUP(B154,Entrada!A:C,3,0),0)</f>
        <v>8.919633</v>
      </c>
      <c r="G154" s="7" t="n">
        <f aca="false">IFERROR(VLOOKUP(B154,Entrada!K:L,2,0),0)</f>
        <v>8.92</v>
      </c>
      <c r="H154" s="8" t="n">
        <f aca="false">IFERROR(VLOOKUP(B154,Entrada!A:D,4,0),0)</f>
        <v>4860</v>
      </c>
      <c r="I154" s="8" t="n">
        <f aca="false">IFERROR(VLOOKUP(B154,Entrada!F:I,4,0),0)</f>
        <v>0</v>
      </c>
      <c r="J154" s="8" t="n">
        <f aca="false">H154+I154</f>
        <v>4860</v>
      </c>
      <c r="K154" s="7" t="n">
        <f aca="false">G154*J154</f>
        <v>43351.2</v>
      </c>
      <c r="L154" s="0" t="str">
        <f aca="false">IFERROR(VLOOKUP(_xlfn.CONCAT($L$1,"-",B154),Saída_2023!$E:$F,2,0),"0")</f>
        <v>0</v>
      </c>
    </row>
    <row r="155" customFormat="false" ht="13.8" hidden="false" customHeight="false" outlineLevel="0" collapsed="false">
      <c r="A155" s="2" t="n">
        <v>7891317000509</v>
      </c>
      <c r="B155" s="2" t="n">
        <v>11414</v>
      </c>
      <c r="C155" s="2" t="s">
        <v>252</v>
      </c>
      <c r="E155" s="7" t="n">
        <f aca="false">IFERROR(VLOOKUP(B155,Entrada!A:B,2,0),0)</f>
        <v>112.48</v>
      </c>
      <c r="F155" s="7" t="n">
        <f aca="false">IFERROR(VLOOKUP(B155,Entrada!A:C,3,0),0)</f>
        <v>19.3498</v>
      </c>
      <c r="G155" s="7" t="n">
        <f aca="false">IFERROR(VLOOKUP(B155,Entrada!K:L,2,0),0)</f>
        <v>18.32</v>
      </c>
      <c r="H155" s="8" t="n">
        <f aca="false">IFERROR(VLOOKUP(B155,Entrada!A:D,4,0),0)</f>
        <v>700</v>
      </c>
      <c r="I155" s="8" t="n">
        <f aca="false">IFERROR(VLOOKUP(B155,Entrada!F:I,4,0),0)</f>
        <v>0</v>
      </c>
      <c r="J155" s="8" t="n">
        <f aca="false">H155+I155</f>
        <v>700</v>
      </c>
      <c r="K155" s="7" t="n">
        <f aca="false">G155*J155</f>
        <v>12824</v>
      </c>
      <c r="L155" s="0" t="str">
        <f aca="false">IFERROR(VLOOKUP(_xlfn.CONCAT($L$1,"-",B155),Saída_2023!$E:$F,2,0),"0")</f>
        <v>0</v>
      </c>
    </row>
    <row r="156" customFormat="false" ht="13.8" hidden="false" customHeight="false" outlineLevel="0" collapsed="false">
      <c r="A156" s="2" t="n">
        <v>7891317000530</v>
      </c>
      <c r="B156" s="2" t="n">
        <v>11415</v>
      </c>
      <c r="C156" s="2" t="s">
        <v>248</v>
      </c>
      <c r="E156" s="7" t="n">
        <f aca="false">IFERROR(VLOOKUP(B156,Entrada!A:B,2,0),0)</f>
        <v>123.79</v>
      </c>
      <c r="F156" s="7" t="n">
        <f aca="false">IFERROR(VLOOKUP(B156,Entrada!A:C,3,0),0)</f>
        <v>21.2966</v>
      </c>
      <c r="G156" s="7" t="n">
        <f aca="false">IFERROR(VLOOKUP(B156,Entrada!K:L,2,0),0)</f>
        <v>29.82</v>
      </c>
      <c r="H156" s="8" t="n">
        <f aca="false">IFERROR(VLOOKUP(B156,Entrada!A:D,4,0),0)</f>
        <v>800</v>
      </c>
      <c r="I156" s="8" t="n">
        <f aca="false">IFERROR(VLOOKUP(B156,Entrada!F:I,4,0),0)</f>
        <v>0</v>
      </c>
      <c r="J156" s="8" t="n">
        <f aca="false">H156+I156</f>
        <v>800</v>
      </c>
      <c r="K156" s="7" t="n">
        <f aca="false">G156*J156</f>
        <v>23856</v>
      </c>
      <c r="L156" s="0" t="str">
        <f aca="false">IFERROR(VLOOKUP(_xlfn.CONCAT($L$1,"-",B156),Saída_2023!$E:$F,2,0),"0")</f>
        <v>0</v>
      </c>
    </row>
    <row r="157" customFormat="false" ht="13.8" hidden="false" customHeight="false" outlineLevel="0" collapsed="false">
      <c r="A157" s="2" t="n">
        <v>7891317001483</v>
      </c>
      <c r="B157" s="2" t="n">
        <v>11528</v>
      </c>
      <c r="C157" s="2" t="s">
        <v>197</v>
      </c>
      <c r="E157" s="7" t="n">
        <f aca="false">IFERROR(VLOOKUP(B157,Entrada!A:B,2,0),0)</f>
        <v>17.73</v>
      </c>
      <c r="F157" s="7" t="n">
        <f aca="false">IFERROR(VLOOKUP(B157,Entrada!A:C,3,0),0)</f>
        <v>3.04892</v>
      </c>
      <c r="G157" s="7" t="n">
        <f aca="false">IFERROR(VLOOKUP(B157,Entrada!K:L,2,0),0)</f>
        <v>3.05</v>
      </c>
      <c r="H157" s="8" t="n">
        <f aca="false">IFERROR(VLOOKUP(B157,Entrada!A:D,4,0),0)</f>
        <v>1500</v>
      </c>
      <c r="I157" s="8" t="n">
        <f aca="false">IFERROR(VLOOKUP(B157,Entrada!F:I,4,0),0)</f>
        <v>0</v>
      </c>
      <c r="J157" s="8" t="n">
        <f aca="false">H157+I157</f>
        <v>1500</v>
      </c>
      <c r="K157" s="7" t="n">
        <f aca="false">G157*J157</f>
        <v>4575</v>
      </c>
      <c r="L157" s="0" t="str">
        <f aca="false">IFERROR(VLOOKUP(_xlfn.CONCAT($L$1,"-",B157),Saída_2023!$E:$F,2,0),"0")</f>
        <v>0</v>
      </c>
    </row>
    <row r="158" customFormat="false" ht="13.8" hidden="false" customHeight="false" outlineLevel="0" collapsed="false">
      <c r="A158" s="2" t="n">
        <v>7891317121235</v>
      </c>
      <c r="B158" s="2" t="n">
        <v>11697</v>
      </c>
      <c r="C158" s="2" t="s">
        <v>432</v>
      </c>
      <c r="E158" s="7" t="n">
        <f aca="false">IFERROR(VLOOKUP(B158,Entrada!A:B,2,0),0)</f>
        <v>38.94</v>
      </c>
      <c r="F158" s="7" t="n">
        <f aca="false">IFERROR(VLOOKUP(B158,Entrada!A:C,3,0),0)</f>
        <v>13.398317</v>
      </c>
      <c r="G158" s="7" t="n">
        <f aca="false">IFERROR(VLOOKUP(B158,Entrada!K:L,2,0),0)</f>
        <v>13.4</v>
      </c>
      <c r="H158" s="8" t="n">
        <f aca="false">IFERROR(VLOOKUP(B158,Entrada!A:D,4,0),0)</f>
        <v>6120</v>
      </c>
      <c r="I158" s="8" t="n">
        <f aca="false">IFERROR(VLOOKUP(B158,Entrada!F:I,4,0),0)</f>
        <v>0</v>
      </c>
      <c r="J158" s="8" t="n">
        <f aca="false">H158+I158</f>
        <v>6120</v>
      </c>
      <c r="K158" s="7" t="n">
        <f aca="false">G158*J158</f>
        <v>82008</v>
      </c>
      <c r="L158" s="0" t="str">
        <f aca="false">IFERROR(VLOOKUP(_xlfn.CONCAT($L$1,"-",B158),Saída_2023!$E:$F,2,0),"0")</f>
        <v>0</v>
      </c>
    </row>
    <row r="159" customFormat="false" ht="13.8" hidden="false" customHeight="false" outlineLevel="0" collapsed="false">
      <c r="A159" s="2" t="n">
        <v>7891317487386</v>
      </c>
      <c r="B159" s="2" t="n">
        <v>11901</v>
      </c>
      <c r="C159" s="2" t="s">
        <v>297</v>
      </c>
      <c r="E159" s="7" t="n">
        <f aca="false">IFERROR(VLOOKUP(B159,Entrada!A:B,2,0),0)</f>
        <v>240.54</v>
      </c>
      <c r="F159" s="7" t="n">
        <f aca="false">IFERROR(VLOOKUP(B159,Entrada!A:C,3,0),0)</f>
        <v>51.36725</v>
      </c>
      <c r="G159" s="7" t="n">
        <f aca="false">IFERROR(VLOOKUP(B159,Entrada!K:L,2,0),0)</f>
        <v>51.37</v>
      </c>
      <c r="H159" s="8" t="n">
        <f aca="false">IFERROR(VLOOKUP(B159,Entrada!A:D,4,0),0)</f>
        <v>230</v>
      </c>
      <c r="I159" s="8" t="n">
        <f aca="false">IFERROR(VLOOKUP(B159,Entrada!F:I,4,0),0)</f>
        <v>0</v>
      </c>
      <c r="J159" s="8" t="n">
        <f aca="false">H159+I159</f>
        <v>230</v>
      </c>
      <c r="K159" s="7" t="n">
        <f aca="false">G159*J159</f>
        <v>11815.1</v>
      </c>
      <c r="L159" s="0" t="str">
        <f aca="false">IFERROR(VLOOKUP(_xlfn.CONCAT($L$1,"-",B159),Saída_2023!$E:$F,2,0),"0")</f>
        <v>0</v>
      </c>
    </row>
    <row r="160" customFormat="false" ht="13.8" hidden="false" customHeight="false" outlineLevel="0" collapsed="false">
      <c r="A160" s="2" t="n">
        <v>7891317001926</v>
      </c>
      <c r="B160" s="2" t="n">
        <v>11952</v>
      </c>
      <c r="C160" s="2" t="s">
        <v>195</v>
      </c>
      <c r="E160" s="7" t="n">
        <f aca="false">IFERROR(VLOOKUP(B160,Entrada!A:B,2,0),0)</f>
        <v>37.43</v>
      </c>
      <c r="F160" s="7" t="n">
        <f aca="false">IFERROR(VLOOKUP(B160,Entrada!A:C,3,0),0)</f>
        <v>4.5067214</v>
      </c>
      <c r="G160" s="7" t="n">
        <f aca="false">IFERROR(VLOOKUP(B160,Entrada!K:L,2,0),0)</f>
        <v>4.51</v>
      </c>
      <c r="H160" s="8" t="n">
        <f aca="false">IFERROR(VLOOKUP(B160,Entrada!A:D,4,0),0)</f>
        <v>234950</v>
      </c>
      <c r="I160" s="8" t="n">
        <f aca="false">IFERROR(VLOOKUP(B160,Entrada!F:I,4,0),0)</f>
        <v>0</v>
      </c>
      <c r="J160" s="8" t="n">
        <f aca="false">H160+I160</f>
        <v>234950</v>
      </c>
      <c r="K160" s="7" t="n">
        <f aca="false">G160*J160</f>
        <v>1059624.5</v>
      </c>
      <c r="L160" s="0" t="str">
        <f aca="false">IFERROR(VLOOKUP(_xlfn.CONCAT($L$1,"-",B160),Saída_2023!$E:$F,2,0),"0")</f>
        <v>0</v>
      </c>
    </row>
    <row r="161" customFormat="false" ht="13.8" hidden="false" customHeight="false" outlineLevel="0" collapsed="false">
      <c r="A161" s="2" t="n">
        <v>7891317003630</v>
      </c>
      <c r="B161" s="2" t="n">
        <v>12134</v>
      </c>
      <c r="C161" s="2" t="s">
        <v>364</v>
      </c>
      <c r="E161" s="7" t="n">
        <f aca="false">IFERROR(VLOOKUP(B161,Entrada!A:B,2,0),0)</f>
        <v>58.73</v>
      </c>
      <c r="F161" s="7" t="n">
        <f aca="false">IFERROR(VLOOKUP(B161,Entrada!A:C,3,0),0)</f>
        <v>17.174259</v>
      </c>
      <c r="G161" s="7" t="n">
        <f aca="false">IFERROR(VLOOKUP(B161,Entrada!K:L,2,0),0)</f>
        <v>17.17</v>
      </c>
      <c r="H161" s="8" t="n">
        <f aca="false">IFERROR(VLOOKUP(B161,Entrada!A:D,4,0),0)</f>
        <v>1485</v>
      </c>
      <c r="I161" s="8" t="n">
        <f aca="false">IFERROR(VLOOKUP(B161,Entrada!F:I,4,0),0)</f>
        <v>0</v>
      </c>
      <c r="J161" s="8" t="n">
        <f aca="false">H161+I161</f>
        <v>1485</v>
      </c>
      <c r="K161" s="7" t="n">
        <f aca="false">G161*J161</f>
        <v>25497.45</v>
      </c>
      <c r="L161" s="0" t="str">
        <f aca="false">IFERROR(VLOOKUP(_xlfn.CONCAT($L$1,"-",B161),Saída_2023!$E:$F,2,0),"0")</f>
        <v>0</v>
      </c>
    </row>
    <row r="162" customFormat="false" ht="13.8" hidden="false" customHeight="false" outlineLevel="0" collapsed="false">
      <c r="A162" s="2" t="n">
        <v>7891317003647</v>
      </c>
      <c r="B162" s="2" t="n">
        <v>12135</v>
      </c>
      <c r="C162" s="2" t="s">
        <v>366</v>
      </c>
      <c r="E162" s="7" t="n">
        <f aca="false">IFERROR(VLOOKUP(B162,Entrada!A:B,2,0),0)</f>
        <v>82.23</v>
      </c>
      <c r="F162" s="7" t="n">
        <f aca="false">IFERROR(VLOOKUP(B162,Entrada!A:C,3,0),0)</f>
        <v>15.56059259</v>
      </c>
      <c r="G162" s="7" t="n">
        <f aca="false">IFERROR(VLOOKUP(B162,Entrada!K:L,2,0),0)</f>
        <v>15.56</v>
      </c>
      <c r="H162" s="8" t="n">
        <f aca="false">IFERROR(VLOOKUP(B162,Entrada!A:D,4,0),0)</f>
        <v>4995</v>
      </c>
      <c r="I162" s="8" t="n">
        <f aca="false">IFERROR(VLOOKUP(B162,Entrada!F:I,4,0),0)</f>
        <v>0</v>
      </c>
      <c r="J162" s="8" t="n">
        <f aca="false">H162+I162</f>
        <v>4995</v>
      </c>
      <c r="K162" s="7" t="n">
        <f aca="false">G162*J162</f>
        <v>77722.2</v>
      </c>
      <c r="L162" s="0" t="str">
        <f aca="false">IFERROR(VLOOKUP(_xlfn.CONCAT($L$1,"-",B162),Saída_2023!$E:$F,2,0),"0")</f>
        <v>0</v>
      </c>
    </row>
    <row r="163" customFormat="false" ht="13.8" hidden="false" customHeight="false" outlineLevel="0" collapsed="false">
      <c r="A163" s="2" t="n">
        <v>7891317191788</v>
      </c>
      <c r="B163" s="2" t="n">
        <v>12235</v>
      </c>
      <c r="C163" s="2" t="s">
        <v>481</v>
      </c>
      <c r="E163" s="7" t="n">
        <f aca="false">IFERROR(VLOOKUP(B163,Entrada!A:B,2,0),0)</f>
        <v>323.13</v>
      </c>
      <c r="F163" s="7" t="n">
        <f aca="false">IFERROR(VLOOKUP(B163,Entrada!A:C,3,0),0)</f>
        <v>19.94325</v>
      </c>
      <c r="G163" s="7" t="n">
        <f aca="false">IFERROR(VLOOKUP(B163,Entrada!K:L,2,0),0)</f>
        <v>19.94</v>
      </c>
      <c r="H163" s="8" t="n">
        <f aca="false">IFERROR(VLOOKUP(B163,Entrada!A:D,4,0),0)</f>
        <v>72</v>
      </c>
      <c r="I163" s="8" t="n">
        <f aca="false">IFERROR(VLOOKUP(B163,Entrada!F:I,4,0),0)</f>
        <v>240</v>
      </c>
      <c r="J163" s="8" t="n">
        <f aca="false">H163+I163</f>
        <v>312</v>
      </c>
      <c r="K163" s="7" t="n">
        <f aca="false">G163*J163</f>
        <v>6221.28</v>
      </c>
      <c r="L163" s="0" t="str">
        <f aca="false">IFERROR(VLOOKUP(_xlfn.CONCAT($L$1,"-",B163),Saída_2023!$E:$F,2,0),"0")</f>
        <v>0</v>
      </c>
    </row>
    <row r="164" customFormat="false" ht="13.8" hidden="false" customHeight="false" outlineLevel="0" collapsed="false">
      <c r="A164" s="2" t="n">
        <v>7891317434342</v>
      </c>
      <c r="B164" s="2" t="n">
        <v>12236</v>
      </c>
      <c r="C164" s="2" t="s">
        <v>534</v>
      </c>
      <c r="E164" s="7" t="n">
        <f aca="false">IFERROR(VLOOKUP(B164,Entrada!A:B,2,0),0)</f>
        <v>191.27</v>
      </c>
      <c r="F164" s="7" t="n">
        <f aca="false">IFERROR(VLOOKUP(B164,Entrada!A:C,3,0),0)</f>
        <v>22.578</v>
      </c>
      <c r="G164" s="7" t="n">
        <f aca="false">IFERROR(VLOOKUP(B164,Entrada!K:L,2,0),0)</f>
        <v>30.36</v>
      </c>
      <c r="H164" s="8" t="n">
        <f aca="false">IFERROR(VLOOKUP(B164,Entrada!A:D,4,0),0)</f>
        <v>120</v>
      </c>
      <c r="I164" s="8" t="n">
        <f aca="false">IFERROR(VLOOKUP(B164,Entrada!F:I,4,0),0)</f>
        <v>240</v>
      </c>
      <c r="J164" s="8" t="n">
        <f aca="false">H164+I164</f>
        <v>360</v>
      </c>
      <c r="K164" s="7" t="n">
        <f aca="false">G164*J164</f>
        <v>10929.6</v>
      </c>
      <c r="L164" s="0" t="str">
        <f aca="false">IFERROR(VLOOKUP(_xlfn.CONCAT($L$1,"-",B164),Saída_2023!$E:$F,2,0),"0")</f>
        <v>0</v>
      </c>
    </row>
    <row r="165" customFormat="false" ht="13.8" hidden="false" customHeight="false" outlineLevel="0" collapsed="false">
      <c r="A165" s="2" t="n">
        <v>7891317434335</v>
      </c>
      <c r="B165" s="2" t="n">
        <v>12237</v>
      </c>
      <c r="C165" s="2" t="s">
        <v>538</v>
      </c>
      <c r="E165" s="7" t="n">
        <f aca="false">IFERROR(VLOOKUP(B165,Entrada!A:B,2,0),0)</f>
        <v>133.6</v>
      </c>
      <c r="F165" s="7" t="n">
        <f aca="false">IFERROR(VLOOKUP(B165,Entrada!A:C,3,0),0)</f>
        <v>13.7905</v>
      </c>
      <c r="G165" s="7" t="n">
        <f aca="false">IFERROR(VLOOKUP(B165,Entrada!K:L,2,0),0)</f>
        <v>16.09</v>
      </c>
      <c r="H165" s="8" t="n">
        <f aca="false">IFERROR(VLOOKUP(B165,Entrada!A:D,4,0),0)</f>
        <v>300</v>
      </c>
      <c r="I165" s="8" t="n">
        <f aca="false">IFERROR(VLOOKUP(B165,Entrada!F:I,4,0),0)</f>
        <v>780</v>
      </c>
      <c r="J165" s="8" t="n">
        <f aca="false">H165+I165</f>
        <v>1080</v>
      </c>
      <c r="K165" s="7" t="n">
        <f aca="false">G165*J165</f>
        <v>17377.2</v>
      </c>
      <c r="L165" s="0" t="str">
        <f aca="false">IFERROR(VLOOKUP(_xlfn.CONCAT($L$1,"-",B165),Saída_2023!$E:$F,2,0),"0")</f>
        <v>0</v>
      </c>
    </row>
    <row r="166" customFormat="false" ht="13.8" hidden="false" customHeight="false" outlineLevel="0" collapsed="false">
      <c r="A166" s="2" t="n">
        <v>7891317191733</v>
      </c>
      <c r="B166" s="2" t="n">
        <v>12239</v>
      </c>
      <c r="C166" s="2" t="s">
        <v>218</v>
      </c>
      <c r="E166" s="7" t="n">
        <f aca="false">IFERROR(VLOOKUP(B166,Entrada!A:B,2,0),0)</f>
        <v>39.2</v>
      </c>
      <c r="F166" s="7" t="n">
        <f aca="false">IFERROR(VLOOKUP(B166,Entrada!A:C,3,0),0)</f>
        <v>5.74833132</v>
      </c>
      <c r="G166" s="7" t="n">
        <f aca="false">IFERROR(VLOOKUP(B166,Entrada!K:L,2,0),0)</f>
        <v>7.08</v>
      </c>
      <c r="H166" s="8" t="n">
        <f aca="false">IFERROR(VLOOKUP(B166,Entrada!A:D,4,0),0)</f>
        <v>840</v>
      </c>
      <c r="I166" s="8" t="n">
        <f aca="false">IFERROR(VLOOKUP(B166,Entrada!F:I,4,0),0)</f>
        <v>3840</v>
      </c>
      <c r="J166" s="8" t="n">
        <f aca="false">H166+I166</f>
        <v>4680</v>
      </c>
      <c r="K166" s="7" t="n">
        <f aca="false">G166*J166</f>
        <v>33134.4</v>
      </c>
      <c r="L166" s="0" t="str">
        <f aca="false">IFERROR(VLOOKUP(_xlfn.CONCAT($L$1,"-",B166),Saída_2023!$E:$F,2,0),"0")</f>
        <v>0</v>
      </c>
    </row>
    <row r="167" customFormat="false" ht="13.8" hidden="false" customHeight="false" outlineLevel="0" collapsed="false">
      <c r="A167" s="2" t="n">
        <v>7891317009083</v>
      </c>
      <c r="B167" s="2" t="n">
        <v>12389</v>
      </c>
      <c r="C167" s="2" t="s">
        <v>540</v>
      </c>
      <c r="E167" s="7" t="n">
        <f aca="false">IFERROR(VLOOKUP(B167,Entrada!A:B,2,0),0)</f>
        <v>29.83</v>
      </c>
      <c r="F167" s="7" t="n">
        <f aca="false">IFERROR(VLOOKUP(B167,Entrada!A:C,3,0),0)</f>
        <v>2.6301</v>
      </c>
      <c r="G167" s="7" t="n">
        <f aca="false">IFERROR(VLOOKUP(B167,Entrada!K:L,2,0),0)</f>
        <v>2.89</v>
      </c>
      <c r="H167" s="8" t="n">
        <f aca="false">IFERROR(VLOOKUP(B167,Entrada!A:D,4,0),0)</f>
        <v>1500</v>
      </c>
      <c r="I167" s="8" t="n">
        <f aca="false">IFERROR(VLOOKUP(B167,Entrada!F:I,4,0),0)</f>
        <v>2000</v>
      </c>
      <c r="J167" s="8" t="n">
        <f aca="false">H167+I167</f>
        <v>3500</v>
      </c>
      <c r="K167" s="7" t="n">
        <f aca="false">G167*J167</f>
        <v>10115</v>
      </c>
      <c r="L167" s="0" t="str">
        <f aca="false">IFERROR(VLOOKUP(_xlfn.CONCAT($L$1,"-",B167),Saída_2023!$E:$F,2,0),"0")</f>
        <v>0</v>
      </c>
    </row>
    <row r="168" customFormat="false" ht="13.8" hidden="false" customHeight="false" outlineLevel="0" collapsed="false">
      <c r="A168" s="2" t="n">
        <v>7891317009052</v>
      </c>
      <c r="B168" s="2" t="n">
        <v>12390</v>
      </c>
      <c r="C168" s="2" t="s">
        <v>542</v>
      </c>
      <c r="E168" s="7" t="n">
        <f aca="false">IFERROR(VLOOKUP(B168,Entrada!A:B,2,0),0)</f>
        <v>72.1</v>
      </c>
      <c r="F168" s="7" t="n">
        <f aca="false">IFERROR(VLOOKUP(B168,Entrada!A:C,3,0),0)</f>
        <v>8.682604</v>
      </c>
      <c r="G168" s="7" t="n">
        <f aca="false">IFERROR(VLOOKUP(B168,Entrada!K:L,2,0),0)</f>
        <v>7.44</v>
      </c>
      <c r="H168" s="8" t="n">
        <f aca="false">IFERROR(VLOOKUP(B168,Entrada!A:D,4,0),0)</f>
        <v>480</v>
      </c>
      <c r="I168" s="8" t="n">
        <f aca="false">IFERROR(VLOOKUP(B168,Entrada!F:I,4,0),0)</f>
        <v>0</v>
      </c>
      <c r="J168" s="8" t="n">
        <f aca="false">H168+I168</f>
        <v>480</v>
      </c>
      <c r="K168" s="7" t="n">
        <f aca="false">G168*J168</f>
        <v>3571.2</v>
      </c>
      <c r="L168" s="0" t="str">
        <f aca="false">IFERROR(VLOOKUP(_xlfn.CONCAT($L$1,"-",B168),Saída_2023!$E:$F,2,0),"0")</f>
        <v>0</v>
      </c>
    </row>
    <row r="169" customFormat="false" ht="13.8" hidden="false" customHeight="false" outlineLevel="0" collapsed="false">
      <c r="A169" s="2" t="n">
        <v>7891317002954</v>
      </c>
      <c r="B169" s="2" t="n">
        <v>12407</v>
      </c>
      <c r="C169" s="2" t="s">
        <v>183</v>
      </c>
      <c r="E169" s="7" t="n">
        <f aca="false">IFERROR(VLOOKUP(B169,Entrada!A:B,2,0),0)</f>
        <v>103.84</v>
      </c>
      <c r="F169" s="7" t="n">
        <f aca="false">IFERROR(VLOOKUP(B169,Entrada!A:C,3,0),0)</f>
        <v>13.733375</v>
      </c>
      <c r="G169" s="7" t="n">
        <f aca="false">IFERROR(VLOOKUP(B169,Entrada!K:L,2,0),0)</f>
        <v>13.73</v>
      </c>
      <c r="H169" s="8" t="n">
        <f aca="false">IFERROR(VLOOKUP(B169,Entrada!A:D,4,0),0)</f>
        <v>0</v>
      </c>
      <c r="I169" s="8" t="n">
        <f aca="false">IFERROR(VLOOKUP(B169,Entrada!F:I,4,0),0)</f>
        <v>320</v>
      </c>
      <c r="J169" s="8" t="n">
        <f aca="false">H169+I169</f>
        <v>320</v>
      </c>
      <c r="K169" s="7" t="n">
        <f aca="false">G169*J169</f>
        <v>4393.6</v>
      </c>
      <c r="L169" s="0" t="str">
        <f aca="false">IFERROR(VLOOKUP(_xlfn.CONCAT($L$1,"-",B169),Saída_2023!$E:$F,2,0),"0")</f>
        <v>0</v>
      </c>
    </row>
    <row r="170" customFormat="false" ht="13.8" hidden="false" customHeight="false" outlineLevel="0" collapsed="false">
      <c r="A170" s="2" t="n">
        <v>7891317453008</v>
      </c>
      <c r="B170" s="2" t="n">
        <v>12409</v>
      </c>
      <c r="C170" s="2" t="s">
        <v>272</v>
      </c>
      <c r="E170" s="7" t="n">
        <f aca="false">IFERROR(VLOOKUP(B170,Entrada!A:B,2,0),0)</f>
        <v>32.43</v>
      </c>
      <c r="F170" s="7" t="n">
        <f aca="false">IFERROR(VLOOKUP(B170,Entrada!A:C,3,0),0)</f>
        <v>4.58960662</v>
      </c>
      <c r="G170" s="7" t="n">
        <f aca="false">IFERROR(VLOOKUP(B170,Entrada!K:L,2,0),0)</f>
        <v>5.92</v>
      </c>
      <c r="H170" s="8" t="n">
        <f aca="false">IFERROR(VLOOKUP(B170,Entrada!A:D,4,0),0)</f>
        <v>683</v>
      </c>
      <c r="I170" s="8" t="n">
        <f aca="false">IFERROR(VLOOKUP(B170,Entrada!F:I,4,0),0)</f>
        <v>1900</v>
      </c>
      <c r="J170" s="8" t="n">
        <f aca="false">H170+I170</f>
        <v>2583</v>
      </c>
      <c r="K170" s="7" t="n">
        <f aca="false">G170*J170</f>
        <v>15291.36</v>
      </c>
      <c r="L170" s="0" t="str">
        <f aca="false">IFERROR(VLOOKUP(_xlfn.CONCAT($L$1,"-",B170),Saída_2023!$E:$F,2,0),"0")</f>
        <v>0</v>
      </c>
    </row>
    <row r="171" customFormat="false" ht="13.8" hidden="false" customHeight="false" outlineLevel="0" collapsed="false">
      <c r="A171" s="2" t="n">
        <v>7891317461089</v>
      </c>
      <c r="B171" s="2" t="n">
        <v>12513</v>
      </c>
      <c r="C171" s="2" t="s">
        <v>111</v>
      </c>
      <c r="E171" s="7" t="n">
        <f aca="false">IFERROR(VLOOKUP(B171,Entrada!A:B,2,0),0)</f>
        <v>202.79</v>
      </c>
      <c r="F171" s="7" t="n">
        <f aca="false">IFERROR(VLOOKUP(B171,Entrada!A:C,3,0),0)</f>
        <v>78.672</v>
      </c>
      <c r="G171" s="7" t="n">
        <f aca="false">IFERROR(VLOOKUP(B171,Entrada!K:L,2,0),0)</f>
        <v>78.67</v>
      </c>
      <c r="H171" s="8" t="n">
        <f aca="false">IFERROR(VLOOKUP(B171,Entrada!A:D,4,0),0)</f>
        <v>735</v>
      </c>
      <c r="I171" s="8" t="n">
        <f aca="false">IFERROR(VLOOKUP(B171,Entrada!F:I,4,0),0)</f>
        <v>0</v>
      </c>
      <c r="J171" s="8" t="n">
        <f aca="false">H171+I171</f>
        <v>735</v>
      </c>
      <c r="K171" s="7" t="n">
        <f aca="false">G171*J171</f>
        <v>57822.45</v>
      </c>
      <c r="L171" s="0" t="str">
        <f aca="false">IFERROR(VLOOKUP(_xlfn.CONCAT($L$1,"-",B171),Saída_2023!$E:$F,2,0),"0")</f>
        <v>0</v>
      </c>
    </row>
    <row r="172" customFormat="false" ht="13.8" hidden="false" customHeight="false" outlineLevel="0" collapsed="false">
      <c r="A172" s="2" t="n">
        <v>7891317101961</v>
      </c>
      <c r="B172" s="2" t="n">
        <v>12514</v>
      </c>
      <c r="C172" s="2" t="s">
        <v>129</v>
      </c>
      <c r="E172" s="7" t="n">
        <f aca="false">IFERROR(VLOOKUP(B172,Entrada!A:B,2,0),0)</f>
        <v>99.7</v>
      </c>
      <c r="F172" s="7" t="n">
        <f aca="false">IFERROR(VLOOKUP(B172,Entrada!A:C,3,0),0)</f>
        <v>17.152583</v>
      </c>
      <c r="G172" s="7" t="n">
        <f aca="false">IFERROR(VLOOKUP(B172,Entrada!K:L,2,0),0)</f>
        <v>17.15</v>
      </c>
      <c r="H172" s="8" t="n">
        <f aca="false">IFERROR(VLOOKUP(B172,Entrada!A:D,4,0),0)</f>
        <v>1230</v>
      </c>
      <c r="I172" s="8" t="n">
        <f aca="false">IFERROR(VLOOKUP(B172,Entrada!F:I,4,0),0)</f>
        <v>0</v>
      </c>
      <c r="J172" s="8" t="n">
        <f aca="false">H172+I172</f>
        <v>1230</v>
      </c>
      <c r="K172" s="7" t="n">
        <f aca="false">G172*J172</f>
        <v>21094.5</v>
      </c>
      <c r="L172" s="0" t="str">
        <f aca="false">IFERROR(VLOOKUP(_xlfn.CONCAT($L$1,"-",B172),Saída_2023!$E:$F,2,0),"0")</f>
        <v>0</v>
      </c>
    </row>
    <row r="173" customFormat="false" ht="13.8" hidden="false" customHeight="false" outlineLevel="0" collapsed="false">
      <c r="A173" s="2" t="n">
        <v>7891317137359</v>
      </c>
      <c r="B173" s="2" t="n">
        <v>12515</v>
      </c>
      <c r="C173" s="2" t="s">
        <v>185</v>
      </c>
      <c r="E173" s="7" t="n">
        <f aca="false">IFERROR(VLOOKUP(B173,Entrada!A:B,2,0),0)</f>
        <v>36.44</v>
      </c>
      <c r="F173" s="7" t="n">
        <f aca="false">IFERROR(VLOOKUP(B173,Entrada!A:C,3,0),0)</f>
        <v>4.701663</v>
      </c>
      <c r="G173" s="7" t="n">
        <f aca="false">IFERROR(VLOOKUP(B173,Entrada!K:L,2,0),0)</f>
        <v>4.7</v>
      </c>
      <c r="H173" s="8" t="n">
        <f aca="false">IFERROR(VLOOKUP(B173,Entrada!A:D,4,0),0)</f>
        <v>1485</v>
      </c>
      <c r="I173" s="8" t="n">
        <f aca="false">IFERROR(VLOOKUP(B173,Entrada!F:I,4,0),0)</f>
        <v>5130</v>
      </c>
      <c r="J173" s="8" t="n">
        <f aca="false">H173+I173</f>
        <v>6615</v>
      </c>
      <c r="K173" s="7" t="n">
        <f aca="false">G173*J173</f>
        <v>31090.5</v>
      </c>
      <c r="L173" s="0" t="str">
        <f aca="false">IFERROR(VLOOKUP(_xlfn.CONCAT($L$1,"-",B173),Saída_2023!$E:$F,2,0),"0")</f>
        <v>0</v>
      </c>
    </row>
    <row r="174" customFormat="false" ht="13.8" hidden="false" customHeight="false" outlineLevel="0" collapsed="false">
      <c r="A174" s="2" t="n">
        <v>7891317189648</v>
      </c>
      <c r="B174" s="2" t="n">
        <v>12516</v>
      </c>
      <c r="C174" s="2" t="s">
        <v>151</v>
      </c>
      <c r="E174" s="7" t="n">
        <f aca="false">IFERROR(VLOOKUP(B174,Entrada!A:B,2,0),0)</f>
        <v>175.82</v>
      </c>
      <c r="F174" s="7" t="n">
        <f aca="false">IFERROR(VLOOKUP(B174,Entrada!A:C,3,0),0)</f>
        <v>30.82666667</v>
      </c>
      <c r="G174" s="7" t="n">
        <f aca="false">IFERROR(VLOOKUP(B174,Entrada!K:L,2,0),0)</f>
        <v>34.1</v>
      </c>
      <c r="H174" s="8" t="n">
        <f aca="false">IFERROR(VLOOKUP(B174,Entrada!A:D,4,0),0)</f>
        <v>60</v>
      </c>
      <c r="I174" s="8" t="n">
        <f aca="false">IFERROR(VLOOKUP(B174,Entrada!F:I,4,0),0)</f>
        <v>60</v>
      </c>
      <c r="J174" s="8" t="n">
        <f aca="false">H174+I174</f>
        <v>120</v>
      </c>
      <c r="K174" s="7" t="n">
        <f aca="false">G174*J174</f>
        <v>4092</v>
      </c>
      <c r="L174" s="0" t="str">
        <f aca="false">IFERROR(VLOOKUP(_xlfn.CONCAT($L$1,"-",B174),Saída_2023!$E:$F,2,0),"0")</f>
        <v>0</v>
      </c>
    </row>
    <row r="175" customFormat="false" ht="13.8" hidden="false" customHeight="false" outlineLevel="0" collapsed="false">
      <c r="A175" s="2" t="n">
        <v>7891317003050</v>
      </c>
      <c r="B175" s="2" t="n">
        <v>12518</v>
      </c>
      <c r="C175" s="2" t="s">
        <v>278</v>
      </c>
      <c r="E175" s="7" t="n">
        <f aca="false">IFERROR(VLOOKUP(B175,Entrada!A:B,2,0),0)</f>
        <v>59.68</v>
      </c>
      <c r="F175" s="7" t="n">
        <f aca="false">IFERROR(VLOOKUP(B175,Entrada!A:C,3,0),0)</f>
        <v>7.6999</v>
      </c>
      <c r="G175" s="7" t="n">
        <f aca="false">IFERROR(VLOOKUP(B175,Entrada!K:L,2,0),0)</f>
        <v>12.32</v>
      </c>
      <c r="H175" s="8" t="n">
        <f aca="false">IFERROR(VLOOKUP(B175,Entrada!A:D,4,0),0)</f>
        <v>400</v>
      </c>
      <c r="I175" s="8" t="n">
        <f aca="false">IFERROR(VLOOKUP(B175,Entrada!F:I,4,0),0)</f>
        <v>600</v>
      </c>
      <c r="J175" s="8" t="n">
        <f aca="false">H175+I175</f>
        <v>1000</v>
      </c>
      <c r="K175" s="7" t="n">
        <f aca="false">G175*J175</f>
        <v>12320</v>
      </c>
      <c r="L175" s="0" t="str">
        <f aca="false">IFERROR(VLOOKUP(_xlfn.CONCAT($L$1,"-",B175),Saída_2023!$E:$F,2,0),"0")</f>
        <v>0</v>
      </c>
    </row>
    <row r="176" customFormat="false" ht="13.8" hidden="false" customHeight="false" outlineLevel="0" collapsed="false">
      <c r="A176" s="2" t="n">
        <v>7891317003494</v>
      </c>
      <c r="B176" s="2" t="n">
        <v>12520</v>
      </c>
      <c r="C176" s="2" t="s">
        <v>232</v>
      </c>
      <c r="E176" s="7" t="n">
        <f aca="false">IFERROR(VLOOKUP(B176,Entrada!A:B,2,0),0)</f>
        <v>45.17</v>
      </c>
      <c r="F176" s="7" t="n">
        <f aca="false">IFERROR(VLOOKUP(B176,Entrada!A:C,3,0),0)</f>
        <v>7.74132499</v>
      </c>
      <c r="G176" s="7" t="n">
        <f aca="false">IFERROR(VLOOKUP(B176,Entrada!K:L,2,0),0)</f>
        <v>7.74</v>
      </c>
      <c r="H176" s="8" t="n">
        <f aca="false">IFERROR(VLOOKUP(B176,Entrada!A:D,4,0),0)</f>
        <v>2880</v>
      </c>
      <c r="I176" s="8" t="n">
        <f aca="false">IFERROR(VLOOKUP(B176,Entrada!F:I,4,0),0)</f>
        <v>0</v>
      </c>
      <c r="J176" s="8" t="n">
        <f aca="false">H176+I176</f>
        <v>2880</v>
      </c>
      <c r="K176" s="7" t="n">
        <f aca="false">G176*J176</f>
        <v>22291.2</v>
      </c>
      <c r="L176" s="0" t="str">
        <f aca="false">IFERROR(VLOOKUP(_xlfn.CONCAT($L$1,"-",B176),Saída_2023!$E:$F,2,0),"0")</f>
        <v>0</v>
      </c>
    </row>
    <row r="177" customFormat="false" ht="13.8" hidden="false" customHeight="false" outlineLevel="0" collapsed="false">
      <c r="A177" s="2" t="n">
        <v>7891317127428</v>
      </c>
      <c r="B177" s="2" t="n">
        <v>12521</v>
      </c>
      <c r="C177" s="2" t="s">
        <v>336</v>
      </c>
      <c r="E177" s="7" t="n">
        <f aca="false">IFERROR(VLOOKUP(B177,Entrada!A:B,2,0),0)</f>
        <v>49.98</v>
      </c>
      <c r="F177" s="7" t="n">
        <f aca="false">IFERROR(VLOOKUP(B177,Entrada!A:C,3,0),0)</f>
        <v>8.1683333</v>
      </c>
      <c r="G177" s="7" t="n">
        <f aca="false">IFERROR(VLOOKUP(B177,Entrada!K:L,2,0),0)</f>
        <v>9.03</v>
      </c>
      <c r="H177" s="8" t="n">
        <f aca="false">IFERROR(VLOOKUP(B177,Entrada!A:D,4,0),0)</f>
        <v>60</v>
      </c>
      <c r="I177" s="8" t="n">
        <f aca="false">IFERROR(VLOOKUP(B177,Entrada!F:I,4,0),0)</f>
        <v>120</v>
      </c>
      <c r="J177" s="8" t="n">
        <f aca="false">H177+I177</f>
        <v>180</v>
      </c>
      <c r="K177" s="7" t="n">
        <f aca="false">G177*J177</f>
        <v>1625.4</v>
      </c>
      <c r="L177" s="0" t="str">
        <f aca="false">IFERROR(VLOOKUP(_xlfn.CONCAT($L$1,"-",B177),Saída_2023!$E:$F,2,0),"0")</f>
        <v>0</v>
      </c>
    </row>
    <row r="178" customFormat="false" ht="13.8" hidden="false" customHeight="false" outlineLevel="0" collapsed="false">
      <c r="A178" s="2" t="n">
        <v>7898146826768</v>
      </c>
      <c r="B178" s="2" t="n">
        <v>12585</v>
      </c>
      <c r="C178" s="2" t="s">
        <v>527</v>
      </c>
      <c r="E178" s="7" t="n">
        <f aca="false">IFERROR(VLOOKUP(B178,Entrada!A:B,2,0),0)</f>
        <v>104.66</v>
      </c>
      <c r="F178" s="7" t="n">
        <f aca="false">IFERROR(VLOOKUP(B178,Entrada!A:C,3,0),0)</f>
        <v>28.608125</v>
      </c>
      <c r="G178" s="7" t="n">
        <f aca="false">IFERROR(VLOOKUP(B178,Entrada!K:L,2,0),0)</f>
        <v>28.61</v>
      </c>
      <c r="H178" s="8" t="n">
        <f aca="false">IFERROR(VLOOKUP(B178,Entrada!A:D,4,0),0)</f>
        <v>96</v>
      </c>
      <c r="I178" s="8" t="n">
        <f aca="false">IFERROR(VLOOKUP(B178,Entrada!F:I,4,0),0)</f>
        <v>0</v>
      </c>
      <c r="J178" s="8" t="n">
        <f aca="false">H178+I178</f>
        <v>96</v>
      </c>
      <c r="K178" s="7" t="n">
        <f aca="false">G178*J178</f>
        <v>2746.56</v>
      </c>
      <c r="L178" s="0" t="str">
        <f aca="false">IFERROR(VLOOKUP(_xlfn.CONCAT($L$1,"-",B178),Saída_2023!$E:$F,2,0),"0")</f>
        <v>0</v>
      </c>
    </row>
    <row r="179" customFormat="false" ht="13.8" hidden="false" customHeight="false" outlineLevel="0" collapsed="false">
      <c r="A179" s="2" t="n">
        <v>7891317003487</v>
      </c>
      <c r="B179" s="2" t="n">
        <v>12732</v>
      </c>
      <c r="C179" s="2" t="s">
        <v>234</v>
      </c>
      <c r="E179" s="7" t="n">
        <f aca="false">IFERROR(VLOOKUP(B179,Entrada!A:B,2,0),0)</f>
        <v>31.54</v>
      </c>
      <c r="F179" s="7" t="n">
        <f aca="false">IFERROR(VLOOKUP(B179,Entrada!A:C,3,0),0)</f>
        <v>6.756025</v>
      </c>
      <c r="G179" s="7" t="n">
        <f aca="false">IFERROR(VLOOKUP(B179,Entrada!K:L,2,0),0)</f>
        <v>6.76</v>
      </c>
      <c r="H179" s="8" t="n">
        <f aca="false">IFERROR(VLOOKUP(B179,Entrada!A:D,4,0),0)</f>
        <v>8000</v>
      </c>
      <c r="I179" s="8" t="n">
        <f aca="false">IFERROR(VLOOKUP(B179,Entrada!F:I,4,0),0)</f>
        <v>0</v>
      </c>
      <c r="J179" s="8" t="n">
        <f aca="false">H179+I179</f>
        <v>8000</v>
      </c>
      <c r="K179" s="7" t="n">
        <f aca="false">G179*J179</f>
        <v>54080</v>
      </c>
      <c r="L179" s="0" t="str">
        <f aca="false">IFERROR(VLOOKUP(_xlfn.CONCAT($L$1,"-",B179),Saída_2023!$E:$F,2,0),"0")</f>
        <v>0</v>
      </c>
    </row>
    <row r="180" customFormat="false" ht="13.8" hidden="false" customHeight="false" outlineLevel="0" collapsed="false">
      <c r="A180" s="2" t="n">
        <v>7891317191740</v>
      </c>
      <c r="B180" s="2" t="n">
        <v>12733</v>
      </c>
      <c r="C180" s="2" t="s">
        <v>303</v>
      </c>
      <c r="E180" s="7" t="n">
        <f aca="false">IFERROR(VLOOKUP(B180,Entrada!A:B,2,0),0)</f>
        <v>97.8</v>
      </c>
      <c r="F180" s="7" t="n">
        <f aca="false">IFERROR(VLOOKUP(B180,Entrada!A:C,3,0),0)</f>
        <v>17.665833</v>
      </c>
      <c r="G180" s="7" t="n">
        <f aca="false">IFERROR(VLOOKUP(B180,Entrada!K:L,2,0),0)</f>
        <v>17.67</v>
      </c>
      <c r="H180" s="8" t="n">
        <f aca="false">IFERROR(VLOOKUP(B180,Entrada!A:D,4,0),0)</f>
        <v>0</v>
      </c>
      <c r="I180" s="8" t="n">
        <f aca="false">IFERROR(VLOOKUP(B180,Entrada!F:I,4,0),0)</f>
        <v>384</v>
      </c>
      <c r="J180" s="8" t="n">
        <f aca="false">H180+I180</f>
        <v>384</v>
      </c>
      <c r="K180" s="7" t="n">
        <f aca="false">G180*J180</f>
        <v>6785.28</v>
      </c>
      <c r="L180" s="0" t="str">
        <f aca="false">IFERROR(VLOOKUP(_xlfn.CONCAT($L$1,"-",B180),Saída_2023!$E:$F,2,0),"0")</f>
        <v>0</v>
      </c>
    </row>
    <row r="181" customFormat="false" ht="13.8" hidden="false" customHeight="false" outlineLevel="0" collapsed="false">
      <c r="A181" s="2" t="n">
        <v>7891317005269</v>
      </c>
      <c r="B181" s="2" t="n">
        <v>12805</v>
      </c>
      <c r="C181" s="2" t="s">
        <v>236</v>
      </c>
      <c r="E181" s="7" t="n">
        <f aca="false">IFERROR(VLOOKUP(B181,Entrada!A:B,2,0),0)</f>
        <v>39.4</v>
      </c>
      <c r="F181" s="7" t="n">
        <f aca="false">IFERROR(VLOOKUP(B181,Entrada!A:C,3,0),0)</f>
        <v>3.19792</v>
      </c>
      <c r="G181" s="7" t="n">
        <f aca="false">IFERROR(VLOOKUP(B181,Entrada!K:L,2,0),0)</f>
        <v>4.05</v>
      </c>
      <c r="H181" s="8" t="n">
        <f aca="false">IFERROR(VLOOKUP(B181,Entrada!A:D,4,0),0)</f>
        <v>1400</v>
      </c>
      <c r="I181" s="8" t="n">
        <f aca="false">IFERROR(VLOOKUP(B181,Entrada!F:I,4,0),0)</f>
        <v>3400</v>
      </c>
      <c r="J181" s="8" t="n">
        <f aca="false">H181+I181</f>
        <v>4800</v>
      </c>
      <c r="K181" s="7" t="n">
        <f aca="false">G181*J181</f>
        <v>19440</v>
      </c>
      <c r="L181" s="0" t="str">
        <f aca="false">IFERROR(VLOOKUP(_xlfn.CONCAT($L$1,"-",B181),Saída_2023!$E:$F,2,0),"0")</f>
        <v>0</v>
      </c>
    </row>
    <row r="182" customFormat="false" ht="13.8" hidden="false" customHeight="false" outlineLevel="0" collapsed="false">
      <c r="A182" s="2" t="n">
        <v>7891317472009</v>
      </c>
      <c r="B182" s="2" t="n">
        <v>12815</v>
      </c>
      <c r="C182" s="2" t="s">
        <v>220</v>
      </c>
      <c r="E182" s="7" t="n">
        <f aca="false">IFERROR(VLOOKUP(B182,Entrada!A:B,2,0),0)</f>
        <v>67</v>
      </c>
      <c r="F182" s="7" t="n">
        <f aca="false">IFERROR(VLOOKUP(B182,Entrada!A:C,3,0),0)</f>
        <v>4.13518</v>
      </c>
      <c r="G182" s="7" t="n">
        <f aca="false">IFERROR(VLOOKUP(B182,Entrada!K:L,2,0),0)</f>
        <v>4.14</v>
      </c>
      <c r="H182" s="8" t="n">
        <f aca="false">IFERROR(VLOOKUP(B182,Entrada!A:D,4,0),0)</f>
        <v>400</v>
      </c>
      <c r="I182" s="8" t="n">
        <f aca="false">IFERROR(VLOOKUP(B182,Entrada!F:I,4,0),0)</f>
        <v>1700</v>
      </c>
      <c r="J182" s="8" t="n">
        <f aca="false">H182+I182</f>
        <v>2100</v>
      </c>
      <c r="K182" s="7" t="n">
        <f aca="false">G182*J182</f>
        <v>8694</v>
      </c>
      <c r="L182" s="0" t="str">
        <f aca="false">IFERROR(VLOOKUP(_xlfn.CONCAT($L$1,"-",B182),Saída_2023!$E:$F,2,0),"0")</f>
        <v>0</v>
      </c>
    </row>
    <row r="183" customFormat="false" ht="13.8" hidden="false" customHeight="false" outlineLevel="0" collapsed="false">
      <c r="A183" s="2" t="n">
        <v>7891317005917</v>
      </c>
      <c r="B183" s="2" t="n">
        <v>13184</v>
      </c>
      <c r="C183" s="2" t="s">
        <v>165</v>
      </c>
      <c r="E183" s="7" t="n">
        <f aca="false">IFERROR(VLOOKUP(B183,Entrada!A:B,2,0),0)</f>
        <v>12.74</v>
      </c>
      <c r="F183" s="7" t="n">
        <f aca="false">IFERROR(VLOOKUP(B183,Entrada!A:C,3,0),0)</f>
        <v>2.94719048</v>
      </c>
      <c r="G183" s="7" t="n">
        <f aca="false">IFERROR(VLOOKUP(B183,Entrada!K:L,2,0),0)</f>
        <v>3.82</v>
      </c>
      <c r="H183" s="8" t="n">
        <f aca="false">IFERROR(VLOOKUP(B183,Entrada!A:D,4,0),0)</f>
        <v>210</v>
      </c>
      <c r="I183" s="8" t="n">
        <f aca="false">IFERROR(VLOOKUP(B183,Entrada!F:I,4,0),0)</f>
        <v>525</v>
      </c>
      <c r="J183" s="8" t="n">
        <f aca="false">H183+I183</f>
        <v>735</v>
      </c>
      <c r="K183" s="7" t="n">
        <f aca="false">G183*J183</f>
        <v>2807.7</v>
      </c>
      <c r="L183" s="0" t="str">
        <f aca="false">IFERROR(VLOOKUP(_xlfn.CONCAT($L$1,"-",B183),Saída_2023!$E:$F,2,0),"0")</f>
        <v>0</v>
      </c>
    </row>
    <row r="184" customFormat="false" ht="13.8" hidden="false" customHeight="false" outlineLevel="0" collapsed="false">
      <c r="A184" s="2" t="n">
        <v>7891317005900</v>
      </c>
      <c r="B184" s="2" t="n">
        <v>13185</v>
      </c>
      <c r="C184" s="2" t="s">
        <v>167</v>
      </c>
      <c r="E184" s="7" t="n">
        <f aca="false">IFERROR(VLOOKUP(B184,Entrada!A:B,2,0),0)</f>
        <v>24.45</v>
      </c>
      <c r="F184" s="7" t="n">
        <f aca="false">IFERROR(VLOOKUP(B184,Entrada!A:C,3,0),0)</f>
        <v>5.35395238</v>
      </c>
      <c r="G184" s="7" t="n">
        <f aca="false">IFERROR(VLOOKUP(B184,Entrada!K:L,2,0),0)</f>
        <v>6.28</v>
      </c>
      <c r="H184" s="8" t="n">
        <f aca="false">IFERROR(VLOOKUP(B184,Entrada!A:D,4,0),0)</f>
        <v>210</v>
      </c>
      <c r="I184" s="8" t="n">
        <f aca="false">IFERROR(VLOOKUP(B184,Entrada!F:I,4,0),0)</f>
        <v>315</v>
      </c>
      <c r="J184" s="8" t="n">
        <f aca="false">H184+I184</f>
        <v>525</v>
      </c>
      <c r="K184" s="7" t="n">
        <f aca="false">G184*J184</f>
        <v>3297</v>
      </c>
      <c r="L184" s="0" t="str">
        <f aca="false">IFERROR(VLOOKUP(_xlfn.CONCAT($L$1,"-",B184),Saída_2023!$E:$F,2,0),"0")</f>
        <v>0</v>
      </c>
    </row>
    <row r="185" customFormat="false" ht="13.8" hidden="false" customHeight="false" outlineLevel="0" collapsed="false">
      <c r="A185" s="2" t="n">
        <v>7891317004286</v>
      </c>
      <c r="B185" s="2" t="n">
        <v>13449</v>
      </c>
      <c r="C185" s="2" t="s">
        <v>305</v>
      </c>
      <c r="E185" s="7" t="n">
        <f aca="false">IFERROR(VLOOKUP(B185,Entrada!A:B,2,0),0)</f>
        <v>130.39</v>
      </c>
      <c r="F185" s="7" t="n">
        <f aca="false">IFERROR(VLOOKUP(B185,Entrada!A:C,3,0),0)</f>
        <v>11.2161</v>
      </c>
      <c r="G185" s="7" t="n">
        <f aca="false">IFERROR(VLOOKUP(B185,Entrada!K:L,2,0),0)</f>
        <v>11.22</v>
      </c>
      <c r="H185" s="8" t="n">
        <f aca="false">IFERROR(VLOOKUP(B185,Entrada!A:D,4,0),0)</f>
        <v>300</v>
      </c>
      <c r="I185" s="8" t="n">
        <f aca="false">IFERROR(VLOOKUP(B185,Entrada!F:I,4,0),0)</f>
        <v>500</v>
      </c>
      <c r="J185" s="8" t="n">
        <f aca="false">H185+I185</f>
        <v>800</v>
      </c>
      <c r="K185" s="7" t="n">
        <f aca="false">G185*J185</f>
        <v>8976</v>
      </c>
      <c r="L185" s="0" t="str">
        <f aca="false">IFERROR(VLOOKUP(_xlfn.CONCAT($L$1,"-",B185),Saída_2023!$E:$F,2,0),"0")</f>
        <v>0</v>
      </c>
    </row>
    <row r="186" customFormat="false" ht="13.8" hidden="false" customHeight="false" outlineLevel="0" collapsed="false">
      <c r="A186" s="2" t="n">
        <v>7891317008932</v>
      </c>
      <c r="B186" s="2" t="n">
        <v>14000</v>
      </c>
      <c r="C186" s="2" t="s">
        <v>222</v>
      </c>
      <c r="E186" s="7" t="n">
        <f aca="false">IFERROR(VLOOKUP(B186,Entrada!A:B,2,0),0)</f>
        <v>15.71</v>
      </c>
      <c r="F186" s="7" t="n">
        <f aca="false">IFERROR(VLOOKUP(B186,Entrada!A:C,3,0),0)</f>
        <v>3.45423333</v>
      </c>
      <c r="G186" s="7" t="n">
        <f aca="false">IFERROR(VLOOKUP(B186,Entrada!K:L,2,0),0)</f>
        <v>4.46</v>
      </c>
      <c r="H186" s="8" t="n">
        <f aca="false">IFERROR(VLOOKUP(B186,Entrada!A:D,4,0),0)</f>
        <v>1300</v>
      </c>
      <c r="I186" s="8" t="n">
        <f aca="false">IFERROR(VLOOKUP(B186,Entrada!F:I,4,0),0)</f>
        <v>1000</v>
      </c>
      <c r="J186" s="8" t="n">
        <f aca="false">H186+I186</f>
        <v>2300</v>
      </c>
      <c r="K186" s="7" t="n">
        <f aca="false">G186*J186</f>
        <v>10258</v>
      </c>
      <c r="L186" s="0" t="str">
        <f aca="false">IFERROR(VLOOKUP(_xlfn.CONCAT($L$1,"-",B186),Saída_2023!$E:$F,2,0),"0")</f>
        <v>0</v>
      </c>
    </row>
    <row r="187" customFormat="false" ht="13.8" hidden="false" customHeight="false" outlineLevel="0" collapsed="false">
      <c r="A187" s="2" t="n">
        <v>7891317488352</v>
      </c>
      <c r="B187" s="2" t="n">
        <v>14252</v>
      </c>
      <c r="C187" s="2" t="s">
        <v>338</v>
      </c>
      <c r="E187" s="7" t="n">
        <f aca="false">IFERROR(VLOOKUP(B187,Entrada!A:B,2,0),0)</f>
        <v>102.51</v>
      </c>
      <c r="F187" s="7" t="n">
        <f aca="false">IFERROR(VLOOKUP(B187,Entrada!A:C,3,0),0)</f>
        <v>47.6166</v>
      </c>
      <c r="G187" s="7" t="n">
        <f aca="false">IFERROR(VLOOKUP(B187,Entrada!K:L,2,0),0)</f>
        <v>47.62</v>
      </c>
      <c r="H187" s="8" t="n">
        <f aca="false">IFERROR(VLOOKUP(B187,Entrada!A:D,4,0),0)</f>
        <v>100</v>
      </c>
      <c r="I187" s="8" t="n">
        <f aca="false">IFERROR(VLOOKUP(B187,Entrada!F:I,4,0),0)</f>
        <v>0</v>
      </c>
      <c r="J187" s="8" t="n">
        <f aca="false">H187+I187</f>
        <v>100</v>
      </c>
      <c r="K187" s="7" t="n">
        <f aca="false">G187*J187</f>
        <v>4762</v>
      </c>
      <c r="L187" s="0" t="str">
        <f aca="false">IFERROR(VLOOKUP(_xlfn.CONCAT($L$1,"-",B187),Saída_2023!$E:$F,2,0),"0")</f>
        <v>0</v>
      </c>
    </row>
    <row r="188" customFormat="false" ht="13.8" hidden="false" customHeight="false" outlineLevel="0" collapsed="false">
      <c r="A188" s="2" t="n">
        <v>7891317488390</v>
      </c>
      <c r="B188" s="2" t="n">
        <v>14253</v>
      </c>
      <c r="C188" s="2" t="s">
        <v>340</v>
      </c>
      <c r="E188" s="7" t="n">
        <f aca="false">IFERROR(VLOOKUP(B188,Entrada!A:B,2,0),0)</f>
        <v>102.51</v>
      </c>
      <c r="F188" s="7" t="n">
        <f aca="false">IFERROR(VLOOKUP(B188,Entrada!A:C,3,0),0)</f>
        <v>45.09322222</v>
      </c>
      <c r="G188" s="7" t="n">
        <f aca="false">IFERROR(VLOOKUP(B188,Entrada!K:L,2,0),0)</f>
        <v>45.09</v>
      </c>
      <c r="H188" s="8" t="n">
        <f aca="false">IFERROR(VLOOKUP(B188,Entrada!A:D,4,0),0)</f>
        <v>180</v>
      </c>
      <c r="I188" s="8" t="n">
        <f aca="false">IFERROR(VLOOKUP(B188,Entrada!F:I,4,0),0)</f>
        <v>0</v>
      </c>
      <c r="J188" s="8" t="n">
        <f aca="false">H188+I188</f>
        <v>180</v>
      </c>
      <c r="K188" s="7" t="n">
        <f aca="false">G188*J188</f>
        <v>8116.2</v>
      </c>
      <c r="L188" s="0" t="str">
        <f aca="false">IFERROR(VLOOKUP(_xlfn.CONCAT($L$1,"-",B188),Saída_2023!$E:$F,2,0),"0")</f>
        <v>0</v>
      </c>
    </row>
    <row r="189" customFormat="false" ht="13.8" hidden="false" customHeight="false" outlineLevel="0" collapsed="false">
      <c r="A189" s="2" t="n">
        <v>7891317001476</v>
      </c>
      <c r="B189" s="2" t="n">
        <v>14254</v>
      </c>
      <c r="C189" s="2" t="s">
        <v>87</v>
      </c>
      <c r="E189" s="7" t="n">
        <f aca="false">IFERROR(VLOOKUP(B189,Entrada!A:B,2,0),0)</f>
        <v>28.01</v>
      </c>
      <c r="F189" s="7" t="n">
        <f aca="false">IFERROR(VLOOKUP(B189,Entrada!A:C,3,0),0)</f>
        <v>2.6507</v>
      </c>
      <c r="G189" s="7" t="n">
        <f aca="false">IFERROR(VLOOKUP(B189,Entrada!K:L,2,0),0)</f>
        <v>2.65</v>
      </c>
      <c r="H189" s="8" t="n">
        <f aca="false">IFERROR(VLOOKUP(B189,Entrada!A:D,4,0),0)</f>
        <v>500</v>
      </c>
      <c r="I189" s="8" t="n">
        <f aca="false">IFERROR(VLOOKUP(B189,Entrada!F:I,4,0),0)</f>
        <v>0</v>
      </c>
      <c r="J189" s="8" t="n">
        <f aca="false">H189+I189</f>
        <v>500</v>
      </c>
      <c r="K189" s="7" t="n">
        <f aca="false">G189*J189</f>
        <v>1325</v>
      </c>
      <c r="L189" s="0" t="str">
        <f aca="false">IFERROR(VLOOKUP(_xlfn.CONCAT($L$1,"-",B189),Saída_2023!$E:$F,2,0),"0")</f>
        <v>0</v>
      </c>
    </row>
    <row r="190" customFormat="false" ht="13.8" hidden="false" customHeight="false" outlineLevel="0" collapsed="false">
      <c r="A190" s="2" t="n">
        <v>7891317133634</v>
      </c>
      <c r="B190" s="2" t="n">
        <v>14291</v>
      </c>
      <c r="C190" s="2" t="s">
        <v>452</v>
      </c>
      <c r="E190" s="7" t="n">
        <f aca="false">IFERROR(VLOOKUP(B190,Entrada!A:B,2,0),0)</f>
        <v>80.54</v>
      </c>
      <c r="F190" s="7" t="n">
        <f aca="false">IFERROR(VLOOKUP(B190,Entrada!A:C,3,0),0)</f>
        <v>18.8351</v>
      </c>
      <c r="G190" s="7" t="n">
        <f aca="false">IFERROR(VLOOKUP(B190,Entrada!K:L,2,0),0)</f>
        <v>23.55</v>
      </c>
      <c r="H190" s="8" t="n">
        <f aca="false">IFERROR(VLOOKUP(B190,Entrada!A:D,4,0),0)</f>
        <v>0</v>
      </c>
      <c r="I190" s="8" t="n">
        <f aca="false">IFERROR(VLOOKUP(B190,Entrada!F:I,4,0),0)</f>
        <v>100</v>
      </c>
      <c r="J190" s="8" t="n">
        <f aca="false">H190+I190</f>
        <v>100</v>
      </c>
      <c r="K190" s="7" t="n">
        <f aca="false">G190*J190</f>
        <v>2355</v>
      </c>
      <c r="L190" s="0" t="str">
        <f aca="false">IFERROR(VLOOKUP(_xlfn.CONCAT($L$1,"-",B190),Saída_2023!$E:$F,2,0),"0")</f>
        <v>0</v>
      </c>
    </row>
    <row r="191" customFormat="false" ht="13.8" hidden="false" customHeight="false" outlineLevel="0" collapsed="false">
      <c r="A191" s="2" t="n">
        <v>7891317133733</v>
      </c>
      <c r="B191" s="2" t="n">
        <v>14292</v>
      </c>
      <c r="C191" s="2" t="s">
        <v>454</v>
      </c>
      <c r="E191" s="7" t="n">
        <f aca="false">IFERROR(VLOOKUP(B191,Entrada!A:B,2,0),0)</f>
        <v>322.09</v>
      </c>
      <c r="F191" s="7" t="n">
        <f aca="false">IFERROR(VLOOKUP(B191,Entrada!A:C,3,0),0)</f>
        <v>89.205</v>
      </c>
      <c r="G191" s="7" t="n">
        <f aca="false">IFERROR(VLOOKUP(B191,Entrada!K:L,2,0),0)</f>
        <v>89.21</v>
      </c>
      <c r="H191" s="8" t="n">
        <f aca="false">IFERROR(VLOOKUP(B191,Entrada!A:D,4,0),0)</f>
        <v>50</v>
      </c>
      <c r="I191" s="8" t="n">
        <f aca="false">IFERROR(VLOOKUP(B191,Entrada!F:I,4,0),0)</f>
        <v>0</v>
      </c>
      <c r="J191" s="8" t="n">
        <f aca="false">H191+I191</f>
        <v>50</v>
      </c>
      <c r="K191" s="7" t="n">
        <f aca="false">G191*J191</f>
        <v>4460.5</v>
      </c>
      <c r="L191" s="0" t="str">
        <f aca="false">IFERROR(VLOOKUP(_xlfn.CONCAT($L$1,"-",B191),Saída_2023!$E:$F,2,0),"0")</f>
        <v>0</v>
      </c>
    </row>
    <row r="192" customFormat="false" ht="13.8" hidden="false" customHeight="false" outlineLevel="0" collapsed="false">
      <c r="A192" s="2" t="n">
        <v>7891317007294</v>
      </c>
      <c r="B192" s="2" t="n">
        <v>14293</v>
      </c>
      <c r="C192" s="2" t="s">
        <v>250</v>
      </c>
      <c r="E192" s="7" t="n">
        <f aca="false">IFERROR(VLOOKUP(B192,Entrada!A:B,2,0),0)</f>
        <v>217.4</v>
      </c>
      <c r="F192" s="7" t="n">
        <f aca="false">IFERROR(VLOOKUP(B192,Entrada!A:C,3,0),0)</f>
        <v>54.45733333</v>
      </c>
      <c r="G192" s="7" t="n">
        <f aca="false">IFERROR(VLOOKUP(B192,Entrada!K:L,2,0),0)</f>
        <v>0</v>
      </c>
      <c r="H192" s="8" t="n">
        <f aca="false">IFERROR(VLOOKUP(B192,Entrada!A:D,4,0),0)</f>
        <v>0</v>
      </c>
      <c r="I192" s="8" t="n">
        <f aca="false">IFERROR(VLOOKUP(B192,Entrada!F:I,4,0),0)</f>
        <v>0</v>
      </c>
      <c r="J192" s="8" t="n">
        <f aca="false">H192+I192</f>
        <v>0</v>
      </c>
      <c r="K192" s="7" t="n">
        <f aca="false">G192*J192</f>
        <v>0</v>
      </c>
      <c r="L192" s="0" t="str">
        <f aca="false">IFERROR(VLOOKUP(_xlfn.CONCAT($L$1,"-",B192),Saída_2023!$E:$F,2,0),"0")</f>
        <v>0</v>
      </c>
    </row>
    <row r="193" customFormat="false" ht="13.8" hidden="false" customHeight="false" outlineLevel="0" collapsed="false">
      <c r="A193" s="2" t="n">
        <v>7891317007287</v>
      </c>
      <c r="B193" s="2" t="n">
        <v>14294</v>
      </c>
      <c r="C193" s="2" t="s">
        <v>254</v>
      </c>
      <c r="E193" s="7" t="n">
        <f aca="false">IFERROR(VLOOKUP(B193,Entrada!A:B,2,0),0)</f>
        <v>202.43</v>
      </c>
      <c r="F193" s="7" t="n">
        <f aca="false">IFERROR(VLOOKUP(B193,Entrada!A:C,3,0),0)</f>
        <v>55.720666</v>
      </c>
      <c r="G193" s="7" t="n">
        <f aca="false">IFERROR(VLOOKUP(B193,Entrada!K:L,2,0),0)</f>
        <v>55.72</v>
      </c>
      <c r="H193" s="8" t="n">
        <f aca="false">IFERROR(VLOOKUP(B193,Entrada!A:D,4,0),0)</f>
        <v>60</v>
      </c>
      <c r="I193" s="8" t="n">
        <f aca="false">IFERROR(VLOOKUP(B193,Entrada!F:I,4,0),0)</f>
        <v>0</v>
      </c>
      <c r="J193" s="8" t="n">
        <f aca="false">H193+I193</f>
        <v>60</v>
      </c>
      <c r="K193" s="7" t="n">
        <f aca="false">G193*J193</f>
        <v>3343.2</v>
      </c>
      <c r="L193" s="0" t="str">
        <f aca="false">IFERROR(VLOOKUP(_xlfn.CONCAT($L$1,"-",B193),Saída_2023!$E:$F,2,0),"0")</f>
        <v>0</v>
      </c>
    </row>
    <row r="194" customFormat="false" ht="13.8" hidden="false" customHeight="false" outlineLevel="0" collapsed="false">
      <c r="A194" s="2" t="n">
        <v>7891317154332</v>
      </c>
      <c r="B194" s="2" t="n">
        <v>14509</v>
      </c>
      <c r="C194" s="2" t="s">
        <v>402</v>
      </c>
      <c r="E194" s="7" t="n">
        <f aca="false">IFERROR(VLOOKUP(B194,Entrada!A:B,2,0),0)</f>
        <v>71.79</v>
      </c>
      <c r="F194" s="7" t="n">
        <f aca="false">IFERROR(VLOOKUP(B194,Entrada!A:C,3,0),0)</f>
        <v>22.23154762</v>
      </c>
      <c r="G194" s="7" t="n">
        <f aca="false">IFERROR(VLOOKUP(B194,Entrada!K:L,2,0),0)</f>
        <v>22.23</v>
      </c>
      <c r="H194" s="8" t="n">
        <f aca="false">IFERROR(VLOOKUP(B194,Entrada!A:D,4,0),0)</f>
        <v>252</v>
      </c>
      <c r="I194" s="8" t="n">
        <f aca="false">IFERROR(VLOOKUP(B194,Entrada!F:I,4,0),0)</f>
        <v>84</v>
      </c>
      <c r="J194" s="8" t="n">
        <f aca="false">H194+I194</f>
        <v>336</v>
      </c>
      <c r="K194" s="7" t="n">
        <f aca="false">G194*J194</f>
        <v>7469.28</v>
      </c>
      <c r="L194" s="0" t="str">
        <f aca="false">IFERROR(VLOOKUP(_xlfn.CONCAT($L$1,"-",B194),Saída_2023!$E:$F,2,0),"0")</f>
        <v>0</v>
      </c>
    </row>
    <row r="195" customFormat="false" ht="13.8" hidden="false" customHeight="false" outlineLevel="0" collapsed="false">
      <c r="A195" s="2" t="n">
        <v>7891317010157</v>
      </c>
      <c r="B195" s="2" t="n">
        <v>14696</v>
      </c>
      <c r="C195" s="2" t="s">
        <v>292</v>
      </c>
      <c r="E195" s="7" t="n">
        <f aca="false">IFERROR(VLOOKUP(B195,Entrada!A:B,2,0),0)</f>
        <v>90.73</v>
      </c>
      <c r="F195" s="7" t="n">
        <f aca="false">IFERROR(VLOOKUP(B195,Entrada!A:C,3,0),0)</f>
        <v>25.959357</v>
      </c>
      <c r="G195" s="7" t="n">
        <f aca="false">IFERROR(VLOOKUP(B195,Entrada!K:L,2,0),0)</f>
        <v>0</v>
      </c>
      <c r="H195" s="8" t="n">
        <f aca="false">IFERROR(VLOOKUP(B195,Entrada!A:D,4,0),0)</f>
        <v>0</v>
      </c>
      <c r="I195" s="8" t="n">
        <f aca="false">IFERROR(VLOOKUP(B195,Entrada!F:I,4,0),0)</f>
        <v>0</v>
      </c>
      <c r="J195" s="8" t="n">
        <f aca="false">H195+I195</f>
        <v>0</v>
      </c>
      <c r="K195" s="7" t="n">
        <f aca="false">G195*J195</f>
        <v>0</v>
      </c>
      <c r="L195" s="0" t="str">
        <f aca="false">IFERROR(VLOOKUP(_xlfn.CONCAT($L$1,"-",B195),Saída_2023!$E:$F,2,0),"0")</f>
        <v>0</v>
      </c>
    </row>
    <row r="196" customFormat="false" ht="13.8" hidden="false" customHeight="false" outlineLevel="0" collapsed="false">
      <c r="A196" s="2" t="n">
        <v>7891317002596</v>
      </c>
      <c r="B196" s="2" t="n">
        <v>14724</v>
      </c>
      <c r="C196" s="2" t="s">
        <v>356</v>
      </c>
      <c r="E196" s="7" t="n">
        <f aca="false">IFERROR(VLOOKUP(B196,Entrada!A:B,2,0),0)</f>
        <v>36.25</v>
      </c>
      <c r="F196" s="7" t="n">
        <f aca="false">IFERROR(VLOOKUP(B196,Entrada!A:C,3,0),0)</f>
        <v>14.38275</v>
      </c>
      <c r="G196" s="7" t="n">
        <f aca="false">IFERROR(VLOOKUP(B196,Entrada!K:L,2,0),0)</f>
        <v>14.38</v>
      </c>
      <c r="H196" s="8" t="n">
        <f aca="false">IFERROR(VLOOKUP(B196,Entrada!A:D,4,0),0)</f>
        <v>300</v>
      </c>
      <c r="I196" s="8" t="n">
        <f aca="false">IFERROR(VLOOKUP(B196,Entrada!F:I,4,0),0)</f>
        <v>0</v>
      </c>
      <c r="J196" s="8" t="n">
        <f aca="false">H196+I196</f>
        <v>300</v>
      </c>
      <c r="K196" s="7" t="n">
        <f aca="false">G196*J196</f>
        <v>4314</v>
      </c>
      <c r="L196" s="0" t="str">
        <f aca="false">IFERROR(VLOOKUP(_xlfn.CONCAT($L$1,"-",B196),Saída_2023!$E:$F,2,0),"0")</f>
        <v>0</v>
      </c>
    </row>
    <row r="197" customFormat="false" ht="13.8" hidden="false" customHeight="false" outlineLevel="0" collapsed="false">
      <c r="A197" s="2" t="n">
        <v>7891317009106</v>
      </c>
      <c r="B197" s="2" t="n">
        <v>14725</v>
      </c>
      <c r="C197" s="2" t="s">
        <v>135</v>
      </c>
      <c r="E197" s="7" t="n">
        <f aca="false">IFERROR(VLOOKUP(B197,Entrada!A:B,2,0),0)</f>
        <v>25.26</v>
      </c>
      <c r="F197" s="7" t="n">
        <f aca="false">IFERROR(VLOOKUP(B197,Entrada!A:C,3,0),0)</f>
        <v>7.35958333</v>
      </c>
      <c r="G197" s="7" t="n">
        <f aca="false">IFERROR(VLOOKUP(B197,Entrada!K:L,2,0),0)</f>
        <v>7.58</v>
      </c>
      <c r="H197" s="8" t="n">
        <f aca="false">IFERROR(VLOOKUP(B197,Entrada!A:D,4,0),0)</f>
        <v>240</v>
      </c>
      <c r="I197" s="8" t="n">
        <f aca="false">IFERROR(VLOOKUP(B197,Entrada!F:I,4,0),0)</f>
        <v>960</v>
      </c>
      <c r="J197" s="8" t="n">
        <f aca="false">H197+I197</f>
        <v>1200</v>
      </c>
      <c r="K197" s="7" t="n">
        <f aca="false">G197*J197</f>
        <v>9096</v>
      </c>
      <c r="L197" s="0" t="str">
        <f aca="false">IFERROR(VLOOKUP(_xlfn.CONCAT($L$1,"-",B197),Saída_2023!$E:$F,2,0),"0")</f>
        <v>0</v>
      </c>
    </row>
    <row r="198" customFormat="false" ht="13.8" hidden="false" customHeight="false" outlineLevel="0" collapsed="false">
      <c r="A198" s="2" t="n">
        <v>7891317009113</v>
      </c>
      <c r="B198" s="2" t="n">
        <v>14726</v>
      </c>
      <c r="C198" s="2" t="s">
        <v>137</v>
      </c>
      <c r="E198" s="7" t="n">
        <f aca="false">IFERROR(VLOOKUP(B198,Entrada!A:B,2,0),0)</f>
        <v>25.26</v>
      </c>
      <c r="F198" s="7" t="n">
        <f aca="false">IFERROR(VLOOKUP(B198,Entrada!A:C,3,0),0)</f>
        <v>7.35958333</v>
      </c>
      <c r="G198" s="7" t="n">
        <f aca="false">IFERROR(VLOOKUP(B198,Entrada!K:L,2,0),0)</f>
        <v>7.36</v>
      </c>
      <c r="H198" s="8" t="n">
        <f aca="false">IFERROR(VLOOKUP(B198,Entrada!A:D,4,0),0)</f>
        <v>240</v>
      </c>
      <c r="I198" s="8" t="n">
        <f aca="false">IFERROR(VLOOKUP(B198,Entrada!F:I,4,0),0)</f>
        <v>720</v>
      </c>
      <c r="J198" s="8" t="n">
        <f aca="false">H198+I198</f>
        <v>960</v>
      </c>
      <c r="K198" s="7" t="n">
        <f aca="false">G198*J198</f>
        <v>7065.6</v>
      </c>
      <c r="L198" s="0" t="str">
        <f aca="false">IFERROR(VLOOKUP(_xlfn.CONCAT($L$1,"-",B198),Saída_2023!$E:$F,2,0),"0")</f>
        <v>0</v>
      </c>
    </row>
    <row r="199" customFormat="false" ht="13.8" hidden="false" customHeight="false" outlineLevel="0" collapsed="false">
      <c r="A199" s="2" t="n">
        <v>7891317005252</v>
      </c>
      <c r="B199" s="2" t="n">
        <v>15219</v>
      </c>
      <c r="C199" s="2" t="s">
        <v>238</v>
      </c>
      <c r="E199" s="7" t="n">
        <f aca="false">IFERROR(VLOOKUP(B199,Entrada!A:B,2,0),0)</f>
        <v>59.47</v>
      </c>
      <c r="F199" s="7" t="n">
        <f aca="false">IFERROR(VLOOKUP(B199,Entrada!A:C,3,0),0)</f>
        <v>13.4371</v>
      </c>
      <c r="G199" s="7" t="n">
        <f aca="false">IFERROR(VLOOKUP(B199,Entrada!K:L,2,0),0)</f>
        <v>0</v>
      </c>
      <c r="H199" s="8" t="n">
        <f aca="false">IFERROR(VLOOKUP(B199,Entrada!A:D,4,0),0)</f>
        <v>0</v>
      </c>
      <c r="I199" s="8" t="n">
        <f aca="false">IFERROR(VLOOKUP(B199,Entrada!F:I,4,0),0)</f>
        <v>0</v>
      </c>
      <c r="J199" s="8" t="n">
        <f aca="false">H199+I199</f>
        <v>0</v>
      </c>
      <c r="K199" s="7" t="n">
        <f aca="false">G199*J199</f>
        <v>0</v>
      </c>
      <c r="L199" s="0" t="str">
        <f aca="false">IFERROR(VLOOKUP(_xlfn.CONCAT($L$1,"-",B199),Saída_2023!$E:$F,2,0),"0")</f>
        <v>0</v>
      </c>
    </row>
    <row r="200" customFormat="false" ht="13.8" hidden="false" customHeight="false" outlineLevel="0" collapsed="false">
      <c r="A200" s="2" t="n">
        <v>7891317010263</v>
      </c>
      <c r="B200" s="2" t="n">
        <v>15268</v>
      </c>
      <c r="C200" s="2" t="s">
        <v>384</v>
      </c>
      <c r="E200" s="7" t="n">
        <f aca="false">IFERROR(VLOOKUP(B200,Entrada!A:B,2,0),0)</f>
        <v>25.07</v>
      </c>
      <c r="F200" s="7" t="n">
        <f aca="false">IFERROR(VLOOKUP(B200,Entrada!A:C,3,0),0)</f>
        <v>7.2943888</v>
      </c>
      <c r="G200" s="7" t="n">
        <f aca="false">IFERROR(VLOOKUP(B200,Entrada!K:L,2,0),0)</f>
        <v>7.29</v>
      </c>
      <c r="H200" s="8" t="n">
        <f aca="false">IFERROR(VLOOKUP(B200,Entrada!A:D,4,0),0)</f>
        <v>2700</v>
      </c>
      <c r="I200" s="8" t="n">
        <f aca="false">IFERROR(VLOOKUP(B200,Entrada!F:I,4,0),0)</f>
        <v>450</v>
      </c>
      <c r="J200" s="8" t="n">
        <f aca="false">H200+I200</f>
        <v>3150</v>
      </c>
      <c r="K200" s="7" t="n">
        <f aca="false">G200*J200</f>
        <v>22963.5</v>
      </c>
      <c r="L200" s="0" t="str">
        <f aca="false">IFERROR(VLOOKUP(_xlfn.CONCAT($L$1,"-",B200),Saída_2023!$E:$F,2,0),"0")</f>
        <v>0</v>
      </c>
    </row>
    <row r="201" customFormat="false" ht="13.8" hidden="false" customHeight="false" outlineLevel="0" collapsed="false">
      <c r="A201" s="2" t="n">
        <v>7891317010270</v>
      </c>
      <c r="B201" s="2" t="n">
        <v>15269</v>
      </c>
      <c r="C201" s="2" t="s">
        <v>386</v>
      </c>
      <c r="E201" s="7" t="n">
        <f aca="false">IFERROR(VLOOKUP(B201,Entrada!A:B,2,0),0)</f>
        <v>48.95</v>
      </c>
      <c r="F201" s="7" t="n">
        <f aca="false">IFERROR(VLOOKUP(B201,Entrada!A:C,3,0),0)</f>
        <v>15.93805</v>
      </c>
      <c r="G201" s="7" t="n">
        <f aca="false">IFERROR(VLOOKUP(B201,Entrada!K:L,2,0),0)</f>
        <v>0</v>
      </c>
      <c r="H201" s="8" t="n">
        <f aca="false">IFERROR(VLOOKUP(B201,Entrada!A:D,4,0),0)</f>
        <v>0</v>
      </c>
      <c r="I201" s="8" t="n">
        <f aca="false">IFERROR(VLOOKUP(B201,Entrada!F:I,4,0),0)</f>
        <v>0</v>
      </c>
      <c r="J201" s="8" t="n">
        <f aca="false">H201+I201</f>
        <v>0</v>
      </c>
      <c r="K201" s="7" t="n">
        <f aca="false">G201*J201</f>
        <v>0</v>
      </c>
      <c r="L201" s="0" t="str">
        <f aca="false">IFERROR(VLOOKUP(_xlfn.CONCAT($L$1,"-",B201),Saída_2023!$E:$F,2,0),"0")</f>
        <v>0</v>
      </c>
    </row>
    <row r="202" customFormat="false" ht="13.8" hidden="false" customHeight="false" outlineLevel="0" collapsed="false">
      <c r="A202" s="2" t="n">
        <v>7891317017026</v>
      </c>
      <c r="B202" s="2" t="n">
        <v>15567</v>
      </c>
      <c r="C202" s="2" t="s">
        <v>560</v>
      </c>
      <c r="E202" s="7" t="n">
        <f aca="false">IFERROR(VLOOKUP(B202,Entrada!A:B,2,0),0)</f>
        <v>49.51</v>
      </c>
      <c r="F202" s="7" t="n">
        <f aca="false">IFERROR(VLOOKUP(B202,Entrada!A:C,3,0),0)</f>
        <v>11.3498</v>
      </c>
      <c r="G202" s="7" t="n">
        <f aca="false">IFERROR(VLOOKUP(B202,Entrada!K:L,2,0),0)</f>
        <v>11.35</v>
      </c>
      <c r="H202" s="8" t="n">
        <f aca="false">IFERROR(VLOOKUP(B202,Entrada!A:D,4,0),0)</f>
        <v>200</v>
      </c>
      <c r="I202" s="8" t="n">
        <f aca="false">IFERROR(VLOOKUP(B202,Entrada!F:I,4,0),0)</f>
        <v>0</v>
      </c>
      <c r="J202" s="8" t="n">
        <f aca="false">H202+I202</f>
        <v>200</v>
      </c>
      <c r="K202" s="7" t="n">
        <f aca="false">G202*J202</f>
        <v>2270</v>
      </c>
      <c r="L202" s="0" t="str">
        <f aca="false">IFERROR(VLOOKUP(_xlfn.CONCAT($L$1,"-",B202),Saída_2023!$E:$F,2,0),"0")</f>
        <v>0</v>
      </c>
    </row>
    <row r="203" customFormat="false" ht="13.8" hidden="false" customHeight="false" outlineLevel="0" collapsed="false">
      <c r="A203" s="2" t="n">
        <v>7891317017033</v>
      </c>
      <c r="B203" s="2" t="n">
        <v>15568</v>
      </c>
      <c r="C203" s="2" t="s">
        <v>556</v>
      </c>
      <c r="E203" s="7" t="n">
        <f aca="false">IFERROR(VLOOKUP(B203,Entrada!A:B,2,0),0)</f>
        <v>50.75</v>
      </c>
      <c r="F203" s="7" t="n">
        <f aca="false">IFERROR(VLOOKUP(B203,Entrada!A:C,3,0),0)</f>
        <v>19.2073</v>
      </c>
      <c r="G203" s="7" t="n">
        <f aca="false">IFERROR(VLOOKUP(B203,Entrada!K:L,2,0),0)</f>
        <v>19.64</v>
      </c>
      <c r="H203" s="8" t="n">
        <f aca="false">IFERROR(VLOOKUP(B203,Entrada!A:D,4,0),0)</f>
        <v>600</v>
      </c>
      <c r="I203" s="8" t="n">
        <f aca="false">IFERROR(VLOOKUP(B203,Entrada!F:I,4,0),0)</f>
        <v>200</v>
      </c>
      <c r="J203" s="8" t="n">
        <f aca="false">H203+I203</f>
        <v>800</v>
      </c>
      <c r="K203" s="7" t="n">
        <f aca="false">G203*J203</f>
        <v>15712</v>
      </c>
      <c r="L203" s="0" t="str">
        <f aca="false">IFERROR(VLOOKUP(_xlfn.CONCAT($L$1,"-",B203),Saída_2023!$E:$F,2,0),"0")</f>
        <v>0</v>
      </c>
    </row>
    <row r="204" customFormat="false" ht="13.8" hidden="false" customHeight="false" outlineLevel="0" collapsed="false">
      <c r="A204" s="2" t="n">
        <v>7891317017040</v>
      </c>
      <c r="B204" s="2" t="n">
        <v>15569</v>
      </c>
      <c r="C204" s="2" t="s">
        <v>558</v>
      </c>
      <c r="E204" s="7" t="n">
        <f aca="false">IFERROR(VLOOKUP(B204,Entrada!A:B,2,0),0)</f>
        <v>58.84</v>
      </c>
      <c r="F204" s="7" t="n">
        <f aca="false">IFERROR(VLOOKUP(B204,Entrada!A:C,3,0),0)</f>
        <v>32.89625</v>
      </c>
      <c r="G204" s="7" t="n">
        <f aca="false">IFERROR(VLOOKUP(B204,Entrada!K:L,2,0),0)</f>
        <v>30.87</v>
      </c>
      <c r="H204" s="8" t="n">
        <f aca="false">IFERROR(VLOOKUP(B204,Entrada!A:D,4,0),0)</f>
        <v>120</v>
      </c>
      <c r="I204" s="8" t="n">
        <f aca="false">IFERROR(VLOOKUP(B204,Entrada!F:I,4,0),0)</f>
        <v>80</v>
      </c>
      <c r="J204" s="8" t="n">
        <f aca="false">H204+I204</f>
        <v>200</v>
      </c>
      <c r="K204" s="7" t="n">
        <f aca="false">G204*J204</f>
        <v>6174</v>
      </c>
      <c r="L204" s="0" t="str">
        <f aca="false">IFERROR(VLOOKUP(_xlfn.CONCAT($L$1,"-",B204),Saída_2023!$E:$F,2,0),"0")</f>
        <v>0</v>
      </c>
    </row>
    <row r="205" customFormat="false" ht="13.8" hidden="false" customHeight="false" outlineLevel="0" collapsed="false">
      <c r="A205" s="2" t="n">
        <v>7891317010171</v>
      </c>
      <c r="B205" s="2" t="n">
        <v>15724</v>
      </c>
      <c r="C205" s="2" t="s">
        <v>153</v>
      </c>
      <c r="E205" s="7" t="n">
        <f aca="false">IFERROR(VLOOKUP(B205,Entrada!A:B,2,0),0)</f>
        <v>129.06</v>
      </c>
      <c r="F205" s="7" t="n">
        <f aca="false">IFERROR(VLOOKUP(B205,Entrada!A:C,3,0),0)</f>
        <v>66.60883333</v>
      </c>
      <c r="G205" s="7" t="n">
        <f aca="false">IFERROR(VLOOKUP(B205,Entrada!K:L,2,0),0)</f>
        <v>66.61</v>
      </c>
      <c r="H205" s="8" t="n">
        <f aca="false">IFERROR(VLOOKUP(B205,Entrada!A:D,4,0),0)</f>
        <v>120</v>
      </c>
      <c r="I205" s="8" t="n">
        <f aca="false">IFERROR(VLOOKUP(B205,Entrada!F:I,4,0),0)</f>
        <v>60</v>
      </c>
      <c r="J205" s="8" t="n">
        <f aca="false">H205+I205</f>
        <v>180</v>
      </c>
      <c r="K205" s="7" t="n">
        <f aca="false">G205*J205</f>
        <v>11989.8</v>
      </c>
      <c r="L205" s="0" t="str">
        <f aca="false">IFERROR(VLOOKUP(_xlfn.CONCAT($L$1,"-",B205),Saída_2023!$E:$F,2,0),"0")</f>
        <v>0</v>
      </c>
    </row>
    <row r="206" customFormat="false" ht="13.8" hidden="false" customHeight="false" outlineLevel="0" collapsed="false">
      <c r="A206" s="2" t="n">
        <v>7891317010195</v>
      </c>
      <c r="B206" s="2" t="n">
        <v>15725</v>
      </c>
      <c r="C206" s="2" t="s">
        <v>155</v>
      </c>
      <c r="E206" s="7" t="n">
        <f aca="false">IFERROR(VLOOKUP(B206,Entrada!A:B,2,0),0)</f>
        <v>239.22</v>
      </c>
      <c r="F206" s="7" t="n">
        <f aca="false">IFERROR(VLOOKUP(B206,Entrada!A:C,3,0),0)</f>
        <v>108.0735</v>
      </c>
      <c r="G206" s="7" t="n">
        <f aca="false">IFERROR(VLOOKUP(B206,Entrada!K:L,2,0),0)</f>
        <v>0</v>
      </c>
      <c r="H206" s="8" t="n">
        <f aca="false">IFERROR(VLOOKUP(B206,Entrada!A:D,4,0),0)</f>
        <v>0</v>
      </c>
      <c r="I206" s="8" t="n">
        <f aca="false">IFERROR(VLOOKUP(B206,Entrada!F:I,4,0),0)</f>
        <v>0</v>
      </c>
      <c r="J206" s="8" t="n">
        <f aca="false">H206+I206</f>
        <v>0</v>
      </c>
      <c r="K206" s="7" t="n">
        <f aca="false">G206*J206</f>
        <v>0</v>
      </c>
      <c r="L206" s="0" t="str">
        <f aca="false">IFERROR(VLOOKUP(_xlfn.CONCAT($L$1,"-",B206),Saída_2023!$E:$F,2,0),"0")</f>
        <v>0</v>
      </c>
    </row>
    <row r="207" customFormat="false" ht="13.8" hidden="false" customHeight="false" outlineLevel="0" collapsed="false">
      <c r="A207" s="2" t="n">
        <v>7891317010164</v>
      </c>
      <c r="B207" s="2" t="n">
        <v>15726</v>
      </c>
      <c r="C207" s="2" t="s">
        <v>149</v>
      </c>
      <c r="E207" s="7" t="n">
        <f aca="false">IFERROR(VLOOKUP(B207,Entrada!A:B,2,0),0)</f>
        <v>94.24</v>
      </c>
      <c r="F207" s="7" t="n">
        <f aca="false">IFERROR(VLOOKUP(B207,Entrada!A:C,3,0),0)</f>
        <v>46.0565</v>
      </c>
      <c r="G207" s="7" t="n">
        <f aca="false">IFERROR(VLOOKUP(B207,Entrada!K:L,2,0),0)</f>
        <v>46.06</v>
      </c>
      <c r="H207" s="8" t="n">
        <f aca="false">IFERROR(VLOOKUP(B207,Entrada!A:D,4,0),0)</f>
        <v>60</v>
      </c>
      <c r="I207" s="8" t="n">
        <f aca="false">IFERROR(VLOOKUP(B207,Entrada!F:I,4,0),0)</f>
        <v>0</v>
      </c>
      <c r="J207" s="8" t="n">
        <f aca="false">H207+I207</f>
        <v>60</v>
      </c>
      <c r="K207" s="7" t="n">
        <f aca="false">G207*J207</f>
        <v>2763.6</v>
      </c>
      <c r="L207" s="0" t="str">
        <f aca="false">IFERROR(VLOOKUP(_xlfn.CONCAT($L$1,"-",B207),Saída_2023!$E:$F,2,0),"0")</f>
        <v>0</v>
      </c>
    </row>
    <row r="208" customFormat="false" ht="13.8" hidden="false" customHeight="false" outlineLevel="0" collapsed="false">
      <c r="A208" s="2" t="n">
        <v>7891317017651</v>
      </c>
      <c r="B208" s="2" t="n">
        <v>15836</v>
      </c>
      <c r="C208" s="2" t="s">
        <v>497</v>
      </c>
      <c r="E208" s="7" t="n">
        <f aca="false">IFERROR(VLOOKUP(B208,Entrada!A:B,2,0),0)</f>
        <v>188.1</v>
      </c>
      <c r="F208" s="7" t="n">
        <f aca="false">IFERROR(VLOOKUP(B208,Entrada!A:C,3,0),0)</f>
        <v>33.1632</v>
      </c>
      <c r="G208" s="7" t="n">
        <f aca="false">IFERROR(VLOOKUP(B208,Entrada!K:L,2,0),0)</f>
        <v>11.33</v>
      </c>
      <c r="H208" s="8" t="n">
        <f aca="false">IFERROR(VLOOKUP(B208,Entrada!A:D,4,0),0)</f>
        <v>0</v>
      </c>
      <c r="I208" s="8" t="n">
        <f aca="false">IFERROR(VLOOKUP(B208,Entrada!F:I,4,0),0)</f>
        <v>1000</v>
      </c>
      <c r="J208" s="8" t="n">
        <f aca="false">H208+I208</f>
        <v>1000</v>
      </c>
      <c r="K208" s="7" t="n">
        <f aca="false">G208*J208</f>
        <v>11330</v>
      </c>
      <c r="L208" s="0" t="str">
        <f aca="false">IFERROR(VLOOKUP(_xlfn.CONCAT($L$1,"-",B208),Saída_2023!$E:$F,2,0),"0")</f>
        <v>0</v>
      </c>
    </row>
    <row r="209" customFormat="false" ht="13.8" hidden="false" customHeight="false" outlineLevel="0" collapsed="false">
      <c r="A209" s="2" t="n">
        <v>7891317017668</v>
      </c>
      <c r="B209" s="2" t="n">
        <v>15837</v>
      </c>
      <c r="C209" s="2" t="s">
        <v>499</v>
      </c>
      <c r="E209" s="7" t="n">
        <f aca="false">IFERROR(VLOOKUP(B209,Entrada!A:B,2,0),0)</f>
        <v>175.58</v>
      </c>
      <c r="F209" s="7" t="n">
        <f aca="false">IFERROR(VLOOKUP(B209,Entrada!A:C,3,0),0)</f>
        <v>15.73226127</v>
      </c>
      <c r="G209" s="7" t="n">
        <f aca="false">IFERROR(VLOOKUP(B209,Entrada!K:L,2,0),0)</f>
        <v>12.08</v>
      </c>
      <c r="H209" s="8" t="n">
        <f aca="false">IFERROR(VLOOKUP(B209,Entrada!A:D,4,0),0)</f>
        <v>200</v>
      </c>
      <c r="I209" s="8" t="n">
        <f aca="false">IFERROR(VLOOKUP(B209,Entrada!F:I,4,0),0)</f>
        <v>1000</v>
      </c>
      <c r="J209" s="8" t="n">
        <f aca="false">H209+I209</f>
        <v>1200</v>
      </c>
      <c r="K209" s="7" t="n">
        <f aca="false">G209*J209</f>
        <v>14496</v>
      </c>
      <c r="L209" s="0" t="str">
        <f aca="false">IFERROR(VLOOKUP(_xlfn.CONCAT($L$1,"-",B209),Saída_2023!$E:$F,2,0),"0")</f>
        <v>0</v>
      </c>
    </row>
    <row r="210" customFormat="false" ht="13.8" hidden="false" customHeight="false" outlineLevel="0" collapsed="false">
      <c r="A210" s="2" t="n">
        <v>7891317017675</v>
      </c>
      <c r="B210" s="2" t="n">
        <v>15838</v>
      </c>
      <c r="C210" s="2" t="s">
        <v>501</v>
      </c>
      <c r="E210" s="7" t="n">
        <f aca="false">IFERROR(VLOOKUP(B210,Entrada!A:B,2,0),0)</f>
        <v>175.58</v>
      </c>
      <c r="F210" s="7" t="n">
        <f aca="false">IFERROR(VLOOKUP(B210,Entrada!A:C,3,0),0)</f>
        <v>12.0821</v>
      </c>
      <c r="G210" s="7" t="n">
        <f aca="false">IFERROR(VLOOKUP(B210,Entrada!K:L,2,0),0)</f>
        <v>12.08</v>
      </c>
      <c r="H210" s="8" t="n">
        <f aca="false">IFERROR(VLOOKUP(B210,Entrada!A:D,4,0),0)</f>
        <v>600</v>
      </c>
      <c r="I210" s="8" t="n">
        <f aca="false">IFERROR(VLOOKUP(B210,Entrada!F:I,4,0),0)</f>
        <v>2800</v>
      </c>
      <c r="J210" s="8" t="n">
        <f aca="false">H210+I210</f>
        <v>3400</v>
      </c>
      <c r="K210" s="7" t="n">
        <f aca="false">G210*J210</f>
        <v>41072</v>
      </c>
      <c r="L210" s="0" t="str">
        <f aca="false">IFERROR(VLOOKUP(_xlfn.CONCAT($L$1,"-",B210),Saída_2023!$E:$F,2,0),"0")</f>
        <v>0</v>
      </c>
    </row>
    <row r="211" customFormat="false" ht="13.8" hidden="false" customHeight="false" outlineLevel="0" collapsed="false">
      <c r="A211" s="2" t="n">
        <v>7891317011420</v>
      </c>
      <c r="B211" s="2" t="n">
        <v>15839</v>
      </c>
      <c r="C211" s="2" t="s">
        <v>280</v>
      </c>
      <c r="E211" s="7" t="n">
        <f aca="false">IFERROR(VLOOKUP(B211,Entrada!A:B,2,0),0)</f>
        <v>50.57</v>
      </c>
      <c r="F211" s="7" t="n">
        <f aca="false">IFERROR(VLOOKUP(B211,Entrada!A:C,3,0),0)</f>
        <v>8.8672</v>
      </c>
      <c r="G211" s="7" t="n">
        <f aca="false">IFERROR(VLOOKUP(B211,Entrada!K:L,2,0),0)</f>
        <v>8.87</v>
      </c>
      <c r="H211" s="8" t="n">
        <f aca="false">IFERROR(VLOOKUP(B211,Entrada!A:D,4,0),0)</f>
        <v>100</v>
      </c>
      <c r="I211" s="8" t="n">
        <f aca="false">IFERROR(VLOOKUP(B211,Entrada!F:I,4,0),0)</f>
        <v>0</v>
      </c>
      <c r="J211" s="8" t="n">
        <f aca="false">H211+I211</f>
        <v>100</v>
      </c>
      <c r="K211" s="7" t="n">
        <f aca="false">G211*J211</f>
        <v>887</v>
      </c>
      <c r="L211" s="0" t="str">
        <f aca="false">IFERROR(VLOOKUP(_xlfn.CONCAT($L$1,"-",B211),Saída_2023!$E:$F,2,0),"0")</f>
        <v>0</v>
      </c>
    </row>
    <row r="212" customFormat="false" ht="13.8" hidden="false" customHeight="false" outlineLevel="0" collapsed="false">
      <c r="A212" s="2" t="n">
        <v>7891317010744</v>
      </c>
      <c r="B212" s="2" t="n">
        <v>15841</v>
      </c>
      <c r="C212" s="2" t="s">
        <v>256</v>
      </c>
      <c r="E212" s="7" t="n">
        <f aca="false">IFERROR(VLOOKUP(B212,Entrada!A:B,2,0),0)</f>
        <v>25.27</v>
      </c>
      <c r="F212" s="7" t="n">
        <f aca="false">IFERROR(VLOOKUP(B212,Entrada!A:C,3,0),0)</f>
        <v>11.47691667</v>
      </c>
      <c r="G212" s="7" t="n">
        <f aca="false">IFERROR(VLOOKUP(B212,Entrada!K:L,2,0),0)</f>
        <v>11.48</v>
      </c>
      <c r="H212" s="8" t="n">
        <f aca="false">IFERROR(VLOOKUP(B212,Entrada!A:D,4,0),0)</f>
        <v>3960</v>
      </c>
      <c r="I212" s="8" t="n">
        <f aca="false">IFERROR(VLOOKUP(B212,Entrada!F:I,4,0),0)</f>
        <v>0</v>
      </c>
      <c r="J212" s="8" t="n">
        <f aca="false">H212+I212</f>
        <v>3960</v>
      </c>
      <c r="K212" s="7" t="n">
        <f aca="false">G212*J212</f>
        <v>45460.8</v>
      </c>
      <c r="L212" s="0" t="str">
        <f aca="false">IFERROR(VLOOKUP(_xlfn.CONCAT($L$1,"-",B212),Saída_2023!$E:$F,2,0),"0")</f>
        <v>0</v>
      </c>
    </row>
    <row r="213" customFormat="false" ht="13.8" hidden="false" customHeight="false" outlineLevel="0" collapsed="false">
      <c r="A213" s="2" t="n">
        <v>7891317010355</v>
      </c>
      <c r="B213" s="2" t="n">
        <v>15856</v>
      </c>
      <c r="C213" s="2" t="s">
        <v>390</v>
      </c>
      <c r="E213" s="7" t="n">
        <f aca="false">IFERROR(VLOOKUP(B213,Entrada!A:B,2,0),0)</f>
        <v>28.09</v>
      </c>
      <c r="F213" s="7" t="n">
        <f aca="false">IFERROR(VLOOKUP(B213,Entrada!A:C,3,0),0)</f>
        <v>14.253563</v>
      </c>
      <c r="G213" s="7" t="n">
        <f aca="false">IFERROR(VLOOKUP(B213,Entrada!K:L,2,0),0)</f>
        <v>14.25</v>
      </c>
      <c r="H213" s="8" t="n">
        <f aca="false">IFERROR(VLOOKUP(B213,Entrada!A:D,4,0),0)</f>
        <v>2400</v>
      </c>
      <c r="I213" s="8" t="n">
        <f aca="false">IFERROR(VLOOKUP(B213,Entrada!F:I,4,0),0)</f>
        <v>0</v>
      </c>
      <c r="J213" s="8" t="n">
        <f aca="false">H213+I213</f>
        <v>2400</v>
      </c>
      <c r="K213" s="7" t="n">
        <f aca="false">G213*J213</f>
        <v>34200</v>
      </c>
      <c r="L213" s="0" t="str">
        <f aca="false">IFERROR(VLOOKUP(_xlfn.CONCAT($L$1,"-",B213),Saída_2023!$E:$F,2,0),"0")</f>
        <v>0</v>
      </c>
    </row>
    <row r="214" customFormat="false" ht="13.8" hidden="false" customHeight="false" outlineLevel="0" collapsed="false">
      <c r="A214" s="2" t="n">
        <v>7891317010362</v>
      </c>
      <c r="B214" s="2" t="n">
        <v>15857</v>
      </c>
      <c r="C214" s="2" t="s">
        <v>388</v>
      </c>
      <c r="E214" s="7" t="n">
        <f aca="false">IFERROR(VLOOKUP(B214,Entrada!A:B,2,0),0)</f>
        <v>38.82</v>
      </c>
      <c r="F214" s="7" t="n">
        <f aca="false">IFERROR(VLOOKUP(B214,Entrada!A:C,3,0),0)</f>
        <v>20.19427</v>
      </c>
      <c r="G214" s="7" t="n">
        <f aca="false">IFERROR(VLOOKUP(B214,Entrada!K:L,2,0),0)</f>
        <v>20.19</v>
      </c>
      <c r="H214" s="8" t="n">
        <f aca="false">IFERROR(VLOOKUP(B214,Entrada!A:D,4,0),0)</f>
        <v>4512</v>
      </c>
      <c r="I214" s="8" t="n">
        <f aca="false">IFERROR(VLOOKUP(B214,Entrada!F:I,4,0),0)</f>
        <v>0</v>
      </c>
      <c r="J214" s="8" t="n">
        <f aca="false">H214+I214</f>
        <v>4512</v>
      </c>
      <c r="K214" s="7" t="n">
        <f aca="false">G214*J214</f>
        <v>91097.28</v>
      </c>
      <c r="L214" s="0" t="str">
        <f aca="false">IFERROR(VLOOKUP(_xlfn.CONCAT($L$1,"-",B214),Saída_2023!$E:$F,2,0),"0")</f>
        <v>0</v>
      </c>
    </row>
    <row r="215" customFormat="false" ht="13.8" hidden="false" customHeight="false" outlineLevel="0" collapsed="false">
      <c r="A215" s="2" t="n">
        <v>7891317009915</v>
      </c>
      <c r="B215" s="2" t="n">
        <v>16080</v>
      </c>
      <c r="C215" s="2" t="s">
        <v>548</v>
      </c>
      <c r="E215" s="7" t="n">
        <f aca="false">IFERROR(VLOOKUP(B215,Entrada!A:B,2,0),0)</f>
        <v>65.85</v>
      </c>
      <c r="F215" s="7" t="n">
        <f aca="false">IFERROR(VLOOKUP(B215,Entrada!A:C,3,0),0)</f>
        <v>18.6215</v>
      </c>
      <c r="G215" s="7" t="n">
        <f aca="false">IFERROR(VLOOKUP(B215,Entrada!K:L,2,0),0)</f>
        <v>18.62</v>
      </c>
      <c r="H215" s="8" t="n">
        <f aca="false">IFERROR(VLOOKUP(B215,Entrada!A:D,4,0),0)</f>
        <v>1840</v>
      </c>
      <c r="I215" s="8" t="n">
        <f aca="false">IFERROR(VLOOKUP(B215,Entrada!F:I,4,0),0)</f>
        <v>0</v>
      </c>
      <c r="J215" s="8" t="n">
        <f aca="false">H215+I215</f>
        <v>1840</v>
      </c>
      <c r="K215" s="7" t="n">
        <f aca="false">G215*J215</f>
        <v>34260.8</v>
      </c>
      <c r="L215" s="0" t="str">
        <f aca="false">IFERROR(VLOOKUP(_xlfn.CONCAT($L$1,"-",B215),Saída_2023!$E:$F,2,0),"0")</f>
        <v>0</v>
      </c>
    </row>
    <row r="216" customFormat="false" ht="13.8" hidden="false" customHeight="false" outlineLevel="0" collapsed="false">
      <c r="A216" s="2" t="n">
        <v>7891317016326</v>
      </c>
      <c r="B216" s="2" t="n">
        <v>16091</v>
      </c>
      <c r="C216" s="2" t="s">
        <v>145</v>
      </c>
      <c r="E216" s="7" t="n">
        <f aca="false">IFERROR(VLOOKUP(B216,Entrada!A:B,2,0),0)</f>
        <v>33.85</v>
      </c>
      <c r="F216" s="7" t="n">
        <f aca="false">IFERROR(VLOOKUP(B216,Entrada!A:C,3,0),0)</f>
        <v>15.94952</v>
      </c>
      <c r="G216" s="7" t="n">
        <f aca="false">IFERROR(VLOOKUP(B216,Entrada!K:L,2,0),0)</f>
        <v>15.95</v>
      </c>
      <c r="H216" s="8" t="n">
        <f aca="false">IFERROR(VLOOKUP(B216,Entrada!A:D,4,0),0)</f>
        <v>2800</v>
      </c>
      <c r="I216" s="8" t="n">
        <f aca="false">IFERROR(VLOOKUP(B216,Entrada!F:I,4,0),0)</f>
        <v>0</v>
      </c>
      <c r="J216" s="8" t="n">
        <f aca="false">H216+I216</f>
        <v>2800</v>
      </c>
      <c r="K216" s="7" t="n">
        <f aca="false">G216*J216</f>
        <v>44660</v>
      </c>
      <c r="L216" s="0" t="str">
        <f aca="false">IFERROR(VLOOKUP(_xlfn.CONCAT($L$1,"-",B216),Saída_2023!$E:$F,2,0),"0")</f>
        <v>0</v>
      </c>
    </row>
    <row r="217" customFormat="false" ht="13.8" hidden="false" customHeight="false" outlineLevel="0" collapsed="false">
      <c r="A217" s="2" t="n">
        <v>7891317016333</v>
      </c>
      <c r="B217" s="2" t="n">
        <v>16092</v>
      </c>
      <c r="C217" s="2" t="s">
        <v>143</v>
      </c>
      <c r="E217" s="7" t="n">
        <f aca="false">IFERROR(VLOOKUP(B217,Entrada!A:B,2,0),0)</f>
        <v>67.77</v>
      </c>
      <c r="F217" s="7" t="n">
        <f aca="false">IFERROR(VLOOKUP(B217,Entrada!A:C,3,0),0)</f>
        <v>31.9378</v>
      </c>
      <c r="G217" s="7" t="n">
        <f aca="false">IFERROR(VLOOKUP(B217,Entrada!K:L,2,0),0)</f>
        <v>31.94</v>
      </c>
      <c r="H217" s="8" t="n">
        <f aca="false">IFERROR(VLOOKUP(B217,Entrada!A:D,4,0),0)</f>
        <v>900</v>
      </c>
      <c r="I217" s="8" t="n">
        <f aca="false">IFERROR(VLOOKUP(B217,Entrada!F:I,4,0),0)</f>
        <v>0</v>
      </c>
      <c r="J217" s="8" t="n">
        <f aca="false">H217+I217</f>
        <v>900</v>
      </c>
      <c r="K217" s="7" t="n">
        <f aca="false">G217*J217</f>
        <v>28746</v>
      </c>
      <c r="L217" s="0" t="str">
        <f aca="false">IFERROR(VLOOKUP(_xlfn.CONCAT($L$1,"-",B217),Saída_2023!$E:$F,2,0),"0")</f>
        <v>0</v>
      </c>
    </row>
    <row r="218" customFormat="false" ht="13.8" hidden="false" customHeight="false" outlineLevel="0" collapsed="false">
      <c r="A218" s="2" t="n">
        <v>7891317020002</v>
      </c>
      <c r="B218" s="2" t="n">
        <v>16186</v>
      </c>
      <c r="C218" s="2" t="s">
        <v>73</v>
      </c>
      <c r="E218" s="7" t="n">
        <f aca="false">IFERROR(VLOOKUP(B218,Entrada!A:B,2,0),0)</f>
        <v>35.03</v>
      </c>
      <c r="F218" s="7" t="n">
        <f aca="false">IFERROR(VLOOKUP(B218,Entrada!A:C,3,0),0)</f>
        <v>7.23065</v>
      </c>
      <c r="G218" s="7" t="n">
        <f aca="false">IFERROR(VLOOKUP(B218,Entrada!K:L,2,0),0)</f>
        <v>7.23</v>
      </c>
      <c r="H218" s="8" t="n">
        <f aca="false">IFERROR(VLOOKUP(B218,Entrada!A:D,4,0),0)</f>
        <v>300</v>
      </c>
      <c r="I218" s="8" t="n">
        <f aca="false">IFERROR(VLOOKUP(B218,Entrada!F:I,4,0),0)</f>
        <v>200</v>
      </c>
      <c r="J218" s="8" t="n">
        <f aca="false">H218+I218</f>
        <v>500</v>
      </c>
      <c r="K218" s="7" t="n">
        <f aca="false">G218*J218</f>
        <v>3615</v>
      </c>
      <c r="L218" s="0" t="str">
        <f aca="false">IFERROR(VLOOKUP(_xlfn.CONCAT($L$1,"-",B218),Saída_2023!$E:$F,2,0),"0")</f>
        <v>0</v>
      </c>
    </row>
    <row r="219" customFormat="false" ht="13.8" hidden="false" customHeight="false" outlineLevel="0" collapsed="false">
      <c r="A219" s="2" t="n">
        <v>7891317018542</v>
      </c>
      <c r="B219" s="2" t="n">
        <v>16187</v>
      </c>
      <c r="C219" s="2" t="s">
        <v>342</v>
      </c>
      <c r="E219" s="7" t="n">
        <f aca="false">IFERROR(VLOOKUP(B219,Entrada!A:B,2,0),0)</f>
        <v>134.33</v>
      </c>
      <c r="F219" s="7" t="n">
        <f aca="false">IFERROR(VLOOKUP(B219,Entrada!A:C,3,0),0)</f>
        <v>30.042167</v>
      </c>
      <c r="G219" s="7" t="n">
        <f aca="false">IFERROR(VLOOKUP(B219,Entrada!K:L,2,0),0)</f>
        <v>33.51</v>
      </c>
      <c r="H219" s="8" t="n">
        <f aca="false">IFERROR(VLOOKUP(B219,Entrada!A:D,4,0),0)</f>
        <v>0</v>
      </c>
      <c r="I219" s="8" t="n">
        <f aca="false">IFERROR(VLOOKUP(B219,Entrada!F:I,4,0),0)</f>
        <v>504</v>
      </c>
      <c r="J219" s="8" t="n">
        <f aca="false">H219+I219</f>
        <v>504</v>
      </c>
      <c r="K219" s="7" t="n">
        <f aca="false">G219*J219</f>
        <v>16889.04</v>
      </c>
      <c r="L219" s="0" t="str">
        <f aca="false">IFERROR(VLOOKUP(_xlfn.CONCAT($L$1,"-",B219),Saída_2023!$E:$F,2,0),"0")</f>
        <v>0</v>
      </c>
    </row>
    <row r="220" customFormat="false" ht="13.8" hidden="false" customHeight="false" outlineLevel="0" collapsed="false">
      <c r="A220" s="2" t="n">
        <v>7891317013646</v>
      </c>
      <c r="B220" s="2" t="n">
        <v>16401</v>
      </c>
      <c r="C220" s="2" t="s">
        <v>161</v>
      </c>
      <c r="E220" s="7" t="n">
        <f aca="false">IFERROR(VLOOKUP(B220,Entrada!A:B,2,0),0)</f>
        <v>27.78</v>
      </c>
      <c r="F220" s="7" t="n">
        <f aca="false">IFERROR(VLOOKUP(B220,Entrada!A:C,3,0),0)</f>
        <v>19.23075833</v>
      </c>
      <c r="G220" s="7" t="n">
        <f aca="false">IFERROR(VLOOKUP(B220,Entrada!K:L,2,0),0)</f>
        <v>0</v>
      </c>
      <c r="H220" s="8" t="n">
        <f aca="false">IFERROR(VLOOKUP(B220,Entrada!A:D,4,0),0)</f>
        <v>0</v>
      </c>
      <c r="I220" s="8" t="n">
        <f aca="false">IFERROR(VLOOKUP(B220,Entrada!F:I,4,0),0)</f>
        <v>0</v>
      </c>
      <c r="J220" s="8" t="n">
        <f aca="false">H220+I220</f>
        <v>0</v>
      </c>
      <c r="K220" s="7" t="n">
        <f aca="false">G220*J220</f>
        <v>0</v>
      </c>
      <c r="L220" s="0" t="str">
        <f aca="false">IFERROR(VLOOKUP(_xlfn.CONCAT($L$1,"-",B220),Saída_2023!$E:$F,2,0),"0")</f>
        <v>0</v>
      </c>
    </row>
    <row r="221" customFormat="false" ht="13.8" hidden="false" customHeight="false" outlineLevel="0" collapsed="false">
      <c r="A221" s="2" t="n">
        <v>7891317013653</v>
      </c>
      <c r="B221" s="2" t="n">
        <v>16402</v>
      </c>
      <c r="C221" s="2" t="s">
        <v>163</v>
      </c>
      <c r="E221" s="7" t="n">
        <f aca="false">IFERROR(VLOOKUP(B221,Entrada!A:B,2,0),0)</f>
        <v>41.66</v>
      </c>
      <c r="F221" s="7" t="n">
        <f aca="false">IFERROR(VLOOKUP(B221,Entrada!A:C,3,0),0)</f>
        <v>29.514666</v>
      </c>
      <c r="G221" s="7" t="n">
        <f aca="false">IFERROR(VLOOKUP(B221,Entrada!K:L,2,0),0)</f>
        <v>29.51</v>
      </c>
      <c r="H221" s="8" t="n">
        <f aca="false">IFERROR(VLOOKUP(B221,Entrada!A:D,4,0),0)</f>
        <v>60</v>
      </c>
      <c r="I221" s="8" t="n">
        <f aca="false">IFERROR(VLOOKUP(B221,Entrada!F:I,4,0),0)</f>
        <v>0</v>
      </c>
      <c r="J221" s="8" t="n">
        <f aca="false">H221+I221</f>
        <v>60</v>
      </c>
      <c r="K221" s="7" t="n">
        <f aca="false">G221*J221</f>
        <v>1770.6</v>
      </c>
      <c r="L221" s="0" t="str">
        <f aca="false">IFERROR(VLOOKUP(_xlfn.CONCAT($L$1,"-",B221),Saída_2023!$E:$F,2,0),"0")</f>
        <v>0</v>
      </c>
    </row>
    <row r="222" customFormat="false" ht="13.8" hidden="false" customHeight="false" outlineLevel="0" collapsed="false">
      <c r="A222" s="2" t="n">
        <v>7891317018849</v>
      </c>
      <c r="B222" s="2" t="n">
        <v>16639</v>
      </c>
      <c r="C222" s="2" t="s">
        <v>568</v>
      </c>
      <c r="E222" s="7" t="n">
        <f aca="false">IFERROR(VLOOKUP(B222,Entrada!A:B,2,0),0)</f>
        <v>55.49</v>
      </c>
      <c r="F222" s="7" t="n">
        <f aca="false">IFERROR(VLOOKUP(B222,Entrada!A:C,3,0),0)</f>
        <v>4.29538</v>
      </c>
      <c r="G222" s="7" t="n">
        <f aca="false">IFERROR(VLOOKUP(B222,Entrada!K:L,2,0),0)</f>
        <v>4.3</v>
      </c>
      <c r="H222" s="8" t="n">
        <f aca="false">IFERROR(VLOOKUP(B222,Entrada!A:D,4,0),0)</f>
        <v>1200</v>
      </c>
      <c r="I222" s="8" t="n">
        <f aca="false">IFERROR(VLOOKUP(B222,Entrada!F:I,4,0),0)</f>
        <v>1200</v>
      </c>
      <c r="J222" s="8" t="n">
        <f aca="false">H222+I222</f>
        <v>2400</v>
      </c>
      <c r="K222" s="7" t="n">
        <f aca="false">G222*J222</f>
        <v>10320</v>
      </c>
      <c r="L222" s="0" t="str">
        <f aca="false">IFERROR(VLOOKUP(_xlfn.CONCAT($L$1,"-",B222),Saída_2023!$E:$F,2,0),"0")</f>
        <v>0</v>
      </c>
    </row>
    <row r="223" customFormat="false" ht="13.8" hidden="false" customHeight="false" outlineLevel="0" collapsed="false">
      <c r="A223" s="2" t="n">
        <v>7891317011338</v>
      </c>
      <c r="B223" s="2" t="n">
        <v>16798</v>
      </c>
      <c r="C223" s="2" t="s">
        <v>295</v>
      </c>
      <c r="E223" s="7" t="n">
        <f aca="false">IFERROR(VLOOKUP(B223,Entrada!A:B,2,0),0)</f>
        <v>103.91</v>
      </c>
      <c r="F223" s="7" t="n">
        <f aca="false">IFERROR(VLOOKUP(B223,Entrada!A:C,3,0),0)</f>
        <v>32.0415</v>
      </c>
      <c r="G223" s="7" t="n">
        <f aca="false">IFERROR(VLOOKUP(B223,Entrada!K:L,2,0),0)</f>
        <v>32.04</v>
      </c>
      <c r="H223" s="8" t="n">
        <f aca="false">IFERROR(VLOOKUP(B223,Entrada!A:D,4,0),0)</f>
        <v>320</v>
      </c>
      <c r="I223" s="8" t="n">
        <f aca="false">IFERROR(VLOOKUP(B223,Entrada!F:I,4,0),0)</f>
        <v>0</v>
      </c>
      <c r="J223" s="8" t="n">
        <f aca="false">H223+I223</f>
        <v>320</v>
      </c>
      <c r="K223" s="7" t="n">
        <f aca="false">G223*J223</f>
        <v>10252.8</v>
      </c>
      <c r="L223" s="0" t="str">
        <f aca="false">IFERROR(VLOOKUP(_xlfn.CONCAT($L$1,"-",B223),Saída_2023!$E:$F,2,0),"0")</f>
        <v>0</v>
      </c>
    </row>
    <row r="224" customFormat="false" ht="13.8" hidden="false" customHeight="false" outlineLevel="0" collapsed="false">
      <c r="A224" s="2" t="n">
        <v>7891317025083</v>
      </c>
      <c r="B224" s="2" t="n">
        <v>16807</v>
      </c>
      <c r="C224" s="2" t="s">
        <v>77</v>
      </c>
      <c r="E224" s="7" t="n">
        <f aca="false">IFERROR(VLOOKUP(B224,Entrada!A:B,2,0),0)</f>
        <v>26.73</v>
      </c>
      <c r="F224" s="7" t="n">
        <f aca="false">IFERROR(VLOOKUP(B224,Entrada!A:C,3,0),0)</f>
        <v>6.871967</v>
      </c>
      <c r="G224" s="7" t="n">
        <f aca="false">IFERROR(VLOOKUP(B224,Entrada!K:L,2,0),0)</f>
        <v>6.87</v>
      </c>
      <c r="H224" s="8" t="n">
        <f aca="false">IFERROR(VLOOKUP(B224,Entrada!A:D,4,0),0)</f>
        <v>3960</v>
      </c>
      <c r="I224" s="8" t="n">
        <f aca="false">IFERROR(VLOOKUP(B224,Entrada!F:I,4,0),0)</f>
        <v>0</v>
      </c>
      <c r="J224" s="8" t="n">
        <f aca="false">H224+I224</f>
        <v>3960</v>
      </c>
      <c r="K224" s="7" t="n">
        <f aca="false">G224*J224</f>
        <v>27205.2</v>
      </c>
      <c r="L224" s="0" t="str">
        <f aca="false">IFERROR(VLOOKUP(_xlfn.CONCAT($L$1,"-",B224),Saída_2023!$E:$F,2,0),"0")</f>
        <v>0</v>
      </c>
    </row>
    <row r="225" customFormat="false" ht="13.8" hidden="false" customHeight="false" outlineLevel="0" collapsed="false">
      <c r="A225" s="2" t="n">
        <v>7891317025786</v>
      </c>
      <c r="B225" s="2" t="n">
        <v>16833</v>
      </c>
      <c r="C225" s="2" t="s">
        <v>216</v>
      </c>
      <c r="E225" s="7" t="n">
        <f aca="false">IFERROR(VLOOKUP(B225,Entrada!A:B,2,0),0)</f>
        <v>43.99</v>
      </c>
      <c r="F225" s="7" t="n">
        <f aca="false">IFERROR(VLOOKUP(B225,Entrada!A:C,3,0),0)</f>
        <v>12.53821667</v>
      </c>
      <c r="G225" s="7" t="n">
        <f aca="false">IFERROR(VLOOKUP(B225,Entrada!K:L,2,0),0)</f>
        <v>11.35</v>
      </c>
      <c r="H225" s="8" t="n">
        <f aca="false">IFERROR(VLOOKUP(B225,Entrada!A:D,4,0),0)</f>
        <v>0</v>
      </c>
      <c r="I225" s="8" t="n">
        <f aca="false">IFERROR(VLOOKUP(B225,Entrada!F:I,4,0),0)</f>
        <v>400</v>
      </c>
      <c r="J225" s="8" t="n">
        <f aca="false">H225+I225</f>
        <v>400</v>
      </c>
      <c r="K225" s="7" t="n">
        <f aca="false">G225*J225</f>
        <v>4540</v>
      </c>
      <c r="L225" s="0" t="str">
        <f aca="false">IFERROR(VLOOKUP(_xlfn.CONCAT($L$1,"-",B225),Saída_2023!$E:$F,2,0),"0")</f>
        <v>0</v>
      </c>
    </row>
    <row r="226" customFormat="false" ht="13.8" hidden="false" customHeight="false" outlineLevel="0" collapsed="false">
      <c r="A226" s="2" t="n">
        <v>7891317452230</v>
      </c>
      <c r="B226" s="2" t="n">
        <v>19768</v>
      </c>
      <c r="C226" s="2" t="s">
        <v>209</v>
      </c>
      <c r="E226" s="7" t="n">
        <f aca="false">IFERROR(VLOOKUP(B226,Entrada!A:B,2,0),0)</f>
        <v>72.04</v>
      </c>
      <c r="F226" s="7" t="n">
        <f aca="false">IFERROR(VLOOKUP(B226,Entrada!A:C,3,0),0)</f>
        <v>23.501556</v>
      </c>
      <c r="G226" s="7" t="n">
        <f aca="false">IFERROR(VLOOKUP(B226,Entrada!K:L,2,0),0)</f>
        <v>23.5</v>
      </c>
      <c r="H226" s="8" t="n">
        <f aca="false">IFERROR(VLOOKUP(B226,Entrada!A:D,4,0),0)</f>
        <v>670</v>
      </c>
      <c r="I226" s="8" t="n">
        <f aca="false">IFERROR(VLOOKUP(B226,Entrada!F:I,4,0),0)</f>
        <v>0</v>
      </c>
      <c r="J226" s="8" t="n">
        <f aca="false">H226+I226</f>
        <v>670</v>
      </c>
      <c r="K226" s="7" t="n">
        <f aca="false">G226*J226</f>
        <v>15745</v>
      </c>
      <c r="L226" s="0" t="str">
        <f aca="false">IFERROR(VLOOKUP(_xlfn.CONCAT($L$1,"-",B226),Saída_2023!$E:$F,2,0),"0")</f>
        <v>0</v>
      </c>
    </row>
    <row r="227" customFormat="false" ht="13.8" hidden="false" customHeight="false" outlineLevel="0" collapsed="false">
      <c r="A227" s="2" t="n">
        <v>7891317016371</v>
      </c>
      <c r="B227" s="2" t="n">
        <v>21063</v>
      </c>
      <c r="C227" s="2" t="s">
        <v>396</v>
      </c>
      <c r="E227" s="7" t="n">
        <f aca="false">IFERROR(VLOOKUP(B227,Entrada!A:B,2,0),0)</f>
        <v>102.6</v>
      </c>
      <c r="F227" s="7" t="n">
        <f aca="false">IFERROR(VLOOKUP(B227,Entrada!A:C,3,0),0)</f>
        <v>15.004</v>
      </c>
      <c r="G227" s="7" t="n">
        <f aca="false">IFERROR(VLOOKUP(B227,Entrada!K:L,2,0),0)</f>
        <v>15</v>
      </c>
      <c r="H227" s="8" t="n">
        <f aca="false">IFERROR(VLOOKUP(B227,Entrada!A:D,4,0),0)</f>
        <v>80</v>
      </c>
      <c r="I227" s="8" t="n">
        <f aca="false">IFERROR(VLOOKUP(B227,Entrada!F:I,4,0),0)</f>
        <v>0</v>
      </c>
      <c r="J227" s="8" t="n">
        <f aca="false">H227+I227</f>
        <v>80</v>
      </c>
      <c r="K227" s="7" t="n">
        <f aca="false">G227*J227</f>
        <v>1200</v>
      </c>
      <c r="L227" s="0" t="str">
        <f aca="false">IFERROR(VLOOKUP(_xlfn.CONCAT($L$1,"-",B227),Saída_2023!$E:$F,2,0),"0")</f>
        <v>0</v>
      </c>
    </row>
    <row r="228" customFormat="false" ht="13.8" hidden="false" customHeight="false" outlineLevel="0" collapsed="false">
      <c r="A228" s="2" t="n">
        <v>7891317016388</v>
      </c>
      <c r="B228" s="2" t="n">
        <v>21064</v>
      </c>
      <c r="C228" s="2" t="s">
        <v>398</v>
      </c>
      <c r="E228" s="7" t="n">
        <f aca="false">IFERROR(VLOOKUP(B228,Entrada!A:B,2,0),0)</f>
        <v>117.09</v>
      </c>
      <c r="F228" s="7" t="n">
        <f aca="false">IFERROR(VLOOKUP(B228,Entrada!A:C,3,0),0)</f>
        <v>47.3055</v>
      </c>
      <c r="G228" s="7" t="n">
        <f aca="false">IFERROR(VLOOKUP(B228,Entrada!K:L,2,0),0)</f>
        <v>57.22</v>
      </c>
      <c r="H228" s="8" t="n">
        <f aca="false">IFERROR(VLOOKUP(B228,Entrada!A:D,4,0),0)</f>
        <v>0</v>
      </c>
      <c r="I228" s="8" t="n">
        <f aca="false">IFERROR(VLOOKUP(B228,Entrada!F:I,4,0),0)</f>
        <v>40</v>
      </c>
      <c r="J228" s="8" t="n">
        <f aca="false">H228+I228</f>
        <v>40</v>
      </c>
      <c r="K228" s="7" t="n">
        <f aca="false">G228*J228</f>
        <v>2288.8</v>
      </c>
      <c r="L228" s="0" t="str">
        <f aca="false">IFERROR(VLOOKUP(_xlfn.CONCAT($L$1,"-",B228),Saída_2023!$E:$F,2,0),"0")</f>
        <v>0</v>
      </c>
    </row>
    <row r="229" customFormat="false" ht="13.8" hidden="false" customHeight="false" outlineLevel="0" collapsed="false">
      <c r="A229" s="2" t="n">
        <v>7891317016395</v>
      </c>
      <c r="B229" s="2" t="n">
        <v>21065</v>
      </c>
      <c r="C229" s="2" t="s">
        <v>394</v>
      </c>
      <c r="E229" s="7" t="n">
        <f aca="false">IFERROR(VLOOKUP(B229,Entrada!A:B,2,0),0)</f>
        <v>125.09</v>
      </c>
      <c r="F229" s="7" t="n">
        <f aca="false">IFERROR(VLOOKUP(B229,Entrada!A:C,3,0),0)</f>
        <v>28.255</v>
      </c>
      <c r="G229" s="7" t="n">
        <f aca="false">IFERROR(VLOOKUP(B229,Entrada!K:L,2,0),0)</f>
        <v>0</v>
      </c>
      <c r="H229" s="8" t="n">
        <f aca="false">IFERROR(VLOOKUP(B229,Entrada!A:D,4,0),0)</f>
        <v>0</v>
      </c>
      <c r="I229" s="8" t="n">
        <f aca="false">IFERROR(VLOOKUP(B229,Entrada!F:I,4,0),0)</f>
        <v>0</v>
      </c>
      <c r="J229" s="8" t="n">
        <f aca="false">H229+I229</f>
        <v>0</v>
      </c>
      <c r="K229" s="7" t="n">
        <f aca="false">G229*J229</f>
        <v>0</v>
      </c>
      <c r="L229" s="0" t="str">
        <f aca="false">IFERROR(VLOOKUP(_xlfn.CONCAT($L$1,"-",B229),Saída_2023!$E:$F,2,0),"0")</f>
        <v>0</v>
      </c>
    </row>
    <row r="230" customFormat="false" ht="13.8" hidden="false" customHeight="false" outlineLevel="0" collapsed="false">
      <c r="A230" s="2" t="n">
        <v>7891317009922</v>
      </c>
      <c r="B230" s="2" t="n">
        <v>21094</v>
      </c>
      <c r="C230" s="2" t="s">
        <v>550</v>
      </c>
      <c r="E230" s="7" t="n">
        <f aca="false">IFERROR(VLOOKUP(B230,Entrada!A:B,2,0),0)</f>
        <v>115.49</v>
      </c>
      <c r="F230" s="7" t="n">
        <f aca="false">IFERROR(VLOOKUP(B230,Entrada!A:C,3,0),0)</f>
        <v>44.34615954</v>
      </c>
      <c r="G230" s="7" t="n">
        <f aca="false">IFERROR(VLOOKUP(B230,Entrada!K:L,2,0),0)</f>
        <v>0</v>
      </c>
      <c r="H230" s="8" t="n">
        <f aca="false">IFERROR(VLOOKUP(B230,Entrada!A:D,4,0),0)</f>
        <v>0</v>
      </c>
      <c r="I230" s="8" t="n">
        <f aca="false">IFERROR(VLOOKUP(B230,Entrada!F:I,4,0),0)</f>
        <v>0</v>
      </c>
      <c r="J230" s="8" t="n">
        <f aca="false">H230+I230</f>
        <v>0</v>
      </c>
      <c r="K230" s="7" t="n">
        <f aca="false">G230*J230</f>
        <v>0</v>
      </c>
      <c r="L230" s="0" t="str">
        <f aca="false">IFERROR(VLOOKUP(_xlfn.CONCAT($L$1,"-",B230),Saída_2023!$E:$F,2,0),"0")</f>
        <v>0</v>
      </c>
    </row>
    <row r="231" customFormat="false" ht="13.8" hidden="false" customHeight="false" outlineLevel="0" collapsed="false">
      <c r="A231" s="2" t="n">
        <v>7891317017422</v>
      </c>
      <c r="B231" s="2" t="n">
        <v>21165</v>
      </c>
      <c r="C231" s="2" t="s">
        <v>440</v>
      </c>
      <c r="E231" s="7" t="n">
        <f aca="false">IFERROR(VLOOKUP(B231,Entrada!A:B,2,0),0)</f>
        <v>34.96</v>
      </c>
      <c r="F231" s="7" t="n">
        <f aca="false">IFERROR(VLOOKUP(B231,Entrada!A:C,3,0),0)</f>
        <v>6.58312859</v>
      </c>
      <c r="G231" s="7" t="n">
        <f aca="false">IFERROR(VLOOKUP(B231,Entrada!K:L,2,0),0)</f>
        <v>6.01</v>
      </c>
      <c r="H231" s="8" t="n">
        <f aca="false">IFERROR(VLOOKUP(B231,Entrada!A:D,4,0),0)</f>
        <v>7200</v>
      </c>
      <c r="I231" s="8" t="n">
        <f aca="false">IFERROR(VLOOKUP(B231,Entrada!F:I,4,0),0)</f>
        <v>25560</v>
      </c>
      <c r="J231" s="8" t="n">
        <f aca="false">H231+I231</f>
        <v>32760</v>
      </c>
      <c r="K231" s="7" t="n">
        <f aca="false">G231*J231</f>
        <v>196887.6</v>
      </c>
      <c r="L231" s="0" t="str">
        <f aca="false">IFERROR(VLOOKUP(_xlfn.CONCAT($L$1,"-",B231),Saída_2023!$E:$F,2,0),"0")</f>
        <v>0</v>
      </c>
    </row>
    <row r="232" customFormat="false" ht="13.8" hidden="false" customHeight="false" outlineLevel="0" collapsed="false">
      <c r="A232" s="2" t="n">
        <v>7891317016920</v>
      </c>
      <c r="B232" s="2" t="n">
        <v>21791</v>
      </c>
      <c r="C232" s="2" t="s">
        <v>301</v>
      </c>
      <c r="E232" s="7" t="n">
        <f aca="false">IFERROR(VLOOKUP(B232,Entrada!A:B,2,0),0)</f>
        <v>20.75</v>
      </c>
      <c r="F232" s="7" t="n">
        <f aca="false">IFERROR(VLOOKUP(B232,Entrada!A:C,3,0),0)</f>
        <v>7.60716346</v>
      </c>
      <c r="G232" s="7" t="n">
        <f aca="false">IFERROR(VLOOKUP(B232,Entrada!K:L,2,0),0)</f>
        <v>7.61</v>
      </c>
      <c r="H232" s="8" t="n">
        <f aca="false">IFERROR(VLOOKUP(B232,Entrada!A:D,4,0),0)</f>
        <v>122600</v>
      </c>
      <c r="I232" s="8" t="n">
        <f aca="false">IFERROR(VLOOKUP(B232,Entrada!F:I,4,0),0)</f>
        <v>0</v>
      </c>
      <c r="J232" s="8" t="n">
        <f aca="false">H232+I232</f>
        <v>122600</v>
      </c>
      <c r="K232" s="7" t="n">
        <f aca="false">G232*J232</f>
        <v>932986</v>
      </c>
      <c r="L232" s="0" t="str">
        <f aca="false">IFERROR(VLOOKUP(_xlfn.CONCAT($L$1,"-",B232),Saída_2023!$E:$F,2,0),"0")</f>
        <v>0</v>
      </c>
    </row>
    <row r="233" customFormat="false" ht="13.8" hidden="false" customHeight="false" outlineLevel="0" collapsed="false">
      <c r="A233" s="2" t="n">
        <v>7891317021931</v>
      </c>
      <c r="B233" s="2" t="n">
        <v>21798</v>
      </c>
      <c r="C233" s="2" t="s">
        <v>292</v>
      </c>
      <c r="E233" s="7" t="n">
        <f aca="false">IFERROR(VLOOKUP(B233,Entrada!A:B,2,0),0)</f>
        <v>93</v>
      </c>
      <c r="F233" s="7" t="n">
        <f aca="false">IFERROR(VLOOKUP(B233,Entrada!A:C,3,0),0)</f>
        <v>23.999</v>
      </c>
      <c r="G233" s="7" t="n">
        <f aca="false">IFERROR(VLOOKUP(B233,Entrada!K:L,2,0),0)</f>
        <v>21.6</v>
      </c>
      <c r="H233" s="8" t="n">
        <f aca="false">IFERROR(VLOOKUP(B233,Entrada!A:D,4,0),0)</f>
        <v>280</v>
      </c>
      <c r="I233" s="8" t="n">
        <f aca="false">IFERROR(VLOOKUP(B233,Entrada!F:I,4,0),0)</f>
        <v>210</v>
      </c>
      <c r="J233" s="8" t="n">
        <f aca="false">H233+I233</f>
        <v>490</v>
      </c>
      <c r="K233" s="7" t="n">
        <f aca="false">G233*J233</f>
        <v>10584</v>
      </c>
      <c r="L233" s="0" t="str">
        <f aca="false">IFERROR(VLOOKUP(_xlfn.CONCAT($L$1,"-",B233),Saída_2023!$E:$F,2,0),"0")</f>
        <v>0</v>
      </c>
    </row>
    <row r="234" customFormat="false" ht="13.8" hidden="false" customHeight="false" outlineLevel="0" collapsed="false">
      <c r="A234" s="2" t="n">
        <v>7891317025809</v>
      </c>
      <c r="B234" s="2" t="n">
        <v>21957</v>
      </c>
      <c r="C234" s="2" t="s">
        <v>141</v>
      </c>
      <c r="E234" s="7" t="n">
        <f aca="false">IFERROR(VLOOKUP(B234,Entrada!A:B,2,0),0)</f>
        <v>25.36</v>
      </c>
      <c r="F234" s="7" t="n">
        <f aca="false">IFERROR(VLOOKUP(B234,Entrada!A:C,3,0),0)</f>
        <v>4.9988135</v>
      </c>
      <c r="G234" s="7" t="n">
        <f aca="false">IFERROR(VLOOKUP(B234,Entrada!K:L,2,0),0)</f>
        <v>5</v>
      </c>
      <c r="H234" s="8" t="n">
        <f aca="false">IFERROR(VLOOKUP(B234,Entrada!A:D,4,0),0)</f>
        <v>417</v>
      </c>
      <c r="I234" s="8" t="n">
        <f aca="false">IFERROR(VLOOKUP(B234,Entrada!F:I,4,0),0)</f>
        <v>480</v>
      </c>
      <c r="J234" s="8" t="n">
        <f aca="false">H234+I234</f>
        <v>897</v>
      </c>
      <c r="K234" s="7" t="n">
        <f aca="false">G234*J234</f>
        <v>4485</v>
      </c>
      <c r="L234" s="0" t="str">
        <f aca="false">IFERROR(VLOOKUP(_xlfn.CONCAT($L$1,"-",B234),Saída_2023!$E:$F,2,0),"0")</f>
        <v>0</v>
      </c>
    </row>
    <row r="235" customFormat="false" ht="13.8" hidden="false" customHeight="false" outlineLevel="0" collapsed="false">
      <c r="A235" s="2" t="n">
        <v>7891317025830</v>
      </c>
      <c r="B235" s="2" t="n">
        <v>21968</v>
      </c>
      <c r="C235" s="2" t="s">
        <v>438</v>
      </c>
      <c r="E235" s="7" t="n">
        <f aca="false">IFERROR(VLOOKUP(B235,Entrada!A:B,2,0),0)</f>
        <v>22.44</v>
      </c>
      <c r="F235" s="7" t="n">
        <f aca="false">IFERROR(VLOOKUP(B235,Entrada!A:C,3,0),0)</f>
        <v>4.9349666</v>
      </c>
      <c r="G235" s="7" t="n">
        <f aca="false">IFERROR(VLOOKUP(B235,Entrada!K:L,2,0),0)</f>
        <v>2.9</v>
      </c>
      <c r="H235" s="8" t="n">
        <f aca="false">IFERROR(VLOOKUP(B235,Entrada!A:D,4,0),0)</f>
        <v>600</v>
      </c>
      <c r="I235" s="8" t="n">
        <f aca="false">IFERROR(VLOOKUP(B235,Entrada!F:I,4,0),0)</f>
        <v>10600</v>
      </c>
      <c r="J235" s="8" t="n">
        <f aca="false">H235+I235</f>
        <v>11200</v>
      </c>
      <c r="K235" s="7" t="n">
        <f aca="false">G235*J235</f>
        <v>32480</v>
      </c>
      <c r="L235" s="0" t="str">
        <f aca="false">IFERROR(VLOOKUP(_xlfn.CONCAT($L$1,"-",B235),Saída_2023!$E:$F,2,0),"0")</f>
        <v>0</v>
      </c>
    </row>
    <row r="236" customFormat="false" ht="13.8" hidden="false" customHeight="false" outlineLevel="0" collapsed="false">
      <c r="A236" s="2" t="n">
        <v>7891317025793</v>
      </c>
      <c r="B236" s="2" t="n">
        <v>22019</v>
      </c>
      <c r="C236" s="2" t="s">
        <v>139</v>
      </c>
      <c r="E236" s="7" t="n">
        <f aca="false">IFERROR(VLOOKUP(B236,Entrada!A:B,2,0),0)</f>
        <v>24.41</v>
      </c>
      <c r="F236" s="7" t="n">
        <f aca="false">IFERROR(VLOOKUP(B236,Entrada!A:C,3,0),0)</f>
        <v>4.81020833</v>
      </c>
      <c r="G236" s="7" t="n">
        <f aca="false">IFERROR(VLOOKUP(B236,Entrada!K:L,2,0),0)</f>
        <v>4.39</v>
      </c>
      <c r="H236" s="8" t="n">
        <f aca="false">IFERROR(VLOOKUP(B236,Entrada!A:D,4,0),0)</f>
        <v>480</v>
      </c>
      <c r="I236" s="8" t="n">
        <f aca="false">IFERROR(VLOOKUP(B236,Entrada!F:I,4,0),0)</f>
        <v>400</v>
      </c>
      <c r="J236" s="8" t="n">
        <f aca="false">H236+I236</f>
        <v>880</v>
      </c>
      <c r="K236" s="7" t="n">
        <f aca="false">G236*J236</f>
        <v>3863.2</v>
      </c>
      <c r="L236" s="0" t="str">
        <f aca="false">IFERROR(VLOOKUP(_xlfn.CONCAT($L$1,"-",B236),Saída_2023!$E:$F,2,0),"0")</f>
        <v>0</v>
      </c>
    </row>
    <row r="237" customFormat="false" ht="13.8" hidden="false" customHeight="false" outlineLevel="0" collapsed="false">
      <c r="A237" s="2" t="n">
        <v>7891317020415</v>
      </c>
      <c r="B237" s="2" t="n">
        <v>22093</v>
      </c>
      <c r="C237" s="2" t="s">
        <v>282</v>
      </c>
      <c r="E237" s="7" t="n">
        <f aca="false">IFERROR(VLOOKUP(B237,Entrada!A:B,2,0),0)</f>
        <v>43.06</v>
      </c>
      <c r="F237" s="7" t="n">
        <f aca="false">IFERROR(VLOOKUP(B237,Entrada!A:C,3,0),0)</f>
        <v>22.2241</v>
      </c>
      <c r="G237" s="7" t="n">
        <f aca="false">IFERROR(VLOOKUP(B237,Entrada!K:L,2,0),0)</f>
        <v>22.22</v>
      </c>
      <c r="H237" s="8" t="n">
        <f aca="false">IFERROR(VLOOKUP(B237,Entrada!A:D,4,0),0)</f>
        <v>400</v>
      </c>
      <c r="I237" s="8" t="n">
        <f aca="false">IFERROR(VLOOKUP(B237,Entrada!F:I,4,0),0)</f>
        <v>0</v>
      </c>
      <c r="J237" s="8" t="n">
        <f aca="false">H237+I237</f>
        <v>400</v>
      </c>
      <c r="K237" s="7" t="n">
        <f aca="false">G237*J237</f>
        <v>8888</v>
      </c>
      <c r="L237" s="0" t="str">
        <f aca="false">IFERROR(VLOOKUP(_xlfn.CONCAT($L$1,"-",B237),Saída_2023!$E:$F,2,0),"0")</f>
        <v>0</v>
      </c>
    </row>
    <row r="238" customFormat="false" ht="13.8" hidden="false" customHeight="false" outlineLevel="0" collapsed="false">
      <c r="A238" s="2" t="n">
        <v>7891317020422</v>
      </c>
      <c r="B238" s="2" t="n">
        <v>22094</v>
      </c>
      <c r="C238" s="2" t="s">
        <v>284</v>
      </c>
      <c r="E238" s="7" t="n">
        <f aca="false">IFERROR(VLOOKUP(B238,Entrada!A:B,2,0),0)</f>
        <v>109.84</v>
      </c>
      <c r="F238" s="7" t="n">
        <f aca="false">IFERROR(VLOOKUP(B238,Entrada!A:C,3,0),0)</f>
        <v>56.689714</v>
      </c>
      <c r="G238" s="7" t="n">
        <f aca="false">IFERROR(VLOOKUP(B238,Entrada!K:L,2,0),0)</f>
        <v>56.69</v>
      </c>
      <c r="H238" s="8" t="n">
        <f aca="false">IFERROR(VLOOKUP(B238,Entrada!A:D,4,0),0)</f>
        <v>210</v>
      </c>
      <c r="I238" s="8" t="n">
        <f aca="false">IFERROR(VLOOKUP(B238,Entrada!F:I,4,0),0)</f>
        <v>0</v>
      </c>
      <c r="J238" s="8" t="n">
        <f aca="false">H238+I238</f>
        <v>210</v>
      </c>
      <c r="K238" s="7" t="n">
        <f aca="false">G238*J238</f>
        <v>11904.9</v>
      </c>
      <c r="L238" s="0" t="str">
        <f aca="false">IFERROR(VLOOKUP(_xlfn.CONCAT($L$1,"-",B238),Saída_2023!$E:$F,2,0),"0")</f>
        <v>0</v>
      </c>
    </row>
    <row r="239" customFormat="false" ht="13.8" hidden="false" customHeight="false" outlineLevel="0" collapsed="false">
      <c r="A239" s="2" t="n">
        <v>7891317010782</v>
      </c>
      <c r="B239" s="2" t="n">
        <v>22197</v>
      </c>
      <c r="C239" s="2" t="s">
        <v>92</v>
      </c>
      <c r="E239" s="7" t="n">
        <f aca="false">IFERROR(VLOOKUP(B239,Entrada!A:B,2,0),0)</f>
        <v>40.33</v>
      </c>
      <c r="F239" s="7" t="n">
        <f aca="false">IFERROR(VLOOKUP(B239,Entrada!A:C,3,0),0)</f>
        <v>3.81546</v>
      </c>
      <c r="G239" s="7" t="n">
        <f aca="false">IFERROR(VLOOKUP(B239,Entrada!K:L,2,0),0)</f>
        <v>3.82</v>
      </c>
      <c r="H239" s="8" t="n">
        <f aca="false">IFERROR(VLOOKUP(B239,Entrada!A:D,4,0),0)</f>
        <v>600</v>
      </c>
      <c r="I239" s="8" t="n">
        <f aca="false">IFERROR(VLOOKUP(B239,Entrada!F:I,4,0),0)</f>
        <v>800</v>
      </c>
      <c r="J239" s="8" t="n">
        <f aca="false">H239+I239</f>
        <v>1400</v>
      </c>
      <c r="K239" s="7" t="n">
        <f aca="false">G239*J239</f>
        <v>5348</v>
      </c>
      <c r="L239" s="0" t="str">
        <f aca="false">IFERROR(VLOOKUP(_xlfn.CONCAT($L$1,"-",B239),Saída_2023!$E:$F,2,0),"0")</f>
        <v>0</v>
      </c>
    </row>
    <row r="240" customFormat="false" ht="13.8" hidden="false" customHeight="false" outlineLevel="0" collapsed="false">
      <c r="A240" s="2" t="n">
        <v>7891317010799</v>
      </c>
      <c r="B240" s="2" t="n">
        <v>22198</v>
      </c>
      <c r="C240" s="2" t="s">
        <v>95</v>
      </c>
      <c r="E240" s="7" t="n">
        <f aca="false">IFERROR(VLOOKUP(B240,Entrada!A:B,2,0),0)</f>
        <v>51.04</v>
      </c>
      <c r="F240" s="7" t="n">
        <f aca="false">IFERROR(VLOOKUP(B240,Entrada!A:C,3,0),0)</f>
        <v>5.4002592</v>
      </c>
      <c r="G240" s="7" t="n">
        <f aca="false">IFERROR(VLOOKUP(B240,Entrada!K:L,2,0),0)</f>
        <v>5.4</v>
      </c>
      <c r="H240" s="8" t="n">
        <f aca="false">IFERROR(VLOOKUP(B240,Entrada!A:D,4,0),0)</f>
        <v>270</v>
      </c>
      <c r="I240" s="8" t="n">
        <f aca="false">IFERROR(VLOOKUP(B240,Entrada!F:I,4,0),0)</f>
        <v>540</v>
      </c>
      <c r="J240" s="8" t="n">
        <f aca="false">H240+I240</f>
        <v>810</v>
      </c>
      <c r="K240" s="7" t="n">
        <f aca="false">G240*J240</f>
        <v>4374</v>
      </c>
      <c r="L240" s="0" t="str">
        <f aca="false">IFERROR(VLOOKUP(_xlfn.CONCAT($L$1,"-",B240),Saída_2023!$E:$F,2,0),"0")</f>
        <v>0</v>
      </c>
    </row>
    <row r="241" customFormat="false" ht="13.8" hidden="false" customHeight="false" outlineLevel="0" collapsed="false">
      <c r="A241" s="2" t="n">
        <v>7891317013547</v>
      </c>
      <c r="B241" s="2" t="n">
        <v>22219</v>
      </c>
      <c r="C241" s="2" t="s">
        <v>329</v>
      </c>
      <c r="E241" s="7" t="n">
        <f aca="false">IFERROR(VLOOKUP(B241,Entrada!A:B,2,0),0)</f>
        <v>27.62</v>
      </c>
      <c r="F241" s="7" t="n">
        <f aca="false">IFERROR(VLOOKUP(B241,Entrada!A:C,3,0),0)</f>
        <v>11.5697</v>
      </c>
      <c r="G241" s="7" t="n">
        <f aca="false">IFERROR(VLOOKUP(B241,Entrada!K:L,2,0),0)</f>
        <v>11.57</v>
      </c>
      <c r="H241" s="8" t="n">
        <f aca="false">IFERROR(VLOOKUP(B241,Entrada!A:D,4,0),0)</f>
        <v>0</v>
      </c>
      <c r="I241" s="8" t="n">
        <f aca="false">IFERROR(VLOOKUP(B241,Entrada!F:I,4,0),0)</f>
        <v>760</v>
      </c>
      <c r="J241" s="8" t="n">
        <f aca="false">H241+I241</f>
        <v>760</v>
      </c>
      <c r="K241" s="7" t="n">
        <f aca="false">G241*J241</f>
        <v>8793.2</v>
      </c>
      <c r="L241" s="0" t="str">
        <f aca="false">IFERROR(VLOOKUP(_xlfn.CONCAT($L$1,"-",B241),Saída_2023!$E:$F,2,0),"0")</f>
        <v>0</v>
      </c>
    </row>
    <row r="242" customFormat="false" ht="13.8" hidden="false" customHeight="false" outlineLevel="0" collapsed="false">
      <c r="A242" s="2" t="n">
        <v>7891317021962</v>
      </c>
      <c r="B242" s="2" t="n">
        <v>22355</v>
      </c>
      <c r="C242" s="2" t="s">
        <v>288</v>
      </c>
      <c r="E242" s="7" t="n">
        <f aca="false">IFERROR(VLOOKUP(B242,Entrada!A:B,2,0),0)</f>
        <v>112.89</v>
      </c>
      <c r="F242" s="7" t="n">
        <f aca="false">IFERROR(VLOOKUP(B242,Entrada!A:C,3,0),0)</f>
        <v>26.276857</v>
      </c>
      <c r="G242" s="7" t="n">
        <f aca="false">IFERROR(VLOOKUP(B242,Entrada!K:L,2,0),0)</f>
        <v>23.12</v>
      </c>
      <c r="H242" s="8" t="n">
        <f aca="false">IFERROR(VLOOKUP(B242,Entrada!A:D,4,0),0)</f>
        <v>140</v>
      </c>
      <c r="I242" s="8" t="n">
        <f aca="false">IFERROR(VLOOKUP(B242,Entrada!F:I,4,0),0)</f>
        <v>210</v>
      </c>
      <c r="J242" s="8" t="n">
        <f aca="false">H242+I242</f>
        <v>350</v>
      </c>
      <c r="K242" s="7" t="n">
        <f aca="false">G242*J242</f>
        <v>8092</v>
      </c>
      <c r="L242" s="0" t="str">
        <f aca="false">IFERROR(VLOOKUP(_xlfn.CONCAT($L$1,"-",B242),Saída_2023!$E:$F,2,0),"0")</f>
        <v>0</v>
      </c>
    </row>
    <row r="243" customFormat="false" ht="13.8" hidden="false" customHeight="false" outlineLevel="0" collapsed="false">
      <c r="A243" s="2" t="n">
        <v>7891317021948</v>
      </c>
      <c r="B243" s="2" t="n">
        <v>22356</v>
      </c>
      <c r="C243" s="2" t="s">
        <v>290</v>
      </c>
      <c r="E243" s="7" t="n">
        <f aca="false">IFERROR(VLOOKUP(B243,Entrada!A:B,2,0),0)</f>
        <v>39.43</v>
      </c>
      <c r="F243" s="7" t="n">
        <f aca="false">IFERROR(VLOOKUP(B243,Entrada!A:C,3,0),0)</f>
        <v>8.13845</v>
      </c>
      <c r="G243" s="7" t="n">
        <f aca="false">IFERROR(VLOOKUP(B243,Entrada!K:L,2,0),0)</f>
        <v>7.46</v>
      </c>
      <c r="H243" s="8" t="n">
        <f aca="false">IFERROR(VLOOKUP(B243,Entrada!A:D,4,0),0)</f>
        <v>500</v>
      </c>
      <c r="I243" s="8" t="n">
        <f aca="false">IFERROR(VLOOKUP(B243,Entrada!F:I,4,0),0)</f>
        <v>400</v>
      </c>
      <c r="J243" s="8" t="n">
        <f aca="false">H243+I243</f>
        <v>900</v>
      </c>
      <c r="K243" s="7" t="n">
        <f aca="false">G243*J243</f>
        <v>6714</v>
      </c>
      <c r="L243" s="0" t="str">
        <f aca="false">IFERROR(VLOOKUP(_xlfn.CONCAT($L$1,"-",B243),Saída_2023!$E:$F,2,0),"0")</f>
        <v>0</v>
      </c>
    </row>
    <row r="244" customFormat="false" ht="13.8" hidden="false" customHeight="false" outlineLevel="0" collapsed="false">
      <c r="A244" s="2" t="n">
        <v>7891317021955</v>
      </c>
      <c r="B244" s="2" t="n">
        <v>22387</v>
      </c>
      <c r="C244" s="2" t="s">
        <v>286</v>
      </c>
      <c r="E244" s="7" t="n">
        <f aca="false">IFERROR(VLOOKUP(B244,Entrada!A:B,2,0),0)</f>
        <v>51.84</v>
      </c>
      <c r="F244" s="7" t="n">
        <f aca="false">IFERROR(VLOOKUP(B244,Entrada!A:C,3,0),0)</f>
        <v>9.8093</v>
      </c>
      <c r="G244" s="7" t="n">
        <f aca="false">IFERROR(VLOOKUP(B244,Entrada!K:L,2,0),0)</f>
        <v>9.81</v>
      </c>
      <c r="H244" s="8" t="n">
        <f aca="false">IFERROR(VLOOKUP(B244,Entrada!A:D,4,0),0)</f>
        <v>500</v>
      </c>
      <c r="I244" s="8" t="n">
        <f aca="false">IFERROR(VLOOKUP(B244,Entrada!F:I,4,0),0)</f>
        <v>0</v>
      </c>
      <c r="J244" s="8" t="n">
        <f aca="false">H244+I244</f>
        <v>500</v>
      </c>
      <c r="K244" s="7" t="n">
        <f aca="false">G244*J244</f>
        <v>4905</v>
      </c>
      <c r="L244" s="0" t="str">
        <f aca="false">IFERROR(VLOOKUP(_xlfn.CONCAT($L$1,"-",B244),Saída_2023!$E:$F,2,0),"0")</f>
        <v>0</v>
      </c>
    </row>
    <row r="245" customFormat="false" ht="13.8" hidden="false" customHeight="false" outlineLevel="0" collapsed="false">
      <c r="A245" s="2" t="n">
        <v>7891317029272</v>
      </c>
      <c r="B245" s="2" t="n">
        <v>22468</v>
      </c>
      <c r="C245" s="2" t="s">
        <v>354</v>
      </c>
      <c r="E245" s="7" t="n">
        <f aca="false">IFERROR(VLOOKUP(B245,Entrada!A:B,2,0),0)</f>
        <v>37.3</v>
      </c>
      <c r="F245" s="7" t="n">
        <f aca="false">IFERROR(VLOOKUP(B245,Entrada!A:C,3,0),0)</f>
        <v>19.177</v>
      </c>
      <c r="G245" s="7" t="n">
        <f aca="false">IFERROR(VLOOKUP(B245,Entrada!K:L,2,0),0)</f>
        <v>19.18</v>
      </c>
      <c r="H245" s="8" t="n">
        <f aca="false">IFERROR(VLOOKUP(B245,Entrada!A:D,4,0),0)</f>
        <v>0</v>
      </c>
      <c r="I245" s="8" t="n">
        <f aca="false">IFERROR(VLOOKUP(B245,Entrada!F:I,4,0),0)</f>
        <v>1100</v>
      </c>
      <c r="J245" s="8" t="n">
        <f aca="false">H245+I245</f>
        <v>1100</v>
      </c>
      <c r="K245" s="7" t="n">
        <f aca="false">G245*J245</f>
        <v>21098</v>
      </c>
      <c r="L245" s="0" t="str">
        <f aca="false">IFERROR(VLOOKUP(_xlfn.CONCAT($L$1,"-",B245),Saída_2023!$E:$F,2,0),"0")</f>
        <v>0</v>
      </c>
    </row>
    <row r="246" customFormat="false" ht="13.8" hidden="false" customHeight="false" outlineLevel="0" collapsed="false">
      <c r="A246" s="2" t="n">
        <v>7891317025601</v>
      </c>
      <c r="B246" s="2" t="n">
        <v>22502</v>
      </c>
      <c r="C246" s="2" t="s">
        <v>527</v>
      </c>
      <c r="E246" s="7" t="n">
        <f aca="false">IFERROR(VLOOKUP(B246,Entrada!A:B,2,0),0)</f>
        <v>107.28</v>
      </c>
      <c r="F246" s="7" t="n">
        <f aca="false">IFERROR(VLOOKUP(B246,Entrada!A:C,3,0),0)</f>
        <v>28.608187</v>
      </c>
      <c r="G246" s="7" t="n">
        <f aca="false">IFERROR(VLOOKUP(B246,Entrada!K:L,2,0),0)</f>
        <v>28.61</v>
      </c>
      <c r="H246" s="8" t="n">
        <f aca="false">IFERROR(VLOOKUP(B246,Entrada!A:D,4,0),0)</f>
        <v>480</v>
      </c>
      <c r="I246" s="8" t="n">
        <f aca="false">IFERROR(VLOOKUP(B246,Entrada!F:I,4,0),0)</f>
        <v>0</v>
      </c>
      <c r="J246" s="8" t="n">
        <f aca="false">H246+I246</f>
        <v>480</v>
      </c>
      <c r="K246" s="7" t="n">
        <f aca="false">G246*J246</f>
        <v>13732.8</v>
      </c>
      <c r="L246" s="0" t="str">
        <f aca="false">IFERROR(VLOOKUP(_xlfn.CONCAT($L$1,"-",B246),Saída_2023!$E:$F,2,0),"0")</f>
        <v>0</v>
      </c>
    </row>
    <row r="247" customFormat="false" ht="13.8" hidden="false" customHeight="false" outlineLevel="0" collapsed="false">
      <c r="A247" s="2" t="n">
        <v>7891317010034</v>
      </c>
      <c r="B247" s="2" t="n">
        <v>22569</v>
      </c>
      <c r="C247" s="2" t="s">
        <v>327</v>
      </c>
      <c r="E247" s="7" t="n">
        <f aca="false">IFERROR(VLOOKUP(B247,Entrada!A:B,2,0),0)</f>
        <v>67.85</v>
      </c>
      <c r="F247" s="7" t="n">
        <f aca="false">IFERROR(VLOOKUP(B247,Entrada!A:C,3,0),0)</f>
        <v>35.021125</v>
      </c>
      <c r="G247" s="7" t="n">
        <f aca="false">IFERROR(VLOOKUP(B247,Entrada!K:L,2,0),0)</f>
        <v>35.02</v>
      </c>
      <c r="H247" s="8" t="n">
        <f aca="false">IFERROR(VLOOKUP(B247,Entrada!A:D,4,0),0)</f>
        <v>240</v>
      </c>
      <c r="I247" s="8" t="n">
        <f aca="false">IFERROR(VLOOKUP(B247,Entrada!F:I,4,0),0)</f>
        <v>0</v>
      </c>
      <c r="J247" s="8" t="n">
        <f aca="false">H247+I247</f>
        <v>240</v>
      </c>
      <c r="K247" s="7" t="n">
        <f aca="false">G247*J247</f>
        <v>8404.8</v>
      </c>
      <c r="L247" s="0" t="str">
        <f aca="false">IFERROR(VLOOKUP(_xlfn.CONCAT($L$1,"-",B247),Saída_2023!$E:$F,2,0),"0")</f>
        <v>0</v>
      </c>
    </row>
    <row r="248" customFormat="false" ht="13.8" hidden="false" customHeight="false" outlineLevel="0" collapsed="false">
      <c r="A248" s="2" t="n">
        <v>7891317017002</v>
      </c>
      <c r="B248" s="2" t="n">
        <v>22606</v>
      </c>
      <c r="C248" s="2" t="s">
        <v>211</v>
      </c>
      <c r="E248" s="7" t="n">
        <f aca="false">IFERROR(VLOOKUP(B248,Entrada!A:B,2,0),0)</f>
        <v>30.61</v>
      </c>
      <c r="F248" s="7" t="n">
        <f aca="false">IFERROR(VLOOKUP(B248,Entrada!A:C,3,0),0)</f>
        <v>7.11083333</v>
      </c>
      <c r="G248" s="7" t="n">
        <f aca="false">IFERROR(VLOOKUP(B248,Entrada!K:L,2,0),0)</f>
        <v>7.11</v>
      </c>
      <c r="H248" s="8" t="n">
        <f aca="false">IFERROR(VLOOKUP(B248,Entrada!A:D,4,0),0)</f>
        <v>600</v>
      </c>
      <c r="I248" s="8" t="n">
        <f aca="false">IFERROR(VLOOKUP(B248,Entrada!F:I,4,0),0)</f>
        <v>0</v>
      </c>
      <c r="J248" s="8" t="n">
        <f aca="false">H248+I248</f>
        <v>600</v>
      </c>
      <c r="K248" s="7" t="n">
        <f aca="false">G248*J248</f>
        <v>4266</v>
      </c>
      <c r="L248" s="0" t="str">
        <f aca="false">IFERROR(VLOOKUP(_xlfn.CONCAT($L$1,"-",B248),Saída_2023!$E:$F,2,0),"0")</f>
        <v>0</v>
      </c>
    </row>
    <row r="249" customFormat="false" ht="13.8" hidden="false" customHeight="false" outlineLevel="0" collapsed="false">
      <c r="A249" s="2" t="n">
        <v>7891317011253</v>
      </c>
      <c r="B249" s="2" t="n">
        <v>22715</v>
      </c>
      <c r="C249" s="2" t="s">
        <v>228</v>
      </c>
      <c r="E249" s="7" t="n">
        <f aca="false">IFERROR(VLOOKUP(B249,Entrada!A:B,2,0),0)</f>
        <v>56.38</v>
      </c>
      <c r="F249" s="7" t="n">
        <f aca="false">IFERROR(VLOOKUP(B249,Entrada!A:C,3,0),0)</f>
        <v>20.852188</v>
      </c>
      <c r="G249" s="7" t="n">
        <f aca="false">IFERROR(VLOOKUP(B249,Entrada!K:L,2,0),0)</f>
        <v>22.79</v>
      </c>
      <c r="H249" s="8" t="n">
        <f aca="false">IFERROR(VLOOKUP(B249,Entrada!A:D,4,0),0)</f>
        <v>240</v>
      </c>
      <c r="I249" s="8" t="n">
        <f aca="false">IFERROR(VLOOKUP(B249,Entrada!F:I,4,0),0)</f>
        <v>0</v>
      </c>
      <c r="J249" s="8" t="n">
        <f aca="false">H249+I249</f>
        <v>240</v>
      </c>
      <c r="K249" s="7" t="n">
        <f aca="false">G249*J249</f>
        <v>5469.6</v>
      </c>
      <c r="L249" s="0" t="str">
        <f aca="false">IFERROR(VLOOKUP(_xlfn.CONCAT($L$1,"-",B249),Saída_2023!$E:$F,2,0),"0")</f>
        <v>0</v>
      </c>
    </row>
    <row r="250" customFormat="false" ht="13.8" hidden="false" customHeight="false" outlineLevel="0" collapsed="false">
      <c r="A250" s="2" t="n">
        <v>7891317011260</v>
      </c>
      <c r="B250" s="2" t="n">
        <v>22716</v>
      </c>
      <c r="C250" s="2" t="s">
        <v>226</v>
      </c>
      <c r="E250" s="7" t="n">
        <f aca="false">IFERROR(VLOOKUP(B250,Entrada!A:B,2,0),0)</f>
        <v>56.38</v>
      </c>
      <c r="F250" s="7" t="n">
        <f aca="false">IFERROR(VLOOKUP(B250,Entrada!A:C,3,0),0)</f>
        <v>22.79195</v>
      </c>
      <c r="G250" s="7" t="n">
        <f aca="false">IFERROR(VLOOKUP(B250,Entrada!K:L,2,0),0)</f>
        <v>22.79</v>
      </c>
      <c r="H250" s="8" t="n">
        <f aca="false">IFERROR(VLOOKUP(B250,Entrada!A:D,4,0),0)</f>
        <v>200</v>
      </c>
      <c r="I250" s="8" t="n">
        <f aca="false">IFERROR(VLOOKUP(B250,Entrada!F:I,4,0),0)</f>
        <v>0</v>
      </c>
      <c r="J250" s="8" t="n">
        <f aca="false">H250+I250</f>
        <v>200</v>
      </c>
      <c r="K250" s="7" t="n">
        <f aca="false">G250*J250</f>
        <v>4558</v>
      </c>
      <c r="L250" s="0" t="str">
        <f aca="false">IFERROR(VLOOKUP(_xlfn.CONCAT($L$1,"-",B250),Saída_2023!$E:$F,2,0),"0")</f>
        <v>0</v>
      </c>
    </row>
    <row r="251" customFormat="false" ht="13.8" hidden="false" customHeight="false" outlineLevel="0" collapsed="false">
      <c r="A251" s="2" t="n">
        <v>7891317025854</v>
      </c>
      <c r="B251" s="2" t="n">
        <v>22719</v>
      </c>
      <c r="C251" s="2" t="s">
        <v>517</v>
      </c>
      <c r="E251" s="7" t="n">
        <f aca="false">IFERROR(VLOOKUP(B251,Entrada!A:B,2,0),0)</f>
        <v>114.56</v>
      </c>
      <c r="F251" s="7" t="n">
        <f aca="false">IFERROR(VLOOKUP(B251,Entrada!A:C,3,0),0)</f>
        <v>19.633666</v>
      </c>
      <c r="G251" s="7" t="n">
        <f aca="false">IFERROR(VLOOKUP(B251,Entrada!K:L,2,0),0)</f>
        <v>19.63</v>
      </c>
      <c r="H251" s="8" t="n">
        <f aca="false">IFERROR(VLOOKUP(B251,Entrada!A:D,4,0),0)</f>
        <v>120</v>
      </c>
      <c r="I251" s="8" t="n">
        <f aca="false">IFERROR(VLOOKUP(B251,Entrada!F:I,4,0),0)</f>
        <v>0</v>
      </c>
      <c r="J251" s="8" t="n">
        <f aca="false">H251+I251</f>
        <v>120</v>
      </c>
      <c r="K251" s="7" t="n">
        <f aca="false">G251*J251</f>
        <v>2355.6</v>
      </c>
      <c r="L251" s="0" t="str">
        <f aca="false">IFERROR(VLOOKUP(_xlfn.CONCAT($L$1,"-",B251),Saída_2023!$E:$F,2,0),"0")</f>
        <v>0</v>
      </c>
    </row>
    <row r="252" customFormat="false" ht="13.8" hidden="false" customHeight="false" outlineLevel="0" collapsed="false">
      <c r="A252" s="2" t="n">
        <v>7891317022570</v>
      </c>
      <c r="B252" s="2" t="n">
        <v>22850</v>
      </c>
      <c r="C252" s="2" t="s">
        <v>321</v>
      </c>
      <c r="E252" s="7" t="n">
        <f aca="false">IFERROR(VLOOKUP(B252,Entrada!A:B,2,0),0)</f>
        <v>74.83</v>
      </c>
      <c r="F252" s="7" t="n">
        <f aca="false">IFERROR(VLOOKUP(B252,Entrada!A:C,3,0),0)</f>
        <v>9.6546</v>
      </c>
      <c r="G252" s="7" t="n">
        <f aca="false">IFERROR(VLOOKUP(B252,Entrada!K:L,2,0),0)</f>
        <v>9.65</v>
      </c>
      <c r="H252" s="8" t="n">
        <f aca="false">IFERROR(VLOOKUP(B252,Entrada!A:D,4,0),0)</f>
        <v>300</v>
      </c>
      <c r="I252" s="8" t="n">
        <f aca="false">IFERROR(VLOOKUP(B252,Entrada!F:I,4,0),0)</f>
        <v>0</v>
      </c>
      <c r="J252" s="8" t="n">
        <f aca="false">H252+I252</f>
        <v>300</v>
      </c>
      <c r="K252" s="7" t="n">
        <f aca="false">G252*J252</f>
        <v>2895</v>
      </c>
      <c r="L252" s="0" t="str">
        <f aca="false">IFERROR(VLOOKUP(_xlfn.CONCAT($L$1,"-",B252),Saída_2023!$E:$F,2,0),"0")</f>
        <v>0</v>
      </c>
    </row>
    <row r="253" customFormat="false" ht="13.8" hidden="false" customHeight="false" outlineLevel="0" collapsed="false">
      <c r="A253" s="2" t="n">
        <v>7891317028237</v>
      </c>
      <c r="B253" s="2" t="n">
        <v>22856</v>
      </c>
      <c r="C253" s="2" t="s">
        <v>552</v>
      </c>
      <c r="E253" s="7" t="n">
        <f aca="false">IFERROR(VLOOKUP(B253,Entrada!A:B,2,0),0)</f>
        <v>23.8</v>
      </c>
      <c r="F253" s="7" t="n">
        <f aca="false">IFERROR(VLOOKUP(B253,Entrada!A:C,3,0),0)</f>
        <v>11.055458</v>
      </c>
      <c r="G253" s="7" t="n">
        <f aca="false">IFERROR(VLOOKUP(B253,Entrada!K:L,2,0),0)</f>
        <v>11.06</v>
      </c>
      <c r="H253" s="8" t="n">
        <f aca="false">IFERROR(VLOOKUP(B253,Entrada!A:D,4,0),0)</f>
        <v>3840</v>
      </c>
      <c r="I253" s="8" t="n">
        <f aca="false">IFERROR(VLOOKUP(B253,Entrada!F:I,4,0),0)</f>
        <v>0</v>
      </c>
      <c r="J253" s="8" t="n">
        <f aca="false">H253+I253</f>
        <v>3840</v>
      </c>
      <c r="K253" s="7" t="n">
        <f aca="false">G253*J253</f>
        <v>42470.4</v>
      </c>
      <c r="L253" s="0" t="str">
        <f aca="false">IFERROR(VLOOKUP(_xlfn.CONCAT($L$1,"-",B253),Saída_2023!$E:$F,2,0),"0")</f>
        <v>0</v>
      </c>
    </row>
    <row r="254" customFormat="false" ht="13.8" hidden="false" customHeight="false" outlineLevel="0" collapsed="false">
      <c r="A254" s="2" t="n">
        <v>7891317028244</v>
      </c>
      <c r="B254" s="2" t="n">
        <v>22857</v>
      </c>
      <c r="C254" s="2" t="s">
        <v>554</v>
      </c>
      <c r="E254" s="7" t="n">
        <f aca="false">IFERROR(VLOOKUP(B254,Entrada!A:B,2,0),0)</f>
        <v>46.39</v>
      </c>
      <c r="F254" s="7" t="n">
        <f aca="false">IFERROR(VLOOKUP(B254,Entrada!A:C,3,0),0)</f>
        <v>21.549093</v>
      </c>
      <c r="G254" s="7" t="n">
        <f aca="false">IFERROR(VLOOKUP(B254,Entrada!K:L,2,0),0)</f>
        <v>21.55</v>
      </c>
      <c r="H254" s="8" t="n">
        <f aca="false">IFERROR(VLOOKUP(B254,Entrada!A:D,4,0),0)</f>
        <v>960</v>
      </c>
      <c r="I254" s="8" t="n">
        <f aca="false">IFERROR(VLOOKUP(B254,Entrada!F:I,4,0),0)</f>
        <v>0</v>
      </c>
      <c r="J254" s="8" t="n">
        <f aca="false">H254+I254</f>
        <v>960</v>
      </c>
      <c r="K254" s="7" t="n">
        <f aca="false">G254*J254</f>
        <v>20688</v>
      </c>
      <c r="L254" s="0" t="str">
        <f aca="false">IFERROR(VLOOKUP(_xlfn.CONCAT($L$1,"-",B254),Saída_2023!$E:$F,2,0),"0")</f>
        <v>0</v>
      </c>
    </row>
    <row r="255" customFormat="false" ht="13.8" hidden="false" customHeight="false" outlineLevel="0" collapsed="false">
      <c r="A255" s="2" t="n">
        <v>7891317018221</v>
      </c>
      <c r="B255" s="2" t="n">
        <v>22866</v>
      </c>
      <c r="C255" s="2" t="s">
        <v>171</v>
      </c>
      <c r="E255" s="7" t="n">
        <f aca="false">IFERROR(VLOOKUP(B255,Entrada!A:B,2,0),0)</f>
        <v>45.83</v>
      </c>
      <c r="F255" s="7" t="n">
        <f aca="false">IFERROR(VLOOKUP(B255,Entrada!A:C,3,0),0)</f>
        <v>0</v>
      </c>
      <c r="G255" s="7" t="n">
        <f aca="false">IFERROR(VLOOKUP(B255,Entrada!K:L,2,0),0)</f>
        <v>9.86</v>
      </c>
      <c r="H255" s="8" t="n">
        <f aca="false">IFERROR(VLOOKUP(B255,Entrada!A:D,4,0),0)</f>
        <v>0</v>
      </c>
      <c r="I255" s="8" t="n">
        <f aca="false">IFERROR(VLOOKUP(B255,Entrada!F:I,4,0),0)</f>
        <v>640</v>
      </c>
      <c r="J255" s="8" t="n">
        <f aca="false">H255+I255</f>
        <v>640</v>
      </c>
      <c r="K255" s="7" t="n">
        <f aca="false">G255*J255</f>
        <v>6310.4</v>
      </c>
      <c r="L255" s="0" t="str">
        <f aca="false">IFERROR(VLOOKUP(_xlfn.CONCAT($L$1,"-",B255),Saída_2023!$E:$F,2,0),"0")</f>
        <v>0</v>
      </c>
    </row>
  </sheetData>
  <mergeCells count="18">
    <mergeCell ref="L1:O1"/>
    <mergeCell ref="P1:S1"/>
    <mergeCell ref="T1:W1"/>
    <mergeCell ref="X1:AA1"/>
    <mergeCell ref="AB1:AE1"/>
    <mergeCell ref="AF1:AI1"/>
    <mergeCell ref="AJ1:AM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BX1:CA1"/>
    <mergeCell ref="CB1:C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351</TotalTime>
  <Application>LibreOffice/7.6.4.1$Linux_X86_64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2024-01-15T17:51:56Z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