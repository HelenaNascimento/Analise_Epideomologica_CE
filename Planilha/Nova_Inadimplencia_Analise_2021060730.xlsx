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echnical\Desktop\Rel\"/>
    </mc:Choice>
  </mc:AlternateContent>
  <xr:revisionPtr revIDLastSave="0" documentId="13_ncr:1_{DF444EE2-81F3-4734-861E-398CFD48AB5D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Dados" sheetId="1" r:id="rId1"/>
    <sheet name="Indicador" sheetId="4" r:id="rId2"/>
    <sheet name="Régua" sheetId="8" r:id="rId3"/>
    <sheet name="Dash Ano" sheetId="3" r:id="rId4"/>
    <sheet name="Dash Vendedor" sheetId="7" r:id="rId5"/>
    <sheet name="Dash Cliente" sheetId="6" r:id="rId6"/>
  </sheets>
  <definedNames>
    <definedName name="_xlnm._FilterDatabase" localSheetId="0" hidden="1">Dados!$A$1:$M$3486</definedName>
    <definedName name="SegmentaçãodeDados_Anos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8" l="1"/>
  <c r="G9" i="8"/>
  <c r="F9" i="8"/>
  <c r="E9" i="8"/>
  <c r="D9" i="8"/>
  <c r="F6" i="6" l="1"/>
  <c r="Q20" i="4"/>
  <c r="Q19" i="4"/>
  <c r="Q18" i="4"/>
  <c r="Q17" i="4"/>
  <c r="Q16" i="4"/>
  <c r="Q15" i="4"/>
  <c r="Q14" i="4"/>
  <c r="Q13" i="4"/>
  <c r="Q12" i="4"/>
  <c r="Q11" i="4"/>
  <c r="Q10" i="4"/>
  <c r="Q9" i="4"/>
  <c r="O16" i="4"/>
  <c r="O15" i="4"/>
  <c r="O14" i="4"/>
  <c r="O13" i="4"/>
  <c r="O12" i="4"/>
  <c r="O11" i="4"/>
  <c r="O10" i="4"/>
  <c r="O9" i="4"/>
  <c r="O20" i="4"/>
  <c r="O19" i="4"/>
  <c r="O18" i="4"/>
  <c r="O17" i="4"/>
  <c r="L8" i="4"/>
  <c r="L6" i="4" s="1"/>
  <c r="J3" i="8" l="1"/>
  <c r="D6" i="8"/>
  <c r="H6" i="8" l="1"/>
  <c r="G6" i="8"/>
  <c r="M20" i="4"/>
  <c r="M19" i="4"/>
  <c r="M18" i="4"/>
  <c r="M17" i="4"/>
  <c r="M16" i="4"/>
  <c r="M15" i="4"/>
  <c r="M14" i="4"/>
  <c r="M13" i="4"/>
  <c r="M12" i="4"/>
  <c r="M11" i="4"/>
  <c r="M10" i="4"/>
  <c r="M9" i="4"/>
  <c r="M8" i="4" l="1"/>
  <c r="M6" i="4" s="1"/>
  <c r="F6" i="8"/>
  <c r="K8" i="4" l="1"/>
  <c r="K6" i="4" s="1"/>
  <c r="J8" i="4"/>
  <c r="J6" i="4" s="1"/>
  <c r="I8" i="4"/>
  <c r="I6" i="4" s="1"/>
  <c r="H8" i="4"/>
  <c r="H6" i="4" s="1"/>
  <c r="C4" i="7" l="1"/>
  <c r="D4" i="3"/>
  <c r="C4" i="6" s="1"/>
  <c r="I6" i="8" l="1"/>
  <c r="E6" i="8"/>
  <c r="C6" i="8"/>
  <c r="H10" i="8" l="1"/>
  <c r="H11" i="8" s="1"/>
  <c r="J8" i="8" s="1"/>
  <c r="G10" i="8"/>
  <c r="G11" i="8" s="1"/>
  <c r="F10" i="8"/>
  <c r="F11" i="8" s="1"/>
  <c r="E10" i="8"/>
  <c r="E11" i="8" s="1"/>
  <c r="D10" i="8"/>
  <c r="D11" i="8" s="1"/>
  <c r="J6" i="8"/>
  <c r="G7" i="8" s="1"/>
  <c r="B4" i="6"/>
  <c r="I7" i="8" l="1"/>
  <c r="H7" i="8"/>
  <c r="F7" i="8"/>
  <c r="E7" i="8"/>
  <c r="J7" i="8"/>
  <c r="D7" i="8"/>
  <c r="C7" i="8"/>
  <c r="G8" i="4"/>
  <c r="G6" i="4" s="1"/>
  <c r="F8" i="4"/>
  <c r="F6" i="4" s="1"/>
  <c r="E8" i="4"/>
  <c r="E6" i="4" s="1"/>
  <c r="D8" i="4"/>
  <c r="C8" i="4"/>
</calcChain>
</file>

<file path=xl/sharedStrings.xml><?xml version="1.0" encoding="utf-8"?>
<sst xmlns="http://schemas.openxmlformats.org/spreadsheetml/2006/main" count="15781" uniqueCount="4182">
  <si>
    <t>VENCTO.</t>
  </si>
  <si>
    <t>EST</t>
  </si>
  <si>
    <t>DUPLIC.</t>
  </si>
  <si>
    <t>CNPJ/CPF</t>
  </si>
  <si>
    <t>CLIENTE</t>
  </si>
  <si>
    <t>EMISSÃO</t>
  </si>
  <si>
    <t>PRAZO</t>
  </si>
  <si>
    <t>VALOR</t>
  </si>
  <si>
    <t>N.F</t>
  </si>
  <si>
    <t>AG. COB.</t>
  </si>
  <si>
    <t>SIT.</t>
  </si>
  <si>
    <t>Vendedor</t>
  </si>
  <si>
    <t>Cidade</t>
  </si>
  <si>
    <t>A</t>
  </si>
  <si>
    <t>JOSE LUIS</t>
  </si>
  <si>
    <t>FORTALEZA</t>
  </si>
  <si>
    <t>JOÃO BATISTA FERNANDES PIMENTEL</t>
  </si>
  <si>
    <t>PENTECOSTE</t>
  </si>
  <si>
    <t>IBARETAMA</t>
  </si>
  <si>
    <t>CHOROZINHO</t>
  </si>
  <si>
    <t>BOA VIAGEM</t>
  </si>
  <si>
    <t>JOSELITO FERNANDES DE ARAUJO</t>
  </si>
  <si>
    <t>MARANGUAPE</t>
  </si>
  <si>
    <t>ITAPAJE</t>
  </si>
  <si>
    <t>ICAPUI</t>
  </si>
  <si>
    <t>AQUIRAZ</t>
  </si>
  <si>
    <t>TAMBORIL</t>
  </si>
  <si>
    <t>ITAPIPOCA</t>
  </si>
  <si>
    <t>ANTONIO SILVANOR DOS SANTOS</t>
  </si>
  <si>
    <t>WELLINGTON MARTINS DOS SANTOS</t>
  </si>
  <si>
    <t>FRANCISCO JOSE DA SILVA FERREIRA</t>
  </si>
  <si>
    <t>MARACANAU</t>
  </si>
  <si>
    <t>IBICUITINGA</t>
  </si>
  <si>
    <t>EUSEBIO</t>
  </si>
  <si>
    <t>851026</t>
  </si>
  <si>
    <t>02768292000132</t>
  </si>
  <si>
    <t>FRANCISCA LOPES CARNEIRO ME</t>
  </si>
  <si>
    <t>850954</t>
  </si>
  <si>
    <t>MULUNGU</t>
  </si>
  <si>
    <t>850933</t>
  </si>
  <si>
    <t>850900</t>
  </si>
  <si>
    <t>851015</t>
  </si>
  <si>
    <t>JARDEL MONTEIRO</t>
  </si>
  <si>
    <t>SÃO BENEDITO</t>
  </si>
  <si>
    <t>850931</t>
  </si>
  <si>
    <t>MARIA DO SOCORRO FERREIRA</t>
  </si>
  <si>
    <t>850927</t>
  </si>
  <si>
    <t>850901</t>
  </si>
  <si>
    <t>851016</t>
  </si>
  <si>
    <t>850928</t>
  </si>
  <si>
    <t>FORTIM</t>
  </si>
  <si>
    <t>850902</t>
  </si>
  <si>
    <t>851017</t>
  </si>
  <si>
    <t>850903</t>
  </si>
  <si>
    <t>851018</t>
  </si>
  <si>
    <t>850904</t>
  </si>
  <si>
    <t>851019</t>
  </si>
  <si>
    <t>850905</t>
  </si>
  <si>
    <t>56832D</t>
  </si>
  <si>
    <t>73412058000116</t>
  </si>
  <si>
    <t>VIRGINIA SABINO MACHADO</t>
  </si>
  <si>
    <t>1/56832</t>
  </si>
  <si>
    <t>OCARA</t>
  </si>
  <si>
    <t>851020</t>
  </si>
  <si>
    <t>850906</t>
  </si>
  <si>
    <t>851021</t>
  </si>
  <si>
    <t>851022</t>
  </si>
  <si>
    <t>062009E</t>
  </si>
  <si>
    <t>23598576000106</t>
  </si>
  <si>
    <t>LIMA &amp; SABINO SOCIEDADE FARMACEUTICA LTDA</t>
  </si>
  <si>
    <t>1/62009</t>
  </si>
  <si>
    <t>062387C</t>
  </si>
  <si>
    <t>1/62387</t>
  </si>
  <si>
    <t>851023</t>
  </si>
  <si>
    <t>851024</t>
  </si>
  <si>
    <t>851025</t>
  </si>
  <si>
    <t>JOSE NILO GERONIMO DA SILVA</t>
  </si>
  <si>
    <t>851046</t>
  </si>
  <si>
    <t>MATHEUS TEIXEIRA ALVES GASPAR</t>
  </si>
  <si>
    <t>QUIXERAMOBIM</t>
  </si>
  <si>
    <t>851044</t>
  </si>
  <si>
    <t>JUAZEIRO DO NORTE</t>
  </si>
  <si>
    <t>851042</t>
  </si>
  <si>
    <t>851040</t>
  </si>
  <si>
    <t>851039</t>
  </si>
  <si>
    <t>851038</t>
  </si>
  <si>
    <t>851037</t>
  </si>
  <si>
    <t>851030</t>
  </si>
  <si>
    <t>851029</t>
  </si>
  <si>
    <t>851028</t>
  </si>
  <si>
    <t>CAUCAIA</t>
  </si>
  <si>
    <t>095721A</t>
  </si>
  <si>
    <t>1/95721</t>
  </si>
  <si>
    <t>EDILBERTO XAVIER DOS SANTOS</t>
  </si>
  <si>
    <t>106295A</t>
  </si>
  <si>
    <t>1/106295</t>
  </si>
  <si>
    <t>000034</t>
  </si>
  <si>
    <t>20273313000120</t>
  </si>
  <si>
    <t>F.E COMERCIAL FARMACEUTICO - ME</t>
  </si>
  <si>
    <t>117310A</t>
  </si>
  <si>
    <t>1/117310</t>
  </si>
  <si>
    <t>117313A</t>
  </si>
  <si>
    <t>1/117313</t>
  </si>
  <si>
    <t>117406A</t>
  </si>
  <si>
    <t>1/117406</t>
  </si>
  <si>
    <t>117407A</t>
  </si>
  <si>
    <t>1/117407</t>
  </si>
  <si>
    <t>000035</t>
  </si>
  <si>
    <t>127601A</t>
  </si>
  <si>
    <t>02596309000111</t>
  </si>
  <si>
    <t>IZABEL BARROS DOS SANTOS - ME</t>
  </si>
  <si>
    <t>1/127601</t>
  </si>
  <si>
    <t>126061A</t>
  </si>
  <si>
    <t>16614403000160</t>
  </si>
  <si>
    <t>MARIA JAILA MATIAS DA SILVA ME</t>
  </si>
  <si>
    <t>1/126061</t>
  </si>
  <si>
    <t>ITAPIUNA</t>
  </si>
  <si>
    <t>125243B</t>
  </si>
  <si>
    <t>1/125243</t>
  </si>
  <si>
    <t>126061B</t>
  </si>
  <si>
    <t>127180A</t>
  </si>
  <si>
    <t>1/127180</t>
  </si>
  <si>
    <t>127180B</t>
  </si>
  <si>
    <t>131329A</t>
  </si>
  <si>
    <t>21165136000121</t>
  </si>
  <si>
    <t>DEISILANIA MARIA DA SILVA ALVES ME</t>
  </si>
  <si>
    <t>1/131329</t>
  </si>
  <si>
    <t>127180C</t>
  </si>
  <si>
    <t>129570A</t>
  </si>
  <si>
    <t>16753223000160</t>
  </si>
  <si>
    <t>ALUISIO TIAGO TAVORA DO NASCIMENTO ME</t>
  </si>
  <si>
    <t>1/129570</t>
  </si>
  <si>
    <t>129136B</t>
  </si>
  <si>
    <t>1/129136</t>
  </si>
  <si>
    <t>128584A</t>
  </si>
  <si>
    <t>1/128584</t>
  </si>
  <si>
    <t>132646A</t>
  </si>
  <si>
    <t>1/132646</t>
  </si>
  <si>
    <t>131329B</t>
  </si>
  <si>
    <t>132646B</t>
  </si>
  <si>
    <t>132431A</t>
  </si>
  <si>
    <t>19926442000191</t>
  </si>
  <si>
    <t>ANA SHINAYDA V. PEREIRA</t>
  </si>
  <si>
    <t>1/132431</t>
  </si>
  <si>
    <t>SANTANA DO ACARAÚ</t>
  </si>
  <si>
    <t>133278A</t>
  </si>
  <si>
    <t>1/133278</t>
  </si>
  <si>
    <t>131471C</t>
  </si>
  <si>
    <t>1/131471</t>
  </si>
  <si>
    <t>133278B</t>
  </si>
  <si>
    <t>132431B</t>
  </si>
  <si>
    <t>133237A</t>
  </si>
  <si>
    <t>1/133237</t>
  </si>
  <si>
    <t>133278C</t>
  </si>
  <si>
    <t>135711A</t>
  </si>
  <si>
    <t>1/135711</t>
  </si>
  <si>
    <t>135716A</t>
  </si>
  <si>
    <t>1/135716</t>
  </si>
  <si>
    <t>136543A</t>
  </si>
  <si>
    <t>1/136543</t>
  </si>
  <si>
    <t>137297A</t>
  </si>
  <si>
    <t>1/137297</t>
  </si>
  <si>
    <t>137022A</t>
  </si>
  <si>
    <t>1/137022</t>
  </si>
  <si>
    <t>134068B</t>
  </si>
  <si>
    <t>1/134068</t>
  </si>
  <si>
    <t>135711B</t>
  </si>
  <si>
    <t>135716B</t>
  </si>
  <si>
    <t>136277B</t>
  </si>
  <si>
    <t>05807880000126</t>
  </si>
  <si>
    <t>FRANCISCO DAS CHAGAS MARTINS FCIA</t>
  </si>
  <si>
    <t>1/136277</t>
  </si>
  <si>
    <t>SOBRAL</t>
  </si>
  <si>
    <t>136277C</t>
  </si>
  <si>
    <t>138846A</t>
  </si>
  <si>
    <t>09545511000163</t>
  </si>
  <si>
    <t>MARIA DO SOCORRO POMPEU RIB. ME</t>
  </si>
  <si>
    <t>1/138846</t>
  </si>
  <si>
    <t>138846B</t>
  </si>
  <si>
    <t>139864A</t>
  </si>
  <si>
    <t>1/139864</t>
  </si>
  <si>
    <t>139194A</t>
  </si>
  <si>
    <t>1/139194</t>
  </si>
  <si>
    <t>138846C</t>
  </si>
  <si>
    <t>139014A</t>
  </si>
  <si>
    <t>1/139014</t>
  </si>
  <si>
    <t>140263A</t>
  </si>
  <si>
    <t>1/140263</t>
  </si>
  <si>
    <t>138846D</t>
  </si>
  <si>
    <t>139014B</t>
  </si>
  <si>
    <t>139864C</t>
  </si>
  <si>
    <t>139194B</t>
  </si>
  <si>
    <t>140927A</t>
  </si>
  <si>
    <t>1/140927</t>
  </si>
  <si>
    <t>138846E</t>
  </si>
  <si>
    <t>139014C</t>
  </si>
  <si>
    <t>139864D</t>
  </si>
  <si>
    <t>138614E</t>
  </si>
  <si>
    <t>11810850000171</t>
  </si>
  <si>
    <t>FARMACIA SAO VICENTE LTDA</t>
  </si>
  <si>
    <t>1/138614</t>
  </si>
  <si>
    <t>140765D</t>
  </si>
  <si>
    <t>1/140765</t>
  </si>
  <si>
    <t>138846F</t>
  </si>
  <si>
    <t>139014D</t>
  </si>
  <si>
    <t>140263B</t>
  </si>
  <si>
    <t>139864E</t>
  </si>
  <si>
    <t>140927B</t>
  </si>
  <si>
    <t>140157F</t>
  </si>
  <si>
    <t>1/140157</t>
  </si>
  <si>
    <t>142788A</t>
  </si>
  <si>
    <t>1/142788</t>
  </si>
  <si>
    <t>139864F</t>
  </si>
  <si>
    <t>139315G</t>
  </si>
  <si>
    <t>1/139315</t>
  </si>
  <si>
    <t>145351A</t>
  </si>
  <si>
    <t>24855088000191</t>
  </si>
  <si>
    <t>JWS &amp; VIEIRA PROD FARMACÊUTICOS LTDA - ME</t>
  </si>
  <si>
    <t>1/145351</t>
  </si>
  <si>
    <t>142670B</t>
  </si>
  <si>
    <t>1/142670</t>
  </si>
  <si>
    <t>141756C</t>
  </si>
  <si>
    <t>1/141756</t>
  </si>
  <si>
    <t>140765F</t>
  </si>
  <si>
    <t>142788B</t>
  </si>
  <si>
    <t>139315H</t>
  </si>
  <si>
    <t>142719A</t>
  </si>
  <si>
    <t>1/142719</t>
  </si>
  <si>
    <t>142670C</t>
  </si>
  <si>
    <t>143366A</t>
  </si>
  <si>
    <t>1/143366</t>
  </si>
  <si>
    <t>145351B</t>
  </si>
  <si>
    <t>142788C</t>
  </si>
  <si>
    <t>144886A</t>
  </si>
  <si>
    <t>1/144886</t>
  </si>
  <si>
    <t>142719B</t>
  </si>
  <si>
    <t>142670D</t>
  </si>
  <si>
    <t>145351C</t>
  </si>
  <si>
    <t>143366B</t>
  </si>
  <si>
    <t>144079A</t>
  </si>
  <si>
    <t>1/144079</t>
  </si>
  <si>
    <t>145914A</t>
  </si>
  <si>
    <t>23881005000176</t>
  </si>
  <si>
    <t>SILVA E SOUZA COM DE PROD FARM LTDA - ME</t>
  </si>
  <si>
    <t>1/145914</t>
  </si>
  <si>
    <t>145599A</t>
  </si>
  <si>
    <t>1/145599</t>
  </si>
  <si>
    <t>142788D</t>
  </si>
  <si>
    <t>144886B</t>
  </si>
  <si>
    <t>145351D</t>
  </si>
  <si>
    <t>142670E</t>
  </si>
  <si>
    <t>143366C</t>
  </si>
  <si>
    <t>144079B</t>
  </si>
  <si>
    <t>142788E</t>
  </si>
  <si>
    <t>144886C</t>
  </si>
  <si>
    <t>145599B</t>
  </si>
  <si>
    <t>147688B</t>
  </si>
  <si>
    <t>16842196000100</t>
  </si>
  <si>
    <t>MARIA TATIANA ARAUJO LIMA ME</t>
  </si>
  <si>
    <t>1/147688</t>
  </si>
  <si>
    <t>147180A</t>
  </si>
  <si>
    <t>1/147180</t>
  </si>
  <si>
    <t>145146D</t>
  </si>
  <si>
    <t>07678919000188</t>
  </si>
  <si>
    <t>A C COMERCIAL FARMACEUTICA LTDA ME</t>
  </si>
  <si>
    <t>1/145146</t>
  </si>
  <si>
    <t>PALMÁCIA</t>
  </si>
  <si>
    <t>142670F</t>
  </si>
  <si>
    <t>144079C</t>
  </si>
  <si>
    <t>147275D</t>
  </si>
  <si>
    <t>1/147275</t>
  </si>
  <si>
    <t>147688C</t>
  </si>
  <si>
    <t>148307B</t>
  </si>
  <si>
    <t>1/148307</t>
  </si>
  <si>
    <t>145985C</t>
  </si>
  <si>
    <t>1/145985</t>
  </si>
  <si>
    <t>145914B</t>
  </si>
  <si>
    <t>145599C</t>
  </si>
  <si>
    <t>144886D</t>
  </si>
  <si>
    <t>147180B</t>
  </si>
  <si>
    <t>145146E</t>
  </si>
  <si>
    <t>142670G</t>
  </si>
  <si>
    <t>148307C</t>
  </si>
  <si>
    <t>145599D</t>
  </si>
  <si>
    <t>148307D</t>
  </si>
  <si>
    <t>142670H</t>
  </si>
  <si>
    <t>144886E</t>
  </si>
  <si>
    <t>147180C</t>
  </si>
  <si>
    <t>148307E</t>
  </si>
  <si>
    <t>145599E</t>
  </si>
  <si>
    <t>145599F</t>
  </si>
  <si>
    <t>145599G</t>
  </si>
  <si>
    <t>149250B</t>
  </si>
  <si>
    <t>10474871000109</t>
  </si>
  <si>
    <t>F D F GONZAGA DROGARIA ME</t>
  </si>
  <si>
    <t>1/149250</t>
  </si>
  <si>
    <t>IRAUCUBA</t>
  </si>
  <si>
    <t>149251A</t>
  </si>
  <si>
    <t>1/149251</t>
  </si>
  <si>
    <t>149250C</t>
  </si>
  <si>
    <t>155866C</t>
  </si>
  <si>
    <t>13306483000107</t>
  </si>
  <si>
    <t>DROGAMELIA COM.DE PRODUTOS FARM. LTDA</t>
  </si>
  <si>
    <t>1/155866</t>
  </si>
  <si>
    <t>154891A</t>
  </si>
  <si>
    <t>10700167000119</t>
  </si>
  <si>
    <t>FARMANATO COM DE MEDIC. LTDA-MZ</t>
  </si>
  <si>
    <t>1/154891</t>
  </si>
  <si>
    <t>ARACATI</t>
  </si>
  <si>
    <t>155114A</t>
  </si>
  <si>
    <t>23322822000194</t>
  </si>
  <si>
    <t>FARMACIA FP POPULAR N S DE FATIMA LTDA ME</t>
  </si>
  <si>
    <t>1/155114</t>
  </si>
  <si>
    <t>154963B</t>
  </si>
  <si>
    <t>10700167000380</t>
  </si>
  <si>
    <t>FARMANATO COM DE MEDIC. LTDA-FL2</t>
  </si>
  <si>
    <t>1/154963</t>
  </si>
  <si>
    <t>156751C</t>
  </si>
  <si>
    <t>1/156751</t>
  </si>
  <si>
    <t>154891B</t>
  </si>
  <si>
    <t>155134A</t>
  </si>
  <si>
    <t>1/155134</t>
  </si>
  <si>
    <t>155193A</t>
  </si>
  <si>
    <t>1/155193</t>
  </si>
  <si>
    <t>155722A</t>
  </si>
  <si>
    <t>1/155722</t>
  </si>
  <si>
    <t>155720A</t>
  </si>
  <si>
    <t>1/155720</t>
  </si>
  <si>
    <t>155114B</t>
  </si>
  <si>
    <t>154891C</t>
  </si>
  <si>
    <t>155138A</t>
  </si>
  <si>
    <t>1/155138</t>
  </si>
  <si>
    <t>155132A</t>
  </si>
  <si>
    <t>1/155132</t>
  </si>
  <si>
    <t>156488A</t>
  </si>
  <si>
    <t>1/156488</t>
  </si>
  <si>
    <t>155114C</t>
  </si>
  <si>
    <t>154963C</t>
  </si>
  <si>
    <t>156465A</t>
  </si>
  <si>
    <t>1/156465</t>
  </si>
  <si>
    <t>156852A</t>
  </si>
  <si>
    <t>1/156852</t>
  </si>
  <si>
    <t>156803A</t>
  </si>
  <si>
    <t>1/156803</t>
  </si>
  <si>
    <t>ARNALDO RAMOS DE AGUIAR</t>
  </si>
  <si>
    <t>154355D</t>
  </si>
  <si>
    <t>10848096000104</t>
  </si>
  <si>
    <t>M E XIMENES COSTA COM DE MED  LTDA - ME</t>
  </si>
  <si>
    <t>1/154355</t>
  </si>
  <si>
    <t>155193B</t>
  </si>
  <si>
    <t>156465B</t>
  </si>
  <si>
    <t>154891D</t>
  </si>
  <si>
    <t>155134B</t>
  </si>
  <si>
    <t>156488B</t>
  </si>
  <si>
    <t>155114D</t>
  </si>
  <si>
    <t>156852B</t>
  </si>
  <si>
    <t>156803B</t>
  </si>
  <si>
    <t>154341A</t>
  </si>
  <si>
    <t>04488124000119</t>
  </si>
  <si>
    <t>DROGARIA NOGUEIRA &amp; BARBOSA-ME</t>
  </si>
  <si>
    <t>1/154341</t>
  </si>
  <si>
    <t>154554A</t>
  </si>
  <si>
    <t>1/154554</t>
  </si>
  <si>
    <t>154963D</t>
  </si>
  <si>
    <t>156465C</t>
  </si>
  <si>
    <t>156488C</t>
  </si>
  <si>
    <t>156030C</t>
  </si>
  <si>
    <t>10700167000208</t>
  </si>
  <si>
    <t>FARMANATO COM DE MEDIC. LTDA-FL1</t>
  </si>
  <si>
    <t>1/156030</t>
  </si>
  <si>
    <t>154622A</t>
  </si>
  <si>
    <t>1/154622</t>
  </si>
  <si>
    <t>155742B</t>
  </si>
  <si>
    <t>1/155742</t>
  </si>
  <si>
    <t>155722B</t>
  </si>
  <si>
    <t>155720B</t>
  </si>
  <si>
    <t>154739A</t>
  </si>
  <si>
    <t>1/154739</t>
  </si>
  <si>
    <t>154923A</t>
  </si>
  <si>
    <t>1/154923</t>
  </si>
  <si>
    <t>155172A</t>
  </si>
  <si>
    <t>1/155172</t>
  </si>
  <si>
    <t>155463A</t>
  </si>
  <si>
    <t>1/155463</t>
  </si>
  <si>
    <t>156484C</t>
  </si>
  <si>
    <t>1/156484</t>
  </si>
  <si>
    <t>156803C</t>
  </si>
  <si>
    <t>158051B</t>
  </si>
  <si>
    <t>1/158051</t>
  </si>
  <si>
    <t>158082A</t>
  </si>
  <si>
    <t>1/158082</t>
  </si>
  <si>
    <t>155244A</t>
  </si>
  <si>
    <t>1/155244</t>
  </si>
  <si>
    <t>155685A</t>
  </si>
  <si>
    <t>1/155685</t>
  </si>
  <si>
    <t>156852C</t>
  </si>
  <si>
    <t>156465D</t>
  </si>
  <si>
    <t>155951A</t>
  </si>
  <si>
    <t>1/155951</t>
  </si>
  <si>
    <t>156165A</t>
  </si>
  <si>
    <t>1/156165</t>
  </si>
  <si>
    <t>156913A</t>
  </si>
  <si>
    <t>1/156913</t>
  </si>
  <si>
    <t>156818C</t>
  </si>
  <si>
    <t>1/156818</t>
  </si>
  <si>
    <t>156488D</t>
  </si>
  <si>
    <t>156516A</t>
  </si>
  <si>
    <t>1/156516</t>
  </si>
  <si>
    <t>156803D</t>
  </si>
  <si>
    <t>156686A</t>
  </si>
  <si>
    <t>1/156686</t>
  </si>
  <si>
    <t>156852D</t>
  </si>
  <si>
    <t>156912A</t>
  </si>
  <si>
    <t>1/156912</t>
  </si>
  <si>
    <t>157018A</t>
  </si>
  <si>
    <t>1/157018</t>
  </si>
  <si>
    <t>158082B</t>
  </si>
  <si>
    <t>157201A</t>
  </si>
  <si>
    <t>1/157201</t>
  </si>
  <si>
    <t>158042A</t>
  </si>
  <si>
    <t>1/158042</t>
  </si>
  <si>
    <t>158738A</t>
  </si>
  <si>
    <t>1/158738</t>
  </si>
  <si>
    <t>157370A</t>
  </si>
  <si>
    <t>1/157370</t>
  </si>
  <si>
    <t>158737A</t>
  </si>
  <si>
    <t>1/158737</t>
  </si>
  <si>
    <t>158130B</t>
  </si>
  <si>
    <t>1/158130</t>
  </si>
  <si>
    <t>157873A</t>
  </si>
  <si>
    <t>1/157873</t>
  </si>
  <si>
    <t>158535A</t>
  </si>
  <si>
    <t>1/158535</t>
  </si>
  <si>
    <t>158485B</t>
  </si>
  <si>
    <t>1/158485</t>
  </si>
  <si>
    <t>158402A</t>
  </si>
  <si>
    <t>1/158402</t>
  </si>
  <si>
    <t>158772A</t>
  </si>
  <si>
    <t>1/158772</t>
  </si>
  <si>
    <t>160128A</t>
  </si>
  <si>
    <t>1/160128</t>
  </si>
  <si>
    <t>159016A</t>
  </si>
  <si>
    <t>1/159016</t>
  </si>
  <si>
    <t>160639A</t>
  </si>
  <si>
    <t>1/160639</t>
  </si>
  <si>
    <t>159201A</t>
  </si>
  <si>
    <t>1/159201</t>
  </si>
  <si>
    <t>160632A</t>
  </si>
  <si>
    <t>1/160632</t>
  </si>
  <si>
    <t>158401A</t>
  </si>
  <si>
    <t>1/158401</t>
  </si>
  <si>
    <t>159497B</t>
  </si>
  <si>
    <t>1/159497</t>
  </si>
  <si>
    <t>160128B</t>
  </si>
  <si>
    <t>158059A</t>
  </si>
  <si>
    <t>41422528000136</t>
  </si>
  <si>
    <t>M L MARQUES COM DE PROD FARM ME</t>
  </si>
  <si>
    <t>1/158059</t>
  </si>
  <si>
    <t>158773A</t>
  </si>
  <si>
    <t>1/158773</t>
  </si>
  <si>
    <t>159442A</t>
  </si>
  <si>
    <t>1/159442</t>
  </si>
  <si>
    <t>163482B</t>
  </si>
  <si>
    <t>24180274000178</t>
  </si>
  <si>
    <t>M M FARMA COM DE PROD FARM EIRELI</t>
  </si>
  <si>
    <t>1/163482</t>
  </si>
  <si>
    <t>159498B</t>
  </si>
  <si>
    <t>1/159498</t>
  </si>
  <si>
    <t>158894A</t>
  </si>
  <si>
    <t>1/158894</t>
  </si>
  <si>
    <t>161120A</t>
  </si>
  <si>
    <t>1/161120</t>
  </si>
  <si>
    <t>159033A</t>
  </si>
  <si>
    <t>1/159033</t>
  </si>
  <si>
    <t>159444A</t>
  </si>
  <si>
    <t>1/159444</t>
  </si>
  <si>
    <t>158426A</t>
  </si>
  <si>
    <t>1/158426</t>
  </si>
  <si>
    <t>158796A</t>
  </si>
  <si>
    <t>1/158796</t>
  </si>
  <si>
    <t>159200A</t>
  </si>
  <si>
    <t>1/159200</t>
  </si>
  <si>
    <t>158775A</t>
  </si>
  <si>
    <t>1/158775</t>
  </si>
  <si>
    <t>159479A</t>
  </si>
  <si>
    <t>1/159479</t>
  </si>
  <si>
    <t>163482C</t>
  </si>
  <si>
    <t>160591A</t>
  </si>
  <si>
    <t>1/160591</t>
  </si>
  <si>
    <t>159480A</t>
  </si>
  <si>
    <t>1/159480</t>
  </si>
  <si>
    <t>160697A</t>
  </si>
  <si>
    <t>1/160697</t>
  </si>
  <si>
    <t>159202A</t>
  </si>
  <si>
    <t>1/159202</t>
  </si>
  <si>
    <t>161050A</t>
  </si>
  <si>
    <t>1/161050</t>
  </si>
  <si>
    <t>159451A</t>
  </si>
  <si>
    <t>1/159451</t>
  </si>
  <si>
    <t>164275A</t>
  </si>
  <si>
    <t>1/164275</t>
  </si>
  <si>
    <t>160599A</t>
  </si>
  <si>
    <t>1/160599</t>
  </si>
  <si>
    <t>160602A</t>
  </si>
  <si>
    <t>1/160602</t>
  </si>
  <si>
    <t>159787A</t>
  </si>
  <si>
    <t>1/159787</t>
  </si>
  <si>
    <t>159821A</t>
  </si>
  <si>
    <t>1/159821</t>
  </si>
  <si>
    <t>160682A</t>
  </si>
  <si>
    <t>1/160682</t>
  </si>
  <si>
    <t>159820A</t>
  </si>
  <si>
    <t>1/159820</t>
  </si>
  <si>
    <t>159826A</t>
  </si>
  <si>
    <t>1/159826</t>
  </si>
  <si>
    <t>159890A</t>
  </si>
  <si>
    <t>1/159890</t>
  </si>
  <si>
    <t>160718A</t>
  </si>
  <si>
    <t>1/160718</t>
  </si>
  <si>
    <t>161432A</t>
  </si>
  <si>
    <t>1/161432</t>
  </si>
  <si>
    <t>160185A</t>
  </si>
  <si>
    <t>1/160185</t>
  </si>
  <si>
    <t>160183A</t>
  </si>
  <si>
    <t>1/160183</t>
  </si>
  <si>
    <t>161052A</t>
  </si>
  <si>
    <t>1/161052</t>
  </si>
  <si>
    <t>160370A</t>
  </si>
  <si>
    <t>1/160370</t>
  </si>
  <si>
    <t>160386A</t>
  </si>
  <si>
    <t>1/160386</t>
  </si>
  <si>
    <t>160590A</t>
  </si>
  <si>
    <t>1/160590</t>
  </si>
  <si>
    <t>161443A</t>
  </si>
  <si>
    <t>1/161443</t>
  </si>
  <si>
    <t>160681A</t>
  </si>
  <si>
    <t>1/160681</t>
  </si>
  <si>
    <t>160704A</t>
  </si>
  <si>
    <t>1/160704</t>
  </si>
  <si>
    <t>161665A</t>
  </si>
  <si>
    <t>1/161665</t>
  </si>
  <si>
    <t>161045A</t>
  </si>
  <si>
    <t>1/161045</t>
  </si>
  <si>
    <t>161447A</t>
  </si>
  <si>
    <t>1/161447</t>
  </si>
  <si>
    <t>161666A</t>
  </si>
  <si>
    <t>1/161666</t>
  </si>
  <si>
    <t>168384A</t>
  </si>
  <si>
    <t>19448548000127</t>
  </si>
  <si>
    <t>DROGARIA + VIDA LTDA ME</t>
  </si>
  <si>
    <t>1/168384</t>
  </si>
  <si>
    <t>168384B</t>
  </si>
  <si>
    <t>08587058000195</t>
  </si>
  <si>
    <t>S V DE SOUSA COMERCIO DE MEDICAM LTDA ME</t>
  </si>
  <si>
    <t>ANGELA MARIA FARIAS LIMA</t>
  </si>
  <si>
    <t>166682B</t>
  </si>
  <si>
    <t>07645740000124</t>
  </si>
  <si>
    <t>FARMACIA ESTADO DO RIO LTDA</t>
  </si>
  <si>
    <t>1/166682</t>
  </si>
  <si>
    <t>167436A</t>
  </si>
  <si>
    <t>1/167436</t>
  </si>
  <si>
    <t>167995A</t>
  </si>
  <si>
    <t>1/167995</t>
  </si>
  <si>
    <t>164995E</t>
  </si>
  <si>
    <t>1/164995</t>
  </si>
  <si>
    <t>166629C</t>
  </si>
  <si>
    <t>1/166629</t>
  </si>
  <si>
    <t>168268A</t>
  </si>
  <si>
    <t>07147804000167</t>
  </si>
  <si>
    <t>DOMINGOS TELES CAVALCANTE-EPP</t>
  </si>
  <si>
    <t>1/168268</t>
  </si>
  <si>
    <t>COREAU</t>
  </si>
  <si>
    <t>165601E</t>
  </si>
  <si>
    <t>1/165601</t>
  </si>
  <si>
    <t>166682C</t>
  </si>
  <si>
    <t>167436B</t>
  </si>
  <si>
    <t>167995B</t>
  </si>
  <si>
    <t>166629D</t>
  </si>
  <si>
    <t>167207A</t>
  </si>
  <si>
    <t>23455710000101</t>
  </si>
  <si>
    <t>FARMACIA CAVALCANTE LTDA</t>
  </si>
  <si>
    <t>1/167207</t>
  </si>
  <si>
    <t>LUCIANA MARIA LEMOS IDALGO</t>
  </si>
  <si>
    <t>165601F</t>
  </si>
  <si>
    <t>166682D</t>
  </si>
  <si>
    <t>167436C</t>
  </si>
  <si>
    <t>167995C</t>
  </si>
  <si>
    <t>169978A</t>
  </si>
  <si>
    <t>26205042000152</t>
  </si>
  <si>
    <t>FRANCISCO O SILVA FARMACIA ME</t>
  </si>
  <si>
    <t>1/169978</t>
  </si>
  <si>
    <t>PEREIRO</t>
  </si>
  <si>
    <t>167007B</t>
  </si>
  <si>
    <t>1/167007</t>
  </si>
  <si>
    <t>167743A</t>
  </si>
  <si>
    <t>1/167743</t>
  </si>
  <si>
    <t>168028A</t>
  </si>
  <si>
    <t>1/168028</t>
  </si>
  <si>
    <t>167369A</t>
  </si>
  <si>
    <t>1/167369</t>
  </si>
  <si>
    <t>166682E</t>
  </si>
  <si>
    <t>167436D</t>
  </si>
  <si>
    <t>167995D</t>
  </si>
  <si>
    <t>167007C</t>
  </si>
  <si>
    <t>169978B</t>
  </si>
  <si>
    <t>167743B</t>
  </si>
  <si>
    <t>167775A</t>
  </si>
  <si>
    <t>1/167775</t>
  </si>
  <si>
    <t>169014A</t>
  </si>
  <si>
    <t>1/169014</t>
  </si>
  <si>
    <t>167154B</t>
  </si>
  <si>
    <t>1/167154</t>
  </si>
  <si>
    <t>167207B</t>
  </si>
  <si>
    <t>168433A</t>
  </si>
  <si>
    <t>1/168433</t>
  </si>
  <si>
    <t>167436E</t>
  </si>
  <si>
    <t>167995E</t>
  </si>
  <si>
    <t>167743C</t>
  </si>
  <si>
    <t>168028B</t>
  </si>
  <si>
    <t>168503A</t>
  </si>
  <si>
    <t>1/168503</t>
  </si>
  <si>
    <t>169144A</t>
  </si>
  <si>
    <t>1/169144</t>
  </si>
  <si>
    <t>169014B</t>
  </si>
  <si>
    <t>168536A</t>
  </si>
  <si>
    <t>1/168536</t>
  </si>
  <si>
    <t>167995F</t>
  </si>
  <si>
    <t>169628A</t>
  </si>
  <si>
    <t>1/169628</t>
  </si>
  <si>
    <t>169144B</t>
  </si>
  <si>
    <t>168998A</t>
  </si>
  <si>
    <t>1/168998</t>
  </si>
  <si>
    <t>169014C</t>
  </si>
  <si>
    <t>172153A</t>
  </si>
  <si>
    <t>13004910000194</t>
  </si>
  <si>
    <t>WASHINGTON DE MOURA QUEIROZ-ME</t>
  </si>
  <si>
    <t>1/172153</t>
  </si>
  <si>
    <t>PARAIPABA</t>
  </si>
  <si>
    <t>168433B</t>
  </si>
  <si>
    <t>169150A</t>
  </si>
  <si>
    <t>1/169150</t>
  </si>
  <si>
    <t>168543B</t>
  </si>
  <si>
    <t>1/168543</t>
  </si>
  <si>
    <t>168793B</t>
  </si>
  <si>
    <t>1/168793</t>
  </si>
  <si>
    <t>167995G</t>
  </si>
  <si>
    <t>170018A</t>
  </si>
  <si>
    <t>1/170018</t>
  </si>
  <si>
    <t>168979B</t>
  </si>
  <si>
    <t>1/168979</t>
  </si>
  <si>
    <t>169628B</t>
  </si>
  <si>
    <t>169144C</t>
  </si>
  <si>
    <t>MICHEL TIBURCIO DE MELO</t>
  </si>
  <si>
    <t>167995H</t>
  </si>
  <si>
    <t>171034A</t>
  </si>
  <si>
    <t>1/171034</t>
  </si>
  <si>
    <t>170018B</t>
  </si>
  <si>
    <t>169628C</t>
  </si>
  <si>
    <t>170018C</t>
  </si>
  <si>
    <t>170554A</t>
  </si>
  <si>
    <t>1/170554</t>
  </si>
  <si>
    <t>171034B</t>
  </si>
  <si>
    <t>172153C</t>
  </si>
  <si>
    <t>171034C</t>
  </si>
  <si>
    <t>172096A</t>
  </si>
  <si>
    <t>1/172096</t>
  </si>
  <si>
    <t>172096B</t>
  </si>
  <si>
    <t>172480A</t>
  </si>
  <si>
    <t>04591828000112</t>
  </si>
  <si>
    <t>RAFAEL PEREZ DE FREITAS ME</t>
  </si>
  <si>
    <t>1/172480</t>
  </si>
  <si>
    <t>JOELIA PINTO CORREIA LOPES</t>
  </si>
  <si>
    <t>172096C</t>
  </si>
  <si>
    <t>172620A</t>
  </si>
  <si>
    <t>1/172620</t>
  </si>
  <si>
    <t>172960A</t>
  </si>
  <si>
    <t>1/172960</t>
  </si>
  <si>
    <t>05471955000221</t>
  </si>
  <si>
    <t>FARMACIA CASA DO REMEDIO LTDA-FILIAL 1</t>
  </si>
  <si>
    <t>173115A</t>
  </si>
  <si>
    <t>1/173115</t>
  </si>
  <si>
    <t>173179A</t>
  </si>
  <si>
    <t>1/173179</t>
  </si>
  <si>
    <t>173433A</t>
  </si>
  <si>
    <t>1/173433</t>
  </si>
  <si>
    <t>173434A</t>
  </si>
  <si>
    <t>1/173434</t>
  </si>
  <si>
    <t>173840A</t>
  </si>
  <si>
    <t>1/173840</t>
  </si>
  <si>
    <t>173886A</t>
  </si>
  <si>
    <t>1/173886</t>
  </si>
  <si>
    <t>174460A</t>
  </si>
  <si>
    <t>1/174460</t>
  </si>
  <si>
    <t>175346A</t>
  </si>
  <si>
    <t>1/175346</t>
  </si>
  <si>
    <t>ANTONIA VALDENES MOREIRA</t>
  </si>
  <si>
    <t>178088A</t>
  </si>
  <si>
    <t>1/178088</t>
  </si>
  <si>
    <t>175775A</t>
  </si>
  <si>
    <t>1/175775</t>
  </si>
  <si>
    <t>175781A</t>
  </si>
  <si>
    <t>1/175781</t>
  </si>
  <si>
    <t>175849A</t>
  </si>
  <si>
    <t>1/175849</t>
  </si>
  <si>
    <t>BATURITÉ</t>
  </si>
  <si>
    <t>178930A</t>
  </si>
  <si>
    <t>1/178930</t>
  </si>
  <si>
    <t>176490A</t>
  </si>
  <si>
    <t>1/176490</t>
  </si>
  <si>
    <t>179723A</t>
  </si>
  <si>
    <t>1/179723</t>
  </si>
  <si>
    <t>176867C</t>
  </si>
  <si>
    <t>14620253000172</t>
  </si>
  <si>
    <t>FARMACIA SUPER SAUDE LTDA-ME</t>
  </si>
  <si>
    <t>1/176867</t>
  </si>
  <si>
    <t>177852A</t>
  </si>
  <si>
    <t>1/177852</t>
  </si>
  <si>
    <t>180226B</t>
  </si>
  <si>
    <t>17138061000201</t>
  </si>
  <si>
    <t>FARMACIA IPARANA LTDA ME - FL</t>
  </si>
  <si>
    <t>1/180226</t>
  </si>
  <si>
    <t>180716B</t>
  </si>
  <si>
    <t>1/180716</t>
  </si>
  <si>
    <t>180226C</t>
  </si>
  <si>
    <t>179780D</t>
  </si>
  <si>
    <t>1/179780</t>
  </si>
  <si>
    <t>182508A</t>
  </si>
  <si>
    <t>1/182508</t>
  </si>
  <si>
    <t>180716C</t>
  </si>
  <si>
    <t>179780E</t>
  </si>
  <si>
    <t>181672A</t>
  </si>
  <si>
    <t>11811338000140</t>
  </si>
  <si>
    <t>COMERCIAL DE PROD. FARM.MARTINS LTDA</t>
  </si>
  <si>
    <t>1/181672</t>
  </si>
  <si>
    <t>185712A</t>
  </si>
  <si>
    <t>05582590000121</t>
  </si>
  <si>
    <t>FARMACIA NOVA SAUDE LTDA-ME</t>
  </si>
  <si>
    <t>1/185712</t>
  </si>
  <si>
    <t>181672B</t>
  </si>
  <si>
    <t>182040A</t>
  </si>
  <si>
    <t>1/182040</t>
  </si>
  <si>
    <t>182182A</t>
  </si>
  <si>
    <t>1/182182</t>
  </si>
  <si>
    <t>28362555000100</t>
  </si>
  <si>
    <t>FEIJO &amp; XAVIER PROD FARMAC LTDA ME</t>
  </si>
  <si>
    <t>183875A</t>
  </si>
  <si>
    <t>1/183875</t>
  </si>
  <si>
    <t>184095A</t>
  </si>
  <si>
    <t>1/184095</t>
  </si>
  <si>
    <t>184550B</t>
  </si>
  <si>
    <t>1/184550</t>
  </si>
  <si>
    <t>183915B</t>
  </si>
  <si>
    <t>1/183915</t>
  </si>
  <si>
    <t>184213B</t>
  </si>
  <si>
    <t>1/184213</t>
  </si>
  <si>
    <t>184550C</t>
  </si>
  <si>
    <t>185098A</t>
  </si>
  <si>
    <t>1/185098</t>
  </si>
  <si>
    <t>183875B</t>
  </si>
  <si>
    <t>185196B</t>
  </si>
  <si>
    <t>1/185196</t>
  </si>
  <si>
    <t>184835A</t>
  </si>
  <si>
    <t>1/184835</t>
  </si>
  <si>
    <t>183227E</t>
  </si>
  <si>
    <t>1/183227</t>
  </si>
  <si>
    <t>184829A</t>
  </si>
  <si>
    <t>1/184829</t>
  </si>
  <si>
    <t>184213C</t>
  </si>
  <si>
    <t>185098B</t>
  </si>
  <si>
    <t>183915C</t>
  </si>
  <si>
    <t>183875C</t>
  </si>
  <si>
    <t>185196C</t>
  </si>
  <si>
    <t>183227F</t>
  </si>
  <si>
    <t>183917B</t>
  </si>
  <si>
    <t>1/183917</t>
  </si>
  <si>
    <t>184835B</t>
  </si>
  <si>
    <t>185649A</t>
  </si>
  <si>
    <t>1/185649</t>
  </si>
  <si>
    <t>184992C</t>
  </si>
  <si>
    <t>04906082000199</t>
  </si>
  <si>
    <t>FERREIRA &amp; CASTRO FARMACIA LTDA-ME</t>
  </si>
  <si>
    <t>1/184992</t>
  </si>
  <si>
    <t>186409A</t>
  </si>
  <si>
    <t>1/186409</t>
  </si>
  <si>
    <t>185654A</t>
  </si>
  <si>
    <t>1/185654</t>
  </si>
  <si>
    <t>184213D</t>
  </si>
  <si>
    <t>185098C</t>
  </si>
  <si>
    <t>186229A</t>
  </si>
  <si>
    <t>1/186229</t>
  </si>
  <si>
    <t>186137A</t>
  </si>
  <si>
    <t>1/186137</t>
  </si>
  <si>
    <t>184835C</t>
  </si>
  <si>
    <t>185649B</t>
  </si>
  <si>
    <t>186865A</t>
  </si>
  <si>
    <t>1/186865</t>
  </si>
  <si>
    <t>185654B</t>
  </si>
  <si>
    <t>185651A</t>
  </si>
  <si>
    <t>1/185651</t>
  </si>
  <si>
    <t>186406A</t>
  </si>
  <si>
    <t>1/186406</t>
  </si>
  <si>
    <t>187194A</t>
  </si>
  <si>
    <t>1/187194</t>
  </si>
  <si>
    <t>186137B</t>
  </si>
  <si>
    <t>185649C</t>
  </si>
  <si>
    <t>186865B</t>
  </si>
  <si>
    <t>187191A</t>
  </si>
  <si>
    <t>1/187191</t>
  </si>
  <si>
    <t>187525A</t>
  </si>
  <si>
    <t>1/187525</t>
  </si>
  <si>
    <t>186406B</t>
  </si>
  <si>
    <t>186114B</t>
  </si>
  <si>
    <t>1/186114</t>
  </si>
  <si>
    <t>186409C</t>
  </si>
  <si>
    <t>185654C</t>
  </si>
  <si>
    <t>186846A</t>
  </si>
  <si>
    <t>1/186846</t>
  </si>
  <si>
    <t>186137C</t>
  </si>
  <si>
    <t>186229B</t>
  </si>
  <si>
    <t>187194B</t>
  </si>
  <si>
    <t>187874A</t>
  </si>
  <si>
    <t>1/187874</t>
  </si>
  <si>
    <t>188399A</t>
  </si>
  <si>
    <t>1/188399</t>
  </si>
  <si>
    <t>185649D</t>
  </si>
  <si>
    <t>186865C</t>
  </si>
  <si>
    <t>187525B</t>
  </si>
  <si>
    <t>186406C</t>
  </si>
  <si>
    <t>193272B</t>
  </si>
  <si>
    <t>1/193272</t>
  </si>
  <si>
    <t>JOAO BATISTA SANTOS DE ARAUJO</t>
  </si>
  <si>
    <t>191193A</t>
  </si>
  <si>
    <t>28721113000103</t>
  </si>
  <si>
    <t>DROGARIA ABREU E BRAGA LTDA</t>
  </si>
  <si>
    <t>1/191193</t>
  </si>
  <si>
    <t>189781C</t>
  </si>
  <si>
    <t>1/189781</t>
  </si>
  <si>
    <t>194328B</t>
  </si>
  <si>
    <t>07141427000159</t>
  </si>
  <si>
    <t>FARMA DINIZ COM DE MED LTDA ME</t>
  </si>
  <si>
    <t>1/194328</t>
  </si>
  <si>
    <t>CEDRO</t>
  </si>
  <si>
    <t>191194A</t>
  </si>
  <si>
    <t>1/191194</t>
  </si>
  <si>
    <t>194328C</t>
  </si>
  <si>
    <t>191193B</t>
  </si>
  <si>
    <t>28056866000133</t>
  </si>
  <si>
    <t>FARMACIA DA COMUNIDADE LTDA-ME</t>
  </si>
  <si>
    <t>1/194350</t>
  </si>
  <si>
    <t>193937A</t>
  </si>
  <si>
    <t>1/193937</t>
  </si>
  <si>
    <t>194394A</t>
  </si>
  <si>
    <t>1/194394</t>
  </si>
  <si>
    <t>194446A</t>
  </si>
  <si>
    <t>1/194446</t>
  </si>
  <si>
    <t>193937B</t>
  </si>
  <si>
    <t>194350B</t>
  </si>
  <si>
    <t>195848A</t>
  </si>
  <si>
    <t>1/195848</t>
  </si>
  <si>
    <t>193937C</t>
  </si>
  <si>
    <t>196872C</t>
  </si>
  <si>
    <t>30527918000154</t>
  </si>
  <si>
    <t>MATOSO E MALVEIRA COM  MED E CORREL LTDA</t>
  </si>
  <si>
    <t>1/196872</t>
  </si>
  <si>
    <t>196245A</t>
  </si>
  <si>
    <t>05438731000137</t>
  </si>
  <si>
    <t>FARMACIA E DROGARIA DO TRABALHADOR LTDA</t>
  </si>
  <si>
    <t>1/196245</t>
  </si>
  <si>
    <t>196315A</t>
  </si>
  <si>
    <t>02787831000423</t>
  </si>
  <si>
    <t>FARMACIA TELE JUCA LTDA FILIAL-4</t>
  </si>
  <si>
    <t>1/196315</t>
  </si>
  <si>
    <t>196320A</t>
  </si>
  <si>
    <t>02787831000504</t>
  </si>
  <si>
    <t>FARMACIA TELE JUCA LTDA FILIAL-6</t>
  </si>
  <si>
    <t>1/196320</t>
  </si>
  <si>
    <t>196247A</t>
  </si>
  <si>
    <t>02787831000180</t>
  </si>
  <si>
    <t>FARMACIA TELE JUCA LTDA-MATRIZ</t>
  </si>
  <si>
    <t>1/196247</t>
  </si>
  <si>
    <t>196324A</t>
  </si>
  <si>
    <t>05438731000218</t>
  </si>
  <si>
    <t>1/196324</t>
  </si>
  <si>
    <t>196360A</t>
  </si>
  <si>
    <t>05438731000307</t>
  </si>
  <si>
    <t>1/196360</t>
  </si>
  <si>
    <t>196334A</t>
  </si>
  <si>
    <t>02787831000938</t>
  </si>
  <si>
    <t>FARMACIA TELE JUCA LTDA FILIAL 12</t>
  </si>
  <si>
    <t>1/196334</t>
  </si>
  <si>
    <t>196326A</t>
  </si>
  <si>
    <t>02787831000261</t>
  </si>
  <si>
    <t>FARMACIA TELE JUCA LTDA FILIAL-2</t>
  </si>
  <si>
    <t>1/196326</t>
  </si>
  <si>
    <t>196321A</t>
  </si>
  <si>
    <t>02787831000695</t>
  </si>
  <si>
    <t>FARMACIA TELE JUCA LTDA FILIAL-7</t>
  </si>
  <si>
    <t>1/196321</t>
  </si>
  <si>
    <t>196325A</t>
  </si>
  <si>
    <t>02787831000776</t>
  </si>
  <si>
    <t>FARMACIA TELE JUCA LTDA FILIAL-8</t>
  </si>
  <si>
    <t>1/196325</t>
  </si>
  <si>
    <t>196323A</t>
  </si>
  <si>
    <t>02787831000857</t>
  </si>
  <si>
    <t>FARMACIA TELE JUCA LTDA FILIAL-9</t>
  </si>
  <si>
    <t>1/196323</t>
  </si>
  <si>
    <t>196441A</t>
  </si>
  <si>
    <t>1/196441</t>
  </si>
  <si>
    <t>196433A</t>
  </si>
  <si>
    <t>1/196433</t>
  </si>
  <si>
    <t>196438A</t>
  </si>
  <si>
    <t>1/196438</t>
  </si>
  <si>
    <t>196437A</t>
  </si>
  <si>
    <t>1/196437</t>
  </si>
  <si>
    <t>196583A</t>
  </si>
  <si>
    <t>1/196583</t>
  </si>
  <si>
    <t>201053B</t>
  </si>
  <si>
    <t>08760937000177</t>
  </si>
  <si>
    <t>CLEENE MARQUES DE MOURA -ME</t>
  </si>
  <si>
    <t>1/201053</t>
  </si>
  <si>
    <t>196762A</t>
  </si>
  <si>
    <t>1/196762</t>
  </si>
  <si>
    <t>196839A</t>
  </si>
  <si>
    <t>1/196839</t>
  </si>
  <si>
    <t>196799A</t>
  </si>
  <si>
    <t>1/196799</t>
  </si>
  <si>
    <t>196804A</t>
  </si>
  <si>
    <t>1/196804</t>
  </si>
  <si>
    <t>196838A</t>
  </si>
  <si>
    <t>02787831000342</t>
  </si>
  <si>
    <t>FARMACIA TELE JUCA LTDA FILIAL-3</t>
  </si>
  <si>
    <t>1/196838</t>
  </si>
  <si>
    <t>196800A</t>
  </si>
  <si>
    <t>1/196800</t>
  </si>
  <si>
    <t>196805A</t>
  </si>
  <si>
    <t>1/196805</t>
  </si>
  <si>
    <t>196798A</t>
  </si>
  <si>
    <t>1/196798</t>
  </si>
  <si>
    <t>196837A</t>
  </si>
  <si>
    <t>1/196837</t>
  </si>
  <si>
    <t>197006A</t>
  </si>
  <si>
    <t>1/197006</t>
  </si>
  <si>
    <t>197237A</t>
  </si>
  <si>
    <t>1/197237</t>
  </si>
  <si>
    <t>197236A</t>
  </si>
  <si>
    <t>1/197236</t>
  </si>
  <si>
    <t>197302A</t>
  </si>
  <si>
    <t>1/197302</t>
  </si>
  <si>
    <t>197287A</t>
  </si>
  <si>
    <t>1/197287</t>
  </si>
  <si>
    <t>197306A</t>
  </si>
  <si>
    <t>1/197306</t>
  </si>
  <si>
    <t>199321B</t>
  </si>
  <si>
    <t>1/199321</t>
  </si>
  <si>
    <t>201053C</t>
  </si>
  <si>
    <t>197710A</t>
  </si>
  <si>
    <t>1/197710</t>
  </si>
  <si>
    <t>197712A</t>
  </si>
  <si>
    <t>1/197712</t>
  </si>
  <si>
    <t>197705A</t>
  </si>
  <si>
    <t>1/197705</t>
  </si>
  <si>
    <t>197708A</t>
  </si>
  <si>
    <t>1/197708</t>
  </si>
  <si>
    <t>197713A</t>
  </si>
  <si>
    <t>1/197713</t>
  </si>
  <si>
    <t>197683A</t>
  </si>
  <si>
    <t>1/197683</t>
  </si>
  <si>
    <t>197704A</t>
  </si>
  <si>
    <t>1/197704</t>
  </si>
  <si>
    <t>197702A</t>
  </si>
  <si>
    <t>1/197702</t>
  </si>
  <si>
    <t>197718A</t>
  </si>
  <si>
    <t>1/197718</t>
  </si>
  <si>
    <t>197006B</t>
  </si>
  <si>
    <t>197825A</t>
  </si>
  <si>
    <t>1/197825</t>
  </si>
  <si>
    <t>197834A</t>
  </si>
  <si>
    <t>1/197834</t>
  </si>
  <si>
    <t>197824A</t>
  </si>
  <si>
    <t>1/197824</t>
  </si>
  <si>
    <t>197830A</t>
  </si>
  <si>
    <t>1/197830</t>
  </si>
  <si>
    <t>197831A</t>
  </si>
  <si>
    <t>1/197831</t>
  </si>
  <si>
    <t>197845A</t>
  </si>
  <si>
    <t>1/197845</t>
  </si>
  <si>
    <t>197952A</t>
  </si>
  <si>
    <t>1/197952</t>
  </si>
  <si>
    <t>198417A</t>
  </si>
  <si>
    <t>1/198417</t>
  </si>
  <si>
    <t>198439A</t>
  </si>
  <si>
    <t>1/198439</t>
  </si>
  <si>
    <t>198419A</t>
  </si>
  <si>
    <t>1/198419</t>
  </si>
  <si>
    <t>198436A</t>
  </si>
  <si>
    <t>1/198436</t>
  </si>
  <si>
    <t>198422A</t>
  </si>
  <si>
    <t>1/198422</t>
  </si>
  <si>
    <t>201053D</t>
  </si>
  <si>
    <t>198579A</t>
  </si>
  <si>
    <t>1/198579</t>
  </si>
  <si>
    <t>198590A</t>
  </si>
  <si>
    <t>1/198590</t>
  </si>
  <si>
    <t>198587A</t>
  </si>
  <si>
    <t>1/198587</t>
  </si>
  <si>
    <t>198578A</t>
  </si>
  <si>
    <t>1/198578</t>
  </si>
  <si>
    <t>198602A</t>
  </si>
  <si>
    <t>1/198602</t>
  </si>
  <si>
    <t>198601A</t>
  </si>
  <si>
    <t>1/198601</t>
  </si>
  <si>
    <t>198591A</t>
  </si>
  <si>
    <t>1/198591</t>
  </si>
  <si>
    <t>198589A</t>
  </si>
  <si>
    <t>1/198589</t>
  </si>
  <si>
    <t>198598A</t>
  </si>
  <si>
    <t>1/198598</t>
  </si>
  <si>
    <t>197006C</t>
  </si>
  <si>
    <t>201053E</t>
  </si>
  <si>
    <t>199252A</t>
  </si>
  <si>
    <t>1/199252</t>
  </si>
  <si>
    <t>199229A</t>
  </si>
  <si>
    <t>1/199229</t>
  </si>
  <si>
    <t>199174A</t>
  </si>
  <si>
    <t>1/199174</t>
  </si>
  <si>
    <t>199248A</t>
  </si>
  <si>
    <t>1/199248</t>
  </si>
  <si>
    <t>199251A</t>
  </si>
  <si>
    <t>1/199251</t>
  </si>
  <si>
    <t>199162A</t>
  </si>
  <si>
    <t>1/199162</t>
  </si>
  <si>
    <t>199208A</t>
  </si>
  <si>
    <t>1/199208</t>
  </si>
  <si>
    <t>199155A</t>
  </si>
  <si>
    <t>1/199155</t>
  </si>
  <si>
    <t>199207A</t>
  </si>
  <si>
    <t>1/199207</t>
  </si>
  <si>
    <t>199166A</t>
  </si>
  <si>
    <t>1/199166</t>
  </si>
  <si>
    <t>199232A</t>
  </si>
  <si>
    <t>1/199232</t>
  </si>
  <si>
    <t>199171A</t>
  </si>
  <si>
    <t>1/199171</t>
  </si>
  <si>
    <t>199247A</t>
  </si>
  <si>
    <t>1/199247</t>
  </si>
  <si>
    <t>199168A</t>
  </si>
  <si>
    <t>1/199168</t>
  </si>
  <si>
    <t>199172A</t>
  </si>
  <si>
    <t>1/199172</t>
  </si>
  <si>
    <t>199236A</t>
  </si>
  <si>
    <t>1/199236</t>
  </si>
  <si>
    <t>199216A</t>
  </si>
  <si>
    <t>1/199216</t>
  </si>
  <si>
    <t>199249A</t>
  </si>
  <si>
    <t>1/199249</t>
  </si>
  <si>
    <t>199167A</t>
  </si>
  <si>
    <t>1/199167</t>
  </si>
  <si>
    <t>199204A</t>
  </si>
  <si>
    <t>1/199204</t>
  </si>
  <si>
    <t>199319A</t>
  </si>
  <si>
    <t>1/199319</t>
  </si>
  <si>
    <t>199939A</t>
  </si>
  <si>
    <t>1/199939</t>
  </si>
  <si>
    <t>199961A</t>
  </si>
  <si>
    <t>1/199961</t>
  </si>
  <si>
    <t>199945A</t>
  </si>
  <si>
    <t>1/199945</t>
  </si>
  <si>
    <t>199957A</t>
  </si>
  <si>
    <t>1/199957</t>
  </si>
  <si>
    <t>199944A</t>
  </si>
  <si>
    <t>1/199944</t>
  </si>
  <si>
    <t>199962A</t>
  </si>
  <si>
    <t>1/199962</t>
  </si>
  <si>
    <t>199960A</t>
  </si>
  <si>
    <t>1/199960</t>
  </si>
  <si>
    <t>199959A</t>
  </si>
  <si>
    <t>1/199959</t>
  </si>
  <si>
    <t>199947A</t>
  </si>
  <si>
    <t>1/199947</t>
  </si>
  <si>
    <t>199963A</t>
  </si>
  <si>
    <t>1/199963</t>
  </si>
  <si>
    <t>ESIO GOMES NOGUEIRA</t>
  </si>
  <si>
    <t>200220A</t>
  </si>
  <si>
    <t>1/200220</t>
  </si>
  <si>
    <t>200226A</t>
  </si>
  <si>
    <t>1/200226</t>
  </si>
  <si>
    <t>200237A</t>
  </si>
  <si>
    <t>1/200237</t>
  </si>
  <si>
    <t>200228A</t>
  </si>
  <si>
    <t>1/200228</t>
  </si>
  <si>
    <t>200236A</t>
  </si>
  <si>
    <t>1/200236</t>
  </si>
  <si>
    <t>200235A</t>
  </si>
  <si>
    <t>1/200235</t>
  </si>
  <si>
    <t>200227A</t>
  </si>
  <si>
    <t>1/200227</t>
  </si>
  <si>
    <t>200217A</t>
  </si>
  <si>
    <t>1/200217</t>
  </si>
  <si>
    <t>201010A</t>
  </si>
  <si>
    <t>1/201010</t>
  </si>
  <si>
    <t>200682A</t>
  </si>
  <si>
    <t>1/200682</t>
  </si>
  <si>
    <t>200655A</t>
  </si>
  <si>
    <t>1/200655</t>
  </si>
  <si>
    <t>200657A</t>
  </si>
  <si>
    <t>1/200657</t>
  </si>
  <si>
    <t>200650A</t>
  </si>
  <si>
    <t>1/200650</t>
  </si>
  <si>
    <t>200654A</t>
  </si>
  <si>
    <t>1/200654</t>
  </si>
  <si>
    <t>200694A</t>
  </si>
  <si>
    <t>1/200694</t>
  </si>
  <si>
    <t>200656A</t>
  </si>
  <si>
    <t>1/200656</t>
  </si>
  <si>
    <t>SYVIA CRISTINA DE ANDRADE ABRANTES</t>
  </si>
  <si>
    <t>201010B</t>
  </si>
  <si>
    <t>204837A</t>
  </si>
  <si>
    <t>1/204837</t>
  </si>
  <si>
    <t>205198A</t>
  </si>
  <si>
    <t>05457203000125</t>
  </si>
  <si>
    <t>CASA DOS COMPRIMIDOS COM LTDA-ME</t>
  </si>
  <si>
    <t>1/205198</t>
  </si>
  <si>
    <t>203917A</t>
  </si>
  <si>
    <t>1/203917</t>
  </si>
  <si>
    <t>209523A</t>
  </si>
  <si>
    <t>1/209523</t>
  </si>
  <si>
    <t>207857A</t>
  </si>
  <si>
    <t>1/207857</t>
  </si>
  <si>
    <t>RAFAEL MENDES</t>
  </si>
  <si>
    <t>207561B</t>
  </si>
  <si>
    <t>1/207561</t>
  </si>
  <si>
    <t>208368A</t>
  </si>
  <si>
    <t>1/208368</t>
  </si>
  <si>
    <t>208405A</t>
  </si>
  <si>
    <t>1/208405</t>
  </si>
  <si>
    <t>208370A</t>
  </si>
  <si>
    <t>1/208370</t>
  </si>
  <si>
    <t>208387A</t>
  </si>
  <si>
    <t>1/208387</t>
  </si>
  <si>
    <t>208408A</t>
  </si>
  <si>
    <t>1/208408</t>
  </si>
  <si>
    <t>208357A</t>
  </si>
  <si>
    <t>1/208357</t>
  </si>
  <si>
    <t>208366A</t>
  </si>
  <si>
    <t>1/208366</t>
  </si>
  <si>
    <t>208415A</t>
  </si>
  <si>
    <t>1/208415</t>
  </si>
  <si>
    <t>208373B</t>
  </si>
  <si>
    <t>1/208373</t>
  </si>
  <si>
    <t>207569C</t>
  </si>
  <si>
    <t>1/207569</t>
  </si>
  <si>
    <t>207555B</t>
  </si>
  <si>
    <t>1/207555</t>
  </si>
  <si>
    <t>207562B</t>
  </si>
  <si>
    <t>1/207562</t>
  </si>
  <si>
    <t>207570B</t>
  </si>
  <si>
    <t>1/207570</t>
  </si>
  <si>
    <t>207669B</t>
  </si>
  <si>
    <t>1/207669</t>
  </si>
  <si>
    <t>207633B</t>
  </si>
  <si>
    <t>1/207633</t>
  </si>
  <si>
    <t>207650B</t>
  </si>
  <si>
    <t>1/207650</t>
  </si>
  <si>
    <t>207635C</t>
  </si>
  <si>
    <t>1/207635</t>
  </si>
  <si>
    <t>HORIZONTE</t>
  </si>
  <si>
    <t>209010A</t>
  </si>
  <si>
    <t>1/209010</t>
  </si>
  <si>
    <t>209006A</t>
  </si>
  <si>
    <t>1/209006</t>
  </si>
  <si>
    <t>208946A</t>
  </si>
  <si>
    <t>1/208946</t>
  </si>
  <si>
    <t>208369A</t>
  </si>
  <si>
    <t>1/208369</t>
  </si>
  <si>
    <t>209814B</t>
  </si>
  <si>
    <t>1/209814</t>
  </si>
  <si>
    <t>209107A</t>
  </si>
  <si>
    <t>1/209107</t>
  </si>
  <si>
    <t>208373C</t>
  </si>
  <si>
    <t>209099A</t>
  </si>
  <si>
    <t>1/209099</t>
  </si>
  <si>
    <t>209097A</t>
  </si>
  <si>
    <t>1/209097</t>
  </si>
  <si>
    <t>209096A</t>
  </si>
  <si>
    <t>1/209096</t>
  </si>
  <si>
    <t>209469A</t>
  </si>
  <si>
    <t>1/209469</t>
  </si>
  <si>
    <t>209565A</t>
  </si>
  <si>
    <t>1/209565</t>
  </si>
  <si>
    <t>209568A</t>
  </si>
  <si>
    <t>1/209568</t>
  </si>
  <si>
    <t>209566A</t>
  </si>
  <si>
    <t>1/209566</t>
  </si>
  <si>
    <t>209578A</t>
  </si>
  <si>
    <t>1/209578</t>
  </si>
  <si>
    <t>209576A</t>
  </si>
  <si>
    <t>1/209576</t>
  </si>
  <si>
    <t>209594A</t>
  </si>
  <si>
    <t>1/209594</t>
  </si>
  <si>
    <t>209569A</t>
  </si>
  <si>
    <t>1/209569</t>
  </si>
  <si>
    <t>209586A</t>
  </si>
  <si>
    <t>1/209586</t>
  </si>
  <si>
    <t>209583A</t>
  </si>
  <si>
    <t>1/209583</t>
  </si>
  <si>
    <t>209581A</t>
  </si>
  <si>
    <t>1/209581</t>
  </si>
  <si>
    <t>209590A</t>
  </si>
  <si>
    <t>1/209590</t>
  </si>
  <si>
    <t>209587A</t>
  </si>
  <si>
    <t>1/209587</t>
  </si>
  <si>
    <t>209592A</t>
  </si>
  <si>
    <t>1/209592</t>
  </si>
  <si>
    <t>VARJOTA</t>
  </si>
  <si>
    <t>209248A</t>
  </si>
  <si>
    <t>16672967000400</t>
  </si>
  <si>
    <t>1/209248</t>
  </si>
  <si>
    <t>208937B</t>
  </si>
  <si>
    <t>1/208937</t>
  </si>
  <si>
    <t>211560A</t>
  </si>
  <si>
    <t>1/211560</t>
  </si>
  <si>
    <t>211495A</t>
  </si>
  <si>
    <t>1/211495</t>
  </si>
  <si>
    <t>211534A</t>
  </si>
  <si>
    <t>1/211534</t>
  </si>
  <si>
    <t>211535A</t>
  </si>
  <si>
    <t>1/211535</t>
  </si>
  <si>
    <t>211538A</t>
  </si>
  <si>
    <t>1/211538</t>
  </si>
  <si>
    <t>211541A</t>
  </si>
  <si>
    <t>1/211541</t>
  </si>
  <si>
    <t>211542A</t>
  </si>
  <si>
    <t>1/211542</t>
  </si>
  <si>
    <t>211558A</t>
  </si>
  <si>
    <t>1/211558</t>
  </si>
  <si>
    <t>211559A</t>
  </si>
  <si>
    <t>1/211559</t>
  </si>
  <si>
    <t>211570A</t>
  </si>
  <si>
    <t>1/211570</t>
  </si>
  <si>
    <t>211571A</t>
  </si>
  <si>
    <t>1/211571</t>
  </si>
  <si>
    <t>211572A</t>
  </si>
  <si>
    <t>1/211572</t>
  </si>
  <si>
    <t>211575A</t>
  </si>
  <si>
    <t>1/211575</t>
  </si>
  <si>
    <t>211560B</t>
  </si>
  <si>
    <t>211495B</t>
  </si>
  <si>
    <t>211534B</t>
  </si>
  <si>
    <t>211535B</t>
  </si>
  <si>
    <t>211541B</t>
  </si>
  <si>
    <t>211552A</t>
  </si>
  <si>
    <t>1/211552</t>
  </si>
  <si>
    <t>211568A</t>
  </si>
  <si>
    <t>1/211568</t>
  </si>
  <si>
    <t>211569A</t>
  </si>
  <si>
    <t>1/211569</t>
  </si>
  <si>
    <t>211571B</t>
  </si>
  <si>
    <t>24156133000110</t>
  </si>
  <si>
    <t>FARMACIA DO TRAB. DE PENTECOSTE LTDA ME</t>
  </si>
  <si>
    <t>212176B</t>
  </si>
  <si>
    <t>1/212176</t>
  </si>
  <si>
    <t>211560C</t>
  </si>
  <si>
    <t>211495C</t>
  </si>
  <si>
    <t>211534C</t>
  </si>
  <si>
    <t>211535C</t>
  </si>
  <si>
    <t>211538B</t>
  </si>
  <si>
    <t>211541C</t>
  </si>
  <si>
    <t>211542B</t>
  </si>
  <si>
    <t>211558B</t>
  </si>
  <si>
    <t>211559B</t>
  </si>
  <si>
    <t>211570B</t>
  </si>
  <si>
    <t>211571C</t>
  </si>
  <si>
    <t>211572B</t>
  </si>
  <si>
    <t>211575B</t>
  </si>
  <si>
    <t>1/213415</t>
  </si>
  <si>
    <t>211560D</t>
  </si>
  <si>
    <t>211922A</t>
  </si>
  <si>
    <t>16672967001555</t>
  </si>
  <si>
    <t>1/211922</t>
  </si>
  <si>
    <t>212903A</t>
  </si>
  <si>
    <t>1/212903</t>
  </si>
  <si>
    <t>212904A</t>
  </si>
  <si>
    <t>1/212904</t>
  </si>
  <si>
    <t>212907A</t>
  </si>
  <si>
    <t>1/212907</t>
  </si>
  <si>
    <t>212909A</t>
  </si>
  <si>
    <t>1/212909</t>
  </si>
  <si>
    <t>213415B</t>
  </si>
  <si>
    <t>212965A</t>
  </si>
  <si>
    <t>1/212965</t>
  </si>
  <si>
    <t>213063A</t>
  </si>
  <si>
    <t>1/213063</t>
  </si>
  <si>
    <t>213068A</t>
  </si>
  <si>
    <t>1/213068</t>
  </si>
  <si>
    <t>213069A</t>
  </si>
  <si>
    <t>1/213069</t>
  </si>
  <si>
    <t>213070A</t>
  </si>
  <si>
    <t>1/213070</t>
  </si>
  <si>
    <t>213071A</t>
  </si>
  <si>
    <t>1/213071</t>
  </si>
  <si>
    <t>213072A</t>
  </si>
  <si>
    <t>1/213072</t>
  </si>
  <si>
    <t>213073A</t>
  </si>
  <si>
    <t>1/213073</t>
  </si>
  <si>
    <t>213076A</t>
  </si>
  <si>
    <t>1/213076</t>
  </si>
  <si>
    <t>213080A</t>
  </si>
  <si>
    <t>1/213080</t>
  </si>
  <si>
    <t>213085A</t>
  </si>
  <si>
    <t>1/213085</t>
  </si>
  <si>
    <t>09520303000100</t>
  </si>
  <si>
    <t>FRANCISCO DE ASSIS APOLONIO DE SOUZA-ME</t>
  </si>
  <si>
    <t>215426A</t>
  </si>
  <si>
    <t>1/215426</t>
  </si>
  <si>
    <t>1/215232</t>
  </si>
  <si>
    <t>213415C</t>
  </si>
  <si>
    <t>212468E</t>
  </si>
  <si>
    <t>04232481000111</t>
  </si>
  <si>
    <t>EVELMA BARROS BARBOSA</t>
  </si>
  <si>
    <t>1/212468</t>
  </si>
  <si>
    <t>215426C</t>
  </si>
  <si>
    <t>215232E</t>
  </si>
  <si>
    <t>CLEONARDO CAMPOS TEIXEIRA</t>
  </si>
  <si>
    <t>215232F</t>
  </si>
  <si>
    <t>33328434000174</t>
  </si>
  <si>
    <t>1/215554</t>
  </si>
  <si>
    <t>LIMOEIRO DO NORTE</t>
  </si>
  <si>
    <t>1/214905</t>
  </si>
  <si>
    <t>1/215373</t>
  </si>
  <si>
    <t>1/217149</t>
  </si>
  <si>
    <t>216965C</t>
  </si>
  <si>
    <t>1/216965</t>
  </si>
  <si>
    <t>216417C</t>
  </si>
  <si>
    <t>1/216417</t>
  </si>
  <si>
    <t>217439A</t>
  </si>
  <si>
    <t>1/217439</t>
  </si>
  <si>
    <t>217785B</t>
  </si>
  <si>
    <t>1/217785</t>
  </si>
  <si>
    <t>216149D</t>
  </si>
  <si>
    <t>1/216149</t>
  </si>
  <si>
    <t>215232G</t>
  </si>
  <si>
    <t>217783A</t>
  </si>
  <si>
    <t>1/217783</t>
  </si>
  <si>
    <t>215051A</t>
  </si>
  <si>
    <t>07467475002770</t>
  </si>
  <si>
    <t>SANFARMA S.ANTONIO FARMAC. LTDA LJ-27</t>
  </si>
  <si>
    <t>1/215051</t>
  </si>
  <si>
    <t>218779B</t>
  </si>
  <si>
    <t>1/218779</t>
  </si>
  <si>
    <t>215232H</t>
  </si>
  <si>
    <t>14091822000130</t>
  </si>
  <si>
    <t>IPHARMA EMPREEND FARMAC LTDA EPP</t>
  </si>
  <si>
    <t>215554F</t>
  </si>
  <si>
    <t>214905I</t>
  </si>
  <si>
    <t>1/221370</t>
  </si>
  <si>
    <t>04887406000199</t>
  </si>
  <si>
    <t>F.P FARMACIA PORTUGAL LTDA</t>
  </si>
  <si>
    <t>PEDRA BRANCA</t>
  </si>
  <si>
    <t>217149C</t>
  </si>
  <si>
    <t>1/221571</t>
  </si>
  <si>
    <t>214905J</t>
  </si>
  <si>
    <t>215373K</t>
  </si>
  <si>
    <t>1/201375</t>
  </si>
  <si>
    <t>1/222036</t>
  </si>
  <si>
    <t>215373L</t>
  </si>
  <si>
    <t>215554G</t>
  </si>
  <si>
    <t>214905K</t>
  </si>
  <si>
    <t>217149D</t>
  </si>
  <si>
    <t>221370B</t>
  </si>
  <si>
    <t>222750A</t>
  </si>
  <si>
    <t>1/222750</t>
  </si>
  <si>
    <t>221370C</t>
  </si>
  <si>
    <t>LEDILSON SOUSA DA SILVA</t>
  </si>
  <si>
    <t>217149E</t>
  </si>
  <si>
    <t>221571C</t>
  </si>
  <si>
    <t>220996A</t>
  </si>
  <si>
    <t>04582233000109</t>
  </si>
  <si>
    <t>1/220996</t>
  </si>
  <si>
    <t>222036C</t>
  </si>
  <si>
    <t>222750B</t>
  </si>
  <si>
    <t>224528A</t>
  </si>
  <si>
    <t>1/224528</t>
  </si>
  <si>
    <t>222505A</t>
  </si>
  <si>
    <t>1/222505</t>
  </si>
  <si>
    <t>222997A</t>
  </si>
  <si>
    <t>14669491000172</t>
  </si>
  <si>
    <t>1/222997</t>
  </si>
  <si>
    <t>221138B</t>
  </si>
  <si>
    <t>1/221138</t>
  </si>
  <si>
    <t>201375J</t>
  </si>
  <si>
    <t>223057A</t>
  </si>
  <si>
    <t>1/223057</t>
  </si>
  <si>
    <t>221612C</t>
  </si>
  <si>
    <t>1/221612</t>
  </si>
  <si>
    <t>224545A</t>
  </si>
  <si>
    <t>1/224545</t>
  </si>
  <si>
    <t>222700A</t>
  </si>
  <si>
    <t>1/222700</t>
  </si>
  <si>
    <t>224528B</t>
  </si>
  <si>
    <t>223053A</t>
  </si>
  <si>
    <t>1/223053</t>
  </si>
  <si>
    <t>222997B</t>
  </si>
  <si>
    <t>221962C</t>
  </si>
  <si>
    <t>1/221962</t>
  </si>
  <si>
    <t>222505B</t>
  </si>
  <si>
    <t>223822B</t>
  </si>
  <si>
    <t>1/223822</t>
  </si>
  <si>
    <t>BARBALHA</t>
  </si>
  <si>
    <t>223057B</t>
  </si>
  <si>
    <t>224545B</t>
  </si>
  <si>
    <t>224528C</t>
  </si>
  <si>
    <t>225237A</t>
  </si>
  <si>
    <t>1/225237</t>
  </si>
  <si>
    <t>225756A</t>
  </si>
  <si>
    <t>1/225756</t>
  </si>
  <si>
    <t>222997C</t>
  </si>
  <si>
    <t>223822C</t>
  </si>
  <si>
    <t>224538A</t>
  </si>
  <si>
    <t>1/224538</t>
  </si>
  <si>
    <t>226456A</t>
  </si>
  <si>
    <t>1/226456</t>
  </si>
  <si>
    <t>06741607000370</t>
  </si>
  <si>
    <t>FARMACIA PROGRESSO LTDA ME-FL 02</t>
  </si>
  <si>
    <t>224545C</t>
  </si>
  <si>
    <t>225237B</t>
  </si>
  <si>
    <t>225290A</t>
  </si>
  <si>
    <t>1/225290</t>
  </si>
  <si>
    <t>225756B</t>
  </si>
  <si>
    <t>223822D</t>
  </si>
  <si>
    <t>226456B</t>
  </si>
  <si>
    <t>225815A</t>
  </si>
  <si>
    <t>1/225815</t>
  </si>
  <si>
    <t>226600A</t>
  </si>
  <si>
    <t>1/226600</t>
  </si>
  <si>
    <t>227355A</t>
  </si>
  <si>
    <t>1/227355</t>
  </si>
  <si>
    <t>232384A</t>
  </si>
  <si>
    <t>31488169000166</t>
  </si>
  <si>
    <t>WESLEY FONSECA DANTAS EIRELI ME</t>
  </si>
  <si>
    <t>1/232384</t>
  </si>
  <si>
    <t>224545D</t>
  </si>
  <si>
    <t>226454A</t>
  </si>
  <si>
    <t>1/226454</t>
  </si>
  <si>
    <t>225237C</t>
  </si>
  <si>
    <t>225756C</t>
  </si>
  <si>
    <t>226620A</t>
  </si>
  <si>
    <t>1/226620</t>
  </si>
  <si>
    <t>226456C</t>
  </si>
  <si>
    <t>230663A</t>
  </si>
  <si>
    <t>1/230663</t>
  </si>
  <si>
    <t>17387587000136</t>
  </si>
  <si>
    <t>LUANA DANIELLY FERNANDES RAMOS DA SILVA ME</t>
  </si>
  <si>
    <t>233356A</t>
  </si>
  <si>
    <t>1/233356</t>
  </si>
  <si>
    <t>227356A</t>
  </si>
  <si>
    <t>1/227356</t>
  </si>
  <si>
    <t>226600B</t>
  </si>
  <si>
    <t>225756D</t>
  </si>
  <si>
    <t>229002B</t>
  </si>
  <si>
    <t>1/229002</t>
  </si>
  <si>
    <t>228579B</t>
  </si>
  <si>
    <t>1/228579</t>
  </si>
  <si>
    <t>226456D</t>
  </si>
  <si>
    <t>229425B</t>
  </si>
  <si>
    <t>1/229425</t>
  </si>
  <si>
    <t>228019C</t>
  </si>
  <si>
    <t>1/228019</t>
  </si>
  <si>
    <t>229000A</t>
  </si>
  <si>
    <t>1/229000</t>
  </si>
  <si>
    <t>229002C</t>
  </si>
  <si>
    <t>228019D</t>
  </si>
  <si>
    <t>231032A</t>
  </si>
  <si>
    <t>08745695000142</t>
  </si>
  <si>
    <t>JULIO CESAR PASCOAL DA SILVA LTDA</t>
  </si>
  <si>
    <t>1/231032</t>
  </si>
  <si>
    <t>231727A</t>
  </si>
  <si>
    <t>1/231727</t>
  </si>
  <si>
    <t>28606372000185</t>
  </si>
  <si>
    <t>RAISSA M TAVARES PHARMACIA</t>
  </si>
  <si>
    <t>229026A</t>
  </si>
  <si>
    <t>16672967000745</t>
  </si>
  <si>
    <t>1/229026</t>
  </si>
  <si>
    <t>229010A</t>
  </si>
  <si>
    <t>16672967001202</t>
  </si>
  <si>
    <t>1/229010</t>
  </si>
  <si>
    <t>230663B</t>
  </si>
  <si>
    <t>229325A</t>
  </si>
  <si>
    <t>16672967000826</t>
  </si>
  <si>
    <t>1/229325</t>
  </si>
  <si>
    <t>229559A</t>
  </si>
  <si>
    <t>19352870000239</t>
  </si>
  <si>
    <t>FARMACIA DA ECONOMIA CEARENSE LTDA  LJ 21</t>
  </si>
  <si>
    <t>1/229559</t>
  </si>
  <si>
    <t>ALEXANDRE FARIAS GOMES</t>
  </si>
  <si>
    <t>229860B</t>
  </si>
  <si>
    <t>32864017000183</t>
  </si>
  <si>
    <t>MARIA LARISSA DE OLIVEIRA RODRIGUES</t>
  </si>
  <si>
    <t>1/229860</t>
  </si>
  <si>
    <t>233698A</t>
  </si>
  <si>
    <t>1/233698</t>
  </si>
  <si>
    <t>231213A</t>
  </si>
  <si>
    <t>1/231213</t>
  </si>
  <si>
    <t>231113A</t>
  </si>
  <si>
    <t>1/231113</t>
  </si>
  <si>
    <t>1/233885</t>
  </si>
  <si>
    <t>235141A</t>
  </si>
  <si>
    <t>1/235141</t>
  </si>
  <si>
    <t>00217751000164</t>
  </si>
  <si>
    <t>LAZARO JUNIOR MEDEIROS DE MELO ME</t>
  </si>
  <si>
    <t>1/235164</t>
  </si>
  <si>
    <t>1/231747</t>
  </si>
  <si>
    <t>1/232008</t>
  </si>
  <si>
    <t>231032B</t>
  </si>
  <si>
    <t>233698B</t>
  </si>
  <si>
    <t>21707796000197</t>
  </si>
  <si>
    <t>L C L DE FIGUEIREDO - ME</t>
  </si>
  <si>
    <t>233395A</t>
  </si>
  <si>
    <t>1/233395</t>
  </si>
  <si>
    <t>233885B</t>
  </si>
  <si>
    <t>231747C</t>
  </si>
  <si>
    <t>232008C</t>
  </si>
  <si>
    <t>234800A</t>
  </si>
  <si>
    <t>06325590000109</t>
  </si>
  <si>
    <t>FARMACIA BONS AMIGOS ITAPIPOCA</t>
  </si>
  <si>
    <t>1/234800</t>
  </si>
  <si>
    <t>234803A</t>
  </si>
  <si>
    <t>1/234803</t>
  </si>
  <si>
    <t>234801A</t>
  </si>
  <si>
    <t>08101736000168</t>
  </si>
  <si>
    <t>L A COM DE PROD FARMAC LTDA</t>
  </si>
  <si>
    <t>1/234801</t>
  </si>
  <si>
    <t>234799A</t>
  </si>
  <si>
    <t>1/234799</t>
  </si>
  <si>
    <t>235141B</t>
  </si>
  <si>
    <t>235145A</t>
  </si>
  <si>
    <t>1/235145</t>
  </si>
  <si>
    <t>236627A</t>
  </si>
  <si>
    <t>33806961000147</t>
  </si>
  <si>
    <t>LUANA DA SILVA COELHO LIMA</t>
  </si>
  <si>
    <t>1/236627</t>
  </si>
  <si>
    <t>237966A</t>
  </si>
  <si>
    <t>1/237966</t>
  </si>
  <si>
    <t>233885C</t>
  </si>
  <si>
    <t>P</t>
  </si>
  <si>
    <t>237944A</t>
  </si>
  <si>
    <t>1/237944</t>
  </si>
  <si>
    <t>236669A</t>
  </si>
  <si>
    <t>31416588000192</t>
  </si>
  <si>
    <t>DROGARIA E COSMETICOS MELOS- EIRELI</t>
  </si>
  <si>
    <t>1/236669</t>
  </si>
  <si>
    <t>235783C</t>
  </si>
  <si>
    <t>1/235783</t>
  </si>
  <si>
    <t>237966B</t>
  </si>
  <si>
    <t>236669B</t>
  </si>
  <si>
    <t>237221C</t>
  </si>
  <si>
    <t>08573510000160</t>
  </si>
  <si>
    <t>FARMACENTRO DROGARIA LTDA</t>
  </si>
  <si>
    <t>1/237221</t>
  </si>
  <si>
    <t>235164F</t>
  </si>
  <si>
    <t>235783D</t>
  </si>
  <si>
    <t>237966C</t>
  </si>
  <si>
    <t>235141C</t>
  </si>
  <si>
    <t>219358A</t>
  </si>
  <si>
    <t>11658614000181</t>
  </si>
  <si>
    <t>PLACIDO COMERCIAL DE MEDIC LTDA -ME</t>
  </si>
  <si>
    <t>1/219358</t>
  </si>
  <si>
    <t>REDENÇÃO</t>
  </si>
  <si>
    <t>220238A</t>
  </si>
  <si>
    <t>1/220238</t>
  </si>
  <si>
    <t>221632A</t>
  </si>
  <si>
    <t>1/221632</t>
  </si>
  <si>
    <t>235164G</t>
  </si>
  <si>
    <t>31416588000354</t>
  </si>
  <si>
    <t>DROGARIA E COSMETICOS MELOS - EIRELI</t>
  </si>
  <si>
    <t>237944B</t>
  </si>
  <si>
    <t>238601A</t>
  </si>
  <si>
    <t>1/238601</t>
  </si>
  <si>
    <t>236669C</t>
  </si>
  <si>
    <t>230373B</t>
  </si>
  <si>
    <t>1/230373</t>
  </si>
  <si>
    <t>239164A</t>
  </si>
  <si>
    <t>1/239164</t>
  </si>
  <si>
    <t>237966D</t>
  </si>
  <si>
    <t>226846B</t>
  </si>
  <si>
    <t>1/226846</t>
  </si>
  <si>
    <t>219358B</t>
  </si>
  <si>
    <t>220238B</t>
  </si>
  <si>
    <t>221632B</t>
  </si>
  <si>
    <t>216740B</t>
  </si>
  <si>
    <t>1/216740</t>
  </si>
  <si>
    <t>239241A</t>
  </si>
  <si>
    <t>1/239241</t>
  </si>
  <si>
    <t>218285A</t>
  </si>
  <si>
    <t>1/218285</t>
  </si>
  <si>
    <t>238975A</t>
  </si>
  <si>
    <t>1/238975</t>
  </si>
  <si>
    <t>235164H</t>
  </si>
  <si>
    <t>230373C</t>
  </si>
  <si>
    <t>238601B</t>
  </si>
  <si>
    <t>224822A</t>
  </si>
  <si>
    <t>1/224822</t>
  </si>
  <si>
    <t>226846C</t>
  </si>
  <si>
    <t>240610A</t>
  </si>
  <si>
    <t>1/240610</t>
  </si>
  <si>
    <t>222369A</t>
  </si>
  <si>
    <t>1/222369</t>
  </si>
  <si>
    <t>239164B</t>
  </si>
  <si>
    <t>221351A</t>
  </si>
  <si>
    <t>1/221351</t>
  </si>
  <si>
    <t>220238C</t>
  </si>
  <si>
    <t>235164I</t>
  </si>
  <si>
    <t>239241B</t>
  </si>
  <si>
    <t>221632C</t>
  </si>
  <si>
    <t>216740C</t>
  </si>
  <si>
    <t>238601C</t>
  </si>
  <si>
    <t>237340A</t>
  </si>
  <si>
    <t>1/237340</t>
  </si>
  <si>
    <t>242738A</t>
  </si>
  <si>
    <t>1/242738</t>
  </si>
  <si>
    <t>224822B</t>
  </si>
  <si>
    <t>230373D</t>
  </si>
  <si>
    <t>226846D</t>
  </si>
  <si>
    <t>239164C</t>
  </si>
  <si>
    <t>220238D</t>
  </si>
  <si>
    <t>222369B</t>
  </si>
  <si>
    <t>221351B</t>
  </si>
  <si>
    <t>242099A</t>
  </si>
  <si>
    <t>1/242099</t>
  </si>
  <si>
    <t>221632D</t>
  </si>
  <si>
    <t>216740D</t>
  </si>
  <si>
    <t>235141D</t>
  </si>
  <si>
    <t>235164J</t>
  </si>
  <si>
    <t>238601D</t>
  </si>
  <si>
    <t>241544A</t>
  </si>
  <si>
    <t>1/241544</t>
  </si>
  <si>
    <t>241696A</t>
  </si>
  <si>
    <t>1/241696</t>
  </si>
  <si>
    <t>230373E</t>
  </si>
  <si>
    <t>226846E</t>
  </si>
  <si>
    <t>242738B</t>
  </si>
  <si>
    <t>224822C</t>
  </si>
  <si>
    <t>240610B</t>
  </si>
  <si>
    <t>222369C</t>
  </si>
  <si>
    <t>221632E</t>
  </si>
  <si>
    <t>216740E</t>
  </si>
  <si>
    <t>242177A</t>
  </si>
  <si>
    <t>1/242177</t>
  </si>
  <si>
    <t>242738C</t>
  </si>
  <si>
    <t>224822D</t>
  </si>
  <si>
    <t>241544B</t>
  </si>
  <si>
    <t>230373F</t>
  </si>
  <si>
    <t>241696B</t>
  </si>
  <si>
    <t>226846F</t>
  </si>
  <si>
    <t>222369D</t>
  </si>
  <si>
    <t>242099B</t>
  </si>
  <si>
    <t>221632F</t>
  </si>
  <si>
    <t>216740F</t>
  </si>
  <si>
    <t>242177B</t>
  </si>
  <si>
    <t>242738D</t>
  </si>
  <si>
    <t>224822E</t>
  </si>
  <si>
    <t>241544C</t>
  </si>
  <si>
    <t>241696C</t>
  </si>
  <si>
    <t>222369E</t>
  </si>
  <si>
    <t>225672A</t>
  </si>
  <si>
    <t>1/225672</t>
  </si>
  <si>
    <t>242177C</t>
  </si>
  <si>
    <t>242738E</t>
  </si>
  <si>
    <t>222369F</t>
  </si>
  <si>
    <t>225672B</t>
  </si>
  <si>
    <t>225672C</t>
  </si>
  <si>
    <t>225672D</t>
  </si>
  <si>
    <t>237340B</t>
  </si>
  <si>
    <t>225672E</t>
  </si>
  <si>
    <t>05417433000160</t>
  </si>
  <si>
    <t>COMERCIAL FARM SANTA CECILIA LTDA - M</t>
  </si>
  <si>
    <t>JARDIM</t>
  </si>
  <si>
    <t>253779B</t>
  </si>
  <si>
    <t>1/253779</t>
  </si>
  <si>
    <t>255133A</t>
  </si>
  <si>
    <t>1/255133</t>
  </si>
  <si>
    <t>16852021000175</t>
  </si>
  <si>
    <t>DIEGO DE ARAGAO SANTOS ME</t>
  </si>
  <si>
    <t>INGRID LORRANY DO NASCIMENTO GADELHA</t>
  </si>
  <si>
    <t>253015C</t>
  </si>
  <si>
    <t>1/253015</t>
  </si>
  <si>
    <t>253206C</t>
  </si>
  <si>
    <t>1/253206</t>
  </si>
  <si>
    <t>254773B</t>
  </si>
  <si>
    <t>1/254773</t>
  </si>
  <si>
    <t>252812A</t>
  </si>
  <si>
    <t>07677015000138</t>
  </si>
  <si>
    <t>PAMPLONA E PINHO FARMACIA LTDA-MZ</t>
  </si>
  <si>
    <t>1/252812</t>
  </si>
  <si>
    <t>SÃO GONÇALO DO AMARANTE</t>
  </si>
  <si>
    <t>253779C</t>
  </si>
  <si>
    <t>257725A</t>
  </si>
  <si>
    <t>1/257725</t>
  </si>
  <si>
    <t>254237C</t>
  </si>
  <si>
    <t>1/254237</t>
  </si>
  <si>
    <t>255133B</t>
  </si>
  <si>
    <t>256187B</t>
  </si>
  <si>
    <t>1/256187</t>
  </si>
  <si>
    <t>253997A</t>
  </si>
  <si>
    <t>1/253997</t>
  </si>
  <si>
    <t>254773C</t>
  </si>
  <si>
    <t>256687A</t>
  </si>
  <si>
    <t>1/256687</t>
  </si>
  <si>
    <t>256772A</t>
  </si>
  <si>
    <t>1/256772</t>
  </si>
  <si>
    <t>258763A</t>
  </si>
  <si>
    <t>1/258763</t>
  </si>
  <si>
    <t>259008A</t>
  </si>
  <si>
    <t>1/259008</t>
  </si>
  <si>
    <t>261303A</t>
  </si>
  <si>
    <t>1/261303</t>
  </si>
  <si>
    <t>257725B</t>
  </si>
  <si>
    <t>10598280000135</t>
  </si>
  <si>
    <t>FARMALARA COMERCIO FARMACEUTICO LTDA</t>
  </si>
  <si>
    <t>255437A</t>
  </si>
  <si>
    <t>1/255437</t>
  </si>
  <si>
    <t>256187C</t>
  </si>
  <si>
    <t>258532A</t>
  </si>
  <si>
    <t>1/258532</t>
  </si>
  <si>
    <t>26196263000101</t>
  </si>
  <si>
    <t>COMERCIAL DE MEDICAMENTOS ALVES LIMA</t>
  </si>
  <si>
    <t>260812A</t>
  </si>
  <si>
    <t>1/260812</t>
  </si>
  <si>
    <t>259350A</t>
  </si>
  <si>
    <t>1/259350</t>
  </si>
  <si>
    <t>261649A</t>
  </si>
  <si>
    <t>1/261649</t>
  </si>
  <si>
    <t>257725C</t>
  </si>
  <si>
    <t>258763B</t>
  </si>
  <si>
    <t>259008B</t>
  </si>
  <si>
    <t>259953A</t>
  </si>
  <si>
    <t>1/259953</t>
  </si>
  <si>
    <t>261303B</t>
  </si>
  <si>
    <t>260812B</t>
  </si>
  <si>
    <t>261565A</t>
  </si>
  <si>
    <t>1/261565</t>
  </si>
  <si>
    <t>261649B</t>
  </si>
  <si>
    <t>260812C</t>
  </si>
  <si>
    <t>29531432000100</t>
  </si>
  <si>
    <t>EMPREENDIMENTO FARMAC ALVES LIMA LTDA</t>
  </si>
  <si>
    <t>10781252000310</t>
  </si>
  <si>
    <t>F J ANDRADE FEITOSA MEDICAM EIRELI - ME</t>
  </si>
  <si>
    <t>CATARINA</t>
  </si>
  <si>
    <t>1/262347</t>
  </si>
  <si>
    <t>15784350000163</t>
  </si>
  <si>
    <t>261649C</t>
  </si>
  <si>
    <t>262994A</t>
  </si>
  <si>
    <t>1/262994</t>
  </si>
  <si>
    <t>1/265390</t>
  </si>
  <si>
    <t>1/265368</t>
  </si>
  <si>
    <t>1/263629</t>
  </si>
  <si>
    <t>1/261129</t>
  </si>
  <si>
    <t>1/266544</t>
  </si>
  <si>
    <t>21578080000137</t>
  </si>
  <si>
    <t>FCIA DO TRAB CENTRAL LTDA ME</t>
  </si>
  <si>
    <t>1/264515</t>
  </si>
  <si>
    <t>1/265629</t>
  </si>
  <si>
    <t>30511707000123</t>
  </si>
  <si>
    <t>FARMACIA DO TRAB DE HORIZONTE LTDA</t>
  </si>
  <si>
    <t>1/266538</t>
  </si>
  <si>
    <t>1/264510</t>
  </si>
  <si>
    <t>1/271330</t>
  </si>
  <si>
    <t>267559A</t>
  </si>
  <si>
    <t>1/267559</t>
  </si>
  <si>
    <t>1/265323</t>
  </si>
  <si>
    <t>267756A</t>
  </si>
  <si>
    <t>1/267756</t>
  </si>
  <si>
    <t>261129E</t>
  </si>
  <si>
    <t>1/265620</t>
  </si>
  <si>
    <t>30732111000153</t>
  </si>
  <si>
    <t>PACAJUS</t>
  </si>
  <si>
    <t>259514A</t>
  </si>
  <si>
    <t>16938339000173</t>
  </si>
  <si>
    <t>SANTA CECILIA COM DE MEDIC LTDA ME</t>
  </si>
  <si>
    <t>1/259514</t>
  </si>
  <si>
    <t>MILAGRES</t>
  </si>
  <si>
    <t>265368C</t>
  </si>
  <si>
    <t>266142A</t>
  </si>
  <si>
    <t>1/266142</t>
  </si>
  <si>
    <t>263629B</t>
  </si>
  <si>
    <t>265630A</t>
  </si>
  <si>
    <t>1/265630</t>
  </si>
  <si>
    <t>266544C</t>
  </si>
  <si>
    <t>262347E</t>
  </si>
  <si>
    <t>264510B</t>
  </si>
  <si>
    <t>267559B</t>
  </si>
  <si>
    <t>267756B</t>
  </si>
  <si>
    <t>265390B</t>
  </si>
  <si>
    <t>264515B</t>
  </si>
  <si>
    <t>266552A</t>
  </si>
  <si>
    <t>1/266552</t>
  </si>
  <si>
    <t>265368D</t>
  </si>
  <si>
    <t>261129F</t>
  </si>
  <si>
    <t>265630B</t>
  </si>
  <si>
    <t>266142B</t>
  </si>
  <si>
    <t>266538B</t>
  </si>
  <si>
    <t>266544D</t>
  </si>
  <si>
    <t>267559C</t>
  </si>
  <si>
    <t>265323B</t>
  </si>
  <si>
    <t>266552B</t>
  </si>
  <si>
    <t>267756C</t>
  </si>
  <si>
    <t>265620C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</si>
  <si>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</si>
  <si>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</si>
  <si>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</si>
  <si>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</si>
  <si>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</si>
  <si>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</si>
  <si>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</si>
  <si>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</si>
  <si>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</si>
  <si>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Vencido</t>
  </si>
  <si>
    <t>VENDA 2020</t>
  </si>
  <si>
    <t>VENDA 2014</t>
  </si>
  <si>
    <t>VENDA 2015</t>
  </si>
  <si>
    <t>VENDA 2016</t>
  </si>
  <si>
    <t>VENDA 2017</t>
  </si>
  <si>
    <t>VENDA 2018</t>
  </si>
  <si>
    <t>VENDA 2019</t>
  </si>
  <si>
    <t>%Rep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</si>
  <si>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</si>
  <si>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</si>
  <si>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</si>
  <si>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</si>
  <si>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</si>
  <si>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</si>
  <si>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</si>
  <si>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</si>
  <si>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</si>
  <si>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nov</t>
  </si>
  <si>
    <t>out</t>
  </si>
  <si>
    <t>dez</t>
  </si>
  <si>
    <t>Mês</t>
  </si>
  <si>
    <t>Período</t>
  </si>
  <si>
    <t>VENDA 2012</t>
  </si>
  <si>
    <t>VENDA 2013</t>
  </si>
  <si>
    <t>IGOR PINTO ALVES - MZ</t>
  </si>
  <si>
    <t>265368E</t>
  </si>
  <si>
    <t>266142C</t>
  </si>
  <si>
    <t>265629B</t>
  </si>
  <si>
    <t>1/273799</t>
  </si>
  <si>
    <t>266552C</t>
  </si>
  <si>
    <t>19545175000102</t>
  </si>
  <si>
    <t>DROGARIA FARMAHALLEY LTDA ME</t>
  </si>
  <si>
    <t>266544E</t>
  </si>
  <si>
    <t>*</t>
  </si>
  <si>
    <t>Inad</t>
  </si>
  <si>
    <t>R$ Vencido</t>
  </si>
  <si>
    <t>35043504000173</t>
  </si>
  <si>
    <t>SANZIO RODRIGUES COML MED LTDA</t>
  </si>
  <si>
    <t>1/275290</t>
  </si>
  <si>
    <t>1/272447</t>
  </si>
  <si>
    <t>Cliente</t>
  </si>
  <si>
    <t>Inadimp</t>
  </si>
  <si>
    <t>&gt;180</t>
  </si>
  <si>
    <t>Data Análise</t>
  </si>
  <si>
    <t>Régua a Receber Vencido</t>
  </si>
  <si>
    <t>Dias Vencidos</t>
  </si>
  <si>
    <t>PCLD</t>
  </si>
  <si>
    <t xml:space="preserve">Dados Vencidos até </t>
  </si>
  <si>
    <t>Dados Vencidos até</t>
  </si>
  <si>
    <t>FCIA DA ECONOMIA NACIONAL-FL 03</t>
  </si>
  <si>
    <t>FCIA DA ECONOMIA NACIONAL-FL 18</t>
  </si>
  <si>
    <t>FCIA DA ECONOMIA NACIONAL-LJ 08</t>
  </si>
  <si>
    <t>FCIA DA ECONOMIA NACIONAL-LJ 14</t>
  </si>
  <si>
    <t>FCIA DA ECONOMIA NACIONAL-FL 10</t>
  </si>
  <si>
    <t>265368F</t>
  </si>
  <si>
    <t>1/272280</t>
  </si>
  <si>
    <t>266538C</t>
  </si>
  <si>
    <t>265390C</t>
  </si>
  <si>
    <t>265617A</t>
  </si>
  <si>
    <t>1/265617</t>
  </si>
  <si>
    <t>265661A</t>
  </si>
  <si>
    <t>1/265661</t>
  </si>
  <si>
    <t>265620D</t>
  </si>
  <si>
    <t>265833A</t>
  </si>
  <si>
    <t>1/265833</t>
  </si>
  <si>
    <t>265845A</t>
  </si>
  <si>
    <t>1/265845</t>
  </si>
  <si>
    <t>272280B</t>
  </si>
  <si>
    <t>1/273120</t>
  </si>
  <si>
    <t>273799C</t>
  </si>
  <si>
    <t>271330L</t>
  </si>
  <si>
    <t>272447B</t>
  </si>
  <si>
    <t>275290F</t>
  </si>
  <si>
    <t>273799D</t>
  </si>
  <si>
    <t>17667591000158</t>
  </si>
  <si>
    <t>FARMALARA 2 COM FARMACEUTICO LTDA ME</t>
  </si>
  <si>
    <t>28041128000112</t>
  </si>
  <si>
    <t>FARMALARA 3 COMERCIO FARMACEUTICO LTDA</t>
  </si>
  <si>
    <t>271330M</t>
  </si>
  <si>
    <t>274566B</t>
  </si>
  <si>
    <t>1/274566</t>
  </si>
  <si>
    <t>275290G</t>
  </si>
  <si>
    <t>275291A</t>
  </si>
  <si>
    <t>1/275291</t>
  </si>
  <si>
    <t>03024466000115</t>
  </si>
  <si>
    <t>FARMAZON FARMACIA AMAZONAS</t>
  </si>
  <si>
    <t>FRECHEIRINHA</t>
  </si>
  <si>
    <t>271330N</t>
  </si>
  <si>
    <t>275290H</t>
  </si>
  <si>
    <t>280137A</t>
  </si>
  <si>
    <t>34175787000144</t>
  </si>
  <si>
    <t>FARMACIA SANTO ANTONIO PROD FARM LTDA</t>
  </si>
  <si>
    <t>1/280137</t>
  </si>
  <si>
    <t>271330O</t>
  </si>
  <si>
    <t>Inadimplência</t>
  </si>
  <si>
    <t>Total Geral</t>
  </si>
  <si>
    <t>275290I</t>
  </si>
  <si>
    <t>275724A</t>
  </si>
  <si>
    <t>1/275724</t>
  </si>
  <si>
    <t>37097386000101</t>
  </si>
  <si>
    <t>ALCIONE S. LIMA - ME</t>
  </si>
  <si>
    <t>1/277352</t>
  </si>
  <si>
    <t>1/274858</t>
  </si>
  <si>
    <t>275985A</t>
  </si>
  <si>
    <t>1/275985</t>
  </si>
  <si>
    <t>275290J</t>
  </si>
  <si>
    <t>273120E</t>
  </si>
  <si>
    <t>CDC</t>
  </si>
  <si>
    <t>Judicial</t>
  </si>
  <si>
    <t>Fatura Consolidado</t>
  </si>
  <si>
    <t>Receber Vencido</t>
  </si>
  <si>
    <t>Indicador Inadimplência</t>
  </si>
  <si>
    <t>OBJETIVO</t>
  </si>
  <si>
    <t>10 dias</t>
  </si>
  <si>
    <t>30 dias</t>
  </si>
  <si>
    <t>60 dias</t>
  </si>
  <si>
    <t>90 dias</t>
  </si>
  <si>
    <t>180 dias</t>
  </si>
  <si>
    <t>&gt; 180 dias</t>
  </si>
  <si>
    <t>% Rep</t>
  </si>
  <si>
    <t>R$ Valor</t>
  </si>
  <si>
    <t>FCIA TRAB CENTRAL  LIM DO NORTE LTDA</t>
  </si>
  <si>
    <t>FCIA DO TRAB CENTRAL DE PACAJUS LTDA-ME</t>
  </si>
  <si>
    <t>274858B</t>
  </si>
  <si>
    <t>MISSAO VELHA</t>
  </si>
  <si>
    <t>274566C</t>
  </si>
  <si>
    <t>275290K</t>
  </si>
  <si>
    <t>1/281867</t>
  </si>
  <si>
    <t>IPUEIRAS</t>
  </si>
  <si>
    <t>277773A</t>
  </si>
  <si>
    <t>1/277773</t>
  </si>
  <si>
    <t>Total</t>
  </si>
  <si>
    <t>(vazio)</t>
  </si>
  <si>
    <t>1,5% P/ 180 dias</t>
  </si>
  <si>
    <t>275290L</t>
  </si>
  <si>
    <t>276871B</t>
  </si>
  <si>
    <t>26436496000134</t>
  </si>
  <si>
    <t>CEARENSE HOSPITALAR EIRELI ME</t>
  </si>
  <si>
    <t>1/276871</t>
  </si>
  <si>
    <t>273120F</t>
  </si>
  <si>
    <t>120 dias</t>
  </si>
  <si>
    <t>275290M</t>
  </si>
  <si>
    <t>274858C</t>
  </si>
  <si>
    <t>281867C</t>
  </si>
  <si>
    <t>272554A</t>
  </si>
  <si>
    <t>41568486000146</t>
  </si>
  <si>
    <t>CLAUDIA GOMES ARAUJO ROLIM - MATRIZ</t>
  </si>
  <si>
    <t>1/272554</t>
  </si>
  <si>
    <t>275290N</t>
  </si>
  <si>
    <t>279606B</t>
  </si>
  <si>
    <t>1/279606</t>
  </si>
  <si>
    <t>273120G</t>
  </si>
  <si>
    <t>273243A</t>
  </si>
  <si>
    <t>16370864000135</t>
  </si>
  <si>
    <t>SANTA CECILIA COM DE PROD FARM LTDA-ME</t>
  </si>
  <si>
    <t>1/273243</t>
  </si>
  <si>
    <t>CRATO</t>
  </si>
  <si>
    <t>280341A</t>
  </si>
  <si>
    <t>1/280341</t>
  </si>
  <si>
    <t>12302665000139</t>
  </si>
  <si>
    <t>CLAUDIO CORDEIRO E CIA LTDA ME</t>
  </si>
  <si>
    <t>1/269348</t>
  </si>
  <si>
    <t>QUITERIANÓPOLIS</t>
  </si>
  <si>
    <t>280703A</t>
  </si>
  <si>
    <t>1/280703</t>
  </si>
  <si>
    <t>04994985000179</t>
  </si>
  <si>
    <t>EMPREEND FARMACIA DO POVO MED LTDA-ME</t>
  </si>
  <si>
    <t>30511783000139</t>
  </si>
  <si>
    <t>FARMACIA DO TRAB REDENCIONISTA LTDA - ME</t>
  </si>
  <si>
    <t>07035579000177</t>
  </si>
  <si>
    <t>PONTES &amp; ARRUDA DROGARIA LTDA ME</t>
  </si>
  <si>
    <t>280703B</t>
  </si>
  <si>
    <t>TIANGUA</t>
  </si>
  <si>
    <t>277352N</t>
  </si>
  <si>
    <t>1/283329</t>
  </si>
  <si>
    <t>277352O</t>
  </si>
  <si>
    <t>279230A</t>
  </si>
  <si>
    <t>1/279230</t>
  </si>
  <si>
    <t>269348N</t>
  </si>
  <si>
    <t>1/285121</t>
  </si>
  <si>
    <t>1/283980</t>
  </si>
  <si>
    <t>FARMACIA OPCAO LTDA-EPP</t>
  </si>
  <si>
    <t>35019206000148</t>
  </si>
  <si>
    <t>L C M FERREIRA FARMACIA - M</t>
  </si>
  <si>
    <t>1/285340</t>
  </si>
  <si>
    <t>277352P</t>
  </si>
  <si>
    <t>33395192000131</t>
  </si>
  <si>
    <t>FARMALU COM DE PROD FARMACEUTICOS LTDA</t>
  </si>
  <si>
    <t>OROS</t>
  </si>
  <si>
    <t>RODRIGUES E FERNANDES COM. PROD FARM  LTDA</t>
  </si>
  <si>
    <t>277352Q</t>
  </si>
  <si>
    <t>281822A</t>
  </si>
  <si>
    <t>1/281822</t>
  </si>
  <si>
    <t>284582A</t>
  </si>
  <si>
    <t>1/284582</t>
  </si>
  <si>
    <t>285439A</t>
  </si>
  <si>
    <t>1/285439</t>
  </si>
  <si>
    <t>289011A</t>
  </si>
  <si>
    <t>1/289011</t>
  </si>
  <si>
    <t>286462A</t>
  </si>
  <si>
    <t>1/286462</t>
  </si>
  <si>
    <t>269348O</t>
  </si>
  <si>
    <t>289011B</t>
  </si>
  <si>
    <t>277352R</t>
  </si>
  <si>
    <t>281867M</t>
  </si>
  <si>
    <t>289165A</t>
  </si>
  <si>
    <t>1/289165</t>
  </si>
  <si>
    <t>1/287235</t>
  </si>
  <si>
    <t>289011C</t>
  </si>
  <si>
    <t>277352S</t>
  </si>
  <si>
    <t>1/282399</t>
  </si>
  <si>
    <t>284706B</t>
  </si>
  <si>
    <t>1/284706</t>
  </si>
  <si>
    <t>281867N</t>
  </si>
  <si>
    <t>285439B</t>
  </si>
  <si>
    <t>289165B</t>
  </si>
  <si>
    <t>1/284870</t>
  </si>
  <si>
    <t>287788A</t>
  </si>
  <si>
    <t>1/287788</t>
  </si>
  <si>
    <t>277352T</t>
  </si>
  <si>
    <t>269348P</t>
  </si>
  <si>
    <t>283980C</t>
  </si>
  <si>
    <t>02915680000107</t>
  </si>
  <si>
    <t>281867O</t>
  </si>
  <si>
    <t>287457A</t>
  </si>
  <si>
    <t>1/287457</t>
  </si>
  <si>
    <t>289011D</t>
  </si>
  <si>
    <t>1/288162</t>
  </si>
  <si>
    <t>289165C</t>
  </si>
  <si>
    <t>288493A</t>
  </si>
  <si>
    <t>1/288493</t>
  </si>
  <si>
    <t>20692655000185</t>
  </si>
  <si>
    <t>2021</t>
  </si>
  <si>
    <t>1/285804</t>
  </si>
  <si>
    <t>283329D</t>
  </si>
  <si>
    <t>284427A</t>
  </si>
  <si>
    <t>1/284427</t>
  </si>
  <si>
    <t>288856A</t>
  </si>
  <si>
    <t>1/288856</t>
  </si>
  <si>
    <t>289011E</t>
  </si>
  <si>
    <t>1/289865</t>
  </si>
  <si>
    <t>281822C</t>
  </si>
  <si>
    <t>285121D</t>
  </si>
  <si>
    <t>282399F</t>
  </si>
  <si>
    <t>284706C</t>
  </si>
  <si>
    <t>289165D</t>
  </si>
  <si>
    <t>I B COM DE PROD FARMACEUTICOS LTDA</t>
  </si>
  <si>
    <t>284954B</t>
  </si>
  <si>
    <t>1/284954</t>
  </si>
  <si>
    <t>269348Q</t>
  </si>
  <si>
    <t>283980D</t>
  </si>
  <si>
    <t>289011F</t>
  </si>
  <si>
    <t>1/290427</t>
  </si>
  <si>
    <t>287457B</t>
  </si>
  <si>
    <t>14022335000115</t>
  </si>
  <si>
    <t>BEZERRA &amp; SARAIVA LTDA-ME</t>
  </si>
  <si>
    <t>31487078000106</t>
  </si>
  <si>
    <t>FARMACIA RIBEIRO EIRELI</t>
  </si>
  <si>
    <t>289165E</t>
  </si>
  <si>
    <t>283329E</t>
  </si>
  <si>
    <t>289011G</t>
  </si>
  <si>
    <t>1/288784</t>
  </si>
  <si>
    <t>284706D</t>
  </si>
  <si>
    <t>BRINDE</t>
  </si>
  <si>
    <t>VENDA 2021</t>
  </si>
  <si>
    <t>% 2020</t>
  </si>
  <si>
    <t>1/289143</t>
  </si>
  <si>
    <t>289165F</t>
  </si>
  <si>
    <t>285121E</t>
  </si>
  <si>
    <t>289350A</t>
  </si>
  <si>
    <t>1/289350</t>
  </si>
  <si>
    <t>287788B</t>
  </si>
  <si>
    <t>285340E</t>
  </si>
  <si>
    <t>288162C</t>
  </si>
  <si>
    <t>1/288867</t>
  </si>
  <si>
    <t>283980E</t>
  </si>
  <si>
    <t>289011H</t>
  </si>
  <si>
    <t>289165G</t>
  </si>
  <si>
    <t>287235D</t>
  </si>
  <si>
    <t>% 2021</t>
  </si>
  <si>
    <t>B M COM DE PROD FARMLTDA ME</t>
  </si>
  <si>
    <t>288493B</t>
  </si>
  <si>
    <t>284954D</t>
  </si>
  <si>
    <t>285804D</t>
  </si>
  <si>
    <t>288784B</t>
  </si>
  <si>
    <t>288856B</t>
  </si>
  <si>
    <t>289011I</t>
  </si>
  <si>
    <t>284706E</t>
  </si>
  <si>
    <t>289865D</t>
  </si>
  <si>
    <t>31258440000177</t>
  </si>
  <si>
    <t>AGUIAR E SILVA FARMACIA LTDA</t>
  </si>
  <si>
    <t>CRATEUS</t>
  </si>
  <si>
    <t>285121F</t>
  </si>
  <si>
    <t>290657A</t>
  </si>
  <si>
    <t>1/290657</t>
  </si>
  <si>
    <t>289350B</t>
  </si>
  <si>
    <t>37741496000164</t>
  </si>
  <si>
    <t>289165H</t>
  </si>
  <si>
    <t>284870F</t>
  </si>
  <si>
    <t>290789A</t>
  </si>
  <si>
    <t>1/290789</t>
  </si>
  <si>
    <t>289011J</t>
  </si>
  <si>
    <t>290427D</t>
  </si>
  <si>
    <t>290542A</t>
  </si>
  <si>
    <t>1/290542</t>
  </si>
  <si>
    <t>289165I</t>
  </si>
  <si>
    <t>IPU</t>
  </si>
  <si>
    <t>294548A</t>
  </si>
  <si>
    <t>1/294548</t>
  </si>
  <si>
    <t>289865E</t>
  </si>
  <si>
    <t>VALDENILSON RIBEIRO BATISTA</t>
  </si>
  <si>
    <t>289011K</t>
  </si>
  <si>
    <t>285804E</t>
  </si>
  <si>
    <t>288784C</t>
  </si>
  <si>
    <t>283919F</t>
  </si>
  <si>
    <t>25033525000154</t>
  </si>
  <si>
    <t>ORGANIZACAO POP FARMA LTDA - ME</t>
  </si>
  <si>
    <t>1/283919</t>
  </si>
  <si>
    <t>290542B</t>
  </si>
  <si>
    <t>289165J</t>
  </si>
  <si>
    <t>284870G</t>
  </si>
  <si>
    <t>285121G</t>
  </si>
  <si>
    <t>289350C</t>
  </si>
  <si>
    <t>290789B</t>
  </si>
  <si>
    <t>290427E</t>
  </si>
  <si>
    <t>289495A</t>
  </si>
  <si>
    <t>1/289495</t>
  </si>
  <si>
    <t>288827A</t>
  </si>
  <si>
    <t>1/288827</t>
  </si>
  <si>
    <t>289011L</t>
  </si>
  <si>
    <t>289865F</t>
  </si>
  <si>
    <t>290542C</t>
  </si>
  <si>
    <t>289165K</t>
  </si>
  <si>
    <t>292597A</t>
  </si>
  <si>
    <t>1/292597</t>
  </si>
  <si>
    <t>292967A</t>
  </si>
  <si>
    <t>1/292967</t>
  </si>
  <si>
    <t>289011M</t>
  </si>
  <si>
    <t>293039A</t>
  </si>
  <si>
    <t>1/293039</t>
  </si>
  <si>
    <t>290542D</t>
  </si>
  <si>
    <t>289143C</t>
  </si>
  <si>
    <t>289165L</t>
  </si>
  <si>
    <t>290668A</t>
  </si>
  <si>
    <t>1/290668</t>
  </si>
  <si>
    <t>289350D</t>
  </si>
  <si>
    <t>292099B</t>
  </si>
  <si>
    <t>1/292099</t>
  </si>
  <si>
    <t>289011N</t>
  </si>
  <si>
    <t>290789C</t>
  </si>
  <si>
    <t>292597B</t>
  </si>
  <si>
    <t>290542E</t>
  </si>
  <si>
    <t>289165M</t>
  </si>
  <si>
    <t>292967B</t>
  </si>
  <si>
    <t>1/290030</t>
  </si>
  <si>
    <t>290542F</t>
  </si>
  <si>
    <t>289011O</t>
  </si>
  <si>
    <t>289165N</t>
  </si>
  <si>
    <t>290657B</t>
  </si>
  <si>
    <t>289350E</t>
  </si>
  <si>
    <t>290789D</t>
  </si>
  <si>
    <t>289495B</t>
  </si>
  <si>
    <t>292099C</t>
  </si>
  <si>
    <t>289641A</t>
  </si>
  <si>
    <t>1/289641</t>
  </si>
  <si>
    <t>296225A</t>
  </si>
  <si>
    <t>1/296225</t>
  </si>
  <si>
    <t>292597C</t>
  </si>
  <si>
    <t>292579A</t>
  </si>
  <si>
    <t>05354915000119</t>
  </si>
  <si>
    <t>ORG XIMENES ARAGAO LTDA</t>
  </si>
  <si>
    <t>1/292579</t>
  </si>
  <si>
    <t>290542G</t>
  </si>
  <si>
    <t>1/291108</t>
  </si>
  <si>
    <t>291562A</t>
  </si>
  <si>
    <t>1/291562</t>
  </si>
  <si>
    <t>1/291553</t>
  </si>
  <si>
    <t>1/291063</t>
  </si>
  <si>
    <t>291488A</t>
  </si>
  <si>
    <t>04394701000294</t>
  </si>
  <si>
    <t>GUEDES E SILVA PROD FARM LTDA ME</t>
  </si>
  <si>
    <t>1/291488</t>
  </si>
  <si>
    <t>ICO</t>
  </si>
  <si>
    <t>289165O</t>
  </si>
  <si>
    <t>294055A</t>
  </si>
  <si>
    <t>1/294055</t>
  </si>
  <si>
    <t>292967C</t>
  </si>
  <si>
    <t>1/291717</t>
  </si>
  <si>
    <t>FARMACIA VARJOTENSE - EIRELI</t>
  </si>
  <si>
    <t>290542H</t>
  </si>
  <si>
    <t>290668B</t>
  </si>
  <si>
    <t>289350F</t>
  </si>
  <si>
    <t>290789E</t>
  </si>
  <si>
    <t>296225B</t>
  </si>
  <si>
    <t>1/292047</t>
  </si>
  <si>
    <t>01946309000131</t>
  </si>
  <si>
    <t>FARMACIA E DROGARIA SANTANA</t>
  </si>
  <si>
    <t>292099D</t>
  </si>
  <si>
    <t>292597D</t>
  </si>
  <si>
    <t>36515271000127</t>
  </si>
  <si>
    <t>LAYANA DE OLIVEIRA LTDA - ME</t>
  </si>
  <si>
    <t>MORADA NOVA</t>
  </si>
  <si>
    <t>291940A</t>
  </si>
  <si>
    <t>03176330000120</t>
  </si>
  <si>
    <t>VAREJAO DOS COMPRIMIDOS LTDA - MZ</t>
  </si>
  <si>
    <t>1/291940</t>
  </si>
  <si>
    <t>290542I</t>
  </si>
  <si>
    <t>1/294027</t>
  </si>
  <si>
    <t>293924A</t>
  </si>
  <si>
    <t>04394701000103</t>
  </si>
  <si>
    <t>GUEDES E SILVA PROD FARMAC LTDA ME</t>
  </si>
  <si>
    <t>1/293924</t>
  </si>
  <si>
    <t>23928619000166</t>
  </si>
  <si>
    <t>LUIS ALBERTO BARROS DA COSTA - ME</t>
  </si>
  <si>
    <t>292967D</t>
  </si>
  <si>
    <t>292978A</t>
  </si>
  <si>
    <t>12165233000123</t>
  </si>
  <si>
    <t>LEONARDO TEIXEIRA FEITOSA VERAS ME</t>
  </si>
  <si>
    <t>1/292978</t>
  </si>
  <si>
    <t>292928A</t>
  </si>
  <si>
    <t>1/292928</t>
  </si>
  <si>
    <t>291717C</t>
  </si>
  <si>
    <t>1/293062</t>
  </si>
  <si>
    <t>1/293084</t>
  </si>
  <si>
    <t>290542J</t>
  </si>
  <si>
    <t>293460A</t>
  </si>
  <si>
    <t>1/293460</t>
  </si>
  <si>
    <t>289350G</t>
  </si>
  <si>
    <t>293466A</t>
  </si>
  <si>
    <t>1/293466</t>
  </si>
  <si>
    <t>293574A</t>
  </si>
  <si>
    <t>1/293574</t>
  </si>
  <si>
    <t>1/293337</t>
  </si>
  <si>
    <t>290789F</t>
  </si>
  <si>
    <t>288867G</t>
  </si>
  <si>
    <t>296225C</t>
  </si>
  <si>
    <t>1/292136</t>
  </si>
  <si>
    <t>KARINA GONCALVES DO NASCIMENTO</t>
  </si>
  <si>
    <t>MUCAMBO</t>
  </si>
  <si>
    <t>292597E</t>
  </si>
  <si>
    <t>292579B</t>
  </si>
  <si>
    <t>290542K</t>
  </si>
  <si>
    <t>1/292622</t>
  </si>
  <si>
    <t>1/297996</t>
  </si>
  <si>
    <t>31741228000166</t>
  </si>
  <si>
    <t>JULIO CESAR ALVES DA COSTA 02727154330</t>
  </si>
  <si>
    <t>291717D</t>
  </si>
  <si>
    <t>10609289000102</t>
  </si>
  <si>
    <t>F F BASTOS HOLANDA</t>
  </si>
  <si>
    <t>CARIÚS</t>
  </si>
  <si>
    <t>1/294155</t>
  </si>
  <si>
    <t>1/294501</t>
  </si>
  <si>
    <t>1/294363</t>
  </si>
  <si>
    <t>296920A</t>
  </si>
  <si>
    <t>1/296920</t>
  </si>
  <si>
    <t>292288D</t>
  </si>
  <si>
    <t>1/292288</t>
  </si>
  <si>
    <t>292987D</t>
  </si>
  <si>
    <t>1/292987</t>
  </si>
  <si>
    <t>297792A</t>
  </si>
  <si>
    <t>1/297792</t>
  </si>
  <si>
    <t>290542L</t>
  </si>
  <si>
    <t>290531A</t>
  </si>
  <si>
    <t>01876769000130</t>
  </si>
  <si>
    <t>M P MEDICAMENTOS LTDA ME</t>
  </si>
  <si>
    <t>1/290531</t>
  </si>
  <si>
    <t>290789G</t>
  </si>
  <si>
    <t>296225D</t>
  </si>
  <si>
    <t>P I COMERCIO DE MEDICAMENTOS LTDA</t>
  </si>
  <si>
    <t>288867H</t>
  </si>
  <si>
    <t>30038762000148</t>
  </si>
  <si>
    <t>FARMACIA ENTRE IRMAOS LTDA</t>
  </si>
  <si>
    <t>BREJO SANTO</t>
  </si>
  <si>
    <t>SANTA QUITERIA</t>
  </si>
  <si>
    <t>292798A</t>
  </si>
  <si>
    <t>16672967000150</t>
  </si>
  <si>
    <t>FCIA DA ECONOMIA NACIONAL-MZ</t>
  </si>
  <si>
    <t>1/292798</t>
  </si>
  <si>
    <t>1/295210</t>
  </si>
  <si>
    <t>293924B</t>
  </si>
  <si>
    <t>CANINDÉ</t>
  </si>
  <si>
    <t>10899161000112</t>
  </si>
  <si>
    <t>CLAUDENIO DIOGENES ALVES ME</t>
  </si>
  <si>
    <t>1/301250</t>
  </si>
  <si>
    <t>1/294141</t>
  </si>
  <si>
    <t>FARMACIA MAGALHAES LTDA</t>
  </si>
  <si>
    <t>1/295361</t>
  </si>
  <si>
    <t>301117A</t>
  </si>
  <si>
    <t>1/301117</t>
  </si>
  <si>
    <t>292987E</t>
  </si>
  <si>
    <t>24982020000173</t>
  </si>
  <si>
    <t>HILDO C SALES</t>
  </si>
  <si>
    <t>299475A</t>
  </si>
  <si>
    <t>1/299475</t>
  </si>
  <si>
    <t>CAPISTRANO</t>
  </si>
  <si>
    <t>SANFARMA S.ANTONIO FARMAC. LTDA LJ-11</t>
  </si>
  <si>
    <t>291717E</t>
  </si>
  <si>
    <t>1/295533</t>
  </si>
  <si>
    <t>297792B</t>
  </si>
  <si>
    <t>294659A</t>
  </si>
  <si>
    <t>07144238000130</t>
  </si>
  <si>
    <t>SANTA BRANCA COM.FARMAC. LTDA - LOJA 06</t>
  </si>
  <si>
    <t>1/294659</t>
  </si>
  <si>
    <t>1/295951</t>
  </si>
  <si>
    <t>1/299509</t>
  </si>
  <si>
    <t>296225E</t>
  </si>
  <si>
    <t>1/295100</t>
  </si>
  <si>
    <t>1/295053</t>
  </si>
  <si>
    <t>301117B</t>
  </si>
  <si>
    <t>1/298784</t>
  </si>
  <si>
    <t>296763A</t>
  </si>
  <si>
    <t>1/296763</t>
  </si>
  <si>
    <t>296748A</t>
  </si>
  <si>
    <t>1/296748</t>
  </si>
  <si>
    <t>296750A</t>
  </si>
  <si>
    <t>1/296750</t>
  </si>
  <si>
    <t>299480B</t>
  </si>
  <si>
    <t>1/299480</t>
  </si>
  <si>
    <t>1/299697</t>
  </si>
  <si>
    <t>301797A</t>
  </si>
  <si>
    <t>1/301797</t>
  </si>
  <si>
    <t>1/299208</t>
  </si>
  <si>
    <t>290030F</t>
  </si>
  <si>
    <t>293062D</t>
  </si>
  <si>
    <t>295533B</t>
  </si>
  <si>
    <t>291553E</t>
  </si>
  <si>
    <t>294363C</t>
  </si>
  <si>
    <t>295530A</t>
  </si>
  <si>
    <t>1/295530</t>
  </si>
  <si>
    <t>293084D</t>
  </si>
  <si>
    <t>295527A</t>
  </si>
  <si>
    <t>1/295527</t>
  </si>
  <si>
    <t>297792C</t>
  </si>
  <si>
    <t>298517A</t>
  </si>
  <si>
    <t>23576929000169</t>
  </si>
  <si>
    <t>CELIA MARIA VIEIRA LIMA -MZ</t>
  </si>
  <si>
    <t>1/298517</t>
  </si>
  <si>
    <t>295683A</t>
  </si>
  <si>
    <t>1/295683</t>
  </si>
  <si>
    <t>293337D</t>
  </si>
  <si>
    <t>295671A</t>
  </si>
  <si>
    <t>1/295671</t>
  </si>
  <si>
    <t>300853A</t>
  </si>
  <si>
    <t>1/300853</t>
  </si>
  <si>
    <t>300754B</t>
  </si>
  <si>
    <t>1/300754</t>
  </si>
  <si>
    <t>1/298510</t>
  </si>
  <si>
    <t>295919A</t>
  </si>
  <si>
    <t>1/295919</t>
  </si>
  <si>
    <t>292136E</t>
  </si>
  <si>
    <t>295917A</t>
  </si>
  <si>
    <t>1/295917</t>
  </si>
  <si>
    <t>301272A</t>
  </si>
  <si>
    <t>1/301272</t>
  </si>
  <si>
    <t>10307609000161</t>
  </si>
  <si>
    <t>R E D FARMA LTDA</t>
  </si>
  <si>
    <t>1/296904</t>
  </si>
  <si>
    <t>292047E</t>
  </si>
  <si>
    <t>296112A</t>
  </si>
  <si>
    <t>1/296112</t>
  </si>
  <si>
    <t>296751A</t>
  </si>
  <si>
    <t>1/296751</t>
  </si>
  <si>
    <t>296110A</t>
  </si>
  <si>
    <t>1/296110</t>
  </si>
  <si>
    <t>296753A</t>
  </si>
  <si>
    <t>1/296753</t>
  </si>
  <si>
    <t>295951B</t>
  </si>
  <si>
    <t>296109A</t>
  </si>
  <si>
    <t>1/296109</t>
  </si>
  <si>
    <t>299509D</t>
  </si>
  <si>
    <t>301300A</t>
  </si>
  <si>
    <t>1/301300</t>
  </si>
  <si>
    <t>296227A</t>
  </si>
  <si>
    <t>1/296227</t>
  </si>
  <si>
    <t>296330A</t>
  </si>
  <si>
    <t>1/296330</t>
  </si>
  <si>
    <t>296886A</t>
  </si>
  <si>
    <t>1/296886</t>
  </si>
  <si>
    <t>297564A</t>
  </si>
  <si>
    <t>1/297564</t>
  </si>
  <si>
    <t>296358A</t>
  </si>
  <si>
    <t>1/296358</t>
  </si>
  <si>
    <t>297566A</t>
  </si>
  <si>
    <t>1/297566</t>
  </si>
  <si>
    <t>299304A</t>
  </si>
  <si>
    <t>1/299304</t>
  </si>
  <si>
    <t>1/297456</t>
  </si>
  <si>
    <t>1/301766</t>
  </si>
  <si>
    <t>295100B</t>
  </si>
  <si>
    <t>296436A</t>
  </si>
  <si>
    <t>1/296436</t>
  </si>
  <si>
    <t>297634A</t>
  </si>
  <si>
    <t>1/297634</t>
  </si>
  <si>
    <t>297659A</t>
  </si>
  <si>
    <t>1/297659</t>
  </si>
  <si>
    <t>295038A</t>
  </si>
  <si>
    <t>1/295038</t>
  </si>
  <si>
    <t>295053B</t>
  </si>
  <si>
    <t>296467A</t>
  </si>
  <si>
    <t>1/296467</t>
  </si>
  <si>
    <t>1/300646</t>
  </si>
  <si>
    <t>295210C</t>
  </si>
  <si>
    <t>297971A</t>
  </si>
  <si>
    <t>1/297971</t>
  </si>
  <si>
    <t>300751A</t>
  </si>
  <si>
    <t>1/300751</t>
  </si>
  <si>
    <t>302133A</t>
  </si>
  <si>
    <t>1/302133</t>
  </si>
  <si>
    <t>291108F</t>
  </si>
  <si>
    <t>294141B</t>
  </si>
  <si>
    <t>294155D</t>
  </si>
  <si>
    <t>298216A</t>
  </si>
  <si>
    <t>1/298216</t>
  </si>
  <si>
    <t>1/301145</t>
  </si>
  <si>
    <t>PORTEIRAS</t>
  </si>
  <si>
    <t>295361C</t>
  </si>
  <si>
    <t>298197A</t>
  </si>
  <si>
    <t>1/298197</t>
  </si>
  <si>
    <t>291063F</t>
  </si>
  <si>
    <t>292622E</t>
  </si>
  <si>
    <t>294027E</t>
  </si>
  <si>
    <t>298087A</t>
  </si>
  <si>
    <t>07546558000388</t>
  </si>
  <si>
    <t>FRANCISCO ELTON APOLONIO MENDES-FL 02</t>
  </si>
  <si>
    <t>1/298087</t>
  </si>
  <si>
    <t>1/303774</t>
  </si>
  <si>
    <t>298104A</t>
  </si>
  <si>
    <t>10908192000273</t>
  </si>
  <si>
    <t>J M EXPRESS SERV DE TRANSPORTES LTDA</t>
  </si>
  <si>
    <t>1/298104</t>
  </si>
  <si>
    <t>301117C</t>
  </si>
  <si>
    <t>290030G</t>
  </si>
  <si>
    <t>296629A</t>
  </si>
  <si>
    <t>1/296629</t>
  </si>
  <si>
    <t>296672A</t>
  </si>
  <si>
    <t>1/296672</t>
  </si>
  <si>
    <t>291553F</t>
  </si>
  <si>
    <t>296630A</t>
  </si>
  <si>
    <t>1/296630</t>
  </si>
  <si>
    <t>296754A</t>
  </si>
  <si>
    <t>1/296754</t>
  </si>
  <si>
    <t>296628A</t>
  </si>
  <si>
    <t>1/296628</t>
  </si>
  <si>
    <t>296748B</t>
  </si>
  <si>
    <t>296750B</t>
  </si>
  <si>
    <t>299475B</t>
  </si>
  <si>
    <t>298347B</t>
  </si>
  <si>
    <t>1/298347</t>
  </si>
  <si>
    <t>32858942000100</t>
  </si>
  <si>
    <t>FARMACIA DO TRAB DE CAPISTRANO EIRELI - ME</t>
  </si>
  <si>
    <t>293062E</t>
  </si>
  <si>
    <t>296949A</t>
  </si>
  <si>
    <t>1/296949</t>
  </si>
  <si>
    <t>294363D</t>
  </si>
  <si>
    <t>292136F</t>
  </si>
  <si>
    <t>293084E</t>
  </si>
  <si>
    <t>296215A</t>
  </si>
  <si>
    <t>1/296215</t>
  </si>
  <si>
    <t>296917A</t>
  </si>
  <si>
    <t>1/296917</t>
  </si>
  <si>
    <t>301797B</t>
  </si>
  <si>
    <t>302694B</t>
  </si>
  <si>
    <t>36752099000125</t>
  </si>
  <si>
    <t>FARMACIA CENTRAL PRECO BAIXO LTDA</t>
  </si>
  <si>
    <t>1/302694</t>
  </si>
  <si>
    <t>295533C</t>
  </si>
  <si>
    <t>296496A</t>
  </si>
  <si>
    <t>1/296496</t>
  </si>
  <si>
    <t>296498A</t>
  </si>
  <si>
    <t>1/296498</t>
  </si>
  <si>
    <t>296462A</t>
  </si>
  <si>
    <t>1/296462</t>
  </si>
  <si>
    <t>297130A</t>
  </si>
  <si>
    <t>1/297130</t>
  </si>
  <si>
    <t>297792D</t>
  </si>
  <si>
    <t>299998A</t>
  </si>
  <si>
    <t>1/299998</t>
  </si>
  <si>
    <t>1/298685</t>
  </si>
  <si>
    <t>297347A</t>
  </si>
  <si>
    <t>1/297347</t>
  </si>
  <si>
    <t>03507600000139</t>
  </si>
  <si>
    <t>FARMACIA SANTA ANA LTDA-ME</t>
  </si>
  <si>
    <t>293337E</t>
  </si>
  <si>
    <t>297350A</t>
  </si>
  <si>
    <t>1/297350</t>
  </si>
  <si>
    <t>297349A</t>
  </si>
  <si>
    <t>1/297349</t>
  </si>
  <si>
    <t>305248A</t>
  </si>
  <si>
    <t>1/305248</t>
  </si>
  <si>
    <t>1/302901</t>
  </si>
  <si>
    <t>1/300345</t>
  </si>
  <si>
    <t>1/301476</t>
  </si>
  <si>
    <t>298707A</t>
  </si>
  <si>
    <t>1/298707</t>
  </si>
  <si>
    <t>298217A</t>
  </si>
  <si>
    <t>1/298217</t>
  </si>
  <si>
    <t>304298B</t>
  </si>
  <si>
    <t>1/304298</t>
  </si>
  <si>
    <t>20615333000132</t>
  </si>
  <si>
    <t>J C PRODUTOS FARMACEUTICOS EIRELI ME</t>
  </si>
  <si>
    <t>ITATIRA</t>
  </si>
  <si>
    <t>1/303543</t>
  </si>
  <si>
    <t>1/300253</t>
  </si>
  <si>
    <t>38351833000170</t>
  </si>
  <si>
    <t>SONELTA MASTERPHARMA LTDA - ME</t>
  </si>
  <si>
    <t>41464579000120</t>
  </si>
  <si>
    <t>UILACI LEANDRO PINHEIRO</t>
  </si>
  <si>
    <t>296751B</t>
  </si>
  <si>
    <t>296753B</t>
  </si>
  <si>
    <t>295951C</t>
  </si>
  <si>
    <t>298904A</t>
  </si>
  <si>
    <t>1/298904</t>
  </si>
  <si>
    <t>301300B</t>
  </si>
  <si>
    <t>07467475001375</t>
  </si>
  <si>
    <t>1/302444</t>
  </si>
  <si>
    <t>1/299191</t>
  </si>
  <si>
    <t>23459485000181</t>
  </si>
  <si>
    <t>F R GRANGEIRO PROD FARMAC LTDA-ME</t>
  </si>
  <si>
    <t>305773A</t>
  </si>
  <si>
    <t>1/305773</t>
  </si>
  <si>
    <t>292047F</t>
  </si>
  <si>
    <t>296227B</t>
  </si>
  <si>
    <t>296330B</t>
  </si>
  <si>
    <t>296886B</t>
  </si>
  <si>
    <t>297459A</t>
  </si>
  <si>
    <t>1/297459</t>
  </si>
  <si>
    <t>297564B</t>
  </si>
  <si>
    <t>03267843000147</t>
  </si>
  <si>
    <t>NOVA RUSSAS</t>
  </si>
  <si>
    <t>296214A</t>
  </si>
  <si>
    <t>1/296214</t>
  </si>
  <si>
    <t>296358B</t>
  </si>
  <si>
    <t>296885A</t>
  </si>
  <si>
    <t>1/296885</t>
  </si>
  <si>
    <t>297460A</t>
  </si>
  <si>
    <t>1/297460</t>
  </si>
  <si>
    <t>299329A</t>
  </si>
  <si>
    <t>1/299329</t>
  </si>
  <si>
    <t>297566B</t>
  </si>
  <si>
    <t>23549389000124</t>
  </si>
  <si>
    <t>FIRMINO CLAUDIO DE CARVALHO</t>
  </si>
  <si>
    <t>303774C</t>
  </si>
  <si>
    <t>305645A</t>
  </si>
  <si>
    <t>1/305645</t>
  </si>
  <si>
    <t>IGUATU</t>
  </si>
  <si>
    <t>295100C</t>
  </si>
  <si>
    <t>296436B</t>
  </si>
  <si>
    <t>297634B</t>
  </si>
  <si>
    <t>297632A</t>
  </si>
  <si>
    <t>1/297632</t>
  </si>
  <si>
    <t>297650A</t>
  </si>
  <si>
    <t>1/297650</t>
  </si>
  <si>
    <t>295053C</t>
  </si>
  <si>
    <t>297633A</t>
  </si>
  <si>
    <t>1/297633</t>
  </si>
  <si>
    <t>1/300514</t>
  </si>
  <si>
    <t>291108G</t>
  </si>
  <si>
    <t>295210D</t>
  </si>
  <si>
    <t>297971B</t>
  </si>
  <si>
    <t>291063G</t>
  </si>
  <si>
    <t>292136G</t>
  </si>
  <si>
    <t>292622F</t>
  </si>
  <si>
    <t>294027F</t>
  </si>
  <si>
    <t>297917A</t>
  </si>
  <si>
    <t>1/297917</t>
  </si>
  <si>
    <t>303298A</t>
  </si>
  <si>
    <t>1/303298</t>
  </si>
  <si>
    <t>294155E</t>
  </si>
  <si>
    <t>298216B</t>
  </si>
  <si>
    <t>295361D</t>
  </si>
  <si>
    <t>298192A</t>
  </si>
  <si>
    <t>1/298192</t>
  </si>
  <si>
    <t>298197B</t>
  </si>
  <si>
    <t>301117D</t>
  </si>
  <si>
    <t>298784C</t>
  </si>
  <si>
    <t>296672B</t>
  </si>
  <si>
    <t>291553G</t>
  </si>
  <si>
    <t>296754B</t>
  </si>
  <si>
    <t>298421A</t>
  </si>
  <si>
    <t>1/298421</t>
  </si>
  <si>
    <t>298905A</t>
  </si>
  <si>
    <t>1/298905</t>
  </si>
  <si>
    <t>296748C</t>
  </si>
  <si>
    <t>296750C</t>
  </si>
  <si>
    <t>298409A</t>
  </si>
  <si>
    <t>1/298409</t>
  </si>
  <si>
    <t>305248B</t>
  </si>
  <si>
    <t>305831A</t>
  </si>
  <si>
    <t>1/305831</t>
  </si>
  <si>
    <t>298347C</t>
  </si>
  <si>
    <t>296215B</t>
  </si>
  <si>
    <t>296917B</t>
  </si>
  <si>
    <t>297472A</t>
  </si>
  <si>
    <t>1/297472</t>
  </si>
  <si>
    <t>304298C</t>
  </si>
  <si>
    <t>299208C</t>
  </si>
  <si>
    <t>295533D</t>
  </si>
  <si>
    <t>296496B</t>
  </si>
  <si>
    <t>296498B</t>
  </si>
  <si>
    <t>296462B</t>
  </si>
  <si>
    <t>297130B</t>
  </si>
  <si>
    <t>297792E</t>
  </si>
  <si>
    <t>305773B</t>
  </si>
  <si>
    <t>293062F</t>
  </si>
  <si>
    <t>293337F</t>
  </si>
  <si>
    <t>294363E</t>
  </si>
  <si>
    <t>297969A</t>
  </si>
  <si>
    <t>1/297969</t>
  </si>
  <si>
    <t>293084F</t>
  </si>
  <si>
    <t>305645B</t>
  </si>
  <si>
    <t>298510C</t>
  </si>
  <si>
    <t>298155A</t>
  </si>
  <si>
    <t>1/298155</t>
  </si>
  <si>
    <t>298217B</t>
  </si>
  <si>
    <t>298708A</t>
  </si>
  <si>
    <t>1/298708</t>
  </si>
  <si>
    <t>300280A</t>
  </si>
  <si>
    <t>1/300280</t>
  </si>
  <si>
    <t>301584A</t>
  </si>
  <si>
    <t>1/301584</t>
  </si>
  <si>
    <t>292047G</t>
  </si>
  <si>
    <t>296751C</t>
  </si>
  <si>
    <t>298902A</t>
  </si>
  <si>
    <t>1/298902</t>
  </si>
  <si>
    <t>1/298900</t>
  </si>
  <si>
    <t>292136H</t>
  </si>
  <si>
    <t>295951D</t>
  </si>
  <si>
    <t>298904B</t>
  </si>
  <si>
    <t>304071A</t>
  </si>
  <si>
    <t>1/304071</t>
  </si>
  <si>
    <t>301300C</t>
  </si>
  <si>
    <t>296227C</t>
  </si>
  <si>
    <t>296330C</t>
  </si>
  <si>
    <t>297564C</t>
  </si>
  <si>
    <t>302467A</t>
  </si>
  <si>
    <t>1/302467</t>
  </si>
  <si>
    <t>296214B</t>
  </si>
  <si>
    <t>296358C</t>
  </si>
  <si>
    <t>296885B</t>
  </si>
  <si>
    <t>297460B</t>
  </si>
  <si>
    <t>299329B</t>
  </si>
  <si>
    <t>297566C</t>
  </si>
  <si>
    <t>299323A</t>
  </si>
  <si>
    <t>1/299323</t>
  </si>
  <si>
    <t>299324A</t>
  </si>
  <si>
    <t>1/299324</t>
  </si>
  <si>
    <t>302450A</t>
  </si>
  <si>
    <t>1/302450</t>
  </si>
  <si>
    <t>299304B</t>
  </si>
  <si>
    <t>301766B</t>
  </si>
  <si>
    <t>295100D</t>
  </si>
  <si>
    <t>296436C</t>
  </si>
  <si>
    <t>297634C</t>
  </si>
  <si>
    <t>297766A</t>
  </si>
  <si>
    <t>1/297766</t>
  </si>
  <si>
    <t>297632B</t>
  </si>
  <si>
    <t>295053D</t>
  </si>
  <si>
    <t>296467B</t>
  </si>
  <si>
    <t>297633B</t>
  </si>
  <si>
    <t>300478A</t>
  </si>
  <si>
    <t>1/300478</t>
  </si>
  <si>
    <t>305248C</t>
  </si>
  <si>
    <t>305831B</t>
  </si>
  <si>
    <t>295210E</t>
  </si>
  <si>
    <t>297971C</t>
  </si>
  <si>
    <t>297996F</t>
  </si>
  <si>
    <t>298216C</t>
  </si>
  <si>
    <t>295361E</t>
  </si>
  <si>
    <t>298056A</t>
  </si>
  <si>
    <t>1/298056</t>
  </si>
  <si>
    <t>298197C</t>
  </si>
  <si>
    <t>304850A</t>
  </si>
  <si>
    <t>1/304850</t>
  </si>
  <si>
    <t>301117E</t>
  </si>
  <si>
    <t>298784D</t>
  </si>
  <si>
    <t>303527A</t>
  </si>
  <si>
    <t>1/303527</t>
  </si>
  <si>
    <t>301368A</t>
  </si>
  <si>
    <t>1/301368</t>
  </si>
  <si>
    <t>305773C</t>
  </si>
  <si>
    <t>294155F</t>
  </si>
  <si>
    <t>296672C</t>
  </si>
  <si>
    <t>299087A</t>
  </si>
  <si>
    <t>1/299087</t>
  </si>
  <si>
    <t>299523A</t>
  </si>
  <si>
    <t>1/299523</t>
  </si>
  <si>
    <t>1/299571</t>
  </si>
  <si>
    <t>296754C</t>
  </si>
  <si>
    <t>298905B</t>
  </si>
  <si>
    <t>292622G</t>
  </si>
  <si>
    <t>294027G</t>
  </si>
  <si>
    <t>296750D</t>
  </si>
  <si>
    <t>305645C</t>
  </si>
  <si>
    <t>302417A</t>
  </si>
  <si>
    <t>1/302417</t>
  </si>
  <si>
    <t>294501F</t>
  </si>
  <si>
    <t>299208D</t>
  </si>
  <si>
    <t>PARACURU</t>
  </si>
  <si>
    <t>296498C</t>
  </si>
  <si>
    <t>297792F</t>
  </si>
  <si>
    <t>302901B</t>
  </si>
  <si>
    <t>300345B</t>
  </si>
  <si>
    <t>298204B</t>
  </si>
  <si>
    <t>1/298204</t>
  </si>
  <si>
    <t>298715A</t>
  </si>
  <si>
    <t>1/298715</t>
  </si>
  <si>
    <t>300253C</t>
  </si>
  <si>
    <t>1/308502</t>
  </si>
  <si>
    <t>298902B</t>
  </si>
  <si>
    <t>298900B</t>
  </si>
  <si>
    <t>299522A</t>
  </si>
  <si>
    <t>1/299522</t>
  </si>
  <si>
    <t>299563A</t>
  </si>
  <si>
    <t>1/299563</t>
  </si>
  <si>
    <t>298463A</t>
  </si>
  <si>
    <t>1/298463</t>
  </si>
  <si>
    <t>304074A</t>
  </si>
  <si>
    <t>1/304074</t>
  </si>
  <si>
    <t>303732A</t>
  </si>
  <si>
    <t>1/303732</t>
  </si>
  <si>
    <t>297456C</t>
  </si>
  <si>
    <t>TAUÁ</t>
  </si>
  <si>
    <t>304399A</t>
  </si>
  <si>
    <t>1/304399</t>
  </si>
  <si>
    <t>300646D</t>
  </si>
  <si>
    <t>TARRAFAS</t>
  </si>
  <si>
    <t>300514B</t>
  </si>
  <si>
    <t>305257A</t>
  </si>
  <si>
    <t>1/305257</t>
  </si>
  <si>
    <t>303298B</t>
  </si>
  <si>
    <t>40029318000110</t>
  </si>
  <si>
    <t>J. P. SAMPAIO FARMACIA - ME</t>
  </si>
  <si>
    <t>GRANJA</t>
  </si>
  <si>
    <t>307622A</t>
  </si>
  <si>
    <t>1/307622</t>
  </si>
  <si>
    <t>297996G</t>
  </si>
  <si>
    <t>303379A</t>
  </si>
  <si>
    <t>1/303379</t>
  </si>
  <si>
    <t>303515A</t>
  </si>
  <si>
    <t>1/303515</t>
  </si>
  <si>
    <t>301664B</t>
  </si>
  <si>
    <t>1/301664</t>
  </si>
  <si>
    <t>296672D</t>
  </si>
  <si>
    <t>299087B</t>
  </si>
  <si>
    <t>299523B</t>
  </si>
  <si>
    <t>301314A</t>
  </si>
  <si>
    <t>1/301314</t>
  </si>
  <si>
    <t>299571B</t>
  </si>
  <si>
    <t>298463B</t>
  </si>
  <si>
    <t>296754D</t>
  </si>
  <si>
    <t>298905C</t>
  </si>
  <si>
    <t>296750E</t>
  </si>
  <si>
    <t>301315A</t>
  </si>
  <si>
    <t>1/301315</t>
  </si>
  <si>
    <t>305751B</t>
  </si>
  <si>
    <t>1/305751</t>
  </si>
  <si>
    <t>301890B</t>
  </si>
  <si>
    <t>1/301890</t>
  </si>
  <si>
    <t>302417B</t>
  </si>
  <si>
    <t>299738B</t>
  </si>
  <si>
    <t>1/299738</t>
  </si>
  <si>
    <t>294501G</t>
  </si>
  <si>
    <t>294363G</t>
  </si>
  <si>
    <t>299789B</t>
  </si>
  <si>
    <t>1/299789</t>
  </si>
  <si>
    <t>296215D</t>
  </si>
  <si>
    <t>299765B</t>
  </si>
  <si>
    <t>1/299765</t>
  </si>
  <si>
    <t>304292A</t>
  </si>
  <si>
    <t>1/304292</t>
  </si>
  <si>
    <t>304313A</t>
  </si>
  <si>
    <t>1/304313</t>
  </si>
  <si>
    <t>308918A</t>
  </si>
  <si>
    <t>1/308918</t>
  </si>
  <si>
    <t>299208E</t>
  </si>
  <si>
    <t>302375A</t>
  </si>
  <si>
    <t>1/302375</t>
  </si>
  <si>
    <t>302573A</t>
  </si>
  <si>
    <t>1/302573</t>
  </si>
  <si>
    <t>303834A</t>
  </si>
  <si>
    <t>1/303834</t>
  </si>
  <si>
    <t>295533F</t>
  </si>
  <si>
    <t>300652A</t>
  </si>
  <si>
    <t>1/300652</t>
  </si>
  <si>
    <t>296498D</t>
  </si>
  <si>
    <t>300480A</t>
  </si>
  <si>
    <t>1/300480</t>
  </si>
  <si>
    <t>302518A</t>
  </si>
  <si>
    <t>1/302518</t>
  </si>
  <si>
    <t>302668B</t>
  </si>
  <si>
    <t>26905090000153</t>
  </si>
  <si>
    <t>JESSER PASSOS SAMPAIO</t>
  </si>
  <si>
    <t>1/302668</t>
  </si>
  <si>
    <t>303930A</t>
  </si>
  <si>
    <t>1/303930</t>
  </si>
  <si>
    <t>298685D</t>
  </si>
  <si>
    <t>1/300810</t>
  </si>
  <si>
    <t>302788A</t>
  </si>
  <si>
    <t>1/302788</t>
  </si>
  <si>
    <t>292407D</t>
  </si>
  <si>
    <t>1/292407</t>
  </si>
  <si>
    <t>300349B</t>
  </si>
  <si>
    <t>1/300349</t>
  </si>
  <si>
    <t>1/305620</t>
  </si>
  <si>
    <t>301535A</t>
  </si>
  <si>
    <t>1/301535</t>
  </si>
  <si>
    <t>301537A</t>
  </si>
  <si>
    <t>1/301537</t>
  </si>
  <si>
    <t>301538A</t>
  </si>
  <si>
    <t>1/301538</t>
  </si>
  <si>
    <t>305595A</t>
  </si>
  <si>
    <t>1/305595</t>
  </si>
  <si>
    <t>298708C</t>
  </si>
  <si>
    <t>300339B</t>
  </si>
  <si>
    <t>1/300339</t>
  </si>
  <si>
    <t>301516A</t>
  </si>
  <si>
    <t>1/301516</t>
  </si>
  <si>
    <t>301536A</t>
  </si>
  <si>
    <t>1/301536</t>
  </si>
  <si>
    <t>300169F</t>
  </si>
  <si>
    <t>19496225000109</t>
  </si>
  <si>
    <t>LIMA &amp; MOURA COM DE PRODFARM LTDA-ME</t>
  </si>
  <si>
    <t>1/300169</t>
  </si>
  <si>
    <t>300896F</t>
  </si>
  <si>
    <t>1/300896</t>
  </si>
  <si>
    <t>307596B</t>
  </si>
  <si>
    <t>1/307596</t>
  </si>
  <si>
    <t>301584C</t>
  </si>
  <si>
    <t>298902C</t>
  </si>
  <si>
    <t>299572B</t>
  </si>
  <si>
    <t>1/299572</t>
  </si>
  <si>
    <t>301557B</t>
  </si>
  <si>
    <t>1/301557</t>
  </si>
  <si>
    <t>298900C</t>
  </si>
  <si>
    <t>299522B</t>
  </si>
  <si>
    <t>298463C</t>
  </si>
  <si>
    <t>299569B</t>
  </si>
  <si>
    <t>1/299569</t>
  </si>
  <si>
    <t>295951F</t>
  </si>
  <si>
    <t>305708A</t>
  </si>
  <si>
    <t>1/305708</t>
  </si>
  <si>
    <t>304071B</t>
  </si>
  <si>
    <t>303732B</t>
  </si>
  <si>
    <t>299697K</t>
  </si>
  <si>
    <t>302444G</t>
  </si>
  <si>
    <t>309338A</t>
  </si>
  <si>
    <t>1/309338</t>
  </si>
  <si>
    <t>299191D</t>
  </si>
  <si>
    <t>1/303810</t>
  </si>
  <si>
    <t>297564E</t>
  </si>
  <si>
    <t>1/304295</t>
  </si>
  <si>
    <t>299329D</t>
  </si>
  <si>
    <t>297566E</t>
  </si>
  <si>
    <t>299323C</t>
  </si>
  <si>
    <t>301766C</t>
  </si>
  <si>
    <t>296904N</t>
  </si>
  <si>
    <t>1/304479</t>
  </si>
  <si>
    <t>300481B</t>
  </si>
  <si>
    <t>1/300481</t>
  </si>
  <si>
    <t>300616B</t>
  </si>
  <si>
    <t>1/300616</t>
  </si>
  <si>
    <t>1/304455</t>
  </si>
  <si>
    <t>302687B</t>
  </si>
  <si>
    <t>1/302687</t>
  </si>
  <si>
    <t>302060B</t>
  </si>
  <si>
    <t>1/302060</t>
  </si>
  <si>
    <t>295053F</t>
  </si>
  <si>
    <t>300478B</t>
  </si>
  <si>
    <t>300618B</t>
  </si>
  <si>
    <t>1/300618</t>
  </si>
  <si>
    <t>300646E</t>
  </si>
  <si>
    <t>304497A</t>
  </si>
  <si>
    <t>1/304497</t>
  </si>
  <si>
    <t>305257B</t>
  </si>
  <si>
    <t>23459485000262</t>
  </si>
  <si>
    <t>F R GRANGEIRO PROD FARMAC LTDA ME</t>
  </si>
  <si>
    <t>302261B</t>
  </si>
  <si>
    <t>1/302261</t>
  </si>
  <si>
    <t>1/303300</t>
  </si>
  <si>
    <t>295210G</t>
  </si>
  <si>
    <t>297971E</t>
  </si>
  <si>
    <t>300852B</t>
  </si>
  <si>
    <t>1/300852</t>
  </si>
  <si>
    <t>294027I</t>
  </si>
  <si>
    <t>303432A</t>
  </si>
  <si>
    <t>1/303432</t>
  </si>
  <si>
    <t>307622B</t>
  </si>
  <si>
    <t>1/309796</t>
  </si>
  <si>
    <t>303515B</t>
  </si>
  <si>
    <t>301250G</t>
  </si>
  <si>
    <t>305527C</t>
  </si>
  <si>
    <t>1/305527</t>
  </si>
  <si>
    <t>300941B</t>
  </si>
  <si>
    <t>1/300941</t>
  </si>
  <si>
    <t>300915B</t>
  </si>
  <si>
    <t>1/300915</t>
  </si>
  <si>
    <t>306144A</t>
  </si>
  <si>
    <t>1/306144</t>
  </si>
  <si>
    <t>295361G</t>
  </si>
  <si>
    <t>300942B</t>
  </si>
  <si>
    <t>1/300942</t>
  </si>
  <si>
    <t>300940B</t>
  </si>
  <si>
    <t>1/300940</t>
  </si>
  <si>
    <t>301207B</t>
  </si>
  <si>
    <t>1/301207</t>
  </si>
  <si>
    <t>304850B</t>
  </si>
  <si>
    <t>303527B</t>
  </si>
  <si>
    <t>304956A</t>
  </si>
  <si>
    <t>1/304956</t>
  </si>
  <si>
    <t>296672E</t>
  </si>
  <si>
    <t>299523C</t>
  </si>
  <si>
    <t>306360A</t>
  </si>
  <si>
    <t>1/306360</t>
  </si>
  <si>
    <t>301602A</t>
  </si>
  <si>
    <t>1/301602</t>
  </si>
  <si>
    <t>1/306303</t>
  </si>
  <si>
    <t>30320062000141</t>
  </si>
  <si>
    <t>ANTONIA VERONICA DOS SANTOS MENDES</t>
  </si>
  <si>
    <t>1/306508</t>
  </si>
  <si>
    <t>302417C</t>
  </si>
  <si>
    <t>299697L</t>
  </si>
  <si>
    <t>302444H</t>
  </si>
  <si>
    <t>302404A</t>
  </si>
  <si>
    <t>1/302404</t>
  </si>
  <si>
    <t>302416A</t>
  </si>
  <si>
    <t>1/302416</t>
  </si>
  <si>
    <t>299789C</t>
  </si>
  <si>
    <t>299765C</t>
  </si>
  <si>
    <t>08822485000100</t>
  </si>
  <si>
    <t>JEORGE CHAGAS PAULO MICROEMPRESA</t>
  </si>
  <si>
    <t>304313B</t>
  </si>
  <si>
    <t>299208F</t>
  </si>
  <si>
    <t>303834B</t>
  </si>
  <si>
    <t>1/306714</t>
  </si>
  <si>
    <t>295533G</t>
  </si>
  <si>
    <t>300652B</t>
  </si>
  <si>
    <t>302629B</t>
  </si>
  <si>
    <t>1/302629</t>
  </si>
  <si>
    <t>300480B</t>
  </si>
  <si>
    <t>302505A</t>
  </si>
  <si>
    <t>1/302505</t>
  </si>
  <si>
    <t>302518B</t>
  </si>
  <si>
    <t>305348A</t>
  </si>
  <si>
    <t>1/305348</t>
  </si>
  <si>
    <t>300810B</t>
  </si>
  <si>
    <t>302901C</t>
  </si>
  <si>
    <t>300178A</t>
  </si>
  <si>
    <t>1/300178</t>
  </si>
  <si>
    <t>301476E</t>
  </si>
  <si>
    <t>305527D</t>
  </si>
  <si>
    <t>305595B</t>
  </si>
  <si>
    <t>301516B</t>
  </si>
  <si>
    <t>305702A</t>
  </si>
  <si>
    <t>1/305702</t>
  </si>
  <si>
    <t>301557C</t>
  </si>
  <si>
    <t>301601A</t>
  </si>
  <si>
    <t>1/301601</t>
  </si>
  <si>
    <t>301607A</t>
  </si>
  <si>
    <t>1/301607</t>
  </si>
  <si>
    <t>301608A</t>
  </si>
  <si>
    <t>1/301608</t>
  </si>
  <si>
    <t>307897A</t>
  </si>
  <si>
    <t>1/307897</t>
  </si>
  <si>
    <t>301684B</t>
  </si>
  <si>
    <t>1/301684</t>
  </si>
  <si>
    <t>304058A</t>
  </si>
  <si>
    <t>1/304058</t>
  </si>
  <si>
    <t>304059B</t>
  </si>
  <si>
    <t>1/304059</t>
  </si>
  <si>
    <t>301609A</t>
  </si>
  <si>
    <t>1/301609</t>
  </si>
  <si>
    <t>295951G</t>
  </si>
  <si>
    <t>301610A</t>
  </si>
  <si>
    <t>1/301610</t>
  </si>
  <si>
    <t>305708B</t>
  </si>
  <si>
    <t>308918C</t>
  </si>
  <si>
    <t>309796B</t>
  </si>
  <si>
    <t>304074B</t>
  </si>
  <si>
    <t>303732C</t>
  </si>
  <si>
    <t>304214A</t>
  </si>
  <si>
    <t>1/304214</t>
  </si>
  <si>
    <t>302444I</t>
  </si>
  <si>
    <t>309338B</t>
  </si>
  <si>
    <t>299191E</t>
  </si>
  <si>
    <t>1/306623</t>
  </si>
  <si>
    <t>297564F</t>
  </si>
  <si>
    <t>304312A</t>
  </si>
  <si>
    <t>1/304312</t>
  </si>
  <si>
    <t>1/306633</t>
  </si>
  <si>
    <t>1/306493</t>
  </si>
  <si>
    <t>302451A</t>
  </si>
  <si>
    <t>1/302451</t>
  </si>
  <si>
    <t>297566F</t>
  </si>
  <si>
    <t>299323D</t>
  </si>
  <si>
    <t>302403A</t>
  </si>
  <si>
    <t>1/302403</t>
  </si>
  <si>
    <t>38263271000102</t>
  </si>
  <si>
    <t>304307A</t>
  </si>
  <si>
    <t>1/304307</t>
  </si>
  <si>
    <t>1/306712</t>
  </si>
  <si>
    <t>300616C</t>
  </si>
  <si>
    <t>1/303876</t>
  </si>
  <si>
    <t>29079945000122</t>
  </si>
  <si>
    <t>FARMAFIT COM DE PROD FARM LTDA-ME</t>
  </si>
  <si>
    <t>1/303983</t>
  </si>
  <si>
    <t>304391A</t>
  </si>
  <si>
    <t>1/304391</t>
  </si>
  <si>
    <t>302060C</t>
  </si>
  <si>
    <t>306747A</t>
  </si>
  <si>
    <t>1/306747</t>
  </si>
  <si>
    <t>295053G</t>
  </si>
  <si>
    <t>300618C</t>
  </si>
  <si>
    <t>304497B</t>
  </si>
  <si>
    <t>305257C</t>
  </si>
  <si>
    <t>307018A</t>
  </si>
  <si>
    <t>07576904000109</t>
  </si>
  <si>
    <t>DROGARIA FIBO LTDA</t>
  </si>
  <si>
    <t>1/307018</t>
  </si>
  <si>
    <t>1/307620</t>
  </si>
  <si>
    <t>302259A</t>
  </si>
  <si>
    <t>1/302259</t>
  </si>
  <si>
    <t>302261C</t>
  </si>
  <si>
    <t>297971F</t>
  </si>
  <si>
    <t>300852C</t>
  </si>
  <si>
    <t>302260A</t>
  </si>
  <si>
    <t>1/302260</t>
  </si>
  <si>
    <t>303432B</t>
  </si>
  <si>
    <t>308031A</t>
  </si>
  <si>
    <t>1/308031</t>
  </si>
  <si>
    <t>307622C</t>
  </si>
  <si>
    <t>303379B</t>
  </si>
  <si>
    <t>303515C</t>
  </si>
  <si>
    <t>301250H</t>
  </si>
  <si>
    <t>305527E</t>
  </si>
  <si>
    <t>303531C</t>
  </si>
  <si>
    <t>1/303531</t>
  </si>
  <si>
    <t>300941C</t>
  </si>
  <si>
    <t>303631A</t>
  </si>
  <si>
    <t>1/303631</t>
  </si>
  <si>
    <t>303635A</t>
  </si>
  <si>
    <t>1/303635</t>
  </si>
  <si>
    <t>300915C</t>
  </si>
  <si>
    <t>306144B</t>
  </si>
  <si>
    <t>304891A</t>
  </si>
  <si>
    <t>1/304891</t>
  </si>
  <si>
    <t>300942C</t>
  </si>
  <si>
    <t>300940C</t>
  </si>
  <si>
    <t>15692803000121</t>
  </si>
  <si>
    <t>KURA FARMA LTDA ME</t>
  </si>
  <si>
    <t>1/307623</t>
  </si>
  <si>
    <t>306032A</t>
  </si>
  <si>
    <t>1/306032</t>
  </si>
  <si>
    <t>306229A</t>
  </si>
  <si>
    <t>1/306229</t>
  </si>
  <si>
    <t>306254A</t>
  </si>
  <si>
    <t>1/306254</t>
  </si>
  <si>
    <t>1/307854</t>
  </si>
  <si>
    <t>296672F</t>
  </si>
  <si>
    <t>299523D</t>
  </si>
  <si>
    <t>306360B</t>
  </si>
  <si>
    <t>1/307973</t>
  </si>
  <si>
    <t>304057A</t>
  </si>
  <si>
    <t>1/304057</t>
  </si>
  <si>
    <t>306349A</t>
  </si>
  <si>
    <t>1/306349</t>
  </si>
  <si>
    <t>301602B</t>
  </si>
  <si>
    <t>308994A</t>
  </si>
  <si>
    <t>1/308994</t>
  </si>
  <si>
    <t>1/301728</t>
  </si>
  <si>
    <t>1/306345</t>
  </si>
  <si>
    <t>1/307884</t>
  </si>
  <si>
    <t>1/306246</t>
  </si>
  <si>
    <t>24966918000158</t>
  </si>
  <si>
    <t>A V SANTIAGO MEDICAMENTOS ME</t>
  </si>
  <si>
    <t>308590A</t>
  </si>
  <si>
    <t>1/308590</t>
  </si>
  <si>
    <t>1/306471</t>
  </si>
  <si>
    <t>1/306483</t>
  </si>
  <si>
    <t>1/305781</t>
  </si>
  <si>
    <t>1/307167</t>
  </si>
  <si>
    <t>1/301864</t>
  </si>
  <si>
    <t>1/309349</t>
  </si>
  <si>
    <t>1/310751</t>
  </si>
  <si>
    <t>303834C</t>
  </si>
  <si>
    <t>306714B</t>
  </si>
  <si>
    <t>73358947000142</t>
  </si>
  <si>
    <t>FARMACIA DOSE EXTRA LTDA ME</t>
  </si>
  <si>
    <t>1/306834</t>
  </si>
  <si>
    <t>304935A</t>
  </si>
  <si>
    <t>1/304935</t>
  </si>
  <si>
    <t>305279A</t>
  </si>
  <si>
    <t>1/305279</t>
  </si>
  <si>
    <t>1/306798</t>
  </si>
  <si>
    <t>1/306690</t>
  </si>
  <si>
    <t>1/308911</t>
  </si>
  <si>
    <t>1/303991</t>
  </si>
  <si>
    <t>1/307290</t>
  </si>
  <si>
    <t>1/309837</t>
  </si>
  <si>
    <t>1/306753</t>
  </si>
  <si>
    <t>CARIRIAÇU</t>
  </si>
  <si>
    <t>07530330000138</t>
  </si>
  <si>
    <t>FARIAS PASSOS E CIA</t>
  </si>
  <si>
    <t>1/303407</t>
  </si>
  <si>
    <t>306858A</t>
  </si>
  <si>
    <t>1/306858</t>
  </si>
  <si>
    <t>305337A</t>
  </si>
  <si>
    <t>1/305337</t>
  </si>
  <si>
    <t>305338A</t>
  </si>
  <si>
    <t>1/305338</t>
  </si>
  <si>
    <t>1/304643</t>
  </si>
  <si>
    <t>1/305395</t>
  </si>
  <si>
    <t>1/311738</t>
  </si>
  <si>
    <t>30591371000156</t>
  </si>
  <si>
    <t>R F DO NASCIMENTO COM DE MED EIRELI</t>
  </si>
  <si>
    <t>305527F</t>
  </si>
  <si>
    <t>305620C</t>
  </si>
  <si>
    <t>302914A</t>
  </si>
  <si>
    <t>1/302914</t>
  </si>
  <si>
    <t>303069A</t>
  </si>
  <si>
    <t>1/303069</t>
  </si>
  <si>
    <t>305478A</t>
  </si>
  <si>
    <t>1/305478</t>
  </si>
  <si>
    <t>301516C</t>
  </si>
  <si>
    <t>303070A</t>
  </si>
  <si>
    <t>1/303070</t>
  </si>
  <si>
    <t>305526A</t>
  </si>
  <si>
    <t>1/305526</t>
  </si>
  <si>
    <t>1/301486</t>
  </si>
  <si>
    <t>1/302955</t>
  </si>
  <si>
    <t>305624A</t>
  </si>
  <si>
    <t>1/305624</t>
  </si>
  <si>
    <t>07885082000148</t>
  </si>
  <si>
    <t>F K ARAGÃO XEREZ-EPP</t>
  </si>
  <si>
    <t>1/307927</t>
  </si>
  <si>
    <t>305654A</t>
  </si>
  <si>
    <t>1/305654</t>
  </si>
  <si>
    <t>301557D</t>
  </si>
  <si>
    <t>301601B</t>
  </si>
  <si>
    <t>304073A</t>
  </si>
  <si>
    <t>1/304073</t>
  </si>
  <si>
    <t>308459A</t>
  </si>
  <si>
    <t>1/308459</t>
  </si>
  <si>
    <t>305651A</t>
  </si>
  <si>
    <t>1/305651</t>
  </si>
  <si>
    <t>307958A</t>
  </si>
  <si>
    <t>1/307958</t>
  </si>
  <si>
    <t>304056B</t>
  </si>
  <si>
    <t>1/304056</t>
  </si>
  <si>
    <t>305763A</t>
  </si>
  <si>
    <t>1/305763</t>
  </si>
  <si>
    <t>304059C</t>
  </si>
  <si>
    <t>308450A</t>
  </si>
  <si>
    <t>1/308450</t>
  </si>
  <si>
    <t>303216B</t>
  </si>
  <si>
    <t>1/303216</t>
  </si>
  <si>
    <t>298291K</t>
  </si>
  <si>
    <t>1/298291</t>
  </si>
  <si>
    <t>301728L</t>
  </si>
  <si>
    <t>303215C</t>
  </si>
  <si>
    <t>1/303215</t>
  </si>
  <si>
    <t>303248D</t>
  </si>
  <si>
    <t>1/303248</t>
  </si>
  <si>
    <t>306345E</t>
  </si>
  <si>
    <t>307884C</t>
  </si>
  <si>
    <t>309238B</t>
  </si>
  <si>
    <t>1/309238</t>
  </si>
  <si>
    <t>303141C</t>
  </si>
  <si>
    <t>10688523000126</t>
  </si>
  <si>
    <t>LYDER FARMA PROD FARMACEUTICOS LTDA ME</t>
  </si>
  <si>
    <t>1/303141</t>
  </si>
  <si>
    <t>308350A</t>
  </si>
  <si>
    <t>1/308350</t>
  </si>
  <si>
    <t>305721B</t>
  </si>
  <si>
    <t>08976845000200</t>
  </si>
  <si>
    <t>M &amp; K COM DE PROD FARM E COSM LTDA-FL</t>
  </si>
  <si>
    <t>1/305721</t>
  </si>
  <si>
    <t>301671D</t>
  </si>
  <si>
    <t>22165546000135</t>
  </si>
  <si>
    <t>1/301671</t>
  </si>
  <si>
    <t>ACARAPE</t>
  </si>
  <si>
    <t>301572A</t>
  </si>
  <si>
    <t>1/301572</t>
  </si>
  <si>
    <t>301754A</t>
  </si>
  <si>
    <t>1/301754</t>
  </si>
  <si>
    <t>308477A</t>
  </si>
  <si>
    <t>1/308477</t>
  </si>
  <si>
    <t>311953A</t>
  </si>
  <si>
    <t>32122621000134</t>
  </si>
  <si>
    <t>R F MARINHO FARMACIA</t>
  </si>
  <si>
    <t>1/311953</t>
  </si>
  <si>
    <t>ARARENDÁ</t>
  </si>
  <si>
    <t>303732D</t>
  </si>
  <si>
    <t>302444K</t>
  </si>
  <si>
    <t>309338C</t>
  </si>
  <si>
    <t>303810D</t>
  </si>
  <si>
    <t>306623B</t>
  </si>
  <si>
    <t>297564G</t>
  </si>
  <si>
    <t>304295C</t>
  </si>
  <si>
    <t>305877A</t>
  </si>
  <si>
    <t>1/305877</t>
  </si>
  <si>
    <t>38118356000105</t>
  </si>
  <si>
    <t>FARMASOUSA COM DE PROD FARM LTDA</t>
  </si>
  <si>
    <t>302451B</t>
  </si>
  <si>
    <t>304315A</t>
  </si>
  <si>
    <t>1/304315</t>
  </si>
  <si>
    <t>304316A</t>
  </si>
  <si>
    <t>1/304316</t>
  </si>
  <si>
    <t>297566G</t>
  </si>
  <si>
    <t>302403B</t>
  </si>
  <si>
    <t>301766D</t>
  </si>
  <si>
    <t>304479D</t>
  </si>
  <si>
    <t>306712B</t>
  </si>
  <si>
    <t>300616D</t>
  </si>
  <si>
    <t>304432A</t>
  </si>
  <si>
    <t>1/304432</t>
  </si>
  <si>
    <t>1/305088</t>
  </si>
  <si>
    <t>303876B</t>
  </si>
  <si>
    <t>304455B</t>
  </si>
  <si>
    <t>307374A</t>
  </si>
  <si>
    <t>1/307374</t>
  </si>
  <si>
    <t>35222033000160</t>
  </si>
  <si>
    <t>FARMACIA TEJUCUOCA LTDA-ME</t>
  </si>
  <si>
    <t>TEJUÇUOCA</t>
  </si>
  <si>
    <t>305509A</t>
  </si>
  <si>
    <t>1/305509</t>
  </si>
  <si>
    <t>305511A</t>
  </si>
  <si>
    <t>1/305511</t>
  </si>
  <si>
    <t>302060D</t>
  </si>
  <si>
    <t>300618D</t>
  </si>
  <si>
    <t>304496A</t>
  </si>
  <si>
    <t>1/304496</t>
  </si>
  <si>
    <t>1/307392</t>
  </si>
  <si>
    <t>304539A</t>
  </si>
  <si>
    <t>1/304539</t>
  </si>
  <si>
    <t>1/309461</t>
  </si>
  <si>
    <t>1/312112</t>
  </si>
  <si>
    <t>1/307337</t>
  </si>
  <si>
    <t>1/307373</t>
  </si>
  <si>
    <t>305257D</t>
  </si>
  <si>
    <t>39714242000182</t>
  </si>
  <si>
    <t>CAUBI GARCIA SOARES - ME</t>
  </si>
  <si>
    <t>307018B</t>
  </si>
  <si>
    <t>307620B</t>
  </si>
  <si>
    <t>304638A</t>
  </si>
  <si>
    <t>1/304638</t>
  </si>
  <si>
    <t>302261D</t>
  </si>
  <si>
    <t>304632A</t>
  </si>
  <si>
    <t>1/304632</t>
  </si>
  <si>
    <t>303300C</t>
  </si>
  <si>
    <t>305759A</t>
  </si>
  <si>
    <t>1/305759</t>
  </si>
  <si>
    <t>305757A</t>
  </si>
  <si>
    <t>1/305757</t>
  </si>
  <si>
    <t>305728A</t>
  </si>
  <si>
    <t>1/305728</t>
  </si>
  <si>
    <t>305729A</t>
  </si>
  <si>
    <t>1/305729</t>
  </si>
  <si>
    <t>307482A</t>
  </si>
  <si>
    <t>1/307482</t>
  </si>
  <si>
    <t>297971G</t>
  </si>
  <si>
    <t>300852D</t>
  </si>
  <si>
    <t>303432C</t>
  </si>
  <si>
    <t>304639A</t>
  </si>
  <si>
    <t>1/304639</t>
  </si>
  <si>
    <t>308031B</t>
  </si>
  <si>
    <t>307622D</t>
  </si>
  <si>
    <t>1/313607</t>
  </si>
  <si>
    <t>310132A</t>
  </si>
  <si>
    <t>1/310132</t>
  </si>
  <si>
    <t>301250I</t>
  </si>
  <si>
    <t>305527G</t>
  </si>
  <si>
    <t>303635B</t>
  </si>
  <si>
    <t>300915D</t>
  </si>
  <si>
    <t>306068A</t>
  </si>
  <si>
    <t>1/306068</t>
  </si>
  <si>
    <t>309749A</t>
  </si>
  <si>
    <t>1/309749</t>
  </si>
  <si>
    <t>1/309753</t>
  </si>
  <si>
    <t>301145G</t>
  </si>
  <si>
    <t>07184782000105</t>
  </si>
  <si>
    <t>FARMACIA NOSSA SENHORA DO CARMO LTDA</t>
  </si>
  <si>
    <t>1/306041</t>
  </si>
  <si>
    <t>221960AA</t>
  </si>
  <si>
    <t>1/221960</t>
  </si>
  <si>
    <t>1/310399</t>
  </si>
  <si>
    <t>305981A</t>
  </si>
  <si>
    <t>1/305981</t>
  </si>
  <si>
    <t>305978A</t>
  </si>
  <si>
    <t>1/305978</t>
  </si>
  <si>
    <t>305986A</t>
  </si>
  <si>
    <t>1/305986</t>
  </si>
  <si>
    <t>306156A</t>
  </si>
  <si>
    <t>1/306156</t>
  </si>
  <si>
    <t>305989A</t>
  </si>
  <si>
    <t>1/305989</t>
  </si>
  <si>
    <t>306157A</t>
  </si>
  <si>
    <t>1/306157</t>
  </si>
  <si>
    <t>300942D</t>
  </si>
  <si>
    <t>300940D</t>
  </si>
  <si>
    <t>306014A</t>
  </si>
  <si>
    <t>1/306014</t>
  </si>
  <si>
    <t>28140968000132</t>
  </si>
  <si>
    <t>FG FARMACIAS LTDA ME</t>
  </si>
  <si>
    <t>1/307624</t>
  </si>
  <si>
    <t>1/308248</t>
  </si>
  <si>
    <t>1/309670</t>
  </si>
  <si>
    <t>1/306145</t>
  </si>
  <si>
    <t>33614145000131</t>
  </si>
  <si>
    <t>QUALIFARMA PRODUTOS FARMACEUTICOS LTDA</t>
  </si>
  <si>
    <t>303527C</t>
  </si>
  <si>
    <t>304956B</t>
  </si>
  <si>
    <t>306032B</t>
  </si>
  <si>
    <t>41319377000195</t>
  </si>
  <si>
    <t>C.F.L. COMERCIAL FARMACEUTICA LTDA</t>
  </si>
  <si>
    <t>1/307965</t>
  </si>
  <si>
    <t>306229B</t>
  </si>
  <si>
    <t>32583492000181</t>
  </si>
  <si>
    <t>CRISTO REDENTOR FARMA LTDA</t>
  </si>
  <si>
    <t>308370A</t>
  </si>
  <si>
    <t>1/308370</t>
  </si>
  <si>
    <t>296672G</t>
  </si>
  <si>
    <t>299523E</t>
  </si>
  <si>
    <t>307973B</t>
  </si>
  <si>
    <t>306226A</t>
  </si>
  <si>
    <t>1/306226</t>
  </si>
  <si>
    <t>306355A</t>
  </si>
  <si>
    <t>1/306355</t>
  </si>
  <si>
    <t>306416A</t>
  </si>
  <si>
    <t>1/306416</t>
  </si>
  <si>
    <t>306227A</t>
  </si>
  <si>
    <t>1/306227</t>
  </si>
  <si>
    <t>306349B</t>
  </si>
  <si>
    <t>306420A</t>
  </si>
  <si>
    <t>1/306420</t>
  </si>
  <si>
    <t>306205A</t>
  </si>
  <si>
    <t>1/306205</t>
  </si>
  <si>
    <t>306419A</t>
  </si>
  <si>
    <t>1/306419</t>
  </si>
  <si>
    <t>306203A</t>
  </si>
  <si>
    <t>1/306203</t>
  </si>
  <si>
    <t>306335A</t>
  </si>
  <si>
    <t>1/306335</t>
  </si>
  <si>
    <t>306411A</t>
  </si>
  <si>
    <t>1/306411</t>
  </si>
  <si>
    <t>1/308491</t>
  </si>
  <si>
    <t>26387797000115</t>
  </si>
  <si>
    <t>MAGALHAES COMERCIAL DE MEDIC LTDA ME</t>
  </si>
  <si>
    <t>33958192000100</t>
  </si>
  <si>
    <t>SABRINA F CASTRO</t>
  </si>
  <si>
    <t>306508C</t>
  </si>
  <si>
    <t>302444L</t>
  </si>
  <si>
    <t>308590B</t>
  </si>
  <si>
    <t>306471B</t>
  </si>
  <si>
    <t>306483B</t>
  </si>
  <si>
    <t>302404B</t>
  </si>
  <si>
    <t>302416C</t>
  </si>
  <si>
    <t>32286961000109</t>
  </si>
  <si>
    <t>FARMACIA DO TRAB ITAICABENSE LTDA</t>
  </si>
  <si>
    <t>1/301906</t>
  </si>
  <si>
    <t>ITAIÇABA</t>
  </si>
  <si>
    <t>304329A</t>
  </si>
  <si>
    <t>1/304329</t>
  </si>
  <si>
    <t>305920A</t>
  </si>
  <si>
    <t>1/305920</t>
  </si>
  <si>
    <t>1/310741</t>
  </si>
  <si>
    <t>301864C</t>
  </si>
  <si>
    <t>30429749000110</t>
  </si>
  <si>
    <t>A. FEITOSA LIMA EIRELI - ME</t>
  </si>
  <si>
    <t>306714C</t>
  </si>
  <si>
    <t>309576A</t>
  </si>
  <si>
    <t>1/309576</t>
  </si>
  <si>
    <t>1/304454</t>
  </si>
  <si>
    <t>306772A</t>
  </si>
  <si>
    <t>1/306772</t>
  </si>
  <si>
    <t>305196B</t>
  </si>
  <si>
    <t>1/305196</t>
  </si>
  <si>
    <t>306798B</t>
  </si>
  <si>
    <t>306690B</t>
  </si>
  <si>
    <t>1/308976</t>
  </si>
  <si>
    <t>302505C</t>
  </si>
  <si>
    <t>304419A</t>
  </si>
  <si>
    <t>1/304419</t>
  </si>
  <si>
    <t>308911B</t>
  </si>
  <si>
    <t>302518D</t>
  </si>
  <si>
    <t>35524927000105</t>
  </si>
  <si>
    <t>JOSE ANTONIO DE OLIVEIRA - ME</t>
  </si>
  <si>
    <t>PALHANO</t>
  </si>
  <si>
    <t>304406A</t>
  </si>
  <si>
    <t>1/304406</t>
  </si>
  <si>
    <t>11770310000101</t>
  </si>
  <si>
    <t>MC COMERCIO DE MEDICAMENTOS LTDA - ME</t>
  </si>
  <si>
    <t>303407B</t>
  </si>
  <si>
    <t>304651A</t>
  </si>
  <si>
    <t>1/304651</t>
  </si>
  <si>
    <t>306336A</t>
  </si>
  <si>
    <t>1/306336</t>
  </si>
  <si>
    <t>306342A</t>
  </si>
  <si>
    <t>1/306342</t>
  </si>
  <si>
    <t>306350A</t>
  </si>
  <si>
    <t>1/306350</t>
  </si>
  <si>
    <t>304643B</t>
  </si>
  <si>
    <t>304630A</t>
  </si>
  <si>
    <t>1/304630</t>
  </si>
  <si>
    <t>300858D</t>
  </si>
  <si>
    <t>1/300858</t>
  </si>
  <si>
    <t>302901D</t>
  </si>
  <si>
    <t>306992A</t>
  </si>
  <si>
    <t>09077965000157</t>
  </si>
  <si>
    <t>SHOPPING PROHOSPITAL MATERIAL MEDICO LTDA-EPP</t>
  </si>
  <si>
    <t>1/306992</t>
  </si>
  <si>
    <t>305527H</t>
  </si>
  <si>
    <t>305517B</t>
  </si>
  <si>
    <t>1/305517</t>
  </si>
  <si>
    <t>305620D</t>
  </si>
  <si>
    <t>301516D</t>
  </si>
  <si>
    <t>305599A</t>
  </si>
  <si>
    <t>1/305599</t>
  </si>
  <si>
    <t>301486C</t>
  </si>
  <si>
    <t>305702B</t>
  </si>
  <si>
    <t>308359A</t>
  </si>
  <si>
    <t>1/308359</t>
  </si>
  <si>
    <t>308502E</t>
  </si>
  <si>
    <t>301557E</t>
  </si>
  <si>
    <t>304073B</t>
  </si>
  <si>
    <t>308376A</t>
  </si>
  <si>
    <t>1/308376</t>
  </si>
  <si>
    <t>305651B</t>
  </si>
  <si>
    <t>307958B</t>
  </si>
  <si>
    <t>305763B</t>
  </si>
  <si>
    <t>308450B</t>
  </si>
  <si>
    <t>303216C</t>
  </si>
  <si>
    <t>304141A</t>
  </si>
  <si>
    <t>1/304141</t>
  </si>
  <si>
    <t>313607B</t>
  </si>
  <si>
    <t>304074C</t>
  </si>
  <si>
    <t>305843B</t>
  </si>
  <si>
    <t>1/305843</t>
  </si>
  <si>
    <t>309338D</t>
  </si>
  <si>
    <t>306623C</t>
  </si>
  <si>
    <t>308606B</t>
  </si>
  <si>
    <t>07656200000146</t>
  </si>
  <si>
    <t>FARMACIA COELHO LTDA ME</t>
  </si>
  <si>
    <t>1/308606</t>
  </si>
  <si>
    <t>306462A</t>
  </si>
  <si>
    <t>1/306462</t>
  </si>
  <si>
    <t>306633C</t>
  </si>
  <si>
    <t>308677A</t>
  </si>
  <si>
    <t>1/308677</t>
  </si>
  <si>
    <t>308727A</t>
  </si>
  <si>
    <t>1/308727</t>
  </si>
  <si>
    <t>221656AA</t>
  </si>
  <si>
    <t>1/221656</t>
  </si>
  <si>
    <t>306493C</t>
  </si>
  <si>
    <t>304316B</t>
  </si>
  <si>
    <t>304309A</t>
  </si>
  <si>
    <t>1/304309</t>
  </si>
  <si>
    <t>304314A</t>
  </si>
  <si>
    <t>1/304314</t>
  </si>
  <si>
    <t>305923B</t>
  </si>
  <si>
    <t>06146227000126</t>
  </si>
  <si>
    <t>M R BOTAO NOGUEIRA-ME</t>
  </si>
  <si>
    <t>1/305923</t>
  </si>
  <si>
    <t>JAGUARIBARA</t>
  </si>
  <si>
    <t>304281C</t>
  </si>
  <si>
    <t>1/304281</t>
  </si>
  <si>
    <t>309796E</t>
  </si>
  <si>
    <t>307166B</t>
  </si>
  <si>
    <t>1/307166</t>
  </si>
  <si>
    <t>309882A</t>
  </si>
  <si>
    <t>1/309882</t>
  </si>
  <si>
    <t>304479E</t>
  </si>
  <si>
    <t>306712C</t>
  </si>
  <si>
    <t>314214A</t>
  </si>
  <si>
    <t>1/314214</t>
  </si>
  <si>
    <t>300616E</t>
  </si>
  <si>
    <t>304432B</t>
  </si>
  <si>
    <t>305267A</t>
  </si>
  <si>
    <t>1/305267</t>
  </si>
  <si>
    <t>307396A</t>
  </si>
  <si>
    <t>1/307396</t>
  </si>
  <si>
    <t>305088F</t>
  </si>
  <si>
    <t>307323A</t>
  </si>
  <si>
    <t>1/307323</t>
  </si>
  <si>
    <t>309528A</t>
  </si>
  <si>
    <t>1/309528</t>
  </si>
  <si>
    <t>307418A</t>
  </si>
  <si>
    <t>1/307418</t>
  </si>
  <si>
    <t>303983F</t>
  </si>
  <si>
    <t>307422A</t>
  </si>
  <si>
    <t>1/307422</t>
  </si>
  <si>
    <t>302060E</t>
  </si>
  <si>
    <t>300618E</t>
  </si>
  <si>
    <t>304539B</t>
  </si>
  <si>
    <t>307373C</t>
  </si>
  <si>
    <t>305257E</t>
  </si>
  <si>
    <t>302299D</t>
  </si>
  <si>
    <t>1/302299</t>
  </si>
  <si>
    <t>307018C</t>
  </si>
  <si>
    <t>307620C</t>
  </si>
  <si>
    <t>311864A</t>
  </si>
  <si>
    <t>1/311864</t>
  </si>
  <si>
    <t>304638B</t>
  </si>
  <si>
    <t>304642A</t>
  </si>
  <si>
    <t>1/304642</t>
  </si>
  <si>
    <t>304720A</t>
  </si>
  <si>
    <t>1/304720</t>
  </si>
  <si>
    <t>302261E</t>
  </si>
  <si>
    <t>304632B</t>
  </si>
  <si>
    <t>304722A</t>
  </si>
  <si>
    <t>1/304722</t>
  </si>
  <si>
    <t>307027A</t>
  </si>
  <si>
    <t>1/307027</t>
  </si>
  <si>
    <t>307481A</t>
  </si>
  <si>
    <t>1/307481</t>
  </si>
  <si>
    <t>307502A</t>
  </si>
  <si>
    <t>1/307502</t>
  </si>
  <si>
    <t>304631A</t>
  </si>
  <si>
    <t>1/304631</t>
  </si>
  <si>
    <t>304721A</t>
  </si>
  <si>
    <t>1/304721</t>
  </si>
  <si>
    <t>303432D</t>
  </si>
  <si>
    <t>304724A</t>
  </si>
  <si>
    <t>1/304724</t>
  </si>
  <si>
    <t>305469A</t>
  </si>
  <si>
    <t>1/305469</t>
  </si>
  <si>
    <t>307441B</t>
  </si>
  <si>
    <t>19017352000188</t>
  </si>
  <si>
    <t>GLEYCIANE LUCIANO DE BARROS ME</t>
  </si>
  <si>
    <t>1/307441</t>
  </si>
  <si>
    <t>307622E</t>
  </si>
  <si>
    <t>303466A</t>
  </si>
  <si>
    <t>1/303466</t>
  </si>
  <si>
    <t>310132B</t>
  </si>
  <si>
    <t>310142A</t>
  </si>
  <si>
    <t>1/310142</t>
  </si>
  <si>
    <t>301250J</t>
  </si>
  <si>
    <t>305527I</t>
  </si>
  <si>
    <t>306084C</t>
  </si>
  <si>
    <t>04359380000106</t>
  </si>
  <si>
    <t>DROGARIA BOA ESPERANÇA LTDA</t>
  </si>
  <si>
    <t>1/306084</t>
  </si>
  <si>
    <t>MOMBACA</t>
  </si>
  <si>
    <t>307685A</t>
  </si>
  <si>
    <t>1/307685</t>
  </si>
  <si>
    <t>303635C</t>
  </si>
  <si>
    <t>306068B</t>
  </si>
  <si>
    <t>309753B</t>
  </si>
  <si>
    <t>301145H</t>
  </si>
  <si>
    <t>306010B</t>
  </si>
  <si>
    <t>1/306010</t>
  </si>
  <si>
    <t>306033B</t>
  </si>
  <si>
    <t>1/306033</t>
  </si>
  <si>
    <t>306041B</t>
  </si>
  <si>
    <t>306172B</t>
  </si>
  <si>
    <t>1/306172</t>
  </si>
  <si>
    <t>307710A</t>
  </si>
  <si>
    <t>1/307710</t>
  </si>
  <si>
    <t>307711A</t>
  </si>
  <si>
    <t>1/307711</t>
  </si>
  <si>
    <t>307709A</t>
  </si>
  <si>
    <t>1/307709</t>
  </si>
  <si>
    <t>307712A</t>
  </si>
  <si>
    <t>1/307712</t>
  </si>
  <si>
    <t>305598A</t>
  </si>
  <si>
    <t>1/305598</t>
  </si>
  <si>
    <t>305502A</t>
  </si>
  <si>
    <t>1/305502</t>
  </si>
  <si>
    <t>310892A</t>
  </si>
  <si>
    <t>1/310892</t>
  </si>
  <si>
    <t>306032C</t>
  </si>
  <si>
    <t>306229C</t>
  </si>
  <si>
    <t>306254B</t>
  </si>
  <si>
    <t>307854C</t>
  </si>
  <si>
    <t>307923B</t>
  </si>
  <si>
    <t>1/307923</t>
  </si>
  <si>
    <t>308370B</t>
  </si>
  <si>
    <t>311275A</t>
  </si>
  <si>
    <t>1/311275</t>
  </si>
  <si>
    <t>299523F</t>
  </si>
  <si>
    <t>306380A</t>
  </si>
  <si>
    <t>1/306380</t>
  </si>
  <si>
    <t>303245C</t>
  </si>
  <si>
    <t>1/303245</t>
  </si>
  <si>
    <t>305745A</t>
  </si>
  <si>
    <t>1/305745</t>
  </si>
  <si>
    <t>307926B</t>
  </si>
  <si>
    <t>1/307926</t>
  </si>
  <si>
    <t>307973C</t>
  </si>
  <si>
    <t>306349C</t>
  </si>
  <si>
    <t>307915A</t>
  </si>
  <si>
    <t>1/307915</t>
  </si>
  <si>
    <t>307886A</t>
  </si>
  <si>
    <t>1/307886</t>
  </si>
  <si>
    <t>308994B</t>
  </si>
  <si>
    <t>307843A</t>
  </si>
  <si>
    <t>1/307843</t>
  </si>
  <si>
    <t>314999A</t>
  </si>
  <si>
    <t>40380472000131</t>
  </si>
  <si>
    <t>MARILENE DE O FERNANDES BARROS - ME</t>
  </si>
  <si>
    <t>1/314999</t>
  </si>
  <si>
    <t>BARRO</t>
  </si>
  <si>
    <t>307995B</t>
  </si>
  <si>
    <t>32470639000127</t>
  </si>
  <si>
    <t>PAMELA MOREIRA BARROSO</t>
  </si>
  <si>
    <t>1/307995</t>
  </si>
  <si>
    <t>307940A</t>
  </si>
  <si>
    <t>1/307940</t>
  </si>
  <si>
    <t>307865A</t>
  </si>
  <si>
    <t>1/307865</t>
  </si>
  <si>
    <t>306246D</t>
  </si>
  <si>
    <t>307846A</t>
  </si>
  <si>
    <t>1/307846</t>
  </si>
  <si>
    <t>306508D</t>
  </si>
  <si>
    <t>314147A</t>
  </si>
  <si>
    <t>1/314147</t>
  </si>
  <si>
    <t>303754F</t>
  </si>
  <si>
    <t>1/303754</t>
  </si>
  <si>
    <t>304360E</t>
  </si>
  <si>
    <t>1/304360</t>
  </si>
  <si>
    <t>309382A</t>
  </si>
  <si>
    <t>1/309382</t>
  </si>
  <si>
    <t>308590C</t>
  </si>
  <si>
    <t>306471C</t>
  </si>
  <si>
    <t>306483C</t>
  </si>
  <si>
    <t>302416D</t>
  </si>
  <si>
    <t>301906D</t>
  </si>
  <si>
    <t>304329B</t>
  </si>
  <si>
    <t>305920B</t>
  </si>
  <si>
    <t>310756A</t>
  </si>
  <si>
    <t>1/310756</t>
  </si>
  <si>
    <t>305781D</t>
  </si>
  <si>
    <t>307167C</t>
  </si>
  <si>
    <t>306495A</t>
  </si>
  <si>
    <t>1/306495</t>
  </si>
  <si>
    <t>301864D</t>
  </si>
  <si>
    <t>305835A</t>
  </si>
  <si>
    <t>1/305835</t>
  </si>
  <si>
    <t>309349D</t>
  </si>
  <si>
    <t>309593B</t>
  </si>
  <si>
    <t>1/309593</t>
  </si>
  <si>
    <t>309447A</t>
  </si>
  <si>
    <t>72486178000103</t>
  </si>
  <si>
    <t>ANTONIO WILLIAN SOARES-ME</t>
  </si>
  <si>
    <t>1/309447</t>
  </si>
  <si>
    <t>306714D</t>
  </si>
  <si>
    <t>309576B</t>
  </si>
  <si>
    <t>309607A</t>
  </si>
  <si>
    <t>1/309607</t>
  </si>
  <si>
    <t>304454B</t>
  </si>
  <si>
    <t>306715B</t>
  </si>
  <si>
    <t>1/306715</t>
  </si>
  <si>
    <t>306834D</t>
  </si>
  <si>
    <t>309516B</t>
  </si>
  <si>
    <t>1/309516</t>
  </si>
  <si>
    <t>306798C</t>
  </si>
  <si>
    <t>306690C</t>
  </si>
  <si>
    <t>308976B</t>
  </si>
  <si>
    <t>304419B</t>
  </si>
  <si>
    <t>306748A</t>
  </si>
  <si>
    <t>1/306748</t>
  </si>
  <si>
    <t>302518E</t>
  </si>
  <si>
    <t>304406B</t>
  </si>
  <si>
    <t>303991E</t>
  </si>
  <si>
    <t>307290G</t>
  </si>
  <si>
    <t>309837G</t>
  </si>
  <si>
    <t>313733A</t>
  </si>
  <si>
    <t>1/313733</t>
  </si>
  <si>
    <t>306753D</t>
  </si>
  <si>
    <t>309590A</t>
  </si>
  <si>
    <t>1/309590</t>
  </si>
  <si>
    <t>305221A</t>
  </si>
  <si>
    <t>1/305221</t>
  </si>
  <si>
    <t>305242A</t>
  </si>
  <si>
    <t>1/305242</t>
  </si>
  <si>
    <t>309480A</t>
  </si>
  <si>
    <t>1/309480</t>
  </si>
  <si>
    <t>305360A</t>
  </si>
  <si>
    <t>1/305360</t>
  </si>
  <si>
    <t>303407C</t>
  </si>
  <si>
    <t>304651B</t>
  </si>
  <si>
    <t>305362A</t>
  </si>
  <si>
    <t>1/305362</t>
  </si>
  <si>
    <t>306962A</t>
  </si>
  <si>
    <t>1/306962</t>
  </si>
  <si>
    <t>311717A</t>
  </si>
  <si>
    <t>1/311717</t>
  </si>
  <si>
    <t>308041B</t>
  </si>
  <si>
    <t>1/308041</t>
  </si>
  <si>
    <t>222055AA</t>
  </si>
  <si>
    <t>1/222055</t>
  </si>
  <si>
    <t>304643C</t>
  </si>
  <si>
    <t>305369A</t>
  </si>
  <si>
    <t>1/305369</t>
  </si>
  <si>
    <t>306957A</t>
  </si>
  <si>
    <t>1/306957</t>
  </si>
  <si>
    <t>304630B</t>
  </si>
  <si>
    <t>305365A</t>
  </si>
  <si>
    <t>1/305365</t>
  </si>
  <si>
    <t>306954A</t>
  </si>
  <si>
    <t>1/306954</t>
  </si>
  <si>
    <t>303439C</t>
  </si>
  <si>
    <t>1/303439</t>
  </si>
  <si>
    <t>304769B</t>
  </si>
  <si>
    <t>1/304769</t>
  </si>
  <si>
    <t>304778B</t>
  </si>
  <si>
    <t>1/304778</t>
  </si>
  <si>
    <t>305395J</t>
  </si>
  <si>
    <t>306933F</t>
  </si>
  <si>
    <t>1/306933</t>
  </si>
  <si>
    <t>305378A</t>
  </si>
  <si>
    <t>1/305378</t>
  </si>
  <si>
    <t>308155A</t>
  </si>
  <si>
    <t>1/308155</t>
  </si>
  <si>
    <t>305430A</t>
  </si>
  <si>
    <t>06943666000160</t>
  </si>
  <si>
    <t>T DIAS E MELO LTDA</t>
  </si>
  <si>
    <t>1/305430</t>
  </si>
  <si>
    <t>305527J</t>
  </si>
  <si>
    <t>309798A</t>
  </si>
  <si>
    <t>1/309798</t>
  </si>
  <si>
    <t>305620E</t>
  </si>
  <si>
    <t>310358A</t>
  </si>
  <si>
    <t>1/310358</t>
  </si>
  <si>
    <t>310361A</t>
  </si>
  <si>
    <t>1/310361</t>
  </si>
  <si>
    <t>310364A</t>
  </si>
  <si>
    <t>1/310364</t>
  </si>
  <si>
    <t>309793A</t>
  </si>
  <si>
    <t>1/309793</t>
  </si>
  <si>
    <t>305493A</t>
  </si>
  <si>
    <t>1/305493</t>
  </si>
  <si>
    <t>305593A</t>
  </si>
  <si>
    <t>1/305593</t>
  </si>
  <si>
    <t>305596A</t>
  </si>
  <si>
    <t>1/305596</t>
  </si>
  <si>
    <t>307626A</t>
  </si>
  <si>
    <t>1/307626</t>
  </si>
  <si>
    <t>308284A</t>
  </si>
  <si>
    <t>1/308284</t>
  </si>
  <si>
    <t>305494A</t>
  </si>
  <si>
    <t>1/305494</t>
  </si>
  <si>
    <t>305591A</t>
  </si>
  <si>
    <t>1/305591</t>
  </si>
  <si>
    <t>301516E</t>
  </si>
  <si>
    <t>305594A</t>
  </si>
  <si>
    <t>1/305594</t>
  </si>
  <si>
    <t>306135A</t>
  </si>
  <si>
    <t>1/306135</t>
  </si>
  <si>
    <t>312927B</t>
  </si>
  <si>
    <t>33633393000120</t>
  </si>
  <si>
    <t>KARINA SILVA SALES</t>
  </si>
  <si>
    <t>1/312927</t>
  </si>
  <si>
    <t>GENERAL SAMPAIO</t>
  </si>
  <si>
    <t>303543H</t>
  </si>
  <si>
    <t>311738D</t>
  </si>
  <si>
    <t>309767A</t>
  </si>
  <si>
    <t>1/309767</t>
  </si>
  <si>
    <t>308292A</t>
  </si>
  <si>
    <t>1/308292</t>
  </si>
  <si>
    <t>302955B</t>
  </si>
  <si>
    <t>308299A</t>
  </si>
  <si>
    <t>1/308299</t>
  </si>
  <si>
    <t>310511A</t>
  </si>
  <si>
    <t>1/310511</t>
  </si>
  <si>
    <t>308422A</t>
  </si>
  <si>
    <t>1/308422</t>
  </si>
  <si>
    <t>308420A</t>
  </si>
  <si>
    <t>1/308420</t>
  </si>
  <si>
    <t>307927C</t>
  </si>
  <si>
    <t>308367A</t>
  </si>
  <si>
    <t>1/308367</t>
  </si>
  <si>
    <t>301557F</t>
  </si>
  <si>
    <t>304073C</t>
  </si>
  <si>
    <t>308459B</t>
  </si>
  <si>
    <t>307887A</t>
  </si>
  <si>
    <t>1/307887</t>
  </si>
  <si>
    <t>310548A</t>
  </si>
  <si>
    <t>1/310548</t>
  </si>
  <si>
    <t>310466A</t>
  </si>
  <si>
    <t>1/310466</t>
  </si>
  <si>
    <t>303216D</t>
  </si>
  <si>
    <t>303248F</t>
  </si>
  <si>
    <t>306345I</t>
  </si>
  <si>
    <t>307884G</t>
  </si>
  <si>
    <t>309238D</t>
  </si>
  <si>
    <t>311171B</t>
  </si>
  <si>
    <t>26795271000174</t>
  </si>
  <si>
    <t>ORGANIZACAO FARMACEUTICA JANIO LTDA</t>
  </si>
  <si>
    <t>1/311171</t>
  </si>
  <si>
    <t>RUSSAS</t>
  </si>
  <si>
    <t>304141B</t>
  </si>
  <si>
    <t>310571A</t>
  </si>
  <si>
    <t>1/310571</t>
  </si>
  <si>
    <t>309338E</t>
  </si>
  <si>
    <t>308589B</t>
  </si>
  <si>
    <t>1/308589</t>
  </si>
  <si>
    <t>308565B</t>
  </si>
  <si>
    <t>1/308565</t>
  </si>
  <si>
    <t>306623D</t>
  </si>
  <si>
    <t>306557A</t>
  </si>
  <si>
    <t>1/306557</t>
  </si>
  <si>
    <t>306462B</t>
  </si>
  <si>
    <t>310741B</t>
  </si>
  <si>
    <t>306633D</t>
  </si>
  <si>
    <t>310718A</t>
  </si>
  <si>
    <t>1/310718</t>
  </si>
  <si>
    <t>308727B</t>
  </si>
  <si>
    <t>306493D</t>
  </si>
  <si>
    <t>304316C</t>
  </si>
  <si>
    <t>304309B</t>
  </si>
  <si>
    <t>304158A</t>
  </si>
  <si>
    <t>1/304158</t>
  </si>
  <si>
    <t>308646A</t>
  </si>
  <si>
    <t>31460541000126</t>
  </si>
  <si>
    <t>J &amp; N COMERCIO DE MEDICAMENTOS LTDA</t>
  </si>
  <si>
    <t>1/308646</t>
  </si>
  <si>
    <t>310751G</t>
  </si>
  <si>
    <t>314053A</t>
  </si>
  <si>
    <t>1/314053</t>
  </si>
  <si>
    <t>305941C</t>
  </si>
  <si>
    <t>1/305941</t>
  </si>
  <si>
    <t>304303A</t>
  </si>
  <si>
    <t>1/304303</t>
  </si>
  <si>
    <t>303923I</t>
  </si>
  <si>
    <t>1/303923</t>
  </si>
  <si>
    <t>303858F</t>
  </si>
  <si>
    <t>1/303858</t>
  </si>
  <si>
    <t>305292E</t>
  </si>
  <si>
    <t>1/305292</t>
  </si>
  <si>
    <t>309971B</t>
  </si>
  <si>
    <t>1/309971</t>
  </si>
  <si>
    <t>302087G</t>
  </si>
  <si>
    <t>1/302087</t>
  </si>
  <si>
    <t>307423D</t>
  </si>
  <si>
    <t>1/307423</t>
  </si>
  <si>
    <t>308755A</t>
  </si>
  <si>
    <t>1/308755</t>
  </si>
  <si>
    <t>311524A</t>
  </si>
  <si>
    <t>1/311524</t>
  </si>
  <si>
    <t>311523A</t>
  </si>
  <si>
    <t>1/311523</t>
  </si>
  <si>
    <t>306712D</t>
  </si>
  <si>
    <t>314214B</t>
  </si>
  <si>
    <t>305267B</t>
  </si>
  <si>
    <t>307396B</t>
  </si>
  <si>
    <t>304489D</t>
  </si>
  <si>
    <t>1/304489</t>
  </si>
  <si>
    <t>305088G</t>
  </si>
  <si>
    <t>309952A</t>
  </si>
  <si>
    <t>1/309952</t>
  </si>
  <si>
    <t>307374C</t>
  </si>
  <si>
    <t>308868A</t>
  </si>
  <si>
    <t>1/308868</t>
  </si>
  <si>
    <t>309528B</t>
  </si>
  <si>
    <t>307418B</t>
  </si>
  <si>
    <t>307422B</t>
  </si>
  <si>
    <t>308857A</t>
  </si>
  <si>
    <t>1/308857</t>
  </si>
  <si>
    <t>302060F</t>
  </si>
  <si>
    <t>300618F</t>
  </si>
  <si>
    <t>304496B</t>
  </si>
  <si>
    <t>307359A</t>
  </si>
  <si>
    <t>1/307359</t>
  </si>
  <si>
    <t>308819A</t>
  </si>
  <si>
    <t>09184811000164</t>
  </si>
  <si>
    <t>J R ARAUJO ME</t>
  </si>
  <si>
    <t>1/308819</t>
  </si>
  <si>
    <t>307392B</t>
  </si>
  <si>
    <t>305157B</t>
  </si>
  <si>
    <t>1/305157</t>
  </si>
  <si>
    <t>305263B</t>
  </si>
  <si>
    <t>1/305263</t>
  </si>
  <si>
    <t>304539C</t>
  </si>
  <si>
    <t>304404G</t>
  </si>
  <si>
    <t>1/304404</t>
  </si>
  <si>
    <t>307290H</t>
  </si>
  <si>
    <t>309461E</t>
  </si>
  <si>
    <t>309837H</t>
  </si>
  <si>
    <t>312061B</t>
  </si>
  <si>
    <t>31700225000184</t>
  </si>
  <si>
    <t>MACKSWELL R G TEIXEIRA</t>
  </si>
  <si>
    <t>1/312061</t>
  </si>
  <si>
    <t>308909A</t>
  </si>
  <si>
    <t>39932260000130</t>
  </si>
  <si>
    <t>MANOEL P DA COSTA NETO - ME</t>
  </si>
  <si>
    <t>1/308909</t>
  </si>
  <si>
    <t>307281B</t>
  </si>
  <si>
    <t>35095645000130</t>
  </si>
  <si>
    <t>NOSSA SENHORA APARECIDA MED LTDA</t>
  </si>
  <si>
    <t>1/307281</t>
  </si>
  <si>
    <t>VARZEA ALEGRE</t>
  </si>
  <si>
    <t>307337B</t>
  </si>
  <si>
    <t>307373D</t>
  </si>
  <si>
    <t>308799A</t>
  </si>
  <si>
    <t>1/308799</t>
  </si>
  <si>
    <t>307395C</t>
  </si>
  <si>
    <t>1/307395</t>
  </si>
  <si>
    <t>309975A</t>
  </si>
  <si>
    <t>1/309975</t>
  </si>
  <si>
    <t>305257F</t>
  </si>
  <si>
    <t>306877B</t>
  </si>
  <si>
    <t>1/306877</t>
  </si>
  <si>
    <t>307018D</t>
  </si>
  <si>
    <t>307620D</t>
  </si>
  <si>
    <t>316034A</t>
  </si>
  <si>
    <t>1/316034</t>
  </si>
  <si>
    <t>302261F</t>
  </si>
  <si>
    <t>307027B</t>
  </si>
  <si>
    <t>307618B</t>
  </si>
  <si>
    <t>28863639000110</t>
  </si>
  <si>
    <t>FARMACIA LOURENCO LTDA ME</t>
  </si>
  <si>
    <t>1/307618</t>
  </si>
  <si>
    <t>310040A</t>
  </si>
  <si>
    <t>1/310040</t>
  </si>
  <si>
    <t>310112A</t>
  </si>
  <si>
    <t>1/310112</t>
  </si>
  <si>
    <t>307474A</t>
  </si>
  <si>
    <t>1/307474</t>
  </si>
  <si>
    <t>307502B</t>
  </si>
  <si>
    <t>310098A</t>
  </si>
  <si>
    <t>1/310098</t>
  </si>
  <si>
    <t>307482B</t>
  </si>
  <si>
    <t>305469B</t>
  </si>
  <si>
    <t>310038A</t>
  </si>
  <si>
    <t>07322787000157</t>
  </si>
  <si>
    <t>GERALDO LEITE DE MELO</t>
  </si>
  <si>
    <t>1/310038</t>
  </si>
  <si>
    <t>ASSARE</t>
  </si>
  <si>
    <t>303321E</t>
  </si>
  <si>
    <t>24669704000110</t>
  </si>
  <si>
    <t>GLACY KELLY SILVA DE SOUSA</t>
  </si>
  <si>
    <t>1/303321</t>
  </si>
  <si>
    <t>312779A</t>
  </si>
  <si>
    <t>1/312779</t>
  </si>
  <si>
    <t>307598D</t>
  </si>
  <si>
    <t>1/307598</t>
  </si>
  <si>
    <t>307615B</t>
  </si>
  <si>
    <t>29108444000127</t>
  </si>
  <si>
    <t>K L C &amp; M F DE OLIVEIRA MED E PERF LTDA</t>
  </si>
  <si>
    <t>1/307615</t>
  </si>
  <si>
    <t>307595C</t>
  </si>
  <si>
    <t>08420175000160</t>
  </si>
  <si>
    <t>L SOMBRA PONTES</t>
  </si>
  <si>
    <t>1/307595</t>
  </si>
  <si>
    <t>JAGUARUANA</t>
  </si>
  <si>
    <t>310109A</t>
  </si>
  <si>
    <t>14678176000101</t>
  </si>
  <si>
    <t>LAERCIO COSME DE MORAIS ME</t>
  </si>
  <si>
    <t>1/310109</t>
  </si>
  <si>
    <t>CAMPOS SALES</t>
  </si>
  <si>
    <t>305395K</t>
  </si>
  <si>
    <t>311132E</t>
  </si>
  <si>
    <t>1/311132</t>
  </si>
  <si>
    <t>312112D</t>
  </si>
  <si>
    <t>310062A</t>
  </si>
  <si>
    <t>1/310062</t>
  </si>
  <si>
    <t>304634A</t>
  </si>
  <si>
    <t>07646276000190</t>
  </si>
  <si>
    <t>RODOLFO BASILIO MADEIRA COM.REP.LTDA</t>
  </si>
  <si>
    <t>1/304634</t>
  </si>
  <si>
    <t>310132C</t>
  </si>
  <si>
    <t>310142B</t>
  </si>
  <si>
    <t>307437B</t>
  </si>
  <si>
    <t>69355782000188</t>
  </si>
  <si>
    <t>SOUZA &amp; CARDOSO DROGARIA LTDA ME</t>
  </si>
  <si>
    <t>1/307437</t>
  </si>
  <si>
    <t>310293A</t>
  </si>
  <si>
    <t>1/310293</t>
  </si>
  <si>
    <t>314421B</t>
  </si>
  <si>
    <t>35828910000141</t>
  </si>
  <si>
    <t>ANA BRIGIDA FERREIRA MOURA - ME</t>
  </si>
  <si>
    <t>1/314421</t>
  </si>
  <si>
    <t>291370Q</t>
  </si>
  <si>
    <t>09001510000158</t>
  </si>
  <si>
    <t>C G F FARMACIA- LTDA</t>
  </si>
  <si>
    <t>1/291370</t>
  </si>
  <si>
    <t>PINDORETAMA</t>
  </si>
  <si>
    <t>310338A</t>
  </si>
  <si>
    <t>1/310338</t>
  </si>
  <si>
    <t>300174K</t>
  </si>
  <si>
    <t>1/300174</t>
  </si>
  <si>
    <t>305016C</t>
  </si>
  <si>
    <t>1/305016</t>
  </si>
  <si>
    <t>305527K</t>
  </si>
  <si>
    <t>304830B</t>
  </si>
  <si>
    <t>38029819000154</t>
  </si>
  <si>
    <t>COMPLETA COMERCIO DE MEDICAMENTOS LTDA</t>
  </si>
  <si>
    <t>1/304830</t>
  </si>
  <si>
    <t>310210B</t>
  </si>
  <si>
    <t>26705153000128</t>
  </si>
  <si>
    <t>DARLAN FREIRES DA SILVA</t>
  </si>
  <si>
    <t>1/310210</t>
  </si>
  <si>
    <t>304834C</t>
  </si>
  <si>
    <t>1/304834</t>
  </si>
  <si>
    <t>306147C</t>
  </si>
  <si>
    <t>1/306147</t>
  </si>
  <si>
    <t>308336C</t>
  </si>
  <si>
    <t>28730710000196</t>
  </si>
  <si>
    <t>DROGARIA LOPES VIEIRA LTDA</t>
  </si>
  <si>
    <t>1/308336</t>
  </si>
  <si>
    <t>310370A</t>
  </si>
  <si>
    <t>1/310370</t>
  </si>
  <si>
    <t>310381A</t>
  </si>
  <si>
    <t>1/310381</t>
  </si>
  <si>
    <t>310383A</t>
  </si>
  <si>
    <t>1/310383</t>
  </si>
  <si>
    <t>309804B</t>
  </si>
  <si>
    <t>1/309804</t>
  </si>
  <si>
    <t>303635D</t>
  </si>
  <si>
    <t>306011A</t>
  </si>
  <si>
    <t>1/306011</t>
  </si>
  <si>
    <t>310989A</t>
  </si>
  <si>
    <t>1/310989</t>
  </si>
  <si>
    <t>306016A</t>
  </si>
  <si>
    <t>1/306016</t>
  </si>
  <si>
    <t>306068C</t>
  </si>
  <si>
    <t>301145I</t>
  </si>
  <si>
    <t>308654A</t>
  </si>
  <si>
    <t>1/308654</t>
  </si>
  <si>
    <t>310399C</t>
  </si>
  <si>
    <t>307746A</t>
  </si>
  <si>
    <t>1/307746</t>
  </si>
  <si>
    <t>305598B</t>
  </si>
  <si>
    <t>306015A</t>
  </si>
  <si>
    <t>1/306015</t>
  </si>
  <si>
    <t>305502B</t>
  </si>
  <si>
    <t>306134A</t>
  </si>
  <si>
    <t>1/306134</t>
  </si>
  <si>
    <t>307624E</t>
  </si>
  <si>
    <t>310892B</t>
  </si>
  <si>
    <t>313073A</t>
  </si>
  <si>
    <t>1/313073</t>
  </si>
  <si>
    <t>310213A</t>
  </si>
  <si>
    <t>1/310213</t>
  </si>
  <si>
    <t>306132A</t>
  </si>
  <si>
    <t>1/306132</t>
  </si>
  <si>
    <t>307623F</t>
  </si>
  <si>
    <t>307705A</t>
  </si>
  <si>
    <t>1/307705</t>
  </si>
  <si>
    <t>307706A</t>
  </si>
  <si>
    <t>1/307706</t>
  </si>
  <si>
    <t>308248F</t>
  </si>
  <si>
    <t>309670D</t>
  </si>
  <si>
    <t>313066A</t>
  </si>
  <si>
    <t>1/313066</t>
  </si>
  <si>
    <t>314633A</t>
  </si>
  <si>
    <t>1/314633</t>
  </si>
  <si>
    <t>310380A</t>
  </si>
  <si>
    <t>1/310380</t>
  </si>
  <si>
    <t>306145E</t>
  </si>
  <si>
    <t>310392A</t>
  </si>
  <si>
    <t>1/310392</t>
  </si>
  <si>
    <t>313267A</t>
  </si>
  <si>
    <t>03299183000186</t>
  </si>
  <si>
    <t>A M DE PAULA R.MEDICAMENTOS-ME</t>
  </si>
  <si>
    <t>1/313267</t>
  </si>
  <si>
    <t>URUBURETAMA</t>
  </si>
  <si>
    <t>307965B</t>
  </si>
  <si>
    <t>306229D</t>
  </si>
  <si>
    <t>309089B</t>
  </si>
  <si>
    <t>34974187000146</t>
  </si>
  <si>
    <t>COMERCIAL DE MED LA FARMA LTDA</t>
  </si>
  <si>
    <t>1/309089</t>
  </si>
  <si>
    <t>307988B</t>
  </si>
  <si>
    <t>1/307988</t>
  </si>
  <si>
    <t>310663A</t>
  </si>
  <si>
    <t>1/310663</t>
  </si>
  <si>
    <t>307883D</t>
  </si>
  <si>
    <t>1/307883</t>
  </si>
  <si>
    <t>307854D</t>
  </si>
  <si>
    <t>308370C</t>
  </si>
  <si>
    <t>311275B</t>
  </si>
  <si>
    <t>299523G</t>
  </si>
  <si>
    <t>306380B</t>
  </si>
  <si>
    <t>303245D</t>
  </si>
  <si>
    <t>305745B</t>
  </si>
  <si>
    <t>307926C</t>
  </si>
  <si>
    <t>309193A</t>
  </si>
  <si>
    <t>1/309193</t>
  </si>
  <si>
    <t>307827A</t>
  </si>
  <si>
    <t>1/307827</t>
  </si>
  <si>
    <t>308010B</t>
  </si>
  <si>
    <t>1/308010</t>
  </si>
  <si>
    <t>310578A</t>
  </si>
  <si>
    <t>1/310578</t>
  </si>
  <si>
    <t>307973D</t>
  </si>
  <si>
    <t>309070A</t>
  </si>
  <si>
    <t>1/309070</t>
  </si>
  <si>
    <t>311277A</t>
  </si>
  <si>
    <t>1/311277</t>
  </si>
  <si>
    <t>222529AA</t>
  </si>
  <si>
    <t>1/222529</t>
  </si>
  <si>
    <t>304033B</t>
  </si>
  <si>
    <t>07724693000104</t>
  </si>
  <si>
    <t>FARMACIA SAO PAULO COM DE MEDIC LTDA</t>
  </si>
  <si>
    <t>1/304033</t>
  </si>
  <si>
    <t>305716C</t>
  </si>
  <si>
    <t>1/305716</t>
  </si>
  <si>
    <t>307950C</t>
  </si>
  <si>
    <t>1/307950</t>
  </si>
  <si>
    <t>308012A</t>
  </si>
  <si>
    <t>1/308012</t>
  </si>
  <si>
    <t>309231A</t>
  </si>
  <si>
    <t>1/309231</t>
  </si>
  <si>
    <t>313392A</t>
  </si>
  <si>
    <t>63384309000142</t>
  </si>
  <si>
    <t>IOLANDA M BARROSO</t>
  </si>
  <si>
    <t>1/313392</t>
  </si>
  <si>
    <t>310609A</t>
  </si>
  <si>
    <t>1/310609</t>
  </si>
  <si>
    <t>309026A</t>
  </si>
  <si>
    <t>13613825000123</t>
  </si>
  <si>
    <t>JAQUELINE LEITE CID - ME</t>
  </si>
  <si>
    <t>1/309026</t>
  </si>
  <si>
    <t>HIDROLANDIA</t>
  </si>
  <si>
    <t>306303C</t>
  </si>
  <si>
    <t>310634A</t>
  </si>
  <si>
    <t>12216222000125</t>
  </si>
  <si>
    <t>JOAQUIM DE PAULO BARROS FILHO-ME</t>
  </si>
  <si>
    <t>1/310634</t>
  </si>
  <si>
    <t>306399D</t>
  </si>
  <si>
    <t>1/306399</t>
  </si>
  <si>
    <t>315315A</t>
  </si>
  <si>
    <t>1/315315</t>
  </si>
  <si>
    <t>307843B</t>
  </si>
  <si>
    <t>306345J</t>
  </si>
  <si>
    <t>307884H</t>
  </si>
  <si>
    <t>308491C</t>
  </si>
  <si>
    <t>309042A</t>
  </si>
  <si>
    <t>30376426000105</t>
  </si>
  <si>
    <t>M JORDANA ARAUJO LIMA</t>
  </si>
  <si>
    <t>1/309042</t>
  </si>
  <si>
    <t>MARTINOPOLE</t>
  </si>
  <si>
    <t>309172B</t>
  </si>
  <si>
    <t>1/309172</t>
  </si>
  <si>
    <t>311222B</t>
  </si>
  <si>
    <t>73456808000151</t>
  </si>
  <si>
    <t>MARIA MOREIRA DE S. MEDICAMENTOS</t>
  </si>
  <si>
    <t>1/311222</t>
  </si>
  <si>
    <t>309165B</t>
  </si>
  <si>
    <t>1/309165</t>
  </si>
  <si>
    <t>315484A</t>
  </si>
  <si>
    <t>32113092000102</t>
  </si>
  <si>
    <t>N S LOPES DROGARIA</t>
  </si>
  <si>
    <t>1/315484</t>
  </si>
  <si>
    <t>309180A</t>
  </si>
  <si>
    <t>1/309180</t>
  </si>
  <si>
    <t>306224A</t>
  </si>
  <si>
    <t>1/306224</t>
  </si>
  <si>
    <t>307869A</t>
  </si>
  <si>
    <t>1/307869</t>
  </si>
  <si>
    <t>309191A</t>
  </si>
  <si>
    <t>1/309191</t>
  </si>
  <si>
    <t>310617A</t>
  </si>
  <si>
    <t>1/310617</t>
  </si>
  <si>
    <t>310487A</t>
  </si>
  <si>
    <t>35564096000103</t>
  </si>
  <si>
    <t>REI DOS REIS FARMA LTDA - ME</t>
  </si>
  <si>
    <t>1/310487</t>
  </si>
  <si>
    <t>309113A</t>
  </si>
  <si>
    <t>1/309113</t>
  </si>
  <si>
    <t>309129A</t>
  </si>
  <si>
    <t>1/309129</t>
  </si>
  <si>
    <t>309217A</t>
  </si>
  <si>
    <t>1/309217</t>
  </si>
  <si>
    <t>&lt;15/03/2012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</si>
</sst>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0"/>
      <name val="Arial"/>
      <family val="2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1"/>
      <color theme="0"/>
      <name val="Arial"/>
      <family val="2"/>
    </font>
    <font>
      <b/>
      <sz val="11"/>
      <name val="Arial"/>
      <family val="2"/>
    </font>
    <font>
      <sz val="8"/>
      <color indexed="8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20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4" fontId="0" fillId="0" borderId="0" xfId="0" applyNumberFormat="1"/>
    <xf numFmtId="3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43" fontId="0" fillId="0" borderId="0" xfId="0" applyNumberFormat="1"/>
    <xf numFmtId="10" fontId="0" fillId="0" borderId="0" xfId="0" applyNumberFormat="1"/>
    <xf numFmtId="0" fontId="3" fillId="2" borderId="2" xfId="0" applyFont="1" applyFill="1" applyBorder="1" applyAlignment="1">
      <alignment horizontal="center" vertical="center"/>
    </xf>
    <xf numFmtId="43" fontId="0" fillId="3" borderId="0" xfId="1" applyFont="1" applyFill="1"/>
    <xf numFmtId="43" fontId="0" fillId="0" borderId="0" xfId="1" applyFont="1" applyFill="1"/>
    <xf numFmtId="43" fontId="0" fillId="4" borderId="0" xfId="1" applyFont="1" applyFill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center"/>
    </xf>
    <xf numFmtId="14" fontId="4" fillId="0" borderId="0" xfId="0" applyNumberFormat="1" applyFont="1"/>
    <xf numFmtId="0" fontId="7" fillId="2" borderId="1" xfId="0" applyFont="1" applyFill="1" applyBorder="1"/>
    <xf numFmtId="0" fontId="6" fillId="2" borderId="0" xfId="0" applyFont="1" applyFill="1"/>
    <xf numFmtId="0" fontId="6" fillId="2" borderId="0" xfId="0" applyFont="1" applyFill="1" applyAlignment="1">
      <alignment horizontal="left"/>
    </xf>
    <xf numFmtId="43" fontId="6" fillId="2" borderId="0" xfId="0" applyNumberFormat="1" applyFont="1" applyFill="1"/>
    <xf numFmtId="10" fontId="6" fillId="2" borderId="0" xfId="0" applyNumberFormat="1" applyFont="1" applyFill="1"/>
    <xf numFmtId="14" fontId="8" fillId="5" borderId="0" xfId="0" applyNumberFormat="1" applyFont="1" applyFill="1" applyAlignment="1">
      <alignment horizontal="left"/>
    </xf>
    <xf numFmtId="43" fontId="8" fillId="5" borderId="0" xfId="0" applyNumberFormat="1" applyFont="1" applyFill="1"/>
    <xf numFmtId="9" fontId="0" fillId="0" borderId="0" xfId="2" applyFont="1"/>
    <xf numFmtId="43" fontId="0" fillId="0" borderId="0" xfId="1" applyFont="1"/>
    <xf numFmtId="14" fontId="6" fillId="2" borderId="0" xfId="0" applyNumberFormat="1" applyFont="1" applyFill="1"/>
    <xf numFmtId="0" fontId="9" fillId="2" borderId="0" xfId="0" applyFont="1" applyFill="1"/>
    <xf numFmtId="0" fontId="0" fillId="6" borderId="0" xfId="0" applyFill="1"/>
    <xf numFmtId="0" fontId="4" fillId="7" borderId="0" xfId="0" applyFont="1" applyFill="1" applyAlignment="1">
      <alignment horizontal="center"/>
    </xf>
    <xf numFmtId="43" fontId="4" fillId="8" borderId="0" xfId="1" applyFont="1" applyFill="1"/>
    <xf numFmtId="14" fontId="9" fillId="2" borderId="0" xfId="0" applyNumberFormat="1" applyFont="1" applyFill="1" applyAlignment="1">
      <alignment horizontal="center"/>
    </xf>
    <xf numFmtId="14" fontId="6" fillId="2" borderId="0" xfId="0" applyNumberFormat="1" applyFont="1" applyFill="1" applyAlignment="1">
      <alignment horizontal="center"/>
    </xf>
    <xf numFmtId="0" fontId="0" fillId="3" borderId="0" xfId="0" applyFill="1"/>
    <xf numFmtId="0" fontId="0" fillId="9" borderId="0" xfId="0" applyFill="1"/>
    <xf numFmtId="14" fontId="0" fillId="9" borderId="0" xfId="0" applyNumberFormat="1" applyFill="1"/>
    <xf numFmtId="43" fontId="0" fillId="9" borderId="0" xfId="1" applyFont="1" applyFill="1"/>
    <xf numFmtId="43" fontId="0" fillId="3" borderId="0" xfId="0" applyNumberFormat="1" applyFill="1"/>
    <xf numFmtId="0" fontId="0" fillId="5" borderId="0" xfId="0" applyFill="1"/>
    <xf numFmtId="10" fontId="4" fillId="5" borderId="0" xfId="2" applyNumberFormat="1" applyFont="1" applyFill="1" applyAlignment="1">
      <alignment horizontal="center"/>
    </xf>
    <xf numFmtId="10" fontId="0" fillId="0" borderId="0" xfId="2" applyNumberFormat="1" applyFont="1"/>
    <xf numFmtId="10" fontId="10" fillId="0" borderId="0" xfId="2" applyNumberFormat="1" applyFont="1" applyAlignment="1">
      <alignment horizontal="center"/>
    </xf>
    <xf numFmtId="14" fontId="11" fillId="6" borderId="0" xfId="0" applyNumberFormat="1" applyFont="1" applyFill="1" applyAlignment="1">
      <alignment horizontal="center"/>
    </xf>
    <xf numFmtId="10" fontId="12" fillId="5" borderId="0" xfId="2" applyNumberFormat="1" applyFont="1" applyFill="1" applyAlignment="1">
      <alignment horizontal="center"/>
    </xf>
    <xf numFmtId="9" fontId="4" fillId="8" borderId="0" xfId="2" applyFont="1" applyFill="1" applyAlignment="1">
      <alignment horizontal="center"/>
    </xf>
    <xf numFmtId="43" fontId="2" fillId="10" borderId="0" xfId="1" applyFont="1" applyFill="1"/>
    <xf numFmtId="0" fontId="3" fillId="11" borderId="2" xfId="0" applyFont="1" applyFill="1" applyBorder="1" applyAlignment="1">
      <alignment horizontal="center" vertical="center"/>
    </xf>
    <xf numFmtId="43" fontId="0" fillId="7" borderId="0" xfId="1" applyFont="1" applyFill="1"/>
    <xf numFmtId="10" fontId="13" fillId="11" borderId="2" xfId="2" applyNumberFormat="1" applyFont="1" applyFill="1" applyBorder="1" applyAlignment="1">
      <alignment horizontal="center" vertical="center"/>
    </xf>
    <xf numFmtId="10" fontId="14" fillId="11" borderId="2" xfId="2" applyNumberFormat="1" applyFont="1" applyFill="1" applyBorder="1" applyAlignment="1">
      <alignment horizontal="center" vertical="center"/>
    </xf>
    <xf numFmtId="43" fontId="0" fillId="5" borderId="0" xfId="0" applyNumberFormat="1" applyFill="1"/>
    <xf numFmtId="0" fontId="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15" fillId="0" borderId="0" xfId="0" applyFont="1"/>
    <xf numFmtId="0" fontId="16" fillId="2" borderId="0" xfId="0" applyFont="1" applyFill="1"/>
    <xf numFmtId="14" fontId="16" fillId="2" borderId="0" xfId="0" applyNumberFormat="1" applyFont="1" applyFill="1"/>
    <xf numFmtId="0" fontId="15" fillId="6" borderId="0" xfId="0" applyFont="1" applyFill="1"/>
    <xf numFmtId="0" fontId="17" fillId="7" borderId="0" xfId="0" applyFont="1" applyFill="1" applyAlignment="1">
      <alignment horizontal="center"/>
    </xf>
    <xf numFmtId="43" fontId="17" fillId="8" borderId="0" xfId="1" applyFont="1" applyFill="1"/>
    <xf numFmtId="9" fontId="17" fillId="8" borderId="0" xfId="2" applyFont="1" applyFill="1" applyAlignment="1">
      <alignment horizontal="center"/>
    </xf>
    <xf numFmtId="0" fontId="15" fillId="9" borderId="0" xfId="0" applyFont="1" applyFill="1"/>
    <xf numFmtId="0" fontId="15" fillId="3" borderId="0" xfId="0" applyFont="1" applyFill="1"/>
    <xf numFmtId="0" fontId="15" fillId="5" borderId="0" xfId="0" applyFont="1" applyFill="1"/>
    <xf numFmtId="0" fontId="18" fillId="2" borderId="0" xfId="0" applyFont="1" applyFill="1" applyAlignment="1">
      <alignment horizontal="center"/>
    </xf>
    <xf numFmtId="43" fontId="15" fillId="0" borderId="0" xfId="0" applyNumberFormat="1" applyFont="1"/>
    <xf numFmtId="9" fontId="0" fillId="0" borderId="0" xfId="0" applyNumberFormat="1"/>
    <xf numFmtId="9" fontId="3" fillId="2" borderId="0" xfId="0" quotePrefix="1" applyNumberFormat="1" applyFont="1" applyFill="1" applyAlignment="1">
      <alignment horizontal="center" vertical="center"/>
    </xf>
    <xf numFmtId="0" fontId="0" fillId="0" borderId="0" xfId="0" applyAlignment="1">
      <alignment horizontal="left" indent="1"/>
    </xf>
    <xf numFmtId="10" fontId="16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10" fontId="19" fillId="3" borderId="0" xfId="0" applyNumberFormat="1" applyFont="1" applyFill="1" applyAlignment="1">
      <alignment horizontal="center" vertical="center" wrapText="1"/>
    </xf>
  </cellXfs>
  <cellStyles count="3">
    <cellStyle name="Normal" xfId="0" builtinId="0"/>
    <cellStyle name="Porcentagem" xfId="2" builtinId="5"/>
    <cellStyle name="Vírgula" xfId="1" builtinId="3"/>
  </cellStyles>
  <dxfs count="300">
    <dxf>
      <numFmt numFmtId="35" formatCode="_-* #,##0.00_-;\-* #,##0.00_-;_-* &quot;-&quot;??_-;_-@_-"/>
    </dxf>
    <dxf>
      <numFmt numFmtId="14" formatCode="0.00%"/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numFmt numFmtId="35" formatCode="_-* #,##0.00_-;\-* #,##0.00_-;_-* &quot;-&quot;??_-;_-@_-"/>
    </dxf>
    <dxf>
      <numFmt numFmtId="14" formatCode="0.00%"/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numFmt numFmtId="14" formatCode="0.00%"/>
    </dxf>
    <dxf>
      <numFmt numFmtId="35" formatCode="_-* #,##0.00_-;\-* #,##0.00_-;_-* &quot;-&quot;??_-;_-@_-"/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numFmt numFmtId="14" formatCode="0.00%"/>
    </dxf>
    <dxf>
      <numFmt numFmtId="35" formatCode="_-* #,##0.00_-;\-* #,##0.00_-;_-* &quot;-&quot;??_-;_-@_-"/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numFmt numFmtId="14" formatCode="0.00%"/>
    </dxf>
    <dxf>
      <numFmt numFmtId="35" formatCode="_-* #,##0.00_-;\-* #,##0.00_-;_-* &quot;-&quot;??_-;_-@_-"/>
    </dxf>
    <dxf>
      <font>
        <color auto="1"/>
      </font>
    </dxf>
    <dxf>
      <font>
        <color auto="1"/>
      </font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alignment horizontal="center"/>
    </dxf>
    <dxf>
      <alignment horizontal="center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Régua</a:t>
            </a:r>
            <a:r>
              <a:rPr lang="pt-BR" baseline="0"/>
              <a:t> Inadimplência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Régua!$C$4</c:f>
              <c:strCache>
                <c:ptCount val="1"/>
                <c:pt idx="0">
                  <c:v>10 dias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accent1">
                  <a:lumMod val="20000"/>
                  <a:lumOff val="80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1.4388489208633101E-2"/>
                  <c:y val="-0.1523087670485379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4B9-4476-ACAD-AA7B2FF522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Régua!$C$7</c:f>
              <c:numCache>
                <c:formatCode>0.00%</c:formatCode>
                <c:ptCount val="1"/>
                <c:pt idx="0">
                  <c:v>0.11164344211735829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A-4476-B5A1-2E70660E7D79}"/>
            </c:ext>
          </c:extLst>
        </c:ser>
        <c:ser>
          <c:idx val="1"/>
          <c:order val="1"/>
          <c:tx>
            <c:strRef>
              <c:f>Régua!$D$4</c:f>
              <c:strCache>
                <c:ptCount val="1"/>
                <c:pt idx="0">
                  <c:v>30 dias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8776978417266189E-2"/>
                  <c:y val="-0.1468691682253758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4B9-4476-ACAD-AA7B2FF522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Régua!$D$7</c:f>
              <c:numCache>
                <c:formatCode>0.00%</c:formatCode>
                <c:ptCount val="1"/>
                <c:pt idx="0">
                  <c:v>0.12939274891800456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9A-4476-B5A1-2E70660E7D79}"/>
            </c:ext>
          </c:extLst>
        </c:ser>
        <c:ser>
          <c:idx val="2"/>
          <c:order val="2"/>
          <c:tx>
            <c:strRef>
              <c:f>Régua!$E$4</c:f>
              <c:strCache>
                <c:ptCount val="1"/>
                <c:pt idx="0">
                  <c:v>60 dias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solidFill>
                <a:schemeClr val="tx2">
                  <a:lumMod val="20000"/>
                  <a:lumOff val="80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1.1191047162270184E-2"/>
                  <c:y val="-0.1468691682253758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4B9-4476-ACAD-AA7B2FF522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Régua!$E$7</c:f>
              <c:numCache>
                <c:formatCode>0.00%</c:formatCode>
                <c:ptCount val="1"/>
                <c:pt idx="0">
                  <c:v>0.12869471511366598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9A-4476-B5A1-2E70660E7D79}"/>
            </c:ext>
          </c:extLst>
        </c:ser>
        <c:ser>
          <c:idx val="3"/>
          <c:order val="3"/>
          <c:tx>
            <c:strRef>
              <c:f>Régua!$F$4</c:f>
              <c:strCache>
                <c:ptCount val="1"/>
                <c:pt idx="0">
                  <c:v>90 dias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4388489208633094E-2"/>
                  <c:y val="-0.1468691682253758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4B9-4476-ACAD-AA7B2FF522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Régua!$F$7</c:f>
              <c:numCache>
                <c:formatCode>0.00%</c:formatCode>
                <c:ptCount val="1"/>
                <c:pt idx="0">
                  <c:v>0.12738514253281599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9A-4476-B5A1-2E70660E7D79}"/>
            </c:ext>
          </c:extLst>
        </c:ser>
        <c:ser>
          <c:idx val="4"/>
          <c:order val="4"/>
          <c:tx>
            <c:strRef>
              <c:f>Régua!$G$4</c:f>
              <c:strCache>
                <c:ptCount val="1"/>
                <c:pt idx="0">
                  <c:v>120 dias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19A-4476-B5A1-2E70660E7D79}"/>
              </c:ext>
            </c:extLst>
          </c:dPt>
          <c:dLbls>
            <c:dLbl>
              <c:idx val="0"/>
              <c:layout>
                <c:manualLayout>
                  <c:x val="-2.9309546838607175E-17"/>
                  <c:y val="0.1359899705790517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19A-4476-B5A1-2E70660E7D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Régua!$G$7</c:f>
              <c:numCache>
                <c:formatCode>0.00%</c:formatCode>
                <c:ptCount val="1"/>
                <c:pt idx="0">
                  <c:v>1.2627444630857781E-2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9A-4476-B5A1-2E70660E7D79}"/>
            </c:ext>
          </c:extLst>
        </c:ser>
        <c:ser>
          <c:idx val="5"/>
          <c:order val="5"/>
          <c:tx>
            <c:strRef>
              <c:f>Régua!$H$4</c:f>
              <c:strCache>
                <c:ptCount val="1"/>
                <c:pt idx="0">
                  <c:v>180 dias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19A-4476-B5A1-2E70660E7D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Régua!$H$7</c:f>
              <c:numCache>
                <c:formatCode>0.00%</c:formatCode>
                <c:ptCount val="1"/>
                <c:pt idx="0">
                  <c:v>3.5218238874945802E-2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9A-4476-B5A1-2E70660E7D79}"/>
            </c:ext>
          </c:extLst>
        </c:ser>
        <c:ser>
          <c:idx val="6"/>
          <c:order val="6"/>
          <c:tx>
            <c:strRef>
              <c:f>Régua!$I$4</c:f>
              <c:strCache>
                <c:ptCount val="1"/>
                <c:pt idx="0">
                  <c:v>&gt; 180 dias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Régua!$I$7</c:f>
              <c:numCache>
                <c:formatCode>0.00%</c:formatCode>
                <c:ptCount val="1"/>
                <c:pt idx="0">
                  <c:v>0.45503826781235146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BD-4F55-807A-821A8CD8357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50"/>
        <c:overlap val="100"/>
        <c:axId val="914837216"/>
        <c:axId val="914838048"/>
      </c:barChart>
      <c:catAx>
        <c:axId val="9148372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14838048"/>
        <c:crosses val="autoZero"/>
        <c:auto val="1"/>
        <c:lblAlgn val="ctr"/>
        <c:lblOffset val="100"/>
        <c:noMultiLvlLbl val="0"/>
      </c:catAx>
      <c:valAx>
        <c:axId val="91483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483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[Nova_Inadimplencia_Analise_2021060730.xlsx]Dash Ano!Tabela dinâmica2</c:name>
    <c:fmtId val="3"/>
  </c:pivotSource>
  <c:chart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 Ano'!$C$5</c:f>
              <c:strCache>
                <c:ptCount val="1"/>
                <c:pt idx="0">
                  <c:v>R$ Vencido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'Dash Ano'!$B$6:$B$17</c:f>
              <c:strCach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&lt;15/03/2012</c:v>
                </c:pt>
                <c:pt idx="10">
                  <c:v>2021</c:v>
                </c:pt>
              </c:strCache>
            </c:strRef>
          </c:cat>
          <c:val>
            <c:numRef>
              <c:f>'Dash Ano'!$C$6:$C$17</c:f>
              <c:numCache>
                <c:formatCode>_(* #,##0.00_);_(* \(#,##0.00\);_(* "-"??_);_(@_)</c:formatCode>
                <c:ptCount val="11"/>
                <c:pt idx="0">
                  <c:v>72679.309999999983</c:v>
                </c:pt>
                <c:pt idx="1">
                  <c:v>61987.719999999987</c:v>
                </c:pt>
                <c:pt idx="2">
                  <c:v>24536.38</c:v>
                </c:pt>
                <c:pt idx="3">
                  <c:v>6435.79</c:v>
                </c:pt>
                <c:pt idx="4">
                  <c:v>39508.72000000003</c:v>
                </c:pt>
                <c:pt idx="5">
                  <c:v>115450.70000000001</c:v>
                </c:pt>
                <c:pt idx="6">
                  <c:v>59757.4</c:v>
                </c:pt>
                <c:pt idx="7">
                  <c:v>141898.78999999995</c:v>
                </c:pt>
                <c:pt idx="8">
                  <c:v>126648.59999999999</c:v>
                </c:pt>
                <c:pt idx="10">
                  <c:v>881012.78000000084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89-4FD1-BC9C-B9B102154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28936000"/>
        <c:axId val="24758752"/>
      </c:barChart>
      <c:lineChart>
        <c:grouping val="standard"/>
        <c:varyColors val="0"/>
        <c:ser>
          <c:idx val="1"/>
          <c:order val="1"/>
          <c:tx>
            <c:strRef>
              <c:f>'Dash Ano'!$D$5</c:f>
              <c:strCache>
                <c:ptCount val="1"/>
                <c:pt idx="0">
                  <c:v>%Rep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strRef>
              <c:f>'Dash Ano'!$B$6:$B$17</c:f>
              <c:strCach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&lt;15/03/2012</c:v>
                </c:pt>
                <c:pt idx="10">
                  <c:v>2021</c:v>
                </c:pt>
              </c:strCache>
            </c:strRef>
          </c:cat>
          <c:val>
            <c:numRef>
              <c:f>'Dash Ano'!$D$6:$D$17</c:f>
              <c:numCache>
                <c:formatCode>0.00%</c:formatCode>
                <c:ptCount val="11"/>
                <c:pt idx="0">
                  <c:v>4.7505419234762099E-2</c:v>
                </c:pt>
                <c:pt idx="1">
                  <c:v>4.0517069108210402E-2</c:v>
                </c:pt>
                <c:pt idx="2">
                  <c:v>1.6037728184313146E-2</c:v>
                </c:pt>
                <c:pt idx="3">
                  <c:v>4.2066291226057267E-3</c:v>
                </c:pt>
                <c:pt idx="4">
                  <c:v>2.5824107397673862E-2</c:v>
                </c:pt>
                <c:pt idx="5">
                  <c:v>7.5462107502764539E-2</c:v>
                </c:pt>
                <c:pt idx="6">
                  <c:v>3.9059263762677071E-2</c:v>
                </c:pt>
                <c:pt idx="7">
                  <c:v>9.2749387794896054E-2</c:v>
                </c:pt>
                <c:pt idx="8">
                  <c:v>8.2781397326084846E-2</c:v>
                </c:pt>
                <c:pt idx="9">
                  <c:v>0</c:v>
                </c:pt>
                <c:pt idx="10">
                  <c:v>0.57585689056601219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89-4FD1-BC9C-B9B102154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221776"/>
        <c:axId val="426746416"/>
      </c:lineChart>
      <c:catAx>
        <c:axId val="42893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758752"/>
        <c:crosses val="autoZero"/>
        <c:auto val="1"/>
        <c:lblAlgn val="ctr"/>
        <c:lblOffset val="100"/>
        <c:noMultiLvlLbl val="0"/>
      </c:catAx>
      <c:valAx>
        <c:axId val="2475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8936000"/>
        <c:crosses val="autoZero"/>
        <c:crossBetween val="between"/>
      </c:valAx>
      <c:valAx>
        <c:axId val="42674641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2221776"/>
        <c:crosses val="max"/>
        <c:crossBetween val="between"/>
      </c:valAx>
      <c:catAx>
        <c:axId val="422221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6746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13</xdr:row>
      <xdr:rowOff>14769</xdr:rowOff>
    </xdr:from>
    <xdr:to>
      <xdr:col>10</xdr:col>
      <xdr:colOff>0</xdr:colOff>
      <xdr:row>25</xdr:row>
      <xdr:rowOff>63500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CC70176-DFC4-4C64-8A84-432E0EEF5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166688</xdr:colOff>
      <xdr:row>11</xdr:row>
      <xdr:rowOff>38100</xdr:rowOff>
    </xdr:from>
    <xdr:to>
      <xdr:col>7</xdr:col>
      <xdr:colOff>527050</xdr:colOff>
      <xdr:row>12</xdr:row>
      <xdr:rowOff>114300</xdr:rowOff>
    </xdr:to>
    <xdr:sp macro="" textlink="">
      <xdr:nvSpPr>
        <xdr:cNvPr id="4" name="Seta: para a Esquerda e para Cima 3">
          <a:extLst>
            <a:ext uri="{FF2B5EF4-FFF2-40B4-BE49-F238E27FC236}">
              <a16:creationId xmlns:a16="http://schemas.microsoft.com/office/drawing/2014/main" id="{0714D686-4433-4AE4-8AAD-E6F19F0EF231}"/>
            </a:ext>
          </a:extLst>
        </xdr:cNvPr>
        <xdr:cNvSpPr/>
      </xdr:nvSpPr>
      <xdr:spPr>
        <a:xfrm>
          <a:off x="4798219" y="2163366"/>
          <a:ext cx="1330722" cy="266700"/>
        </a:xfrm>
        <a:prstGeom prst="leftUpArrow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374650</xdr:colOff>
      <xdr:row>16</xdr:row>
      <xdr:rowOff>149225</xdr:rowOff>
    </xdr:from>
    <xdr:to>
      <xdr:col>12</xdr:col>
      <xdr:colOff>320675</xdr:colOff>
      <xdr:row>24</xdr:row>
      <xdr:rowOff>149225</xdr:rowOff>
    </xdr:to>
    <xdr:sp macro="" textlink="$H$11">
      <xdr:nvSpPr>
        <xdr:cNvPr id="2" name="CaixaDeTexto 1">
          <a:extLst>
            <a:ext uri="{FF2B5EF4-FFF2-40B4-BE49-F238E27FC236}">
              <a16:creationId xmlns:a16="http://schemas.microsoft.com/office/drawing/2014/main" id="{BC073879-BD3E-4158-A0CE-DDB3D1DD20D4}"/>
            </a:ext>
          </a:extLst>
        </xdr:cNvPr>
        <xdr:cNvSpPr txBox="1"/>
      </xdr:nvSpPr>
      <xdr:spPr>
        <a:xfrm>
          <a:off x="8680450" y="3225800"/>
          <a:ext cx="1393825" cy="1524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9310957-A0D0-48D2-B487-C5A1F11A3EF1}" type="TxLink">
            <a:rPr lang="en-US" sz="3000" b="1" i="0" u="none" strike="noStrike">
              <a:solidFill>
                <a:srgbClr val="FF0000"/>
              </a:solidFill>
              <a:latin typeface="Calibri"/>
              <a:cs typeface="Calibri"/>
            </a:rPr>
            <a:pPr algn="ctr"/>
            <a:t>3,63%</a:t>
          </a:fld>
          <a:endParaRPr lang="pt-BR" sz="3000"/>
        </a:p>
      </xdr:txBody>
    </xdr:sp>
    <xdr:clientData/>
  </xdr:twoCellAnchor>
  <xdr:twoCellAnchor>
    <xdr:from>
      <xdr:col>10</xdr:col>
      <xdr:colOff>60325</xdr:colOff>
      <xdr:row>13</xdr:row>
      <xdr:rowOff>6350</xdr:rowOff>
    </xdr:from>
    <xdr:to>
      <xdr:col>12</xdr:col>
      <xdr:colOff>606425</xdr:colOff>
      <xdr:row>17</xdr:row>
      <xdr:rowOff>19050</xdr:rowOff>
    </xdr:to>
    <xdr:sp macro="" textlink="$H$11">
      <xdr:nvSpPr>
        <xdr:cNvPr id="5" name="CaixaDeTexto 4">
          <a:extLst>
            <a:ext uri="{FF2B5EF4-FFF2-40B4-BE49-F238E27FC236}">
              <a16:creationId xmlns:a16="http://schemas.microsoft.com/office/drawing/2014/main" id="{D4D893AC-6980-4A0A-9475-27FA8259E3EF}"/>
            </a:ext>
          </a:extLst>
        </xdr:cNvPr>
        <xdr:cNvSpPr txBox="1"/>
      </xdr:nvSpPr>
      <xdr:spPr>
        <a:xfrm>
          <a:off x="8366125" y="2511425"/>
          <a:ext cx="1993900" cy="774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500" b="1" i="0" u="none" strike="noStrike">
              <a:solidFill>
                <a:srgbClr val="FF0000"/>
              </a:solidFill>
              <a:latin typeface="Calibri"/>
              <a:cs typeface="Calibri"/>
            </a:rPr>
            <a:t>Indicador Inadimplência</a:t>
          </a:r>
          <a:endParaRPr lang="pt-BR" sz="1500"/>
        </a:p>
      </xdr:txBody>
    </xdr:sp>
    <xdr:clientData/>
  </xdr:twoCellAnchor>
  <xdr:twoCellAnchor editAs="oneCell">
    <xdr:from>
      <xdr:col>5</xdr:col>
      <xdr:colOff>673100</xdr:colOff>
      <xdr:row>1</xdr:row>
      <xdr:rowOff>12923</xdr:rowOff>
    </xdr:from>
    <xdr:to>
      <xdr:col>6</xdr:col>
      <xdr:colOff>284650</xdr:colOff>
      <xdr:row>2</xdr:row>
      <xdr:rowOff>171450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1070C80-1451-4228-9CB0-38E909BB1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6900" y="203423"/>
          <a:ext cx="576750" cy="349027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0.03557</cdr:x>
      <cdr:y>0.45503</cdr:y>
    </cdr:from>
    <cdr:to>
      <cdr:x>0.08434</cdr:x>
      <cdr:y>0.53836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B7AAA1AC-4FA1-4B61-89FB-4FAB591CA0A8}"/>
            </a:ext>
          </a:extLst>
        </cdr:cNvPr>
        <cdr:cNvSpPr txBox="1"/>
      </cdr:nvSpPr>
      <cdr:spPr>
        <a:xfrm xmlns:a="http://schemas.openxmlformats.org/drawingml/2006/main">
          <a:off x="247313" y="1062373"/>
          <a:ext cx="339091" cy="1945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598340</xdr:colOff>
      <xdr:row>2</xdr:row>
      <xdr:rowOff>109293</xdr:rowOff>
    </xdr:from>
    <xdr:to>
      <xdr:col>16</xdr:col>
      <xdr:colOff>577102</xdr:colOff>
      <xdr:row>9</xdr:row>
      <xdr:rowOff>106456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nos">
              <a:extLst>
                <a:ext uri="{FF2B5EF4-FFF2-40B4-BE49-F238E27FC236}">
                  <a16:creationId xmlns:a16="http://schemas.microsoft.com/office/drawing/2014/main" id="{5F27F6FA-F3AF-40CE-995D-C8ABFC13A5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51590" y="490293"/>
              <a:ext cx="2421644" cy="11681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73759</xdr:colOff>
      <xdr:row>4</xdr:row>
      <xdr:rowOff>2054</xdr:rowOff>
    </xdr:from>
    <xdr:to>
      <xdr:col>12</xdr:col>
      <xdr:colOff>144729</xdr:colOff>
      <xdr:row>21</xdr:row>
      <xdr:rowOff>61632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EA53BE-06AE-4652-99CD-D1244F5484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chnical" refreshedDate="44411.716206944446" createdVersion="6" refreshedVersion="7" minRefreshableVersion="3" recordCount="3639" xr:uid="{C32FC0C9-0570-4D77-91B2-88726D57479C}">
  <cacheSource type="worksheet">
    <worksheetSource ref="A1:M5000" sheet="Dados"/>
  </cacheSource>
  <cacheFields count="15">
    <cacheField name="VENCTO." numFmtId="0">
      <sharedItems containsNonDate="0" containsDate="1" containsString="0" containsBlank="1" minDate="2012-03-15T00:00:00" maxDate="2021-07-31T00:00:00" count="695">
        <d v="2012-03-15T00:00:00"/>
        <d v="2012-03-20T00:00:00"/>
        <d v="2012-04-05T00:00:00"/>
        <d v="2012-04-09T00:00:00"/>
        <d v="2012-04-16T00:00:00"/>
        <d v="2012-04-20T00:00:00"/>
        <d v="2012-05-07T00:00:00"/>
        <d v="2012-05-15T00:00:00"/>
        <d v="2012-05-21T00:00:00"/>
        <d v="2012-06-07T00:00:00"/>
        <d v="2012-06-15T00:00:00"/>
        <d v="2012-07-09T00:00:00"/>
        <d v="2012-07-16T00:00:00"/>
        <d v="2012-08-07T00:00:00"/>
        <d v="2012-08-15T00:00:00"/>
        <d v="2012-09-07T00:00:00"/>
        <d v="2012-09-13T00:00:00"/>
        <d v="2012-09-17T00:00:00"/>
        <d v="2012-10-08T00:00:00"/>
        <d v="2012-10-15T00:00:00"/>
        <d v="2012-11-15T00:00:00"/>
        <d v="2012-12-04T00:00:00"/>
        <d v="2012-12-07T00:00:00"/>
        <d v="2012-12-17T00:00:00"/>
        <d v="2013-01-15T00:00:00"/>
        <d v="2013-02-15T00:00:00"/>
        <d v="2013-03-15T00:00:00"/>
        <d v="2013-05-15T00:00:00"/>
        <d v="2013-07-15T00:00:00"/>
        <d v="2013-09-16T00:00:00"/>
        <d v="2013-10-15T00:00:00"/>
        <d v="2013-11-15T00:00:00"/>
        <d v="2013-12-16T00:00:00"/>
        <d v="2014-01-15T00:00:00"/>
        <d v="2014-02-17T00:00:00"/>
        <d v="2014-03-17T00:00:00"/>
        <d v="2014-10-20T00:00:00"/>
        <d v="2015-04-27T00:00:00"/>
        <d v="2015-08-03T00:00:00"/>
        <d v="2015-08-10T00:00:00"/>
        <d v="2015-08-11T00:00:00"/>
        <d v="2015-08-12T00:00:00"/>
        <d v="2015-08-21T00:00:00"/>
        <d v="2016-01-18T00:00:00"/>
        <d v="2016-02-09T00:00:00"/>
        <d v="2016-02-16T00:00:00"/>
        <d v="2016-02-29T00:00:00"/>
        <d v="2016-03-04T00:00:00"/>
        <d v="2016-03-14T00:00:00"/>
        <d v="2016-03-23T00:00:00"/>
        <d v="2016-03-24T00:00:00"/>
        <d v="2016-03-28T00:00:00"/>
        <d v="2016-03-29T00:00:00"/>
        <d v="2016-04-06T00:00:00"/>
        <d v="2016-04-11T00:00:00"/>
        <d v="2016-04-12T00:00:00"/>
        <d v="2016-05-02T00:00:00"/>
        <d v="2016-05-16T00:00:00"/>
        <d v="2016-05-20T00:00:00"/>
        <d v="2016-05-23T00:00:00"/>
        <d v="2016-05-30T00:00:00"/>
        <d v="2016-06-06T00:00:00"/>
        <d v="2016-06-09T00:00:00"/>
        <d v="2016-06-15T00:00:00"/>
        <d v="2016-06-20T00:00:00"/>
        <d v="2016-06-21T00:00:00"/>
        <d v="2016-06-27T00:00:00"/>
        <d v="2016-07-04T00:00:00"/>
        <d v="2016-07-05T00:00:00"/>
        <d v="2016-07-25T00:00:00"/>
        <d v="2016-08-04T00:00:00"/>
        <d v="2016-08-11T00:00:00"/>
        <d v="2016-08-22T00:00:00"/>
        <d v="2016-08-29T00:00:00"/>
        <d v="2016-08-31T00:00:00"/>
        <d v="2016-09-12T00:00:00"/>
        <d v="2016-09-19T00:00:00"/>
        <d v="2016-09-20T00:00:00"/>
        <d v="2016-09-21T00:00:00"/>
        <d v="2016-09-26T00:00:00"/>
        <d v="2016-09-30T00:00:00"/>
        <d v="2016-10-03T00:00:00"/>
        <d v="2016-10-10T00:00:00"/>
        <d v="2016-10-11T00:00:00"/>
        <d v="2016-10-12T00:00:00"/>
        <d v="2016-10-13T00:00:00"/>
        <d v="2016-10-14T00:00:00"/>
        <d v="2016-10-20T00:00:00"/>
        <d v="2016-10-21T00:00:00"/>
        <d v="2016-10-24T00:00:00"/>
        <d v="2016-10-26T00:00:00"/>
        <d v="2016-10-31T00:00:00"/>
        <d v="2016-11-02T00:00:00"/>
        <d v="2016-11-03T00:00:00"/>
        <d v="2016-11-07T00:00:00"/>
        <d v="2016-11-09T00:00:00"/>
        <d v="2016-11-10T00:00:00"/>
        <d v="2016-11-14T00:00:00"/>
        <d v="2016-11-21T00:00:00"/>
        <d v="2016-11-22T00:00:00"/>
        <d v="2016-11-23T00:00:00"/>
        <d v="2016-11-25T00:00:00"/>
        <d v="2016-11-28T00:00:00"/>
        <d v="2016-11-29T00:00:00"/>
        <d v="2016-11-30T00:00:00"/>
        <d v="2016-12-02T00:00:00"/>
        <d v="2016-12-09T00:00:00"/>
        <d v="2016-12-12T00:00:00"/>
        <d v="2016-12-16T00:00:00"/>
        <d v="2016-12-19T00:00:00"/>
        <d v="2016-12-29T00:00:00"/>
        <d v="2017-01-09T00:00:00"/>
        <d v="2017-02-06T00:00:00"/>
        <d v="2017-02-16T00:00:00"/>
        <d v="2017-04-19T00:00:00"/>
        <d v="2017-04-20T00:00:00"/>
        <d v="2017-04-25T00:00:00"/>
        <d v="2017-04-27T00:00:00"/>
        <d v="2017-05-01T00:00:00"/>
        <d v="2017-05-02T00:00:00"/>
        <d v="2017-05-03T00:00:00"/>
        <d v="2017-05-05T00:00:00"/>
        <d v="2017-05-10T00:00:00"/>
        <d v="2017-05-11T00:00:00"/>
        <d v="2017-05-15T00:00:00"/>
        <d v="2017-05-16T00:00:00"/>
        <d v="2017-05-18T00:00:00"/>
        <d v="2017-05-22T00:00:00"/>
        <d v="2017-05-25T00:00:00"/>
        <d v="2017-05-26T00:00:00"/>
        <d v="2017-05-29T00:00:00"/>
        <d v="2017-05-30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12T00:00:00"/>
        <d v="2017-06-15T00:00:00"/>
        <d v="2017-06-19T00:00:00"/>
        <d v="2017-06-21T00:00:00"/>
        <d v="2017-06-22T00:00:00"/>
        <d v="2017-06-26T00:00:00"/>
        <d v="2017-06-27T00:00:00"/>
        <d v="2017-06-29T00:00:00"/>
        <d v="2017-07-03T00:00:00"/>
        <d v="2017-07-05T00:00:00"/>
        <d v="2017-07-07T00:00:00"/>
        <d v="2017-07-10T00:00:00"/>
        <d v="2017-07-12T00:00:00"/>
        <d v="2017-07-14T00:00:00"/>
        <d v="2017-07-17T00:00:00"/>
        <d v="2017-07-18T00:00:00"/>
        <d v="2017-07-19T00:00:00"/>
        <d v="2017-07-21T00:00:00"/>
        <d v="2017-07-24T00:00:00"/>
        <d v="2017-07-27T00:00:00"/>
        <d v="2017-07-31T00:00:00"/>
        <d v="2017-08-01T00:00:00"/>
        <d v="2017-08-03T00:00:00"/>
        <d v="2017-08-07T00:00:00"/>
        <d v="2017-08-09T00:00:00"/>
        <d v="2017-08-10T00:00:00"/>
        <d v="2017-08-14T00:00:00"/>
        <d v="2017-08-16T00:00:00"/>
        <d v="2017-08-18T00:00:00"/>
        <d v="2017-08-21T00:00:00"/>
        <d v="2017-08-22T00:00:00"/>
        <d v="2017-08-23T00:00:00"/>
        <d v="2017-08-24T00:00:00"/>
        <d v="2017-08-28T00:00:00"/>
        <d v="2017-09-01T00:00:00"/>
        <d v="2017-09-04T00:00:00"/>
        <d v="2017-09-22T00:00:00"/>
        <d v="2017-09-29T00:00:00"/>
        <d v="2017-10-03T00:00:00"/>
        <d v="2017-10-04T00:00:00"/>
        <d v="2017-10-09T00:00:00"/>
        <d v="2017-10-10T00:00:00"/>
        <d v="2017-10-11T00:00:00"/>
        <d v="2017-10-13T00:00:00"/>
        <d v="2017-10-16T00:00:00"/>
        <d v="2017-10-20T00:00:00"/>
        <d v="2017-10-23T00:00:00"/>
        <d v="2017-10-24T00:00:00"/>
        <d v="2017-10-25T00:00:00"/>
        <d v="2017-10-27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7T00:00:00"/>
        <d v="2017-11-20T00:00:00"/>
        <d v="2017-11-21T00:00:00"/>
        <d v="2017-11-23T00:00:00"/>
        <d v="2017-11-28T00:00:00"/>
        <d v="2017-11-30T00:00:00"/>
        <d v="2017-12-01T00:00:00"/>
        <d v="2017-12-04T00:00:00"/>
        <d v="2017-12-05T00:00:00"/>
        <d v="2017-12-08T00:00:00"/>
        <d v="2017-12-13T00:00:00"/>
        <d v="2017-12-14T00:00:00"/>
        <d v="2017-12-15T00:00:00"/>
        <d v="2017-12-18T00:00:00"/>
        <d v="2017-12-25T00:00:00"/>
        <d v="2017-12-28T00:00:00"/>
        <d v="2018-01-03T00:00:00"/>
        <d v="2018-01-09T00:00:00"/>
        <d v="2018-01-19T00:00:00"/>
        <d v="2018-01-26T00:00:00"/>
        <d v="2018-01-29T00:00:00"/>
        <d v="2018-01-30T00:00:00"/>
        <d v="2018-02-02T00:00:00"/>
        <d v="2018-02-06T00:00:00"/>
        <d v="2018-02-08T00:00:00"/>
        <d v="2018-02-14T00:00:00"/>
        <d v="2018-02-15T00:00:00"/>
        <d v="2018-02-21T00:00:00"/>
        <d v="2018-03-05T00:00:00"/>
        <d v="2018-03-16T00:00:00"/>
        <d v="2018-03-20T00:00:00"/>
        <d v="2018-03-21T00:00:00"/>
        <d v="2018-03-28T00:00:00"/>
        <d v="2018-03-30T00:00:00"/>
        <d v="2018-04-09T00:00:00"/>
        <d v="2018-04-13T00:00:00"/>
        <d v="2018-05-14T00:00:00"/>
        <d v="2018-05-21T00:00:00"/>
        <d v="2018-05-24T00:00:00"/>
        <d v="2018-05-28T00:00:00"/>
        <d v="2018-05-29T00:00:00"/>
        <d v="2018-05-31T00:00:00"/>
        <d v="2018-06-06T00:00:00"/>
        <d v="2018-06-08T00:00:00"/>
        <d v="2018-06-11T00:00:00"/>
        <d v="2018-06-18T00:00:00"/>
        <d v="2018-06-19T00:00:00"/>
        <d v="2018-06-22T00:00:00"/>
        <d v="2018-07-09T00:00:00"/>
        <d v="2018-07-10T00:00:00"/>
        <d v="2018-07-11T00:00:00"/>
        <d v="2018-07-16T00:00:00"/>
        <d v="2018-07-17T00:00:00"/>
        <d v="2018-07-19T00:00:00"/>
        <d v="2018-07-20T00:00:00"/>
        <d v="2018-07-23T00:00:00"/>
        <d v="2018-07-24T00:00:00"/>
        <d v="2018-07-26T00:00:00"/>
        <d v="2018-07-27T00:00:00"/>
        <d v="2018-07-30T00:00:00"/>
        <d v="2018-08-02T00:00:00"/>
        <d v="2018-08-03T00:00:00"/>
        <d v="2018-08-06T00:00:00"/>
        <d v="2018-08-07T00:00:00"/>
        <d v="2018-08-08T00:00:00"/>
        <d v="2018-08-09T00:00:00"/>
        <d v="2018-08-13T00:00:00"/>
        <d v="2018-08-15T00:00:00"/>
        <d v="2018-08-17T00:00:00"/>
        <d v="2018-08-20T00:00:00"/>
        <d v="2018-08-21T00:00:00"/>
        <d v="2018-08-22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10-01T00:00:00"/>
        <d v="2018-10-08T00:00:00"/>
        <d v="2018-10-15T00:00:00"/>
        <d v="2018-10-22T00:00:00"/>
        <d v="2018-10-23T00:00:00"/>
        <d v="2018-10-30T00:00:00"/>
        <d v="2018-11-07T00:00:00"/>
        <d v="2018-11-19T00:00:00"/>
        <d v="2018-11-20T00:00:00"/>
        <d v="2018-11-27T00:00:00"/>
        <d v="2018-11-29T00:00:00"/>
        <d v="2018-12-07T00:00:00"/>
        <d v="2018-12-12T00:00:00"/>
        <d v="2018-12-25T00:00:00"/>
        <d v="2018-12-26T00:00:00"/>
        <d v="2018-12-27T00:00:00"/>
        <d v="2018-12-28T00:00:00"/>
        <d v="2018-12-31T00:00:00"/>
        <d v="2019-01-01T00:00:00"/>
        <d v="2019-01-02T00:00:00"/>
        <d v="2019-01-04T00:00:00"/>
        <d v="2019-01-07T00:00:00"/>
        <d v="2019-01-09T00:00:00"/>
        <d v="2019-01-14T00:00:00"/>
        <d v="2019-01-15T00:00:00"/>
        <d v="2019-01-18T00:00:00"/>
        <d v="2019-01-21T00:00:00"/>
        <d v="2019-01-22T00:00:00"/>
        <d v="2019-01-29T00:00:00"/>
        <d v="2019-01-30T00:00:00"/>
        <d v="2019-02-06T00:00:00"/>
        <d v="2019-02-08T00:00:00"/>
        <d v="2019-02-13T00:00:00"/>
        <d v="2019-02-14T00:00:00"/>
        <d v="2019-02-25T00:00:00"/>
        <d v="2019-03-04T00:00:00"/>
        <d v="2019-03-25T00:00:00"/>
        <d v="2019-04-04T00:00:00"/>
        <d v="2019-05-10T00:00:00"/>
        <d v="2019-05-14T00:00:00"/>
        <d v="2019-05-15T00:00:00"/>
        <d v="2019-05-16T00:00:00"/>
        <d v="2019-05-17T00:00:00"/>
        <d v="2019-05-21T00:00:00"/>
        <d v="2019-05-24T00:00:00"/>
        <d v="2019-05-27T00:00:00"/>
        <d v="2019-05-28T00:00:00"/>
        <d v="2019-05-31T00:00:00"/>
        <d v="2019-06-03T00:00:00"/>
        <d v="2019-06-07T00:00:00"/>
        <d v="2019-06-12T00:00:00"/>
        <d v="2019-06-17T00:00:00"/>
        <d v="2019-06-20T00:00:00"/>
        <d v="2019-06-24T00:00:00"/>
        <d v="2019-06-27T00:00:00"/>
        <d v="2019-07-02T00:00:00"/>
        <d v="2019-07-03T00:00:00"/>
        <d v="2019-07-05T00:00:00"/>
        <d v="2019-07-08T00:00:00"/>
        <d v="2019-07-15T00:00:00"/>
        <d v="2019-07-18T00:00:00"/>
        <d v="2019-07-29T00:00:00"/>
        <d v="2019-08-05T00:00:00"/>
        <d v="2019-08-13T00:00:00"/>
        <d v="2019-08-19T00:00:00"/>
        <d v="2019-08-20T00:00:00"/>
        <d v="2019-08-21T00:00:00"/>
        <d v="2019-08-23T00:00:00"/>
        <d v="2019-08-26T00:00:00"/>
        <d v="2019-08-29T00:00:00"/>
        <d v="2019-09-02T00:00:00"/>
        <d v="2019-09-03T00:00:00"/>
        <d v="2019-09-04T00:00:00"/>
        <d v="2019-09-06T00:00:00"/>
        <d v="2019-09-09T00:00:00"/>
        <d v="2019-09-13T00:00:00"/>
        <d v="2019-09-16T00:00:00"/>
        <d v="2019-09-23T00:00:00"/>
        <d v="2019-09-24T00:00:00"/>
        <d v="2019-09-26T00:00:00"/>
        <d v="2019-09-27T00:00:00"/>
        <d v="2019-10-01T00:00:00"/>
        <d v="2019-10-03T00:00:00"/>
        <d v="2019-10-07T00:00:00"/>
        <d v="2019-10-08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21T00:00:00"/>
        <d v="2019-10-23T00:00:00"/>
        <d v="2019-10-24T00:00:00"/>
        <d v="2019-10-25T00:00:00"/>
        <d v="2019-10-28T00:00:00"/>
        <d v="2019-11-04T00:00:00"/>
        <d v="2019-11-06T00:00:00"/>
        <d v="2019-11-07T00:00:00"/>
        <d v="2019-11-08T00:00:00"/>
        <d v="2019-11-11T00:00:00"/>
        <d v="2019-11-12T00:00:00"/>
        <d v="2019-11-13T00:00:00"/>
        <d v="2019-11-15T00:00:00"/>
        <d v="2019-11-18T00:00:00"/>
        <d v="2019-11-19T00:00:00"/>
        <d v="2019-11-20T00:00:00"/>
        <d v="2019-11-25T00:00:00"/>
        <d v="2019-11-27T00:00:00"/>
        <d v="2019-11-28T00:00:00"/>
        <d v="2019-12-02T00:00:00"/>
        <d v="2019-12-03T00:00:00"/>
        <d v="2019-12-11T00:00:00"/>
        <d v="2019-12-13T00:00:00"/>
        <d v="2019-12-16T00:00:00"/>
        <d v="2019-12-17T00:00:00"/>
        <d v="2019-12-19T00:00:00"/>
        <d v="2019-12-20T00:00:00"/>
        <d v="2019-12-23T00:00:00"/>
        <d v="2019-12-26T00:00:00"/>
        <d v="2019-12-31T00:00:00"/>
        <d v="2020-01-02T00:00:00"/>
        <d v="2020-01-13T00:00:00"/>
        <d v="2020-01-17T00:00:00"/>
        <d v="2020-01-20T00:00:00"/>
        <d v="2020-01-21T00:00:00"/>
        <d v="2020-01-27T00:00:00"/>
        <d v="2020-01-28T00:00:00"/>
        <d v="2020-02-03T00:00:00"/>
        <d v="2020-02-06T00:00:00"/>
        <d v="2020-02-07T00:00:00"/>
        <d v="2020-02-10T00:00:00"/>
        <d v="2020-02-11T00:00:00"/>
        <d v="2020-02-17T00:00:00"/>
        <d v="2020-02-20T00:00:00"/>
        <d v="2020-02-21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3T00:00:00"/>
        <d v="2020-04-06T00:00:00"/>
        <d v="2020-04-07T00:00:00"/>
        <d v="2020-04-08T00:00:00"/>
        <d v="2020-04-09T00:00:00"/>
        <d v="2020-04-10T00:00:00"/>
        <d v="2020-04-13T00:00:00"/>
        <d v="2020-04-14T00:00:00"/>
        <d v="2020-04-17T00:00:00"/>
        <d v="2020-04-20T00:00:00"/>
        <d v="2020-04-23T00:00:00"/>
        <d v="2020-04-24T00:00:00"/>
        <d v="2020-04-27T00:00:00"/>
        <d v="2020-04-30T00:00:00"/>
        <d v="2020-05-04T00:00:00"/>
        <d v="2020-05-13T00:00:00"/>
        <d v="2020-05-25T00:00:00"/>
        <d v="2020-05-26T00:00:00"/>
        <d v="2020-06-02T00:00:00"/>
        <d v="2020-06-15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7-01T00:00:00"/>
        <d v="2020-07-02T00:00:00"/>
        <d v="2020-07-03T00:00:00"/>
        <d v="2020-07-06T00:00:00"/>
        <d v="2020-07-08T00:00:00"/>
        <d v="2020-07-10T00:00:00"/>
        <d v="2020-07-13T00:00:00"/>
        <d v="2020-07-20T00:00:00"/>
        <d v="2020-07-28T00:00:00"/>
        <d v="2020-07-30T00:00:00"/>
        <d v="2020-08-20T00:00:00"/>
        <d v="2020-08-21T00:00:00"/>
        <d v="2020-08-24T00:00:00"/>
        <d v="2020-08-26T00:00:00"/>
        <d v="2020-08-27T00:00:00"/>
        <d v="2020-08-28T00:00:00"/>
        <d v="2020-08-31T00:00:00"/>
        <d v="2020-09-01T00:00:00"/>
        <d v="2020-09-03T00:00:00"/>
        <d v="2020-09-07T00:00:00"/>
        <d v="2020-09-09T00:00:00"/>
        <d v="2020-09-10T00:00:00"/>
        <d v="2020-09-11T00:00:00"/>
        <d v="2020-09-15T00:00:00"/>
        <d v="2020-09-16T00:00:00"/>
        <d v="2020-09-17T00:00:00"/>
        <d v="2020-09-25T00:00:00"/>
        <d v="2020-09-28T00:00:00"/>
        <d v="2020-10-01T00:00:00"/>
        <d v="2020-10-05T00:00:00"/>
        <d v="2020-10-06T00:00:00"/>
        <d v="2020-10-13T00:00:00"/>
        <d v="2020-10-14T00:00:00"/>
        <d v="2020-10-16T00:00:00"/>
        <d v="2020-10-19T00:00:00"/>
        <d v="2020-10-23T00:00:00"/>
        <d v="2020-10-26T00:00:00"/>
        <d v="2020-10-28T00:00:00"/>
        <d v="2020-10-29T00:00:00"/>
        <d v="2020-10-30T00:00:00"/>
        <d v="2020-11-03T00:00:00"/>
        <d v="2020-11-05T00:00:00"/>
        <d v="2020-11-09T00:00:00"/>
        <d v="2020-11-11T00:00:00"/>
        <d v="2020-11-13T00:00:00"/>
        <d v="2020-11-16T00:00:00"/>
        <d v="2020-11-18T00:00:00"/>
        <d v="2020-11-19T00:00:00"/>
        <d v="2020-11-23T00:00:00"/>
        <d v="2020-11-25T00:00:00"/>
        <d v="2020-11-26T00:00:00"/>
        <d v="2020-11-27T00:00:00"/>
        <d v="2020-12-01T00:00:00"/>
        <d v="2020-12-11T00:00:00"/>
        <d v="2020-12-21T00:00:00"/>
        <d v="2020-12-24T00:00:00"/>
        <d v="2020-12-28T00:00:00"/>
        <d v="2020-12-29T00:00:00"/>
        <d v="2021-01-04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8T00:00:00"/>
        <d v="2021-01-19T00:00:00"/>
        <d v="2021-01-20T00:00:00"/>
        <d v="2021-01-22T00:00:00"/>
        <d v="2021-01-25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5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3T00:00:00"/>
        <d v="2021-03-05T00:00:00"/>
        <d v="2021-03-08T00:00:00"/>
        <d v="2021-03-09T00:00:00"/>
        <d v="2021-03-10T00:00:00"/>
        <d v="2021-03-11T00:00:00"/>
        <d v="2021-03-15T00:00:00"/>
        <d v="2021-03-16T00:00:00"/>
        <d v="2021-03-17T00:00:00"/>
        <d v="2021-03-18T00:00:00"/>
        <d v="2021-03-19T00:00:00"/>
        <d v="2021-03-22T00:00:00"/>
        <d v="2021-03-25T00:00:00"/>
        <d v="2021-03-26T00:00:00"/>
        <d v="2021-03-28T00:00:00"/>
        <d v="2021-03-29T00:00:00"/>
        <d v="2021-03-30T00:00:00"/>
        <d v="2021-03-31T00:00:00"/>
        <d v="2021-04-02T00:00:00"/>
        <d v="2021-04-05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7T00:00:00"/>
        <d v="2021-04-19T00:00:00"/>
        <d v="2021-04-20T00:00:00"/>
        <d v="2021-04-21T00:00:00"/>
        <d v="2021-04-22T00:00:00"/>
        <d v="2021-04-23T00:00:00"/>
        <d v="2021-04-27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m/>
      </sharedItems>
      <fieldGroup par="14" base="0">
        <rangePr groupBy="months" startDate="2012-03-15T00:00:00" endDate="2021-07-31T00:00:00"/>
        <groupItems count="14">
          <s v="(vazio)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07/2021"/>
        </groupItems>
      </fieldGroup>
    </cacheField>
    <cacheField name="EST" numFmtId="0">
      <sharedItems containsString="0" containsBlank="1" containsNumber="1" containsInteger="1" minValue="0" maxValue="0"/>
    </cacheField>
    <cacheField name="DUPLIC." numFmtId="0">
      <sharedItems containsBlank="1" count="8000">
        <s v="851026"/>
        <s v="850954"/>
        <s v="850933"/>
        <s v="850900"/>
        <s v="851015"/>
        <s v="850931"/>
        <s v="850927"/>
        <s v="850901"/>
        <s v="851016"/>
        <s v="850928"/>
        <s v="850902"/>
        <s v="851017"/>
        <s v="850903"/>
        <s v="851018"/>
        <s v="850904"/>
        <s v="851019"/>
        <s v="850905"/>
        <s v="56832D"/>
        <s v="851020"/>
        <s v="850906"/>
        <s v="851021"/>
        <s v="851022"/>
        <s v="062009E"/>
        <s v="062387C"/>
        <s v="851023"/>
        <s v="851024"/>
        <s v="851025"/>
        <s v="851046"/>
        <s v="851044"/>
        <s v="851042"/>
        <s v="851040"/>
        <s v="851039"/>
        <s v="851038"/>
        <s v="851037"/>
        <s v="851030"/>
        <s v="851029"/>
        <s v="851028"/>
        <s v="095721A"/>
        <s v="106295A"/>
        <s v="000034"/>
        <s v="117310A"/>
        <s v="117313A"/>
        <s v="117406A"/>
        <s v="117407A"/>
        <s v="000035"/>
        <s v="127601A"/>
        <s v="126061A"/>
        <s v="125243B"/>
        <s v="126061B"/>
        <s v="127180A"/>
        <s v="127180B"/>
        <s v="131329A"/>
        <s v="127180C"/>
        <s v="129570A"/>
        <s v="129136B"/>
        <s v="128584A"/>
        <s v="132646A"/>
        <s v="131329B"/>
        <s v="132646B"/>
        <s v="132431A"/>
        <s v="133278A"/>
        <s v="131471C"/>
        <s v="133278B"/>
        <s v="132431B"/>
        <s v="133237A"/>
        <s v="133278C"/>
        <s v="135711A"/>
        <s v="135716A"/>
        <s v="136543A"/>
        <s v="137297A"/>
        <s v="137022A"/>
        <s v="134068B"/>
        <s v="135711B"/>
        <s v="135716B"/>
        <s v="136277B"/>
        <s v="136277C"/>
        <s v="138846A"/>
        <s v="138846B"/>
        <s v="139864A"/>
        <s v="139194A"/>
        <s v="138846C"/>
        <s v="139014A"/>
        <s v="140263A"/>
        <s v="138846D"/>
        <s v="139014B"/>
        <s v="139864C"/>
        <s v="139194B"/>
        <s v="140927A"/>
        <s v="138846E"/>
        <s v="139014C"/>
        <s v="139864D"/>
        <s v="138614E"/>
        <s v="140765D"/>
        <s v="138846F"/>
        <s v="139014D"/>
        <s v="140263B"/>
        <s v="139864E"/>
        <s v="140927B"/>
        <s v="140157F"/>
        <s v="142788A"/>
        <s v="139864F"/>
        <s v="139315G"/>
        <s v="145351A"/>
        <s v="142670B"/>
        <s v="141756C"/>
        <s v="140765F"/>
        <s v="142788B"/>
        <s v="139315H"/>
        <s v="142719A"/>
        <s v="142670C"/>
        <s v="143366A"/>
        <s v="145351B"/>
        <s v="142788C"/>
        <s v="144886A"/>
        <s v="142719B"/>
        <s v="142670D"/>
        <s v="145351C"/>
        <s v="143366B"/>
        <s v="144079A"/>
        <s v="145914A"/>
        <s v="145599A"/>
        <s v="142788D"/>
        <s v="144886B"/>
        <s v="145351D"/>
        <s v="142670E"/>
        <s v="143366C"/>
        <s v="144079B"/>
        <s v="142788E"/>
        <s v="144886C"/>
        <s v="145599B"/>
        <s v="147688B"/>
        <s v="147180A"/>
        <s v="145146D"/>
        <s v="142670F"/>
        <s v="144079C"/>
        <s v="147275D"/>
        <s v="147688C"/>
        <s v="148307B"/>
        <s v="145985C"/>
        <s v="145914B"/>
        <s v="145599C"/>
        <s v="144886D"/>
        <s v="147180B"/>
        <s v="145146E"/>
        <s v="142670G"/>
        <s v="148307C"/>
        <s v="145599D"/>
        <s v="148307D"/>
        <s v="142670H"/>
        <s v="144886E"/>
        <s v="147180C"/>
        <s v="148307E"/>
        <s v="145599E"/>
        <s v="145599F"/>
        <s v="145599G"/>
        <s v="149250B"/>
        <s v="149251A"/>
        <s v="149250C"/>
        <s v="155866C"/>
        <s v="154891A"/>
        <s v="155114A"/>
        <s v="154963B"/>
        <s v="156751C"/>
        <s v="154891B"/>
        <s v="155134A"/>
        <s v="155193A"/>
        <s v="155722A"/>
        <s v="155720A"/>
        <s v="155114B"/>
        <s v="154891C"/>
        <s v="155138A"/>
        <s v="155132A"/>
        <s v="156488A"/>
        <s v="155114C"/>
        <s v="154963C"/>
        <s v="156465A"/>
        <s v="156852A"/>
        <s v="156803A"/>
        <s v="154355D"/>
        <s v="155193B"/>
        <s v="156465B"/>
        <s v="154891D"/>
        <s v="155134B"/>
        <s v="156488B"/>
        <s v="155114D"/>
        <s v="156852B"/>
        <s v="156803B"/>
        <s v="154341A"/>
        <s v="154554A"/>
        <s v="154963D"/>
        <s v="156465C"/>
        <s v="156488C"/>
        <s v="156030C"/>
        <s v="154622A"/>
        <s v="155742B"/>
        <s v="155722B"/>
        <s v="155720B"/>
        <s v="154739A"/>
        <s v="154923A"/>
        <s v="155172A"/>
        <s v="155463A"/>
        <s v="156484C"/>
        <s v="156803C"/>
        <s v="158051B"/>
        <s v="158082A"/>
        <s v="155244A"/>
        <s v="155685A"/>
        <s v="156852C"/>
        <s v="156465D"/>
        <s v="155951A"/>
        <s v="156165A"/>
        <s v="156913A"/>
        <s v="156818C"/>
        <s v="156488D"/>
        <s v="156516A"/>
        <s v="156803D"/>
        <s v="156686A"/>
        <s v="156852D"/>
        <s v="156912A"/>
        <s v="157018A"/>
        <s v="158082B"/>
        <s v="157201A"/>
        <s v="158042A"/>
        <s v="158738A"/>
        <s v="157370A"/>
        <s v="158737A"/>
        <s v="158130B"/>
        <s v="157873A"/>
        <s v="158535A"/>
        <s v="158485B"/>
        <s v="158402A"/>
        <s v="158772A"/>
        <s v="160128A"/>
        <s v="159016A"/>
        <s v="160639A"/>
        <s v="159201A"/>
        <s v="160632A"/>
        <s v="158401A"/>
        <s v="159497B"/>
        <s v="160128B"/>
        <s v="158059A"/>
        <s v="158773A"/>
        <s v="159442A"/>
        <s v="163482B"/>
        <s v="159498B"/>
        <s v="158894A"/>
        <s v="161120A"/>
        <s v="159033A"/>
        <s v="159444A"/>
        <s v="158426A"/>
        <s v="158796A"/>
        <s v="159200A"/>
        <s v="158775A"/>
        <s v="159479A"/>
        <s v="163482C"/>
        <s v="160591A"/>
        <s v="159480A"/>
        <s v="160697A"/>
        <s v="159202A"/>
        <s v="161050A"/>
        <s v="159451A"/>
        <s v="164275A"/>
        <s v="160599A"/>
        <s v="160602A"/>
        <s v="159787A"/>
        <s v="159821A"/>
        <s v="160682A"/>
        <s v="159820A"/>
        <s v="159826A"/>
        <s v="159890A"/>
        <s v="160718A"/>
        <s v="161432A"/>
        <s v="160185A"/>
        <s v="160183A"/>
        <s v="161052A"/>
        <s v="160370A"/>
        <s v="160386A"/>
        <s v="160590A"/>
        <s v="161443A"/>
        <s v="160681A"/>
        <s v="160704A"/>
        <s v="161665A"/>
        <s v="161045A"/>
        <s v="161447A"/>
        <s v="161666A"/>
        <s v="168384A"/>
        <s v="168384B"/>
        <s v="166682B"/>
        <s v="167436A"/>
        <s v="167995A"/>
        <s v="164995E"/>
        <s v="166629C"/>
        <s v="168268A"/>
        <s v="165601E"/>
        <s v="166682C"/>
        <s v="167436B"/>
        <s v="167995B"/>
        <s v="166629D"/>
        <s v="167207A"/>
        <s v="165601F"/>
        <s v="166682D"/>
        <s v="167436C"/>
        <s v="167995C"/>
        <s v="169978A"/>
        <s v="167007B"/>
        <s v="167743A"/>
        <s v="168028A"/>
        <s v="167369A"/>
        <s v="166682E"/>
        <s v="167436D"/>
        <s v="167995D"/>
        <s v="167007C"/>
        <s v="169978B"/>
        <s v="167743B"/>
        <s v="167775A"/>
        <s v="169014A"/>
        <s v="167154B"/>
        <s v="167207B"/>
        <s v="168433A"/>
        <s v="167436E"/>
        <s v="167995E"/>
        <s v="167743C"/>
        <s v="168028B"/>
        <s v="168503A"/>
        <s v="169144A"/>
        <s v="169014B"/>
        <s v="168536A"/>
        <s v="167995F"/>
        <s v="169628A"/>
        <s v="169144B"/>
        <s v="168998A"/>
        <s v="169014C"/>
        <s v="172153A"/>
        <s v="168433B"/>
        <s v="169150A"/>
        <s v="168543B"/>
        <s v="168793B"/>
        <s v="167995G"/>
        <s v="170018A"/>
        <s v="168979B"/>
        <s v="169628B"/>
        <s v="169144C"/>
        <s v="167995H"/>
        <s v="171034A"/>
        <s v="170018B"/>
        <s v="169628C"/>
        <s v="170018C"/>
        <s v="170554A"/>
        <s v="171034B"/>
        <s v="172153C"/>
        <s v="171034C"/>
        <s v="172096A"/>
        <s v="172096B"/>
        <s v="172480A"/>
        <s v="172096C"/>
        <s v="172620A"/>
        <s v="172960A"/>
        <s v="173115A"/>
        <s v="173179A"/>
        <s v="173433A"/>
        <s v="173434A"/>
        <s v="173840A"/>
        <s v="173886A"/>
        <s v="174460A"/>
        <s v="175346A"/>
        <s v="178088A"/>
        <s v="175775A"/>
        <s v="175781A"/>
        <s v="175849A"/>
        <s v="178930A"/>
        <s v="176490A"/>
        <s v="179723A"/>
        <s v="176867C"/>
        <s v="177852A"/>
        <s v="180226B"/>
        <s v="180716B"/>
        <s v="180226C"/>
        <s v="179780D"/>
        <s v="182508A"/>
        <s v="180716C"/>
        <s v="179780E"/>
        <s v="181672A"/>
        <s v="185712A"/>
        <s v="181672B"/>
        <s v="182040A"/>
        <s v="182182A"/>
        <s v="183875A"/>
        <s v="184095A"/>
        <s v="184550B"/>
        <s v="183915B"/>
        <s v="184213B"/>
        <s v="184550C"/>
        <s v="185098A"/>
        <s v="183875B"/>
        <s v="185196B"/>
        <s v="184835A"/>
        <s v="183227E"/>
        <s v="184829A"/>
        <s v="184213C"/>
        <s v="185098B"/>
        <s v="183915C"/>
        <s v="183875C"/>
        <s v="185196C"/>
        <s v="183227F"/>
        <s v="183917B"/>
        <s v="184835B"/>
        <s v="185649A"/>
        <s v="184992C"/>
        <s v="186409A"/>
        <s v="185654A"/>
        <s v="184213D"/>
        <s v="185098C"/>
        <s v="186229A"/>
        <s v="186137A"/>
        <s v="184835C"/>
        <s v="185649B"/>
        <s v="186865A"/>
        <s v="185654B"/>
        <s v="185651A"/>
        <s v="186406A"/>
        <s v="187194A"/>
        <s v="186137B"/>
        <s v="185649C"/>
        <s v="186865B"/>
        <s v="187191A"/>
        <s v="187525A"/>
        <s v="186406B"/>
        <s v="186114B"/>
        <s v="186409C"/>
        <s v="185654C"/>
        <s v="186846A"/>
        <s v="186137C"/>
        <s v="186229B"/>
        <s v="187194B"/>
        <s v="187874A"/>
        <s v="188399A"/>
        <s v="185649D"/>
        <s v="186865C"/>
        <s v="187525B"/>
        <s v="186406C"/>
        <s v="193272B"/>
        <s v="191193A"/>
        <s v="189781C"/>
        <s v="194328B"/>
        <s v="191194A"/>
        <s v="194328C"/>
        <s v="191193B"/>
        <s v="193937A"/>
        <s v="194394A"/>
        <s v="194446A"/>
        <s v="193937B"/>
        <s v="194350B"/>
        <s v="195848A"/>
        <s v="193937C"/>
        <s v="196872C"/>
        <s v="196245A"/>
        <s v="196315A"/>
        <s v="196320A"/>
        <s v="196247A"/>
        <s v="196324A"/>
        <s v="196360A"/>
        <s v="196334A"/>
        <s v="196326A"/>
        <s v="196321A"/>
        <s v="196325A"/>
        <s v="196323A"/>
        <s v="196441A"/>
        <s v="196433A"/>
        <s v="196438A"/>
        <s v="196437A"/>
        <s v="196583A"/>
        <s v="201053B"/>
        <s v="196762A"/>
        <s v="196839A"/>
        <s v="196799A"/>
        <s v="196804A"/>
        <s v="196838A"/>
        <s v="196800A"/>
        <s v="196805A"/>
        <s v="196798A"/>
        <s v="196837A"/>
        <s v="197006A"/>
        <s v="197237A"/>
        <s v="197236A"/>
        <s v="197302A"/>
        <s v="197287A"/>
        <s v="197306A"/>
        <s v="199321B"/>
        <s v="201053C"/>
        <s v="197710A"/>
        <s v="197712A"/>
        <s v="197705A"/>
        <s v="197708A"/>
        <s v="197713A"/>
        <s v="197683A"/>
        <s v="197704A"/>
        <s v="197702A"/>
        <s v="197718A"/>
        <s v="197006B"/>
        <s v="197825A"/>
        <s v="197834A"/>
        <s v="197824A"/>
        <s v="197830A"/>
        <s v="197831A"/>
        <s v="197845A"/>
        <s v="197952A"/>
        <s v="198417A"/>
        <s v="198439A"/>
        <s v="198419A"/>
        <s v="198436A"/>
        <s v="198422A"/>
        <s v="201053D"/>
        <s v="198579A"/>
        <s v="198590A"/>
        <s v="198587A"/>
        <s v="198578A"/>
        <s v="198602A"/>
        <s v="198601A"/>
        <s v="198591A"/>
        <s v="198589A"/>
        <s v="198598A"/>
        <s v="197006C"/>
        <s v="201053E"/>
        <s v="199252A"/>
        <s v="199229A"/>
        <s v="199174A"/>
        <s v="199248A"/>
        <s v="199251A"/>
        <s v="199162A"/>
        <s v="199208A"/>
        <s v="199155A"/>
        <s v="199207A"/>
        <s v="199166A"/>
        <s v="199232A"/>
        <s v="199171A"/>
        <s v="199247A"/>
        <s v="199168A"/>
        <s v="199172A"/>
        <s v="199236A"/>
        <s v="199216A"/>
        <s v="199249A"/>
        <s v="199167A"/>
        <s v="199204A"/>
        <s v="199319A"/>
        <s v="199939A"/>
        <s v="199961A"/>
        <s v="199945A"/>
        <s v="199957A"/>
        <s v="199944A"/>
        <s v="199962A"/>
        <s v="199960A"/>
        <s v="199959A"/>
        <s v="199947A"/>
        <s v="199963A"/>
        <s v="200220A"/>
        <s v="200226A"/>
        <s v="200237A"/>
        <s v="200228A"/>
        <s v="200236A"/>
        <s v="200235A"/>
        <s v="200227A"/>
        <s v="200217A"/>
        <s v="201010A"/>
        <s v="200682A"/>
        <s v="200655A"/>
        <s v="200657A"/>
        <s v="200650A"/>
        <s v="200654A"/>
        <s v="200694A"/>
        <s v="200656A"/>
        <s v="201010B"/>
        <s v="204837A"/>
        <s v="205198A"/>
        <s v="203917A"/>
        <s v="209523A"/>
        <s v="207857A"/>
        <s v="207561B"/>
        <s v="208368A"/>
        <s v="208405A"/>
        <s v="208370A"/>
        <s v="208387A"/>
        <s v="208408A"/>
        <s v="208357A"/>
        <s v="208366A"/>
        <s v="208415A"/>
        <s v="208373B"/>
        <s v="207569C"/>
        <s v="207555B"/>
        <s v="207562B"/>
        <s v="207570B"/>
        <s v="207669B"/>
        <s v="207633B"/>
        <s v="207650B"/>
        <s v="207635C"/>
        <s v="209010A"/>
        <s v="209006A"/>
        <s v="208946A"/>
        <s v="208369A"/>
        <s v="209814B"/>
        <s v="209107A"/>
        <s v="208373C"/>
        <s v="209099A"/>
        <s v="209097A"/>
        <s v="209096A"/>
        <s v="209469A"/>
        <s v="209565A"/>
        <s v="209568A"/>
        <s v="209566A"/>
        <s v="209578A"/>
        <s v="209576A"/>
        <s v="209594A"/>
        <s v="209569A"/>
        <s v="209586A"/>
        <s v="209583A"/>
        <s v="209581A"/>
        <s v="209590A"/>
        <s v="209587A"/>
        <s v="209592A"/>
        <s v="208937B"/>
        <s v="209248A"/>
        <s v="211560A"/>
        <s v="211495A"/>
        <s v="211534A"/>
        <s v="211535A"/>
        <s v="211538A"/>
        <s v="211541A"/>
        <s v="211542A"/>
        <s v="211558A"/>
        <s v="211559A"/>
        <s v="211570A"/>
        <s v="211571A"/>
        <s v="211572A"/>
        <s v="211575A"/>
        <s v="211560B"/>
        <s v="211495B"/>
        <s v="211534B"/>
        <s v="211535B"/>
        <s v="211541B"/>
        <s v="211552A"/>
        <s v="211568A"/>
        <s v="211569A"/>
        <s v="211571B"/>
        <s v="212176B"/>
        <s v="211560C"/>
        <s v="211495C"/>
        <s v="211534C"/>
        <s v="211535C"/>
        <s v="211538B"/>
        <s v="211541C"/>
        <s v="211542B"/>
        <s v="211558B"/>
        <s v="211559B"/>
        <s v="211570B"/>
        <s v="211571C"/>
        <s v="211572B"/>
        <s v="211575B"/>
        <s v="211560D"/>
        <s v="211922A"/>
        <s v="212903A"/>
        <s v="212904A"/>
        <s v="212907A"/>
        <s v="212909A"/>
        <s v="213415B"/>
        <s v="212965A"/>
        <s v="213063A"/>
        <s v="213068A"/>
        <s v="213069A"/>
        <s v="213070A"/>
        <s v="213071A"/>
        <s v="213072A"/>
        <s v="213073A"/>
        <s v="213076A"/>
        <s v="213080A"/>
        <s v="213085A"/>
        <s v="215426A"/>
        <s v="213415C"/>
        <s v="212468E"/>
        <s v="215426C"/>
        <s v="215232E"/>
        <s v="215232F"/>
        <s v="216965C"/>
        <s v="216417C"/>
        <s v="217439A"/>
        <s v="217785B"/>
        <s v="216149D"/>
        <s v="215232G"/>
        <s v="217783A"/>
        <s v="215051A"/>
        <s v="218779B"/>
        <s v="215232H"/>
        <s v="215554F"/>
        <s v="214905I"/>
        <s v="217149C"/>
        <s v="214905J"/>
        <s v="215373K"/>
        <s v="215373L"/>
        <s v="215554G"/>
        <s v="214905K"/>
        <s v="217149D"/>
        <s v="221370B"/>
        <s v="222750A"/>
        <s v="221370C"/>
        <s v="217149E"/>
        <s v="221571C"/>
        <s v="220996A"/>
        <s v="222036C"/>
        <s v="222750B"/>
        <s v="224528A"/>
        <s v="222505A"/>
        <s v="222997A"/>
        <s v="221138B"/>
        <s v="201375J"/>
        <s v="223057A"/>
        <s v="221612C"/>
        <s v="224545A"/>
        <s v="222700A"/>
        <s v="224528B"/>
        <s v="223053A"/>
        <s v="222997B"/>
        <s v="221962C"/>
        <s v="222505B"/>
        <s v="223822B"/>
        <s v="223057B"/>
        <s v="224545B"/>
        <s v="224528C"/>
        <s v="225237A"/>
        <s v="225756A"/>
        <s v="222997C"/>
        <s v="223822C"/>
        <s v="224538A"/>
        <s v="226456A"/>
        <s v="224545C"/>
        <s v="225237B"/>
        <s v="225290A"/>
        <s v="225756B"/>
        <s v="223822D"/>
        <s v="226456B"/>
        <s v="225815A"/>
        <s v="226600A"/>
        <s v="227355A"/>
        <s v="232384A"/>
        <s v="224545D"/>
        <s v="226454A"/>
        <s v="225237C"/>
        <s v="225756C"/>
        <s v="226620A"/>
        <s v="226456C"/>
        <s v="230663A"/>
        <s v="233356A"/>
        <s v="227356A"/>
        <s v="226600B"/>
        <s v="225756D"/>
        <s v="229002B"/>
        <s v="228579B"/>
        <s v="226456D"/>
        <s v="229425B"/>
        <s v="228019C"/>
        <s v="229000A"/>
        <s v="229002C"/>
        <s v="228019D"/>
        <s v="231032A"/>
        <s v="231727A"/>
        <s v="229026A"/>
        <s v="229010A"/>
        <s v="230663B"/>
        <s v="229325A"/>
        <s v="229559A"/>
        <s v="229860B"/>
        <s v="233698A"/>
        <s v="231213A"/>
        <s v="231113A"/>
        <s v="235141A"/>
        <s v="231032B"/>
        <s v="233698B"/>
        <s v="233395A"/>
        <s v="233885B"/>
        <s v="231747C"/>
        <s v="232008C"/>
        <s v="234799A"/>
        <s v="234800A"/>
        <s v="234803A"/>
        <s v="234801A"/>
        <s v="235141B"/>
        <s v="235145A"/>
        <s v="236627A"/>
        <s v="237966A"/>
        <s v="233885C"/>
        <s v="237944A"/>
        <s v="236669A"/>
        <s v="235783C"/>
        <s v="237966B"/>
        <s v="236669B"/>
        <s v="237221C"/>
        <s v="235164F"/>
        <s v="235783D"/>
        <s v="237966C"/>
        <s v="235141C"/>
        <s v="219358A"/>
        <s v="220238A"/>
        <s v="221632A"/>
        <s v="235164G"/>
        <s v="237944B"/>
        <s v="238601A"/>
        <s v="236669C"/>
        <s v="230373B"/>
        <s v="239164A"/>
        <s v="237966D"/>
        <s v="226846B"/>
        <s v="219358B"/>
        <s v="220238B"/>
        <s v="221632B"/>
        <s v="216740B"/>
        <s v="239241A"/>
        <s v="218285A"/>
        <s v="238975A"/>
        <s v="235164H"/>
        <s v="230373C"/>
        <s v="238601B"/>
        <s v="224822A"/>
        <s v="226846C"/>
        <s v="240610A"/>
        <s v="222369A"/>
        <s v="239164B"/>
        <s v="221351A"/>
        <s v="220238C"/>
        <s v="235164I"/>
        <s v="239241B"/>
        <s v="221632C"/>
        <s v="216740C"/>
        <s v="238601C"/>
        <s v="237340A"/>
        <s v="242738A"/>
        <s v="224822B"/>
        <s v="230373D"/>
        <s v="226846D"/>
        <s v="239164C"/>
        <s v="220238D"/>
        <s v="222369B"/>
        <s v="221351B"/>
        <s v="242099A"/>
        <s v="221632D"/>
        <s v="216740D"/>
        <s v="235141D"/>
        <s v="235164J"/>
        <s v="238601D"/>
        <s v="241544A"/>
        <s v="241696A"/>
        <s v="230373E"/>
        <s v="226846E"/>
        <s v="242738B"/>
        <s v="224822C"/>
        <s v="240610B"/>
        <s v="222369C"/>
        <s v="221632E"/>
        <s v="216740E"/>
        <s v="242177A"/>
        <s v="242738C"/>
        <s v="224822D"/>
        <s v="241544B"/>
        <s v="230373F"/>
        <s v="241696B"/>
        <s v="226846F"/>
        <s v="222369D"/>
        <s v="242099B"/>
        <s v="221632F"/>
        <s v="216740F"/>
        <s v="242177B"/>
        <s v="242738D"/>
        <s v="224822E"/>
        <s v="241544C"/>
        <s v="241696C"/>
        <s v="222369E"/>
        <s v="225672A"/>
        <s v="242177C"/>
        <s v="242738E"/>
        <s v="222369F"/>
        <s v="225672B"/>
        <s v="225672C"/>
        <s v="225672D"/>
        <s v="237340B"/>
        <s v="225672E"/>
        <s v="253779B"/>
        <s v="255133A"/>
        <s v="253015C"/>
        <s v="253206C"/>
        <s v="254773B"/>
        <s v="252812A"/>
        <s v="253779C"/>
        <s v="257725A"/>
        <s v="254237C"/>
        <s v="255133B"/>
        <s v="256187B"/>
        <s v="253997A"/>
        <s v="254773C"/>
        <s v="256687A"/>
        <s v="256772A"/>
        <s v="258763A"/>
        <s v="259008A"/>
        <s v="261303A"/>
        <s v="257725B"/>
        <s v="255437A"/>
        <s v="256187C"/>
        <s v="258532A"/>
        <s v="260812A"/>
        <s v="259350A"/>
        <s v="261649A"/>
        <s v="257725C"/>
        <s v="258763B"/>
        <s v="259008B"/>
        <s v="259953A"/>
        <s v="261303B"/>
        <s v="260812B"/>
        <s v="261565A"/>
        <s v="261649B"/>
        <s v="260812C"/>
        <s v="261649C"/>
        <s v="262994A"/>
        <s v="267559A"/>
        <s v="267756A"/>
        <s v="261129E"/>
        <s v="259514A"/>
        <s v="265368C"/>
        <s v="266142A"/>
        <s v="263629B"/>
        <s v="265630A"/>
        <s v="266544C"/>
        <s v="262347E"/>
        <s v="264510B"/>
        <s v="267559B"/>
        <s v="267756B"/>
        <s v="265390B"/>
        <s v="264515B"/>
        <s v="266552A"/>
        <s v="265368D"/>
        <s v="261129F"/>
        <s v="265630B"/>
        <s v="266142B"/>
        <s v="266538B"/>
        <s v="266544D"/>
        <s v="267559C"/>
        <s v="265323B"/>
        <s v="266552B"/>
        <s v="267756C"/>
        <s v="265620C"/>
        <s v="265368E"/>
        <s v="266142C"/>
        <s v="265629B"/>
        <s v="266552C"/>
        <s v="266544E"/>
        <s v="265368F"/>
        <s v="266538C"/>
        <s v="265390C"/>
        <s v="265617A"/>
        <s v="265661A"/>
        <s v="265620D"/>
        <s v="265833A"/>
        <s v="265845A"/>
        <s v="272280B"/>
        <s v="273799C"/>
        <s v="271330L"/>
        <s v="272447B"/>
        <s v="275290F"/>
        <s v="273799D"/>
        <s v="271330M"/>
        <s v="274566B"/>
        <s v="275290G"/>
        <s v="275291A"/>
        <s v="271330N"/>
        <s v="275290H"/>
        <s v="280137A"/>
        <s v="271330O"/>
        <s v="275290I"/>
        <s v="275724A"/>
        <s v="275985A"/>
        <s v="275290J"/>
        <s v="273120E"/>
        <s v="274858B"/>
        <s v="274566C"/>
        <s v="275290K"/>
        <s v="277773A"/>
        <s v="275290L"/>
        <s v="276871B"/>
        <s v="273120F"/>
        <s v="275290M"/>
        <s v="274858C"/>
        <s v="281867C"/>
        <s v="272554A"/>
        <s v="275290N"/>
        <s v="279606B"/>
        <s v="273120G"/>
        <s v="273243A"/>
        <s v="280341A"/>
        <s v="280703A"/>
        <s v="280703B"/>
        <s v="277352N"/>
        <s v="277352O"/>
        <s v="279230A"/>
        <s v="269348N"/>
        <s v="277352P"/>
        <s v="277352Q"/>
        <s v="281822A"/>
        <s v="284582A"/>
        <s v="285439A"/>
        <s v="289011A"/>
        <s v="286462A"/>
        <s v="269348O"/>
        <s v="289011B"/>
        <s v="277352R"/>
        <s v="281867M"/>
        <s v="289165A"/>
        <s v="289011C"/>
        <s v="277352S"/>
        <s v="284706B"/>
        <s v="281867N"/>
        <s v="285439B"/>
        <s v="289165B"/>
        <s v="287788A"/>
        <s v="277352T"/>
        <s v="269348P"/>
        <s v="283980C"/>
        <s v="281867O"/>
        <s v="287457A"/>
        <s v="289011D"/>
        <s v="289165C"/>
        <s v="288493A"/>
        <s v="283329D"/>
        <s v="284427A"/>
        <s v="288856A"/>
        <s v="289011E"/>
        <s v="281822C"/>
        <s v="285121D"/>
        <s v="282399F"/>
        <s v="284706C"/>
        <s v="289165D"/>
        <s v="284954B"/>
        <s v="269348Q"/>
        <s v="283980D"/>
        <s v="289011F"/>
        <s v="287457B"/>
        <s v="289165E"/>
        <s v="283329E"/>
        <s v="289011G"/>
        <s v="284706D"/>
        <s v="289165F"/>
        <s v="285121E"/>
        <s v="289350A"/>
        <s v="287788B"/>
        <s v="285340E"/>
        <s v="288162C"/>
        <s v="283980E"/>
        <s v="289011H"/>
        <s v="289165G"/>
        <s v="287235D"/>
        <s v="288493B"/>
        <s v="284954D"/>
        <s v="285804D"/>
        <s v="288784B"/>
        <s v="288856B"/>
        <s v="289011I"/>
        <s v="284706E"/>
        <s v="289865D"/>
        <s v="285121F"/>
        <s v="290657A"/>
        <s v="289350B"/>
        <s v="289165H"/>
        <s v="284870F"/>
        <s v="290789A"/>
        <s v="289011J"/>
        <s v="290427D"/>
        <s v="290542A"/>
        <s v="289165I"/>
        <s v="294548A"/>
        <s v="289865E"/>
        <s v="289011K"/>
        <s v="285804E"/>
        <s v="288784C"/>
        <s v="283919F"/>
        <s v="290542B"/>
        <s v="289165J"/>
        <s v="284870G"/>
        <s v="285121G"/>
        <s v="289350C"/>
        <s v="290789B"/>
        <s v="290427E"/>
        <s v="289495A"/>
        <s v="288827A"/>
        <s v="289011L"/>
        <s v="289865F"/>
        <s v="290542C"/>
        <s v="289165K"/>
        <s v="292597A"/>
        <s v="292967A"/>
        <s v="289011M"/>
        <s v="293039A"/>
        <s v="290542D"/>
        <s v="289143C"/>
        <s v="289165L"/>
        <s v="290668A"/>
        <s v="289350D"/>
        <s v="292099B"/>
        <s v="289011N"/>
        <s v="290789C"/>
        <s v="292597B"/>
        <s v="290542E"/>
        <s v="289165M"/>
        <s v="292967B"/>
        <s v="290542F"/>
        <s v="289011O"/>
        <s v="289165N"/>
        <s v="290657B"/>
        <s v="289350E"/>
        <s v="290789D"/>
        <s v="289495B"/>
        <s v="292099C"/>
        <s v="289641A"/>
        <s v="296225A"/>
        <s v="292597C"/>
        <s v="292579A"/>
        <s v="290542G"/>
        <s v="291562A"/>
        <s v="291488A"/>
        <s v="289165O"/>
        <s v="294055A"/>
        <s v="292967C"/>
        <s v="290542H"/>
        <s v="290668B"/>
        <s v="289350F"/>
        <s v="290789E"/>
        <s v="296225B"/>
        <s v="292099D"/>
        <s v="292597D"/>
        <s v="291940A"/>
        <s v="290542I"/>
        <s v="293924A"/>
        <s v="292967D"/>
        <s v="292978A"/>
        <s v="292928A"/>
        <s v="291717C"/>
        <s v="290542J"/>
        <s v="293460A"/>
        <s v="289350G"/>
        <s v="293466A"/>
        <s v="293574A"/>
        <s v="290789F"/>
        <s v="288867G"/>
        <s v="296225C"/>
        <s v="292597E"/>
        <s v="292579B"/>
        <s v="290542K"/>
        <s v="291717D"/>
        <s v="296920A"/>
        <s v="292288D"/>
        <s v="292987D"/>
        <s v="297792A"/>
        <s v="290542L"/>
        <s v="290531A"/>
        <s v="290789G"/>
        <s v="296225D"/>
        <s v="288867H"/>
        <s v="292798A"/>
        <s v="293924B"/>
        <s v="301117A"/>
        <s v="292987E"/>
        <s v="299475A"/>
        <s v="291717E"/>
        <s v="297792B"/>
        <s v="294659A"/>
        <s v="296225E"/>
        <s v="301117B"/>
        <s v="296763A"/>
        <s v="296748A"/>
        <s v="296750A"/>
        <s v="299480B"/>
        <s v="301797A"/>
        <s v="290030F"/>
        <s v="293062D"/>
        <s v="295533B"/>
        <s v="291553E"/>
        <s v="294363C"/>
        <s v="295530A"/>
        <s v="293084D"/>
        <s v="295527A"/>
        <s v="297792C"/>
        <s v="298517A"/>
        <s v="295683A"/>
        <s v="293337D"/>
        <s v="295671A"/>
        <s v="300853A"/>
        <s v="300754B"/>
        <s v="295919A"/>
        <s v="292136E"/>
        <s v="295917A"/>
        <s v="301272A"/>
        <s v="292047E"/>
        <s v="296112A"/>
        <s v="296751A"/>
        <s v="296110A"/>
        <s v="296753A"/>
        <s v="295951B"/>
        <s v="296109A"/>
        <s v="299509D"/>
        <s v="301300A"/>
        <s v="296227A"/>
        <s v="296330A"/>
        <s v="296886A"/>
        <s v="297564A"/>
        <s v="296358A"/>
        <s v="297566A"/>
        <s v="299304A"/>
        <s v="295100B"/>
        <s v="296436A"/>
        <s v="297634A"/>
        <s v="297659A"/>
        <s v="295038A"/>
        <s v="295053B"/>
        <s v="296467A"/>
        <s v="295210C"/>
        <s v="297971A"/>
        <s v="300751A"/>
        <s v="302133A"/>
        <s v="291108F"/>
        <s v="294141B"/>
        <s v="294155D"/>
        <s v="298216A"/>
        <s v="295361C"/>
        <s v="298197A"/>
        <s v="291063F"/>
        <s v="292622E"/>
        <s v="294027E"/>
        <s v="298087A"/>
        <s v="298104A"/>
        <s v="301117C"/>
        <s v="290030G"/>
        <s v="296629A"/>
        <s v="296672A"/>
        <s v="291553F"/>
        <s v="296630A"/>
        <s v="296754A"/>
        <s v="296628A"/>
        <s v="296748B"/>
        <s v="296750B"/>
        <s v="299475B"/>
        <s v="298347B"/>
        <s v="293062E"/>
        <s v="296949A"/>
        <s v="294363D"/>
        <s v="292136F"/>
        <s v="293084E"/>
        <s v="296215A"/>
        <s v="296917A"/>
        <s v="301797B"/>
        <s v="302694B"/>
        <s v="295533C"/>
        <s v="296496A"/>
        <s v="296498A"/>
        <s v="296462A"/>
        <s v="297130A"/>
        <s v="297792D"/>
        <s v="299998A"/>
        <s v="297347A"/>
        <s v="293337E"/>
        <s v="297350A"/>
        <s v="297349A"/>
        <s v="305248A"/>
        <s v="298707A"/>
        <s v="298217A"/>
        <s v="304298B"/>
        <s v="296751B"/>
        <s v="296753B"/>
        <s v="295951C"/>
        <s v="298904A"/>
        <s v="301300B"/>
        <s v="305773A"/>
        <s v="292047F"/>
        <s v="296227B"/>
        <s v="296330B"/>
        <s v="296886B"/>
        <s v="297459A"/>
        <s v="297564B"/>
        <s v="296214A"/>
        <s v="296358B"/>
        <s v="296885A"/>
        <s v="297460A"/>
        <s v="299329A"/>
        <s v="297566B"/>
        <s v="303774C"/>
        <s v="305645A"/>
        <s v="295100C"/>
        <s v="296436B"/>
        <s v="297634B"/>
        <s v="297632A"/>
        <s v="297650A"/>
        <s v="295053C"/>
        <s v="297633A"/>
        <s v="291108G"/>
        <s v="295210D"/>
        <s v="297971B"/>
        <s v="291063G"/>
        <s v="292136G"/>
        <s v="292622F"/>
        <s v="294027F"/>
        <s v="297917A"/>
        <s v="303298A"/>
        <s v="294155E"/>
        <s v="298216B"/>
        <s v="295361D"/>
        <s v="298192A"/>
        <s v="298197B"/>
        <s v="301117D"/>
        <s v="298784C"/>
        <s v="296672B"/>
        <s v="291553G"/>
        <s v="296754B"/>
        <s v="298421A"/>
        <s v="298905A"/>
        <s v="296748C"/>
        <s v="296750C"/>
        <s v="298409A"/>
        <s v="305248B"/>
        <s v="305831A"/>
        <s v="298347C"/>
        <s v="296215B"/>
        <s v="296917B"/>
        <s v="297472A"/>
        <s v="304298C"/>
        <s v="299208C"/>
        <s v="295533D"/>
        <s v="296496B"/>
        <s v="296498B"/>
        <s v="296462B"/>
        <s v="297130B"/>
        <s v="297792E"/>
        <s v="305773B"/>
        <s v="293062F"/>
        <s v="293337F"/>
        <s v="294363E"/>
        <s v="297969A"/>
        <s v="293084F"/>
        <s v="305645B"/>
        <s v="298510C"/>
        <s v="298155A"/>
        <s v="298217B"/>
        <s v="298708A"/>
        <s v="300280A"/>
        <s v="301584A"/>
        <s v="292047G"/>
        <s v="296751C"/>
        <s v="298902A"/>
        <s v="292136H"/>
        <s v="295951D"/>
        <s v="298904B"/>
        <s v="304071A"/>
        <s v="301300C"/>
        <s v="296227C"/>
        <s v="296330C"/>
        <s v="297564C"/>
        <s v="302467A"/>
        <s v="296214B"/>
        <s v="296358C"/>
        <s v="296885B"/>
        <s v="297460B"/>
        <s v="299329B"/>
        <s v="297566C"/>
        <s v="299323A"/>
        <s v="299324A"/>
        <s v="302450A"/>
        <s v="299304B"/>
        <s v="301766B"/>
        <s v="295100D"/>
        <s v="296436C"/>
        <s v="297634C"/>
        <s v="297766A"/>
        <s v="297632B"/>
        <s v="295053D"/>
        <s v="296467B"/>
        <s v="297633B"/>
        <s v="300478A"/>
        <s v="305248C"/>
        <s v="305831B"/>
        <s v="295210E"/>
        <s v="297971C"/>
        <s v="297996F"/>
        <s v="298216C"/>
        <s v="295361E"/>
        <s v="298056A"/>
        <s v="298197C"/>
        <s v="304850A"/>
        <s v="301117E"/>
        <s v="298784D"/>
        <s v="303527A"/>
        <s v="301368A"/>
        <s v="305773C"/>
        <s v="294155F"/>
        <s v="296672C"/>
        <s v="299087A"/>
        <s v="299523A"/>
        <s v="296754C"/>
        <s v="298905B"/>
        <s v="292622G"/>
        <s v="294027G"/>
        <s v="296750D"/>
        <s v="305645C"/>
        <s v="302417A"/>
        <s v="294501F"/>
        <s v="299208D"/>
        <s v="296498C"/>
        <s v="297792F"/>
        <s v="302901B"/>
        <s v="300345B"/>
        <s v="298204B"/>
        <s v="298715A"/>
        <s v="300253C"/>
        <s v="298902B"/>
        <s v="298900B"/>
        <s v="299522A"/>
        <s v="299563A"/>
        <s v="298463A"/>
        <s v="304074A"/>
        <s v="303732A"/>
        <s v="297456C"/>
        <s v="304399A"/>
        <s v="300646D"/>
        <s v="300514B"/>
        <s v="305257A"/>
        <s v="303298B"/>
        <s v="307622A"/>
        <s v="297996G"/>
        <s v="303379A"/>
        <s v="303515A"/>
        <s v="301664B"/>
        <s v="296672D"/>
        <s v="299087B"/>
        <s v="299523B"/>
        <s v="301314A"/>
        <s v="299571B"/>
        <s v="298463B"/>
        <s v="296754D"/>
        <s v="298905C"/>
        <s v="296750E"/>
        <s v="301315A"/>
        <s v="305751B"/>
        <s v="301890B"/>
        <s v="302417B"/>
        <s v="299738B"/>
        <s v="294501G"/>
        <s v="294363G"/>
        <s v="299789B"/>
        <s v="296215D"/>
        <s v="299765B"/>
        <s v="304292A"/>
        <s v="304313A"/>
        <s v="308918A"/>
        <s v="299208E"/>
        <s v="302375A"/>
        <s v="302573A"/>
        <s v="303834A"/>
        <s v="295533F"/>
        <s v="300652A"/>
        <s v="296498D"/>
        <s v="300480A"/>
        <s v="302518A"/>
        <s v="302668B"/>
        <s v="303930A"/>
        <s v="298685D"/>
        <s v="302788A"/>
        <s v="292407D"/>
        <s v="300349B"/>
        <s v="301535A"/>
        <s v="301537A"/>
        <s v="301538A"/>
        <s v="305595A"/>
        <s v="298708C"/>
        <s v="300339B"/>
        <s v="301516A"/>
        <s v="301536A"/>
        <s v="300169F"/>
        <s v="300896F"/>
        <s v="307596B"/>
        <s v="301584C"/>
        <s v="298902C"/>
        <s v="299572B"/>
        <s v="301557B"/>
        <s v="298900C"/>
        <s v="299522B"/>
        <s v="298463C"/>
        <s v="299569B"/>
        <s v="295951F"/>
        <s v="305708A"/>
        <s v="304071B"/>
        <s v="303732B"/>
        <s v="299697K"/>
        <s v="302444G"/>
        <s v="309338A"/>
        <s v="299191D"/>
        <s v="297564E"/>
        <s v="299329D"/>
        <s v="297566E"/>
        <s v="299323C"/>
        <s v="301766C"/>
        <s v="296904N"/>
        <s v="300481B"/>
        <s v="300616B"/>
        <s v="302687B"/>
        <s v="302060B"/>
        <s v="295053F"/>
        <s v="300478B"/>
        <s v="300618B"/>
        <s v="300646E"/>
        <s v="304497A"/>
        <s v="305257B"/>
        <s v="302261B"/>
        <s v="295210G"/>
        <s v="297971E"/>
        <s v="300852B"/>
        <s v="294027I"/>
        <s v="303432A"/>
        <s v="307622B"/>
        <s v="303515B"/>
        <s v="301250G"/>
        <s v="305527C"/>
        <s v="300941B"/>
        <s v="300915B"/>
        <s v="306144A"/>
        <s v="295361G"/>
        <s v="300942B"/>
        <s v="300940B"/>
        <s v="301207B"/>
        <s v="304850B"/>
        <s v="303527B"/>
        <s v="304956A"/>
        <s v="296672E"/>
        <s v="299523C"/>
        <s v="306360A"/>
        <s v="301602A"/>
        <s v="302417C"/>
        <s v="299697L"/>
        <s v="302444H"/>
        <s v="302404A"/>
        <s v="302416A"/>
        <s v="299789C"/>
        <s v="299765C"/>
        <s v="304313B"/>
        <s v="299208F"/>
        <s v="303834B"/>
        <s v="295533G"/>
        <s v="300652B"/>
        <s v="302629B"/>
        <s v="300480B"/>
        <s v="302505A"/>
        <s v="302518B"/>
        <s v="305348A"/>
        <s v="300810B"/>
        <s v="302901C"/>
        <s v="300178A"/>
        <s v="301476E"/>
        <s v="305527D"/>
        <s v="305595B"/>
        <s v="301516B"/>
        <s v="305702A"/>
        <s v="301557C"/>
        <s v="301601A"/>
        <s v="301607A"/>
        <s v="301608A"/>
        <s v="307897A"/>
        <s v="301684B"/>
        <s v="304058A"/>
        <s v="304059B"/>
        <s v="301609A"/>
        <s v="295951G"/>
        <s v="301610A"/>
        <s v="305708B"/>
        <s v="308918C"/>
        <s v="309796B"/>
        <s v="304074B"/>
        <s v="303732C"/>
        <s v="304214A"/>
        <s v="302444I"/>
        <s v="309338B"/>
        <s v="299191E"/>
        <s v="297564F"/>
        <s v="304312A"/>
        <s v="302451A"/>
        <s v="297566F"/>
        <s v="299323D"/>
        <s v="302403A"/>
        <s v="304307A"/>
        <s v="300616C"/>
        <s v="304391A"/>
        <s v="302060C"/>
        <s v="306747A"/>
        <s v="295053G"/>
        <s v="300618C"/>
        <s v="304497B"/>
        <s v="305257C"/>
        <s v="307018A"/>
        <s v="302259A"/>
        <s v="302261C"/>
        <s v="297971F"/>
        <s v="300852C"/>
        <s v="302260A"/>
        <s v="303432B"/>
        <s v="308031A"/>
        <s v="307622C"/>
        <s v="303379B"/>
        <s v="303515C"/>
        <s v="301250H"/>
        <s v="305527E"/>
        <s v="303531C"/>
        <s v="300941C"/>
        <s v="303631A"/>
        <s v="303635A"/>
        <s v="300915C"/>
        <s v="306144B"/>
        <s v="304891A"/>
        <s v="300942C"/>
        <s v="300940C"/>
        <s v="306032A"/>
        <s v="306229A"/>
        <s v="306254A"/>
        <s v="296672F"/>
        <s v="299523D"/>
        <s v="306360B"/>
        <s v="304057A"/>
        <s v="306349A"/>
        <s v="301602B"/>
        <s v="308994A"/>
        <s v="308590A"/>
        <s v="303834C"/>
        <s v="306714B"/>
        <s v="304935A"/>
        <s v="305279A"/>
        <s v="306858A"/>
        <s v="305337A"/>
        <s v="305338A"/>
        <s v="305527F"/>
        <s v="305620C"/>
        <s v="302914A"/>
        <s v="303069A"/>
        <s v="305478A"/>
        <s v="301516C"/>
        <s v="303070A"/>
        <s v="305526A"/>
        <s v="305624A"/>
        <s v="305654A"/>
        <s v="301557D"/>
        <s v="301601B"/>
        <s v="304073A"/>
        <s v="308459A"/>
        <s v="305651A"/>
        <s v="307958A"/>
        <s v="304056B"/>
        <s v="305763A"/>
        <s v="304059C"/>
        <s v="308450A"/>
        <s v="311953A"/>
        <s v="303732D"/>
        <s v="302444K"/>
        <s v="309338C"/>
        <s v="303810D"/>
        <s v="306623B"/>
        <s v="297564G"/>
        <s v="304295C"/>
        <s v="305877A"/>
        <s v="302451B"/>
        <s v="304315A"/>
        <s v="304316A"/>
        <s v="297566G"/>
        <s v="302403B"/>
        <s v="301766D"/>
        <s v="304479D"/>
        <s v="306712B"/>
        <s v="300616D"/>
        <s v="304432A"/>
        <s v="303876B"/>
        <s v="304455B"/>
        <s v="307374A"/>
        <s v="305509A"/>
        <s v="305511A"/>
        <s v="302060D"/>
        <s v="300618D"/>
        <s v="304496A"/>
        <s v="304539A"/>
        <s v="305257D"/>
        <s v="307018B"/>
        <s v="307620B"/>
        <s v="304638A"/>
        <s v="302261D"/>
        <s v="304632A"/>
        <s v="303300C"/>
        <s v="305759A"/>
        <s v="305757A"/>
        <s v="305728A"/>
        <s v="305729A"/>
        <s v="307482A"/>
        <s v="297971G"/>
        <s v="300852D"/>
        <s v="303432C"/>
        <s v="304639A"/>
        <s v="308031B"/>
        <s v="307622D"/>
        <s v="310132A"/>
        <s v="301250I"/>
        <s v="305527G"/>
        <s v="303635B"/>
        <s v="300915D"/>
        <s v="306068A"/>
        <s v="309749A"/>
        <s v="301145G"/>
        <s v="221960AA"/>
        <s v="305981A"/>
        <s v="305978A"/>
        <s v="305986A"/>
        <s v="306156A"/>
        <s v="305989A"/>
        <s v="306157A"/>
        <s v="300942D"/>
        <s v="300940D"/>
        <s v="306014A"/>
        <s v="303527C"/>
        <s v="304956B"/>
        <s v="306032B"/>
        <s v="306229B"/>
        <s v="308370A"/>
        <s v="296672G"/>
        <s v="299523E"/>
        <s v="307973B"/>
        <s v="306226A"/>
        <s v="306355A"/>
        <s v="306416A"/>
        <s v="306227A"/>
        <s v="306349B"/>
        <s v="306420A"/>
        <s v="306205A"/>
        <s v="306419A"/>
        <s v="306203A"/>
        <s v="306335A"/>
        <s v="306411A"/>
        <s v="306508C"/>
        <s v="302444L"/>
        <s v="308590B"/>
        <s v="306471B"/>
        <s v="306483B"/>
        <s v="302404B"/>
        <s v="302416C"/>
        <s v="304329A"/>
        <s v="305920A"/>
        <s v="301864C"/>
        <s v="306714C"/>
        <s v="309576A"/>
        <s v="306772A"/>
        <s v="305196B"/>
        <s v="306798B"/>
        <s v="306690B"/>
        <s v="302505C"/>
        <s v="304419A"/>
        <s v="308911B"/>
        <s v="302518D"/>
        <s v="304406A"/>
        <s v="303407B"/>
        <s v="304651A"/>
        <s v="306336A"/>
        <s v="306342A"/>
        <s v="306350A"/>
        <s v="304643B"/>
        <s v="304630A"/>
        <s v="300858D"/>
        <s v="302901D"/>
        <s v="306992A"/>
        <s v="305527H"/>
        <s v="305517B"/>
        <s v="305620D"/>
        <s v="301516D"/>
        <s v="305599A"/>
        <s v="301486C"/>
        <s v="305702B"/>
        <s v="308359A"/>
        <s v="308502E"/>
        <s v="301557E"/>
        <s v="304073B"/>
        <s v="308376A"/>
        <s v="305651B"/>
        <s v="307958B"/>
        <s v="305763B"/>
        <s v="308450B"/>
        <s v="303216C"/>
        <s v="304141A"/>
        <s v="313607B"/>
        <s v="304074C"/>
        <s v="305843B"/>
        <s v="309338D"/>
        <s v="306623C"/>
        <s v="308606B"/>
        <s v="306462A"/>
        <s v="306633C"/>
        <s v="308677A"/>
        <s v="308727A"/>
        <s v="221656AA"/>
        <s v="306493C"/>
        <s v="304316B"/>
        <s v="304309A"/>
        <s v="304314A"/>
        <s v="305923B"/>
        <s v="304281C"/>
        <s v="309796E"/>
        <s v="307166B"/>
        <s v="309882A"/>
        <s v="304479E"/>
        <s v="306712C"/>
        <s v="314214A"/>
        <s v="300616E"/>
        <s v="304432B"/>
        <s v="305267A"/>
        <s v="307396A"/>
        <s v="305088F"/>
        <s v="307323A"/>
        <s v="309528A"/>
        <s v="307418A"/>
        <s v="303983F"/>
        <s v="307422A"/>
        <s v="302060E"/>
        <s v="300618E"/>
        <s v="304539B"/>
        <s v="307373C"/>
        <s v="305257E"/>
        <s v="302299D"/>
        <s v="307018C"/>
        <s v="307620C"/>
        <s v="311864A"/>
        <s v="304638B"/>
        <s v="304642A"/>
        <s v="304720A"/>
        <s v="302261E"/>
        <s v="304632B"/>
        <s v="304722A"/>
        <s v="307027A"/>
        <s v="307481A"/>
        <s v="307502A"/>
        <s v="304631A"/>
        <s v="304721A"/>
        <s v="303432D"/>
        <s v="304724A"/>
        <s v="305469A"/>
        <s v="307441B"/>
        <s v="307622E"/>
        <s v="303466A"/>
        <s v="310132B"/>
        <s v="310142A"/>
        <s v="301250J"/>
        <s v="305527I"/>
        <s v="306084C"/>
        <s v="307685A"/>
        <s v="303635C"/>
        <s v="306068B"/>
        <s v="309753B"/>
        <s v="301145H"/>
        <s v="306010B"/>
        <s v="306033B"/>
        <s v="306041B"/>
        <s v="306172B"/>
        <s v="307710A"/>
        <s v="307711A"/>
        <s v="307709A"/>
        <s v="307712A"/>
        <s v="305598A"/>
        <s v="305502A"/>
        <s v="310892A"/>
        <s v="306032C"/>
        <s v="306229C"/>
        <s v="306254B"/>
        <s v="307854C"/>
        <s v="307923B"/>
        <s v="308370B"/>
        <s v="311275A"/>
        <s v="299523F"/>
        <s v="306380A"/>
        <s v="303245C"/>
        <s v="305745A"/>
        <s v="307926B"/>
        <s v="307973C"/>
        <s v="306349C"/>
        <s v="307915A"/>
        <s v="307886A"/>
        <s v="308994B"/>
        <s v="307843A"/>
        <s v="314999A"/>
        <s v="307995B"/>
        <s v="307940A"/>
        <s v="307865A"/>
        <s v="306246D"/>
        <s v="307846A"/>
        <s v="306508D"/>
        <s v="314147A"/>
        <s v="303754F"/>
        <s v="304360E"/>
        <s v="309382A"/>
        <s v="308590C"/>
        <s v="306471C"/>
        <s v="306483C"/>
        <s v="302416D"/>
        <s v="301906D"/>
        <s v="304329B"/>
        <s v="305920B"/>
        <s v="310756A"/>
        <s v="305781D"/>
        <s v="307167C"/>
        <s v="306495A"/>
        <s v="301864D"/>
        <s v="305835A"/>
        <s v="309349D"/>
        <s v="309593B"/>
        <s v="309447A"/>
        <s v="306714D"/>
        <s v="309576B"/>
        <s v="309607A"/>
        <s v="304454B"/>
        <s v="306715B"/>
        <s v="306834D"/>
        <s v="309516B"/>
        <s v="306798C"/>
        <s v="306690C"/>
        <s v="308976B"/>
        <s v="304419B"/>
        <s v="306748A"/>
        <s v="302518E"/>
        <s v="304406B"/>
        <s v="303991E"/>
        <s v="307290G"/>
        <s v="309837G"/>
        <s v="313733A"/>
        <s v="306753D"/>
        <s v="309590A"/>
        <s v="305221A"/>
        <s v="305242A"/>
        <s v="309480A"/>
        <s v="305360A"/>
        <s v="303407C"/>
        <s v="304651B"/>
        <s v="305362A"/>
        <s v="306962A"/>
        <s v="311717A"/>
        <s v="308041B"/>
        <s v="222055AA"/>
        <s v="304643C"/>
        <s v="305369A"/>
        <s v="306957A"/>
        <s v="304630B"/>
        <s v="305365A"/>
        <s v="306954A"/>
        <s v="303439C"/>
        <s v="304769B"/>
        <s v="304778B"/>
        <s v="305395J"/>
        <s v="306933F"/>
        <s v="305378A"/>
        <s v="308155A"/>
        <s v="305430A"/>
        <s v="305527J"/>
        <s v="309798A"/>
        <s v="305620E"/>
        <s v="310358A"/>
        <s v="310361A"/>
        <s v="310364A"/>
        <s v="309793A"/>
        <s v="305493A"/>
        <s v="305593A"/>
        <s v="305596A"/>
        <s v="307626A"/>
        <s v="308284A"/>
        <s v="305494A"/>
        <s v="305591A"/>
        <s v="301516E"/>
        <s v="305594A"/>
        <s v="306135A"/>
        <s v="312927B"/>
        <s v="303543H"/>
        <s v="311738D"/>
        <s v="309767A"/>
        <s v="308292A"/>
        <s v="302955B"/>
        <s v="308299A"/>
        <s v="310511A"/>
        <s v="308422A"/>
        <s v="308420A"/>
        <s v="307927C"/>
        <s v="308367A"/>
        <s v="301557F"/>
        <s v="304073C"/>
        <s v="308459B"/>
        <s v="307887A"/>
        <s v="310548A"/>
        <s v="310466A"/>
        <s v="303216D"/>
        <s v="303248F"/>
        <s v="306345I"/>
        <s v="307884G"/>
        <s v="309238D"/>
        <s v="311171B"/>
        <s v="304141B"/>
        <s v="310571A"/>
        <s v="309338E"/>
        <s v="308589B"/>
        <s v="308565B"/>
        <s v="306623D"/>
        <s v="306557A"/>
        <s v="306462B"/>
        <s v="310741B"/>
        <s v="306633D"/>
        <s v="310718A"/>
        <s v="308727B"/>
        <s v="306493D"/>
        <s v="304316C"/>
        <s v="304309B"/>
        <s v="304158A"/>
        <s v="308646A"/>
        <s v="310751G"/>
        <s v="314053A"/>
        <s v="305941C"/>
        <s v="304303A"/>
        <s v="303923I"/>
        <s v="303858F"/>
        <s v="305292E"/>
        <s v="309971B"/>
        <s v="302087G"/>
        <s v="307423D"/>
        <s v="308755A"/>
        <s v="311524A"/>
        <s v="311523A"/>
        <s v="306712D"/>
        <s v="314214B"/>
        <s v="305267B"/>
        <s v="307396B"/>
        <s v="304489D"/>
        <s v="305088G"/>
        <s v="309952A"/>
        <s v="307374C"/>
        <s v="308868A"/>
        <s v="309528B"/>
        <s v="307418B"/>
        <s v="307422B"/>
        <s v="308857A"/>
        <s v="302060F"/>
        <s v="300618F"/>
        <s v="304496B"/>
        <s v="307359A"/>
        <s v="308819A"/>
        <s v="307392B"/>
        <s v="305157B"/>
        <s v="305263B"/>
        <s v="304539C"/>
        <s v="304404G"/>
        <s v="307290H"/>
        <s v="309461E"/>
        <s v="309837H"/>
        <s v="312061B"/>
        <s v="308909A"/>
        <s v="307281B"/>
        <s v="307337B"/>
        <s v="307373D"/>
        <s v="308799A"/>
        <s v="307395C"/>
        <s v="309975A"/>
        <s v="305257F"/>
        <s v="306877B"/>
        <s v="307018D"/>
        <s v="307620D"/>
        <s v="316034A"/>
        <s v="302261F"/>
        <s v="307027B"/>
        <s v="307618B"/>
        <s v="310040A"/>
        <s v="310112A"/>
        <s v="307474A"/>
        <s v="307502B"/>
        <s v="310098A"/>
        <s v="307482B"/>
        <s v="305469B"/>
        <s v="310038A"/>
        <s v="303321E"/>
        <s v="312779A"/>
        <s v="307598D"/>
        <s v="307615B"/>
        <s v="307595C"/>
        <s v="310109A"/>
        <s v="305395K"/>
        <s v="311132E"/>
        <s v="312112D"/>
        <s v="310062A"/>
        <s v="304634A"/>
        <s v="310132C"/>
        <s v="310142B"/>
        <s v="307437B"/>
        <s v="310293A"/>
        <s v="314421B"/>
        <s v="291370Q"/>
        <s v="310338A"/>
        <s v="300174K"/>
        <s v="305016C"/>
        <s v="305527K"/>
        <s v="304830B"/>
        <s v="310210B"/>
        <s v="304834C"/>
        <s v="306147C"/>
        <s v="308336C"/>
        <s v="310370A"/>
        <s v="310381A"/>
        <s v="310383A"/>
        <s v="309804B"/>
        <s v="303635D"/>
        <s v="306011A"/>
        <s v="310989A"/>
        <s v="306016A"/>
        <s v="306068C"/>
        <s v="301145I"/>
        <s v="308654A"/>
        <s v="310399C"/>
        <s v="307746A"/>
        <s v="305598B"/>
        <s v="306015A"/>
        <s v="305502B"/>
        <s v="306134A"/>
        <s v="307624E"/>
        <s v="310892B"/>
        <s v="313073A"/>
        <s v="310213A"/>
        <s v="306132A"/>
        <s v="307623F"/>
        <s v="307705A"/>
        <s v="307706A"/>
        <s v="308248F"/>
        <s v="309670D"/>
        <s v="313066A"/>
        <s v="314633A"/>
        <s v="310380A"/>
        <s v="306145E"/>
        <s v="310392A"/>
        <s v="313267A"/>
        <s v="307965B"/>
        <s v="306229D"/>
        <s v="309089B"/>
        <s v="307988B"/>
        <s v="310663A"/>
        <s v="307883D"/>
        <s v="307854D"/>
        <s v="308370C"/>
        <s v="311275B"/>
        <s v="299523G"/>
        <s v="306380B"/>
        <s v="303245D"/>
        <s v="305745B"/>
        <s v="307926C"/>
        <s v="309193A"/>
        <s v="307827A"/>
        <s v="308010B"/>
        <s v="310578A"/>
        <s v="307973D"/>
        <s v="309070A"/>
        <s v="311277A"/>
        <s v="222529AA"/>
        <s v="304033B"/>
        <s v="305716C"/>
        <s v="307950C"/>
        <s v="308012A"/>
        <s v="309231A"/>
        <s v="313392A"/>
        <s v="310609A"/>
        <s v="309026A"/>
        <s v="306303C"/>
        <s v="310634A"/>
        <s v="306399D"/>
        <s v="315315A"/>
        <s v="307843B"/>
        <s v="306345J"/>
        <s v="307884H"/>
        <s v="308491C"/>
        <s v="309042A"/>
        <s v="309172B"/>
        <s v="311222B"/>
        <s v="309165B"/>
        <s v="315484A"/>
        <s v="309180A"/>
        <s v="306224A"/>
        <s v="307869A"/>
        <s v="309191A"/>
        <s v="310617A"/>
        <s v="310487A"/>
        <s v="309113A"/>
        <s v="309129A"/>
        <s v="309217A"/>
        <m/>
        <s v="303216B"/>
        <s v="298291K"/>
        <s v="301728L"/>
        <s v="303215C"/>
        <s v="303248D"/>
        <s v="306345E"/>
        <s v="307884C"/>
        <s v="309238B"/>
        <s v="303141C"/>
        <s v="308350A"/>
        <s v="305721B"/>
        <s v="301671D"/>
        <s v="301572A"/>
        <s v="301754A"/>
        <s v="308477A"/>
        <s v="297247D" u="1"/>
        <s v="030380B" u="1"/>
        <s v="192093D" u="1"/>
        <s v="287920M" u="1"/>
        <s v="192093E" u="1"/>
        <s v="287920N" u="1"/>
        <s v="285396A" u="1"/>
        <s v="282582A" u="1"/>
        <s v="287834A" u="1"/>
        <s v="226837B" u="1"/>
        <s v="299181C" u="1"/>
        <s v="226585A" u="1"/>
        <s v="282582C" u="1"/>
        <s v="271797B" u="1"/>
        <s v="192894A" u="1"/>
        <s v="270983A" u="1"/>
        <s v="269583A" u="1"/>
        <s v="192894B" u="1"/>
        <s v="270983B" u="1"/>
        <s v="277797A" u="1"/>
        <s v="297796A" u="1"/>
        <s v="293982B" u="1"/>
        <s v="273983C" u="1"/>
        <s v="293982C" u="1"/>
        <s v="273983D" u="1"/>
        <s v="295982C" u="1"/>
        <s v="306039A" u="1"/>
        <s v="271348C" u="1"/>
        <s v="273348B" u="1"/>
        <s v="030294A" u="1"/>
        <s v="271720A" u="1"/>
        <s v="295533A" u="1"/>
        <s v="030294B" u="1"/>
        <s v="292281A" u="1"/>
        <s v="271720B" u="1"/>
        <s v="264749A" u="1"/>
        <s v="282748B" u="1"/>
        <s v="030294C" u="1"/>
        <s v="081944A" u="1"/>
        <s v="264749B" u="1"/>
        <s v="033480A" u="1"/>
        <s v="264749C" u="1"/>
        <s v="288748A" u="1"/>
        <s v="033480B" u="1"/>
        <s v="068759B" u="1"/>
        <s v="282682A" u="1"/>
        <s v="278282B" u="1"/>
        <s v="305588A" u="1"/>
        <s v="033480C" u="1"/>
        <s v="229937A" u="1"/>
        <s v="291896A" u="1"/>
        <s v="033480D" u="1"/>
        <s v="292896A" u="1"/>
        <s v="282682C" u="1"/>
        <s v="303774B" u="1"/>
        <s v="297896A" u="1"/>
        <s v="300139A" u="1"/>
        <s v="278897A" u="1"/>
        <s v="278897C" u="1"/>
        <s v="200423A" u="1"/>
        <s v="288047A" u="1"/>
        <s v="285233A" u="1"/>
        <s v="200423B" u="1"/>
        <s v="288047B" u="1"/>
        <s v="308139A" u="1"/>
        <s v="303325B" u="1"/>
        <s v="275448A" u="1"/>
        <s v="291447C" u="1"/>
        <s v="303325C" u="1"/>
        <s v="288047D" u="1"/>
        <s v="271196B" u="1"/>
        <s v="293195A" u="1"/>
        <s v="278448A" u="1"/>
        <s v="298447A" u="1"/>
        <s v="200423E" u="1"/>
        <s v="288047E" u="1"/>
        <s v="031394A" u="1"/>
        <s v="062859A" u="1"/>
        <s v="296633A" u="1"/>
        <s v="298447B" u="1"/>
        <s v="062859B" u="1"/>
        <s v="284848A" u="1"/>
        <s v="307511B" u="1"/>
        <s v="275382A" u="1"/>
        <s v="281848D" u="1"/>
        <s v="277634C" u="1"/>
        <s v="275382B" u="1"/>
        <s v="297381A" u="1"/>
        <s v="275382C" u="1"/>
        <s v="267597A" u="1"/>
        <s v="305688A" u="1"/>
        <s v="256821D" u="1"/>
        <s v="288596A" u="1"/>
        <s v="285782A" u="1"/>
        <s v="289596A" u="1"/>
        <s v="303874A" u="1"/>
        <s v="280147A" u="1"/>
        <s v="297996A" u="1"/>
        <s v="289596D" u="1"/>
        <s v="297996B" u="1"/>
        <s v="221336A" u="1"/>
        <s v="285147A" u="1"/>
        <s v="221336B" u="1"/>
        <s v="297996D" u="1"/>
        <s v="221336C" u="1"/>
        <s v="850667" u="1"/>
        <s v="281081A" u="1"/>
        <s v="297996E" u="1"/>
        <s v="282081A" u="1"/>
        <s v="221336D" u="1"/>
        <s v="281081B" u="1"/>
        <s v="204085A" u="1"/>
        <s v="282081B" u="1"/>
        <s v="850853" u="1"/>
        <s v="285081A" u="1"/>
        <s v="SA-000033" u="1"/>
        <s v="204085B" u="1"/>
        <s v="273734A" u="1"/>
        <s v="282081C" u="1"/>
        <s v="194645B" u="1"/>
        <s v="204085C" u="1"/>
        <s v="277548B" u="1"/>
        <s v="282081D" u="1"/>
        <s v="295733A" u="1"/>
        <s v="295295A" u="1"/>
        <s v="229084A" u="1"/>
        <s v="278548B" u="1"/>
        <s v="204085D" u="1"/>
        <s v="053493A" u="1"/>
        <s v="093491A" u="1"/>
        <s v="284948A" u="1"/>
        <s v="278548C" u="1"/>
        <s v="279734A" u="1"/>
        <s v="093491B" u="1"/>
        <s v="286948A" u="1"/>
        <s v="284948C" u="1"/>
        <s v="284948D" u="1"/>
        <s v="305788A" u="1"/>
        <s v="284882A" u="1"/>
        <s v="284882B" u="1"/>
        <s v="288696B" u="1"/>
        <s v="289882A" u="1"/>
        <s v="294032A" u="1"/>
        <s v="268883B" u="1"/>
        <s v="282247A" u="1"/>
        <s v="254034B" u="1"/>
        <s v="266082K" u="1"/>
        <s v="289882B" u="1"/>
        <s v="302339A" u="1"/>
        <s v="289882C" u="1"/>
        <s v="059044A" u="1"/>
        <s v="239035A" u="1"/>
        <s v="268883D" u="1"/>
        <s v="289882D" u="1"/>
        <s v="223436A" u="1"/>
        <s v="301525A" u="1"/>
        <s v="059044B" u="1"/>
        <s v="239035B" u="1"/>
        <s v="302525A" u="1"/>
        <s v="289882E" u="1"/>
        <s v="223436B" u="1"/>
        <s v="285433A" u="1"/>
        <s v="226436A" u="1"/>
        <s v="284433B" u="1"/>
        <s v="280181B" u="1"/>
        <s v="282181A" u="1"/>
        <s v="289882F" u="1"/>
        <s v="285433B" u="1"/>
        <s v="284433C" u="1"/>
        <s v="289882G" u="1"/>
        <s v="231398A" u="1"/>
        <s v="221370A" u="1"/>
        <s v="265620B" u="1"/>
        <s v="293395A" u="1"/>
        <s v="274396A" u="1"/>
        <s v="197559C" u="1"/>
        <s v="051593A" u="1"/>
        <s v="275396A" u="1"/>
        <s v="293395B" u="1"/>
        <s v="274396B" u="1"/>
        <s v="197559D" u="1"/>
        <s v="051593B" u="1"/>
        <s v="197559E" u="1"/>
        <s v="051593C" u="1"/>
        <s v="277396B" u="1"/>
        <s v="282796A" u="1"/>
        <s v="051593D" u="1"/>
        <s v="850066" u="1"/>
        <s v="850252" u="1"/>
        <s v="033145A" u="1"/>
        <s v="288982A" u="1"/>
        <s v="306010A" u="1"/>
        <s v="033145B" u="1"/>
        <s v="033145C" u="1"/>
        <s v="258134A" u="1"/>
        <s v="278133A" u="1"/>
        <s v="185259B" u="1"/>
        <s v="286347A" u="1"/>
        <s v="301187A" u="1"/>
        <s v="269348A" u="1"/>
        <s v="000881" u="1"/>
        <s v="286347C" u="1"/>
        <s v="300811A" u="1"/>
        <s v="042293A" u="1"/>
        <s v="269348B" u="1"/>
        <s v="041293B" u="1"/>
        <s v="287095A" u="1"/>
        <s v="284281A" u="1"/>
        <s v="041293C" u="1"/>
        <s v="287095B" u="1"/>
        <s v="226284A" u="1"/>
        <s v="266096C" u="1"/>
        <s v="294933A" u="1"/>
        <s v="100148" u="1"/>
        <s v="275934A" u="1"/>
        <s v="279748B" u="1"/>
        <s v="029546D" u="1"/>
        <s v="307373B" u="1"/>
        <s v="279748C" u="1"/>
        <s v="277496B" u="1"/>
        <s v="223899A" u="1"/>
        <s v="278682A" u="1"/>
        <s v="295747G" u="1"/>
        <s v="279682A" u="1"/>
        <s v="850166" u="1"/>
        <s v="304988B" u="1"/>
        <s v="269348K" u="1"/>
        <s v="193144A" u="1"/>
        <s v="269348L" u="1"/>
        <s v="193144B" u="1"/>
        <s v="269348M" u="1"/>
        <s v="193144C" u="1"/>
        <s v="310510A" u="1"/>
        <s v="255234C" u="1"/>
        <s v="281195A" u="1"/>
        <s v="284195A" u="1"/>
        <s v="167546A" u="1"/>
        <s v="284195B" u="1"/>
        <s v="286195A" u="1"/>
        <s v="293847A" u="1"/>
        <s v="167546B" u="1"/>
        <s v="201823B" u="1"/>
        <s v="274848A" u="1"/>
        <s v="293847B" u="1"/>
        <s v="276848A" u="1"/>
        <s v="010131" u="1"/>
        <s v="293595A" u="1"/>
        <s v="290781A" u="1"/>
        <s v="306911A" u="1"/>
        <s v="075858C" u="1"/>
        <s v="267820B" u="1"/>
        <s v="290781B" u="1"/>
        <s v="308911A" u="1"/>
        <s v="228384B" u="1"/>
        <s v="293781A" u="1"/>
        <s v="290781C" u="1"/>
        <s v="269820C" u="1"/>
        <s v="271782C" u="1"/>
        <s v="290781D" u="1"/>
        <s v="228384D" u="1"/>
        <s v="400074" u="1"/>
        <s v="297781A" u="1"/>
        <s v="278782A" u="1"/>
        <s v="271782F" u="1"/>
        <s v="279782B" u="1"/>
        <s v="288996A" u="1"/>
        <s v="094156A" u="1"/>
        <s v="295146A" u="1"/>
        <s v="070409F" u="1"/>
        <s v="850452" u="1"/>
        <s v="094156B" u="1"/>
        <s v="257783E" u="1"/>
        <s v="271782H" u="1"/>
        <s v="057158A" u="1"/>
        <s v="273147C" u="1"/>
        <s v="257783F" u="1"/>
        <s v="057158B" u="1"/>
        <s v="277147B" u="1"/>
        <s v="307210A" u="1"/>
        <s v="271782J" u="1"/>
        <s v="272081A" u="1"/>
        <s v="057158C" u="1"/>
        <s v="309210A" u="1"/>
        <s v="280295A" u="1"/>
        <s v="272081B" u="1"/>
        <s v="285547A" u="1"/>
        <s v="282295A" u="1"/>
        <s v="272081C" u="1"/>
        <s v="274081B" u="1"/>
        <s v="283733A" u="1"/>
        <s v="285547B" u="1"/>
        <s v="268548A" u="1"/>
        <s v="306639A" u="1"/>
        <s v="282295B" u="1"/>
        <s v="284295A" u="1"/>
        <s v="285547C" u="1"/>
        <s v="286733A" u="1"/>
        <s v="306639B" u="1"/>
        <s v="274081D" u="1"/>
        <s v="278081B" u="1"/>
        <s v="285547D" u="1"/>
        <s v="294947A" u="1"/>
        <s v="288733A" u="1"/>
        <s v="282295D" u="1"/>
        <s v="277948A" u="1"/>
        <s v="285547F" u="1"/>
        <s v="294695A" u="1"/>
        <s v="285547G" u="1"/>
        <s v="303573C" u="1"/>
        <s v="276882A" u="1"/>
        <s v="298695B" u="1"/>
        <s v="027680C" u="1"/>
        <s v="283032B" u="1"/>
        <s v="286733J" u="1"/>
        <s v="298246A" u="1"/>
        <s v="293246D" u="1"/>
        <s v="030631B" u="1"/>
        <s v="147132D" u="1"/>
        <s v="030631C" u="1"/>
        <s v="147132E" u="1"/>
        <s v="304739A" u="1"/>
        <s v="297180A" u="1"/>
        <s v="304739B" u="1"/>
        <s v="238621A" u="1"/>
        <s v="278181A" u="1"/>
        <s v="147132G" u="1"/>
        <s v="238621B" u="1"/>
        <s v="284395B" u="1"/>
        <s v="238621C" u="1"/>
        <s v="271796A" u="1"/>
        <s v="278181C" u="1"/>
        <s v="293795A" u="1"/>
        <s v="113720F" u="1"/>
        <s v="235798A" u="1"/>
        <s v="278181E" u="1"/>
        <s v="113720G" u="1"/>
        <s v="269582A" u="1"/>
        <s v="235798B" u="1"/>
        <s v="293981A" u="1"/>
        <s v="235798C" u="1"/>
        <s v="293981B" u="1"/>
        <s v="296981A" u="1"/>
        <s v="235798D" u="1"/>
        <s v="278181H" u="1"/>
        <s v="269582D" u="1"/>
        <s v="203136A" u="1"/>
        <s v="283132A" u="1"/>
        <s v="235798E" u="1"/>
        <s v="203136B" u="1"/>
        <s v="203136C" u="1"/>
        <s v="290532A" u="1"/>
        <s v="288132A" u="1"/>
        <s v="187230A" u="1"/>
        <s v="203136D" u="1"/>
        <s v="269133A" u="1"/>
        <s v="297346A" u="1"/>
        <s v="203136E" u="1"/>
        <s v="274533A" u="1"/>
        <s v="274095A" u="1"/>
        <s v="275533A" u="1"/>
        <s v="303410C" u="1"/>
        <s v="274095B" u="1"/>
        <s v="275533B" u="1"/>
        <s v="283495A" u="1"/>
        <s v="279095B" u="1"/>
        <s v="282933B" u="1"/>
        <s v="288747A" u="1"/>
        <s v="306839A" u="1"/>
        <s v="205499A" u="1"/>
        <s v="283495C" u="1"/>
        <s v="283495D" u="1"/>
        <s v="268047A" u="1"/>
        <s v="282232B" u="1"/>
        <s v="265233A" u="1"/>
        <s v="272447A" u="1"/>
        <s v="287232A" u="1"/>
        <s v="176359A" u="1"/>
        <s v="294446A" u="1"/>
        <s v="270195A" u="1"/>
        <s v="287232B" u="1"/>
        <s v="176359B" u="1"/>
        <s v="290446D" u="1"/>
        <s v="294446B" u="1"/>
        <s v="273447C" u="1"/>
        <s v="176359C" u="1"/>
        <s v="290446E" u="1"/>
        <s v="274195A" u="1"/>
        <s v="290194C" u="1"/>
        <s v="279447A" u="1"/>
        <s v="293194B" u="1"/>
        <s v="176359D" u="1"/>
        <s v="294194B" u="1"/>
        <s v="310472A" u="1"/>
        <s v="279447B" u="1"/>
        <s v="278195A" u="1"/>
        <s v="294380A" u="1"/>
        <s v="267848A" u="1"/>
        <s v="291380D" u="1"/>
        <s v="267848B" u="1"/>
        <s v="298380A" u="1"/>
        <s v="285595A" u="1"/>
        <s v="279381A" u="1"/>
        <s v="291380E" u="1"/>
        <s v="282781A" u="1"/>
        <s v="267596A" u="1"/>
        <s v="285595B" u="1"/>
        <s v="305687A" u="1"/>
        <s v="279381B" u="1"/>
        <s v="291380F" u="1"/>
        <s v="088408A" u="1"/>
        <s v="264147A" u="1"/>
        <s v="025159A" u="1"/>
        <s v="278996B" u="1"/>
        <s v="278996C" u="1"/>
        <s v="284332A" u="1"/>
        <s v="280080A" u="1"/>
        <s v="278996D" u="1"/>
        <s v="284080A" u="1"/>
        <s v="276547A" u="1"/>
        <s v="073743A" u="1"/>
        <s v="276547B" u="1"/>
        <s v="073743B" u="1"/>
        <s v="306172A" u="1"/>
        <s v="265081C" u="1"/>
        <s v="276547C" u="1"/>
        <s v="292480A" u="1"/>
        <s v="052109A" u="1"/>
        <s v="266948B" u="1"/>
        <s v="052109B" u="1"/>
        <s v="285695A" u="1"/>
        <s v="266948C" u="1"/>
        <s v="299480A" u="1"/>
        <s v="282881A" u="1"/>
        <s v="052109C" u="1"/>
        <s v="288947C" u="1"/>
        <s v="052109D" u="1"/>
        <s v="282881C" u="1"/>
        <s v="286881A" u="1"/>
        <s v="304973A" u="1"/>
        <s v="052109E" u="1"/>
        <s v="286881B" u="1"/>
        <s v="052109F" u="1"/>
        <s v="307973A" u="1"/>
        <s v="281246A" u="1"/>
        <s v="286881C" u="1"/>
        <s v="300338A" u="1"/>
        <s v="043258A" u="1"/>
        <s v="281246B" u="1"/>
        <s v="284246A" u="1"/>
        <s v="300338B" u="1"/>
        <s v="302338A" u="1"/>
        <s v="285246A" u="1"/>
        <s v="279032A" u="1"/>
        <s v="226249A" u="1"/>
        <s v="266247A" u="1"/>
        <s v="284246B" u="1"/>
        <s v="189158B" u="1"/>
        <s v="311738A" u="1"/>
        <s v="301086C" u="1"/>
        <s v="306524A" u="1"/>
        <s v="311738B" u="1"/>
        <s v="231397A" u="1"/>
        <s v="289432A" u="1"/>
        <s v="233835A" u="1"/>
        <s v="308086A" u="1"/>
        <s v="225621B" u="1"/>
        <s v="231397B" u="1"/>
        <s v="273395A" u="1"/>
        <s v="289432B" u="1"/>
        <s v="293394A" u="1"/>
        <s v="291832C" u="1"/>
        <s v="289432C" u="1"/>
        <s v="293394B" u="1"/>
        <s v="296394A" u="1"/>
        <s v="277647C" u="1"/>
        <s v="273395C" u="1"/>
        <s v="289432D" u="1"/>
        <s v="293394C" u="1"/>
        <s v="289432E" u="1"/>
        <s v="293394D" u="1"/>
        <s v="294580B" u="1"/>
        <s v="182893B" u="1"/>
        <s v="282981A" u="1"/>
        <s v="850065" u="1"/>
        <s v="272132A" u="1"/>
        <s v="230320A" u="1"/>
        <s v="262347B" u="1"/>
        <s v="284346A" u="1"/>
        <s v="300438B" u="1"/>
        <s v="285346A" u="1"/>
        <s v="262347C" u="1"/>
        <s v="282094A" u="1"/>
        <s v="262347D" u="1"/>
        <s v="284346C" u="1"/>
        <s v="282094B" u="1"/>
        <s v="021545C" u="1"/>
        <s v="285532A" u="1"/>
        <s v="266347C" u="1"/>
        <s v="300810A" u="1"/>
        <s v="304624A" u="1"/>
        <s v="280280B" u="1"/>
        <s v="282094C" u="1"/>
        <s v="021545D" u="1"/>
        <s v="285532B" u="1"/>
        <s v="227097A" u="1"/>
        <s v="285532C" u="1"/>
        <s v="285280A" u="1"/>
        <s v="303810B" u="1"/>
        <s v="228721A" u="1"/>
        <s v="288280A" u="1"/>
        <s v="303810C" u="1"/>
        <s v="307624C" u="1"/>
        <s v="296932A" u="1"/>
        <s v="307372A" u="1"/>
        <s v="298494A" u="1"/>
        <s v="275681A" u="1"/>
        <s v="221658AA" u="1"/>
        <s v="228721F" u="1"/>
        <s v="850165" u="1"/>
        <s v="291045B" u="1"/>
        <s v="218870A" u="1"/>
        <s v="228721G" u="1"/>
        <s v="290231A" u="1"/>
        <s v="273046B" u="1"/>
        <s v="218870B" u="1"/>
        <s v="272232A" u="1"/>
        <s v="292045C" u="1"/>
        <s v="218870C" u="1"/>
        <s v="290231C" u="1"/>
        <s v="294231A" u="1"/>
        <s v="273232B" u="1"/>
        <s v="218870D" u="1"/>
        <s v="280194A" u="1"/>
        <s v="281194A" u="1"/>
        <s v="210421D" u="1"/>
        <s v="280194B" u="1"/>
        <s v="283632A" u="1"/>
        <s v="273232E" u="1"/>
        <s v="281194B" u="1"/>
        <s v="210421E" u="1"/>
        <s v="265195A" u="1"/>
        <s v="281194C" u="1"/>
        <s v="273232G" u="1"/>
        <s v="281194D" u="1"/>
        <s v="287194A" u="1"/>
        <s v="081007A" u="1"/>
        <s v="281194E" u="1"/>
        <s v="288632B" u="1"/>
        <s v="52832M" u="1"/>
        <s v="273232I" u="1"/>
        <s v="298846A" u="1"/>
        <s v="278847B" u="1"/>
        <s v="064008B" u="1"/>
        <s v="293780A" u="1"/>
        <s v="280995A" u="1"/>
        <s v="064008C" u="1"/>
        <s v="296780A" u="1"/>
        <s v="064008D" u="1"/>
        <s v="400073" u="1"/>
        <s v="220120B" u="1"/>
        <s v="274146A" u="1"/>
        <s v="220120C" u="1"/>
        <s v="273146B" u="1"/>
        <s v="275146A" u="1"/>
        <s v="217149A" u="1"/>
        <s v="309023A" u="1"/>
        <s v="274332A" u="1"/>
        <s v="217149B" u="1"/>
        <s v="225549A" u="1"/>
        <s v="282546C" u="1"/>
        <s v="284732A" u="1"/>
        <s v="282294B" u="1"/>
        <s v="281480A" u="1"/>
        <s v="202484A" u="1"/>
        <s v="282294C" u="1"/>
        <s v="281480B" u="1"/>
        <s v="270695A" u="1"/>
        <s v="282294D" u="1"/>
        <s v="270695B" u="1"/>
        <s v="288732B" u="1"/>
        <s v="202484C" u="1"/>
        <s v="270695C" u="1"/>
        <s v="202484D" u="1"/>
        <s v="275695A" u="1"/>
        <s v="270695D" u="1"/>
        <s v="202484E" u="1"/>
        <s v="309572A" u="1"/>
        <s v="270695E" u="1"/>
        <s v="294880A" u="1"/>
        <s v="092507A" u="1"/>
        <s v="270695F" u="1"/>
        <s v="850179" u="1"/>
        <s v="092507B" u="1"/>
        <s v="121132A" u="1"/>
        <s v="092507C" u="1"/>
        <s v="293245A" u="1"/>
        <s v="092507D" u="1"/>
        <s v="274246A" u="1"/>
        <s v="092507E" u="1"/>
        <s v="287031B" u="1"/>
        <s v="063909A" u="1"/>
        <s v="272432A" u="1"/>
        <s v="277246A" u="1"/>
        <s v="277246B" u="1"/>
        <s v="276432A" u="1"/>
        <s v="290431D" u="1"/>
        <s v="295431B" u="1"/>
        <s v="276432B" u="1"/>
        <s v="065657A" u="1"/>
        <s v="295431C" u="1"/>
        <s v="282394A" u="1"/>
        <s v="065657B" u="1"/>
        <s v="274180B" u="1"/>
        <s v="049658A" u="1"/>
        <s v="065657C" u="1"/>
        <s v="301486B" u="1"/>
        <s v="286394A" u="1"/>
        <s v="288394A" u="1"/>
        <s v="300672C" u="1"/>
        <s v="270981A" u="1"/>
        <s v="306672A" u="1"/>
        <s v="289394C" u="1"/>
        <s v="304672C" u="1"/>
        <s v="211984B" u="1"/>
        <s v="275981A" u="1"/>
        <s v="280131A" u="1"/>
        <s v="277981A" u="1"/>
        <s v="280131B" u="1"/>
        <s v="283131A" u="1"/>
        <s v="277981B" u="1"/>
        <s v="266132A" u="1"/>
        <s v="305037C" u="1"/>
        <s v="229134A" u="1"/>
        <s v="291093A" u="1"/>
        <s v="093169E" u="1"/>
        <s v="229134B" u="1"/>
        <s v="291093B" u="1"/>
        <s v="093169F" u="1"/>
        <s v="229134C" u="1"/>
        <s v="272280A" u="1"/>
        <s v="280932A" u="1"/>
        <s v="278532A" u="1"/>
        <s v="282932A" u="1"/>
        <s v="278532B" u="1"/>
        <s v="283932A" u="1"/>
        <s v="262747D" u="1"/>
        <s v="273280C" u="1"/>
        <s v="288746A" u="1"/>
        <s v="288746B" u="1"/>
        <s v="288494A" u="1"/>
        <s v="304586B" u="1"/>
        <s v="288494B" u="1"/>
        <s v="293894A" u="1"/>
        <s v="288494C" u="1"/>
        <s v="288680A" u="1"/>
        <s v="293894B" u="1"/>
        <s v="288680B" u="1"/>
        <s v="293894C" u="1"/>
        <s v="276895B" u="1"/>
        <s v="288680C" u="1"/>
        <s v="288680D" u="1"/>
        <s v="288680E" u="1"/>
        <s v="AA-000045" u="1"/>
        <s v="272446A" u="1"/>
        <s v="288680F" u="1"/>
        <s v="292445A" u="1"/>
        <s v="267232A" u="1"/>
        <s v="288680G" u="1"/>
        <s v="053457B" u="1"/>
        <s v="271632A" u="1"/>
        <s v="267232B" u="1"/>
        <s v="053457C" u="1"/>
        <s v="271632B" u="1"/>
        <s v="267232C" u="1"/>
        <s v="053457D" u="1"/>
        <s v="271632C" u="1"/>
        <s v="279446A" u="1"/>
        <s v="267232D" u="1"/>
        <s v="268232D" u="1"/>
        <s v="271632D" u="1"/>
        <s v="297631A" u="1"/>
        <s v="308071A" u="1"/>
        <s v="267232E" u="1"/>
        <s v="268232E" u="1"/>
        <s v="297631B" u="1"/>
        <s v="296631C" u="1"/>
        <s v="267847A" u="1"/>
        <s v="268232F" u="1"/>
        <s v="305938A" u="1"/>
        <s v="268847A" u="1"/>
        <s v="267847B" u="1"/>
        <s v="268232G" u="1"/>
        <s v="278194C" u="1"/>
        <s v="307938A" u="1"/>
        <s v="282780A" u="1"/>
        <s v="267847C" u="1"/>
        <s v="268232H" u="1"/>
        <s v="039830B" u="1"/>
        <s v="265595B" u="1"/>
        <s v="268232I" u="1"/>
        <s v="039830C" u="1"/>
        <s v="268232J" u="1"/>
        <s v="305872A" u="1"/>
        <s v="268232K" u="1"/>
        <s v="305872B" u="1"/>
        <s v="268232L" u="1"/>
        <s v="284145A" u="1"/>
        <s v="291359A" u="1"/>
        <s v="284145B" u="1"/>
        <s v="284145C" u="1"/>
        <s v="295359A" u="1"/>
        <s v="269146A" u="1"/>
        <s v="285331A" u="1"/>
        <s v="295359B" u="1"/>
        <s v="270732A" u="1"/>
        <s v="127432A" u="1"/>
        <s v="850851" u="1"/>
        <s v="270732B" u="1"/>
        <s v="292731A" u="1"/>
        <s v="273732A" u="1"/>
        <s v="311385A" u="1"/>
        <s v="298545A" u="1"/>
        <s v="274294A" u="1"/>
        <s v="281946A" u="1"/>
        <s v="279546A" u="1"/>
        <s v="282946A" u="1"/>
        <s v="265080C" u="1"/>
        <s v="274294B" u="1"/>
        <s v="281946B" u="1"/>
        <s v="279546B" u="1"/>
        <s v="285946A" u="1"/>
        <s v="500112" u="1"/>
        <s v="288946A" u="1"/>
        <s v="280880A" u="1"/>
        <s v="285694A" u="1"/>
        <s v="176392D" u="1"/>
        <s v="176392E" u="1"/>
        <s v="290030A" u="1"/>
        <s v="284694D" u="1"/>
        <s v="304972A" u="1"/>
        <s v="010192" u="1"/>
        <s v="290030B" u="1"/>
        <s v="284694E" u="1"/>
        <s v="288880A" u="1"/>
        <s v="290030C" u="1"/>
        <s v="288880B" u="1"/>
        <s v="295030A" u="1"/>
        <s v="284059B" u="1"/>
        <s v="083507C" u="1"/>
        <s v="290030D" u="1"/>
        <s v="068508A" u="1"/>
        <s v="284694G" u="1"/>
        <s v="302337A" u="1"/>
        <s v="045892E" u="1"/>
        <s v="083507D" u="1"/>
        <s v="290030E" u="1"/>
        <s v="092907A" u="1"/>
        <s v="068508B" u="1"/>
        <s v="286245A" u="1"/>
        <s v="083507E" u="1"/>
        <s v="068508C" u="1"/>
        <s v="268246A" u="1"/>
        <s v="092907C" u="1"/>
        <s v="307337A" u="1"/>
        <s v="068508D" u="1"/>
        <s v="268246B" u="1"/>
        <s v="308337A" u="1"/>
        <s v="272646B" u="1"/>
        <s v="284694K" u="1"/>
        <s v="294645A" u="1"/>
        <s v="298459A" u="1"/>
        <s v="268246C" u="1"/>
        <s v="067508F" u="1"/>
        <s v="296645A" u="1"/>
        <s v="277646A" u="1"/>
        <s v="271394B" u="1"/>
        <s v="274394A" u="1"/>
        <s v="276394A" u="1"/>
        <s v="273580A" u="1"/>
        <s v="187958A" u="1"/>
        <s v="276394B" u="1"/>
        <s v="271394E" u="1"/>
        <s v="273580B" u="1"/>
        <s v="275580A" u="1"/>
        <s v="276394C" u="1"/>
        <s v="298393B" u="1"/>
        <s v="273580C" u="1"/>
        <s v="280980A" u="1"/>
        <s v="271394G" u="1"/>
        <s v="280980B" u="1"/>
        <s v="283980A" u="1"/>
        <s v="298393E" u="1"/>
        <s v="283980B" u="1"/>
        <s v="298393F" u="1"/>
        <s v="272131A" u="1"/>
        <s v="085607A" u="1"/>
        <s v="289980A" u="1"/>
        <s v="289980B" u="1"/>
        <s v="284345A" u="1"/>
        <s v="288159A" u="1"/>
        <s v="289980C" u="1"/>
        <s v="288159B" u="1"/>
        <s v="293559A" u="1"/>
        <s v="284345C" u="1"/>
        <s v="288345A" u="1"/>
        <s v="284093A" u="1"/>
        <s v="288345B" u="1"/>
        <s v="310399A" u="1"/>
        <s v="226096A" u="1"/>
        <s v="306623A" u="1"/>
        <s v="226096B" u="1"/>
        <s v="296745A" u="1"/>
        <s v="304623C" u="1"/>
        <s v="226096C" u="1"/>
        <s v="267280A" u="1"/>
        <s v="278746A" u="1"/>
        <s v="296745B" u="1"/>
        <s v="307623C" u="1"/>
        <s v="216935A" u="1"/>
        <s v="276932A" u="1"/>
        <s v="296931A" u="1"/>
        <s v="308371A" u="1"/>
        <s v="307623D" u="1"/>
        <s v="216935B" u="1"/>
        <s v="256933B" u="1"/>
        <s v="276932B" u="1"/>
        <s v="275680A" u="1"/>
        <s v="216935C" u="1"/>
        <s v="052308A" u="1"/>
        <s v="216935D" u="1"/>
        <s v="052308B" u="1"/>
        <s v="216935E" u="1"/>
        <s v="850164" u="1"/>
        <s v="294044A" u="1"/>
        <s v="271231A" u="1"/>
        <s v="272231A" u="1"/>
        <s v="294044B" u="1"/>
        <s v="310322A" u="1"/>
        <s v="273231A" u="1"/>
        <s v="292230B" u="1"/>
        <s v="294044C" u="1"/>
        <s v="293044E" u="1"/>
        <s v="301099A" u="1"/>
        <s v="301099B" u="1"/>
        <s v="264446B" u="1"/>
        <s v="280193B" u="1"/>
        <s v="305099A" u="1"/>
        <s v="282193B" u="1"/>
        <s v="284193A" u="1"/>
        <s v="289445A" u="1"/>
        <s v="296659A" u="1"/>
        <s v="301099D" u="1"/>
        <s v="284193B" u="1"/>
        <s v="289445B" u="1"/>
        <s v="235848A" u="1"/>
        <s v="282193D" u="1"/>
        <s v="299659A" u="1"/>
        <s v="289445C" u="1"/>
        <s v="276846A" u="1"/>
        <s v="52832L" u="1"/>
        <s v="289445D" u="1"/>
        <s v="296845B" u="1"/>
        <s v="306471A" u="1"/>
        <s v="275594A" u="1"/>
        <s v="289445E" u="1"/>
        <s v="296593A" u="1"/>
        <s v="308471A" u="1"/>
        <s v="289445F" u="1"/>
        <s v="267380C" u="1"/>
        <s v="296593B" u="1"/>
        <s v="296593C" u="1"/>
        <s v="400072" u="1"/>
        <s v="277780A" u="1"/>
        <s v="900140" u="1"/>
        <s v="217148A" u="1"/>
        <s v="290759A" u="1"/>
        <s v="280293A" u="1"/>
        <s v="301199B" u="1"/>
        <s v="286545A" u="1"/>
        <s v="280293B" u="1"/>
        <s v="091955A" u="1"/>
        <s v="280293C" u="1"/>
        <s v="300385B" u="1"/>
        <s v="091955B" u="1"/>
        <s v="286293A" u="1"/>
        <s v="300385C" u="1"/>
        <s v="266732B" u="1"/>
        <s v="091955C" u="1"/>
        <s v="275946A" u="1"/>
        <s v="282293D" u="1"/>
        <s v="256947A" u="1"/>
        <s v="296759C" u="1"/>
        <s v="309823A" u="1"/>
        <s v="850178" u="1"/>
        <s v="090506D" u="1"/>
        <s v="274059B" u="1"/>
        <s v="271431A" u="1"/>
        <s v="291430A" u="1"/>
        <s v="299058A" u="1"/>
        <s v="304122C" u="1"/>
        <s v="271431B" u="1"/>
        <s v="294430A" u="1"/>
        <s v="299058C" u="1"/>
        <s v="295430B" u="1"/>
        <s v="280459E" u="1"/>
        <s v="285645A" u="1"/>
        <s v="295430C" u="1"/>
        <s v="282393A" u="1"/>
        <s v="294859A" u="1"/>
        <s v="305299A" u="1"/>
        <s v="302485A" u="1"/>
        <s v="295430E" u="1"/>
        <s v="282393C" u="1"/>
        <s v="287831A" u="1"/>
        <s v="301671A" u="1"/>
        <s v="286393B" u="1"/>
        <s v="307923A" u="1"/>
        <s v="286393C" u="1"/>
        <s v="286393D" u="1"/>
        <s v="306671A" u="1"/>
        <s v="066207A" u="1"/>
        <s v="400086" u="1"/>
        <s v="067207A" u="1"/>
        <s v="066207B" u="1"/>
        <s v="067207B" u="1"/>
        <s v="066207C" u="1"/>
        <s v="276159A" u="1"/>
        <s v="267131A" u="1"/>
        <s v="276159B" u="1"/>
        <s v="279159A" u="1"/>
        <s v="295344A" u="1"/>
        <s v="295344B" u="1"/>
        <s v="294092A" u="1"/>
        <s v="295092A" u="1"/>
        <s v="287559A" u="1"/>
        <s v="IU-400117" u="1"/>
        <s v="064756A" u="1"/>
        <s v="278531A" u="1"/>
        <s v="287559B" u="1"/>
        <s v="090969B" u="1"/>
        <s v="046757A" u="1"/>
        <s v="278531B" u="1"/>
        <s v="274093D" u="1"/>
        <s v="287559C" u="1"/>
        <s v="090969C" u="1"/>
        <s v="284931A" u="1"/>
        <s v="288745A" u="1"/>
        <s v="267932A" u="1"/>
        <s v="309399A" u="1"/>
        <s v="267932B" u="1"/>
        <s v="272894A" u="1"/>
        <s v="265932D" u="1"/>
        <s v="309837C" u="1"/>
        <s v="309837D" u="1"/>
        <s v="235896B" u="1"/>
        <s v="309837E" u="1"/>
        <s v="235896C" u="1"/>
        <s v="194608A" u="1"/>
        <s v="272259A" u="1"/>
        <s v="200234B" u="1"/>
        <s v="282230A" u="1"/>
        <s v="194608B" u="1"/>
        <s v="261231B" u="1"/>
        <s v="194608C" u="1"/>
        <s v="285230A" u="1"/>
        <s v="287044B" u="1"/>
        <s v="000009" u="1"/>
        <s v="306322A" u="1"/>
        <s v="269231A" u="1"/>
        <s v="290192C" u="1"/>
        <s v="279445A" u="1"/>
        <s v="231381A" u="1"/>
        <s v="295192A" u="1"/>
        <s v="279445B" u="1"/>
        <s v="231381B" u="1"/>
        <s v="284845A" u="1"/>
        <s v="278631A" u="1"/>
        <s v="302499A" u="1"/>
        <s v="231381C" u="1"/>
        <s v="284845B" u="1"/>
        <s v="278631B" u="1"/>
        <s v="287845B" u="1"/>
        <s v="219382A" u="1"/>
        <s v="219382B" u="1"/>
        <s v="228596A" u="1"/>
        <s v="288593A" u="1"/>
        <s v="288593C" u="1"/>
        <s v="295993A" u="1"/>
        <s v="295993B" u="1"/>
        <s v="297993A" u="1"/>
        <s v="284144A" u="1"/>
        <s v="286144A" u="1"/>
        <s v="287144A" u="1"/>
        <s v="266780F" u="1"/>
        <s v="264145D" u="1"/>
        <s v="273545A" u="1"/>
        <s v="270731A" u="1"/>
        <s v="281759A" u="1"/>
        <s v="273545B" u="1"/>
        <s v="275545A" u="1"/>
        <s v="295544A" u="1"/>
        <s v="269331A" u="1"/>
        <s v="850850" u="1"/>
        <s v="271359F" u="1"/>
        <s v="273545C" u="1"/>
        <s v="269331B" u="1"/>
        <s v="298544A" u="1"/>
        <s v="285759A" u="1"/>
        <s v="271731C" u="1"/>
        <s v="273545D" u="1"/>
        <s v="295544C" u="1"/>
        <s v="269331C" u="1"/>
        <s v="271359H" u="1"/>
        <s v="273545E" u="1"/>
        <s v="288759A" u="1"/>
        <s v="285945A" u="1"/>
        <s v="273545F" u="1"/>
        <s v="277293B" u="1"/>
        <s v="288945A" u="1"/>
        <s v="010191" u="1"/>
        <s v="282244A" u="1"/>
        <s v="283244A" u="1"/>
        <s v="237032A" u="1"/>
        <s v="302336A" u="1"/>
        <s v="287058B" u="1"/>
        <s v="237032B" u="1"/>
        <s v="282430A" u="1"/>
        <s v="285244B" u="1"/>
        <s v="287058C" u="1"/>
        <s v="237032C" u="1"/>
        <s v="294458A" u="1"/>
        <s v="285244C" u="1"/>
        <s v="237032D" u="1"/>
        <s v="294644A" u="1"/>
        <s v="302522C" u="1"/>
        <s v="229433A" u="1"/>
        <s v="282430E" u="1"/>
        <s v="229433B" u="1"/>
        <s v="278645A" u="1"/>
        <s v="274393A" u="1"/>
        <s v="187957A" u="1"/>
        <s v="298392A" u="1"/>
        <s v="306699A" u="1"/>
        <s v="269794A" u="1"/>
        <s v="268980A" u="1"/>
        <s v="280344A" u="1"/>
        <s v="312221A" u="1"/>
        <s v="265159A" u="1"/>
        <s v="266159A" u="1"/>
        <s v="280344B" u="1"/>
        <s v="291558A" u="1"/>
        <s v="281530A" u="1"/>
        <s v="285344A" u="1"/>
        <s v="277130B" u="1"/>
        <s v="273559A" u="1"/>
        <s v="281530B" u="1"/>
        <s v="283530A" u="1"/>
        <s v="094568A" u="1"/>
        <s v="277130C" u="1"/>
        <s v="273559B" u="1"/>
        <s v="052756A" u="1"/>
        <s v="094568B" u="1"/>
        <s v="231747B" u="1"/>
        <s v="286092A" u="1"/>
        <s v="281530D" u="1"/>
        <s v="283530C" u="1"/>
        <s v="052756B" u="1"/>
        <s v="094568C" u="1"/>
        <s v="279559A" u="1"/>
        <s v="283530D" u="1"/>
        <s v="052756C" u="1"/>
        <s v="094568D" u="1"/>
        <s v="272931A" u="1"/>
        <s v="290744D" u="1"/>
        <s v="279559B" u="1"/>
        <s v="052756D" u="1"/>
        <s v="290744E" u="1"/>
        <s v="274493A" u="1"/>
        <s v="279559C" u="1"/>
        <s v="279745A" u="1"/>
        <s v="274493B" u="1"/>
        <s v="310770A" u="1"/>
        <s v="279559D" u="1"/>
        <s v="279745B" u="1"/>
        <s v="288959A" u="1"/>
        <s v="001243" u="1"/>
        <s v="279559E" u="1"/>
        <s v="279745C" u="1"/>
        <s v="279931A" u="1"/>
        <s v="303799A" u="1"/>
        <s v="279931B" u="1"/>
        <s v="279931C" u="1"/>
        <s v="850163" u="1"/>
        <s v="310321A" u="1"/>
        <s v="283444A" u="1"/>
        <s v="068707A" u="1"/>
        <s v="302536A" u="1"/>
        <s v="068707B" u="1"/>
        <s v="286258C" u="1"/>
        <s v="220381A" u="1"/>
        <s v="286630A" u="1"/>
        <s v="277659A" u="1"/>
        <s v="287630A" u="1"/>
        <s v="267193A" u="1"/>
        <s v="286630B" u="1"/>
        <s v="173943A" u="1"/>
        <s v="267193B" u="1"/>
        <s v="173943B" u="1"/>
        <s v="52832K" u="1"/>
        <s v="293592A" u="1"/>
        <s v="267193C" u="1"/>
        <s v="173943C" u="1"/>
        <s v="293592B" u="1"/>
        <s v="267193D" u="1"/>
        <s v="173943D" u="1"/>
        <s v="267193E" u="1"/>
        <s v="294209A" u="1"/>
        <s v="173943E" u="1"/>
        <s v="295209A" u="1"/>
        <s v="400071" u="1"/>
        <s v="266994A" u="1"/>
        <s v="260359A" u="1"/>
        <s v="281358A" u="1"/>
        <s v="271330A" u="1"/>
        <s v="260359B" u="1"/>
        <s v="263359A" u="1"/>
        <s v="271330B" u="1"/>
        <s v="277144A" u="1"/>
        <s v="260359C" u="1"/>
        <s v="263359B" u="1"/>
        <s v="285358A" u="1"/>
        <s v="271330C" u="1"/>
        <s v="263359C" u="1"/>
        <s v="271330D" u="1"/>
        <s v="293143E" u="1"/>
        <s v="280730A" u="1"/>
        <s v="280292A" u="1"/>
        <s v="289358A" u="1"/>
        <s v="271330E" u="1"/>
        <s v="293143F" u="1"/>
        <s v="286544A" u="1"/>
        <s v="280292B" u="1"/>
        <s v="271330F" u="1"/>
        <s v="280292C" u="1"/>
        <s v="289358C" u="1"/>
        <s v="271330G" u="1"/>
        <s v="280292D" u="1"/>
        <s v="289358D" u="1"/>
        <s v="305822A" u="1"/>
        <s v="271330H" u="1"/>
        <s v="280292E" u="1"/>
        <s v="289358E" u="1"/>
        <s v="270945D" u="1"/>
        <s v="271330J" u="1"/>
        <s v="283292E" u="1"/>
        <s v="275693A" u="1"/>
        <s v="306570B" u="1"/>
        <s v="303999A" u="1"/>
        <s v="850177" u="1"/>
        <s v="299944D" u="1"/>
        <s v="053069A" u="1"/>
        <s v="053069B" u="1"/>
        <s v="311149B" u="1"/>
        <s v="247031A" u="1"/>
        <s v="050255C" u="1"/>
        <s v="050255D" u="1"/>
        <s v="306121B" u="1"/>
        <s v="255059D" u="1"/>
        <s v="255059E" u="1"/>
        <s v="255059F" u="1"/>
        <s v="301736B" u="1"/>
        <s v="289458B" u="1"/>
        <s v="302484A" u="1"/>
        <s v="085840A" u="1"/>
        <s v="286392A" u="1"/>
        <s v="264831C" u="1"/>
        <s v="268645C" u="1"/>
        <s v="306484A" u="1"/>
        <s v="268645D" u="1"/>
        <s v="268645E" u="1"/>
        <s v="275793A" u="1"/>
        <s v="268645F" u="1"/>
        <s v="292409A" u="1"/>
        <s v="308670A" u="1"/>
        <s v="290792E" u="1"/>
        <s v="286009D" u="1"/>
        <s v="295409A" u="1"/>
        <s v="309670B" u="1"/>
        <s v="265130A" u="1"/>
        <s v="064140B" u="1"/>
        <s v="064140C" u="1"/>
        <s v="306221A" u="1"/>
        <s v="295343A" u="1"/>
        <s v="296343A" u="1"/>
        <s v="284558A" u="1"/>
        <s v="296343B" u="1"/>
        <s v="275092A" u="1"/>
        <s v="293091B" u="1"/>
        <s v="296343C" u="1"/>
        <s v="300398A" u="1"/>
        <s v="283558C" u="1"/>
        <s v="165591B" u="1"/>
        <s v="293892A" u="1"/>
        <s v="287109A" u="1"/>
        <s v="084305A" u="1"/>
        <s v="306770A" u="1"/>
        <s v="292509A" u="1"/>
        <s v="296892A" u="1"/>
        <s v="084305B" u="1"/>
        <s v="304770C" u="1"/>
        <s v="296892B" u="1"/>
        <s v="117994B" u="1"/>
        <s v="272258B" u="1"/>
        <s v="312349A" u="1"/>
        <s v="000008" u="1"/>
        <s v="54698M" u="1"/>
        <s v="054455A" u="1"/>
        <s v="268230A" u="1"/>
        <s v="299509C" u="1"/>
        <s v="275444A" u="1"/>
        <s v="054455B" u="1"/>
        <s v="276444A" u="1"/>
        <s v="054455C" u="1"/>
        <s v="054455D" u="1"/>
        <s v="097453D" u="1"/>
        <s v="281209A" u="1"/>
        <s v="308936A" u="1"/>
        <s v="266593A" u="1"/>
        <s v="284592B" u="1"/>
        <s v="281209B" u="1"/>
        <s v="266593B" u="1"/>
        <s v="268593A" u="1"/>
        <s v="284592C" u="1"/>
        <s v="266593C" u="1"/>
        <s v="271993B" u="1"/>
        <s v="287209A" u="1"/>
        <s v="266593D" u="1"/>
        <s v="266593E" u="1"/>
        <s v="189307A" u="1"/>
        <s v="278993A" u="1"/>
        <s v="266593F" u="1"/>
        <s v="219996A" u="1"/>
        <s v="189307B" u="1"/>
        <s v="278993B" u="1"/>
        <s v="285143A" u="1"/>
        <s v="219996B" u="1"/>
        <s v="278993C" u="1"/>
        <s v="219996C" u="1"/>
        <s v="067406D" u="1"/>
        <s v="289143A" u="1"/>
        <s v="227332A" u="1"/>
        <s v="289143B" u="1"/>
        <s v="274544A" u="1"/>
        <s v="290543C" u="1"/>
        <s v="281758A" u="1"/>
        <s v="283758B" u="1"/>
        <s v="281944B" u="1"/>
        <s v="283758C" u="1"/>
        <s v="271730D" u="1"/>
        <s v="273292C" u="1"/>
        <s v="285944A" u="1"/>
        <s v="271730E" u="1"/>
        <s v="279730A" u="1"/>
        <s v="281944D" u="1"/>
        <s v="279730C" u="1"/>
        <s v="286692A" u="1"/>
        <s v="280057B" u="1"/>
        <s v="010190" u="1"/>
        <s v="309784A" u="1"/>
        <s v="309784B" u="1"/>
        <s v="168408A" u="1"/>
        <s v="280057D" u="1"/>
        <s v="280057E" u="1"/>
        <s v="302335A" u="1"/>
        <s v="225246A" u="1"/>
        <s v="287057B" u="1"/>
        <s v="226246A" u="1"/>
        <s v="286243A" u="1"/>
        <s v="290643A" u="1"/>
        <s v="273458B" u="1"/>
        <s v="280057I" u="1"/>
        <s v="274644B" u="1"/>
        <s v="232394A" u="1"/>
        <s v="280057J" u="1"/>
        <s v="257645A" u="1"/>
        <s v="273830A" u="1"/>
        <s v="213395A" u="1"/>
        <s v="232394B" u="1"/>
        <s v="284858B" u="1"/>
        <s v="232394C" u="1"/>
        <s v="232394D" u="1"/>
        <s v="298391A" u="1"/>
        <s v="232394E" u="1"/>
        <s v="298391B" u="1"/>
        <s v="302698C" u="1"/>
        <s v="298391C" u="1"/>
        <s v="265793A" u="1"/>
        <s v="269244I" u="1"/>
        <s v="216395E" u="1"/>
        <s v="269244J" u="1"/>
        <s v="269793A" u="1"/>
        <s v="275392G" u="1"/>
        <s v="307884B" u="1"/>
        <s v="285157A" u="1"/>
        <s v="307884D" u="1"/>
        <s v="275392J" u="1"/>
        <s v="045355A" u="1"/>
        <s v="286343A" u="1"/>
        <s v="231746A" u="1"/>
        <s v="272744A" u="1"/>
        <s v="231746B" u="1"/>
        <s v="273744A" u="1"/>
        <s v="289792H" u="1"/>
        <s v="227094A" u="1"/>
        <s v="231746C" u="1"/>
        <s v="273744B" u="1"/>
        <s v="279558A" u="1"/>
        <s v="227094B" u="1"/>
        <s v="231746D" u="1"/>
        <s v="273744C" u="1"/>
        <s v="279558B" u="1"/>
        <s v="273492A" u="1"/>
        <s v="291491B" u="1"/>
        <s v="278744A" u="1"/>
        <s v="257745B" u="1"/>
        <s v="279558C" u="1"/>
        <s v="275492A" u="1"/>
        <s v="291108A" u="1"/>
        <s v="278744B" u="1"/>
        <s v="270109B" u="1"/>
        <s v="257745C" u="1"/>
        <s v="279558D" u="1"/>
        <s v="275492B" u="1"/>
        <s v="291108B" u="1"/>
        <s v="270109C" u="1"/>
        <s v="257745D" u="1"/>
        <s v="273109B" u="1"/>
        <s v="275492C" u="1"/>
        <s v="291108C" u="1"/>
        <s v="305621F" u="1"/>
        <s v="273109C" u="1"/>
        <s v="275492D" u="1"/>
        <s v="291108D" u="1"/>
        <s v="306798A" u="1"/>
        <s v="275492E" u="1"/>
        <s v="291108E" u="1"/>
        <s v="308798A" u="1"/>
        <s v="850162" u="1"/>
        <s v="284509A" u="1"/>
        <s v="288892A" u="1"/>
        <s v="042707A" u="1"/>
        <s v="284509B" u="1"/>
        <s v="283257A" u="1"/>
        <s v="284509C" u="1"/>
        <s v="280257C" u="1"/>
        <s v="283257B" u="1"/>
        <s v="284509D" u="1"/>
        <s v="018308D" u="1"/>
        <s v="284509E" u="1"/>
        <s v="018308E" u="1"/>
        <s v="051669A" u="1"/>
        <s v="215232C" u="1"/>
        <s v="051669B" u="1"/>
        <s v="215232D" u="1"/>
        <s v="290657C" u="1"/>
        <s v="051669C" u="1"/>
        <s v="309349B" u="1"/>
        <s v="276658A" u="1"/>
        <s v="051669D" u="1"/>
        <s v="309349C" u="1"/>
        <s v="294843A" u="1"/>
        <s v="275844A" u="1"/>
        <s v="300283D" u="1"/>
        <s v="294843B" u="1"/>
        <s v="275844B" u="1"/>
        <s v="52832J" u="1"/>
        <s v="273592A" u="1"/>
        <s v="294843C" u="1"/>
        <s v="275844C" u="1"/>
        <s v="296843C" u="1"/>
        <s v="272209A" u="1"/>
        <s v="272209B" u="1"/>
        <s v="295208A" u="1"/>
        <s v="285191G" u="1"/>
        <s v="272209C" u="1"/>
        <s v="400070" u="1"/>
        <s v="285191H" u="1"/>
        <s v="053406B" u="1"/>
        <s v="299208A" u="1"/>
        <s v="282609A" u="1"/>
        <s v="232145A" u="1"/>
        <s v="053406C" u="1"/>
        <s v="299208B" u="1"/>
        <s v="262993D" u="1"/>
        <s v="282609B" u="1"/>
        <s v="293142A" u="1"/>
        <s v="283609B" u="1"/>
        <s v="289992A" u="1"/>
        <s v="053406D" u="1"/>
        <s v="288992B" u="1"/>
        <s v="295142A" u="1"/>
        <s v="053406E" u="1"/>
        <s v="302449A" u="1"/>
        <s v="299142A" u="1"/>
        <s v="247359A" u="1"/>
        <s v="241731A" u="1"/>
        <s v="266544A" u="1"/>
        <s v="120392A" u="1"/>
        <s v="263730A" u="1"/>
        <s v="266544B" u="1"/>
        <s v="120392B" u="1"/>
        <s v="296757A" u="1"/>
        <s v="093953A" u="1"/>
        <s v="120392C" u="1"/>
        <s v="305821A" u="1"/>
        <s v="290757E" u="1"/>
        <s v="294943A" u="1"/>
        <s v="270692A" u="1"/>
        <s v="093953B" u="1"/>
        <s v="093953C" u="1"/>
        <s v="287291C" u="1"/>
        <s v="095953C" u="1"/>
        <s v="299943A" u="1"/>
        <s v="271309A" u="1"/>
        <s v="271309B" u="1"/>
        <s v="297691A" u="1"/>
        <s v="278692A" u="1"/>
        <s v="095953E" u="1"/>
        <s v="266292F" u="1"/>
        <s v="303998A" u="1"/>
        <s v="850176" u="1"/>
        <s v="279309A" u="1"/>
        <s v="850800" u="1"/>
        <s v="302549A" u="1"/>
        <s v="262644A" u="1"/>
        <s v="298242B" u="1"/>
        <s v="292857A" u="1"/>
        <s v="308549A" u="1"/>
        <s v="291857B" u="1"/>
        <s v="287643A" u="1"/>
        <s v="274858A" u="1"/>
        <s v="277243E" u="1"/>
        <s v="302735C" u="1"/>
        <s v="287643B" u="1"/>
        <s v="081018A" u="1"/>
        <s v="285391A" u="1"/>
        <s v="226832A" u="1"/>
        <s v="286391A" u="1"/>
        <s v="123492B" u="1"/>
        <s v="226832B" u="1"/>
        <s v="230794A" u="1"/>
        <s v="306483A" u="1"/>
        <s v="267830B" u="1"/>
        <s v="307921A" u="1"/>
        <s v="123492C" u="1"/>
        <s v="289391A" u="1"/>
        <s v="310883A" u="1"/>
        <s v="226580A" u="1"/>
        <s v="230794C" u="1"/>
        <s v="226580B" u="1"/>
        <s v="289008A" u="1"/>
        <s v="230794D" u="1"/>
        <s v="290408B" u="1"/>
        <s v="294791B" u="1"/>
        <s v="191068D" u="1"/>
        <s v="225131A" u="1"/>
        <s v="191068E" u="1"/>
        <s v="284809A" u="1"/>
        <s v="293342A" u="1"/>
        <s v="225131B" u="1"/>
        <s v="228131A" u="1"/>
        <s v="275343A" u="1"/>
        <s v="277343A" u="1"/>
        <s v="060754A" u="1"/>
        <s v="060754B" u="1"/>
        <s v="293090B" u="1"/>
        <s v="295090A" u="1"/>
        <s v="283557C" u="1"/>
        <s v="050969A" u="1"/>
        <s v="060754C" u="1"/>
        <s v="280491A" u="1"/>
        <s v="046755A" u="1"/>
        <s v="280491B" u="1"/>
        <s v="046755B" u="1"/>
        <s v="299090B" u="1"/>
        <s v="273958B" u="1"/>
        <s v="280491C" u="1"/>
        <s v="300220J" u="1"/>
        <s v="285491A" u="1"/>
        <s v="296957A" u="1"/>
        <s v="046755C" u="1"/>
        <s v="299090C" u="1"/>
        <s v="295957B" u="1"/>
        <s v="283108A" u="1"/>
        <s v="296957B" u="1"/>
        <s v="046755D" u="1"/>
        <s v="289491A" u="1"/>
        <s v="296957C" u="1"/>
        <s v="046755E" u="1"/>
        <s v="296957D" u="1"/>
        <s v="275892A" u="1"/>
        <s v="042054A" u="1"/>
        <s v="209933D" u="1"/>
        <s v="042054B" u="1"/>
        <s v="209933E" u="1"/>
        <s v="171169B" u="1"/>
        <s v="042054C" u="1"/>
        <s v="117993B" u="1"/>
        <s v="284042B" u="1"/>
        <s v="298891C" u="1"/>
        <s v="042054D" u="1"/>
        <s v="117993C" u="1"/>
        <s v="244230A" u="1"/>
        <s v="298891D" u="1"/>
        <s v="272443A" u="1"/>
        <s v="292442A" u="1"/>
        <s v="042054E" u="1"/>
        <s v="298891E" u="1"/>
        <s v="54698L" u="1"/>
        <s v="042054F" u="1"/>
        <s v="275443A" u="1"/>
        <s v="284909B" u="1"/>
        <s v="271191A" u="1"/>
        <s v="298891F" u="1"/>
        <s v="272443C" u="1"/>
        <s v="042054G" u="1"/>
        <s v="283657A" u="1"/>
        <s v="300749B" u="1"/>
        <s v="283657B" u="1"/>
        <s v="294190A" u="1"/>
        <s v="301749B" u="1"/>
        <s v="284909D" u="1"/>
        <s v="294190B" u="1"/>
        <s v="266592A" u="1"/>
        <s v="266592B" u="1"/>
        <s v="282208B" u="1"/>
        <s v="280843H" u="1"/>
        <s v="266592C" u="1"/>
        <s v="268043L" u="1"/>
        <s v="273992B" u="1"/>
        <s v="236994A" u="1"/>
        <s v="292608A" u="1"/>
        <s v="236994B" u="1"/>
        <s v="275609A" u="1"/>
        <s v="225145A" u="1"/>
        <s v="236994C" u="1"/>
        <s v="284142B" u="1"/>
        <s v="053368B" u="1"/>
        <s v="025341A" u="1"/>
        <s v="053368C" u="1"/>
        <s v="273543A" u="1"/>
        <s v="298356A" u="1"/>
        <s v="288142C" u="1"/>
        <s v="053368D" u="1"/>
        <s v="290290B" u="1"/>
        <s v="290290C" u="1"/>
        <s v="186855A" u="1"/>
        <s v="278291A" u="1"/>
        <s v="298290A" u="1"/>
        <s v="186855B" u="1"/>
        <s v="279291A" u="1"/>
        <s v="285691A" u="1"/>
        <s v="051105C" u="1"/>
        <s v="285691B" u="1"/>
        <s v="051105D" u="1"/>
        <s v="285308A" u="1"/>
        <s v="286308A" u="1"/>
        <s v="300148A" u="1"/>
        <s v="295356L" u="1"/>
        <s v="300148B" u="1"/>
        <s v="295356M" u="1"/>
        <s v="273709A" u="1"/>
        <s v="300148C" u="1"/>
        <s v="283242A" u="1"/>
        <s v="294708A" u="1"/>
        <s v="302334A" u="1"/>
        <s v="289056A" u="1"/>
        <s v="290456B" u="1"/>
        <s v="292456A" u="1"/>
        <s v="290456C" u="1"/>
        <s v="306334A" u="1"/>
        <s v="024441B" u="1"/>
        <s v="024441C" u="1"/>
        <s v="075653A" u="1"/>
        <s v="297456B" u="1"/>
        <s v="282857A" u="1"/>
        <s v="296642A" u="1"/>
        <s v="277643A" u="1"/>
        <s v="270008A" u="1"/>
        <s v="279643A" u="1"/>
        <s v="286857A" u="1"/>
        <s v="010169" u="1"/>
        <s v="270008B" u="1"/>
        <s v="270008C" u="1"/>
        <s v="298390A" u="1"/>
        <s v="194105A" u="1"/>
        <s v="261792B" u="1"/>
        <s v="194105B" u="1"/>
        <s v="294007C" u="1"/>
        <s v="264792B" u="1"/>
        <s v="302883B" u="1"/>
        <s v="125509A" u="1"/>
        <s v="125509B" u="1"/>
        <s v="269409A" u="1"/>
        <s v="293808A" u="1"/>
        <s v="125509C" u="1"/>
        <s v="043354A" u="1"/>
        <s v="293808B" u="1"/>
        <s v="277809A" u="1"/>
        <s v="282090A" u="1"/>
        <s v="278809A" u="1"/>
        <s v="282090B" u="1"/>
        <s v="302182A" u="1"/>
        <s v="278809B" u="1"/>
        <s v="276557A" u="1"/>
        <s v="202280A" u="1"/>
        <s v="282090C" u="1"/>
        <s v="281342F" u="1"/>
        <s v="305620A" u="1"/>
        <s v="276557B" u="1"/>
        <s v="294742A" u="1"/>
        <s v="268343C" u="1"/>
        <s v="308248D" u="1"/>
        <s v="091752C" u="1"/>
        <s v="202280B" u="1"/>
        <s v="284090C" u="1"/>
        <s v="029541A" u="1"/>
        <s v="305620B" u="1"/>
        <s v="307620A" u="1"/>
        <s v="276557C" u="1"/>
        <s v="029541B" u="1"/>
        <s v="273491A" u="1"/>
        <s v="276557D" u="1"/>
        <s v="286957A" u="1"/>
        <s v="293490B" u="1"/>
        <s v="305182D" u="1"/>
        <s v="276491A" u="1"/>
        <s v="288957A" u="1"/>
        <s v="293490C" u="1"/>
        <s v="276108A" u="1"/>
        <s v="276491C" u="1"/>
        <s v="296107A" u="1"/>
        <s v="850161" u="1"/>
        <s v="247893A" u="1"/>
        <s v="284508A" u="1"/>
        <s v="288891A" u="1"/>
        <s v="302182K" u="1"/>
        <s v="295041A" u="1"/>
        <s v="302182L" u="1"/>
        <s v="303983D" u="1"/>
        <s v="263257A" u="1"/>
        <s v="302348A" u="1"/>
        <s v="303983E" u="1"/>
        <s v="263257B" u="1"/>
        <s v="272909A" u="1"/>
        <s v="285256A" u="1"/>
        <s v="022455A" u="1"/>
        <s v="284256B" u="1"/>
        <s v="293908A" u="1"/>
        <s v="287256A" u="1"/>
        <s v="294908A" u="1"/>
        <s v="022455B" u="1"/>
        <s v="284256C" u="1"/>
        <s v="295908A" u="1"/>
        <s v="292656A" u="1"/>
        <s v="022455C" u="1"/>
        <s v="293908C" u="1"/>
        <s v="273657A" u="1"/>
        <s v="283190A" u="1"/>
        <s v="292656B" u="1"/>
        <s v="022455D" u="1"/>
        <s v="291842A" u="1"/>
        <s v="304534C" u="1"/>
        <s v="277657A" u="1"/>
        <s v="286190A" u="1"/>
        <s v="293842A" u="1"/>
        <s v="274843A" u="1"/>
        <s v="278657A" u="1"/>
        <s v="304534D" u="1"/>
        <s v="271843C" u="1"/>
        <s v="275843A" u="1"/>
        <s v="178755A" u="1"/>
        <s v="274843B" u="1"/>
        <s v="275843B" u="1"/>
        <s v="52832I" u="1"/>
        <s v="276843B" u="1"/>
        <s v="278657C" u="1"/>
        <s v="184969C" u="1"/>
        <s v="276843C" u="1"/>
        <s v="184969D" u="1"/>
        <s v="276843D" u="1"/>
        <s v="276843E" u="1"/>
        <s v="276843F" u="1"/>
        <s v="290141A" u="1"/>
        <s v="290141C" u="1"/>
        <s v="294141A" u="1"/>
        <s v="275142A" u="1"/>
        <s v="275142B" u="1"/>
        <s v="302448A" u="1"/>
        <s v="275142C" u="1"/>
        <s v="310848A" u="1"/>
        <s v="000890" u="1"/>
        <s v="103644B" u="1"/>
        <s v="103644C" u="1"/>
        <s v="296756A" u="1"/>
        <s v="295690A" u="1"/>
        <s v="236693A" u="1"/>
        <s v="290307B" u="1"/>
        <s v="236693B" u="1"/>
        <s v="276691B" u="1"/>
        <s v="091065A" u="1"/>
        <s v="236693C" u="1"/>
        <s v="850175" u="1"/>
        <s v="257309A" u="1"/>
        <s v="276691D" u="1"/>
        <s v="091065C" u="1"/>
        <s v="050253B" u="1"/>
        <s v="303997D" u="1"/>
        <s v="091065D" u="1"/>
        <s v="271242B" u="1"/>
        <s v="050253C" u="1"/>
        <s v="298055A" u="1"/>
        <s v="303997E" u="1"/>
        <s v="091065E" u="1"/>
        <s v="239058A" u="1"/>
        <s v="050253D" u="1"/>
        <s v="019255A" u="1"/>
        <s v="199153B" u="1"/>
        <s v="297241B" u="1"/>
        <s v="280642B" u="1"/>
        <s v="284456B" u="1"/>
        <s v="301734A" u="1"/>
        <s v="019255B" u="1"/>
        <s v="199153C" u="1"/>
        <s v="280642C" u="1"/>
        <s v="199153D" u="1"/>
        <s v="284390A" u="1"/>
        <s v="199153F" u="1"/>
        <s v="276857A" u="1"/>
        <s v="226831A" u="1"/>
        <s v="273857C" u="1"/>
        <s v="308296A" u="1"/>
        <s v="199153G" u="1"/>
        <s v="226831B" u="1"/>
        <s v="269391A" u="1"/>
        <s v="226831C" u="1"/>
        <s v="064018B" u="1"/>
        <s v="286007A" u="1"/>
        <s v="064018C" u="1"/>
        <s v="286007B" u="1"/>
        <s v="259057K" u="1"/>
        <s v="064018D" u="1"/>
        <s v="300033A" u="1"/>
        <s v="064018E" u="1"/>
        <s v="298790B" u="1"/>
        <s v="064018F" u="1"/>
        <s v="273156A" u="1"/>
        <s v="064018G" u="1"/>
        <s v="294155A" u="1"/>
        <s v="306033A" u="1"/>
        <s v="273156B" u="1"/>
        <s v="280808B" u="1"/>
        <s v="290341B" u="1"/>
        <s v="294155B" u="1"/>
        <s v="064819A" u="1"/>
        <s v="282808B" u="1"/>
        <s v="294155C" u="1"/>
        <s v="064819B" u="1"/>
        <s v="238344A" u="1"/>
        <s v="298341A" u="1"/>
        <s v="306648A" u="1"/>
        <s v="302396A" u="1"/>
        <s v="085752A" u="1"/>
        <s v="279090A" u="1"/>
        <s v="279090B" u="1"/>
        <s v="284490A" u="1"/>
        <s v="279090C" u="1"/>
        <s v="306834B" u="1"/>
        <s v="282107A" u="1"/>
        <s v="284490B" u="1"/>
        <s v="267491A" u="1"/>
        <s v="283107A" u="1"/>
        <s v="306834C" u="1"/>
        <s v="284107A" u="1"/>
        <s v="271891A" u="1"/>
        <s v="041305A" u="1"/>
        <s v="305582B" u="1"/>
        <s v="041305B" u="1"/>
        <s v="307582B" u="1"/>
        <s v="041305C" u="1"/>
        <s v="850189" u="1"/>
        <s v="048940E" u="1"/>
        <s v="296890B" u="1"/>
        <s v="117992A" u="1"/>
        <s v="205045A" u="1"/>
        <s v="273256A" u="1"/>
        <s v="205045B" u="1"/>
        <s v="048053A" u="1"/>
        <s v="291441A" u="1"/>
        <s v="205045C" u="1"/>
        <s v="292441A" u="1"/>
        <s v="048053B" u="1"/>
        <s v="031268D" u="1"/>
        <s v="54698K" u="1"/>
        <s v="031268E" u="1"/>
        <s v="296441A" u="1"/>
        <s v="031268F" u="1"/>
        <s v="022669B" u="1"/>
        <s v="280842A" u="1"/>
        <s v="225659A" u="1"/>
        <s v="288908B" u="1"/>
        <s v="280842B" u="1"/>
        <s v="225659B" u="1"/>
        <s v="280842C" u="1"/>
        <s v="229659A" u="1"/>
        <s v="280842D" u="1"/>
        <s v="280842E" u="1"/>
        <s v="288842A" u="1"/>
        <s v="262657G" u="1"/>
        <s v="288842B" u="1"/>
        <s v="270991A" u="1"/>
        <s v="288842C" u="1"/>
        <s v="307682A" u="1"/>
        <s v="288842D" u="1"/>
        <s v="285656H" u="1"/>
        <s v="270608A" u="1"/>
        <s v="288842E" u="1"/>
        <s v="263843H" u="1"/>
        <s v="288842F" u="1"/>
        <s v="085403B" u="1"/>
        <s v="288842G" u="1"/>
        <s v="085403C" u="1"/>
        <s v="303233C" u="1"/>
        <s v="310633A" u="1"/>
        <s v="299607B" u="1"/>
        <s v="306233B" u="1"/>
        <s v="280756A" u="1"/>
        <s v="303233D" u="1"/>
        <s v="294541A" u="1"/>
        <s v="298355A" u="1"/>
        <s v="303233E" u="1"/>
        <s v="232292A" u="1"/>
        <s v="295541B" u="1"/>
        <s v="274290A" u="1"/>
        <s v="299607E" u="1"/>
        <s v="275290A" u="1"/>
        <s v="280942B" u="1"/>
        <s v="276290A" u="1"/>
        <s v="285756B" u="1"/>
        <s v="278290A" u="1"/>
        <s v="275290C" u="1"/>
        <s v="279290A" u="1"/>
        <s v="300782A" u="1"/>
        <s v="304596A" u="1"/>
        <s v="285756D" u="1"/>
        <s v="275290D" u="1"/>
        <s v="279290B" u="1"/>
        <s v="288942A" u="1"/>
        <s v="286307A" u="1"/>
        <s v="286307B" u="1"/>
        <s v="290269A" u="1"/>
        <s v="290269B" u="1"/>
        <s v="280241B" u="1"/>
        <s v="290269C" u="1"/>
        <s v="275708A" u="1"/>
        <s v="056719A" u="1"/>
        <s v="285241A" u="1"/>
        <s v="296707A" u="1"/>
        <s v="290269D" u="1"/>
        <s v="271456B" u="1"/>
        <s v="056719B" u="1"/>
        <s v="285241B" u="1"/>
        <s v="199619B" u="1"/>
        <s v="199619C" u="1"/>
        <s v="273708E" u="1"/>
        <s v="281856A" u="1"/>
        <s v="275290O" u="1"/>
        <s v="273708G" u="1"/>
        <s v="301948A" u="1"/>
        <s v="265857A" u="1"/>
        <s v="285856A" u="1"/>
        <s v="275390A" u="1"/>
        <s v="010168" u="1"/>
        <s v="265857B" u="1"/>
        <s v="293006A" u="1"/>
        <s v="302696A" u="1"/>
        <s v="265857C" u="1"/>
        <s v="293006B" u="1"/>
        <s v="056018A" u="1"/>
        <s v="264791A" u="1"/>
        <s v="279007A" u="1"/>
        <s v="286790A" u="1"/>
        <s v="304696C" u="1"/>
        <s v="900179" u="1"/>
        <s v="269791A" u="1"/>
        <s v="285407A" u="1"/>
        <s v="280341B" u="1"/>
        <s v="187067C" u="1"/>
        <s v="297807A" u="1"/>
        <s v="304433A" u="1"/>
        <s v="278808A" u="1"/>
        <s v="187067E" u="1"/>
        <s v="272742A" u="1"/>
        <s v="277556A" u="1"/>
        <s v="218559A" u="1"/>
        <s v="272742B" u="1"/>
        <s v="274742A" u="1"/>
        <s v="279556A" u="1"/>
        <s v="293741B" u="1"/>
        <s v="042968A" u="1"/>
        <s v="218559B" u="1"/>
        <s v="274742B" u="1"/>
        <s v="296741A" u="1"/>
        <s v="279556B" u="1"/>
        <s v="042968B" u="1"/>
        <s v="218559C" u="1"/>
        <s v="274742C" u="1"/>
        <s v="278742A" u="1"/>
        <s v="298741A" u="1"/>
        <s v="268090C" u="1"/>
        <s v="279556C" u="1"/>
        <s v="042968C" u="1"/>
        <s v="279556D" u="1"/>
        <s v="288956A" u="1"/>
        <s v="293106A" u="1"/>
        <s v="289956A" u="1"/>
        <s v="279556E" u="1"/>
        <s v="051304A" u="1"/>
        <s v="282890A" u="1"/>
        <s v="301982A" u="1"/>
        <s v="293106C" u="1"/>
        <s v="281069A" u="1"/>
        <s v="286890A" u="1"/>
        <s v="850160" u="1"/>
        <s v="267891A" u="1"/>
        <s v="309796A" u="1"/>
        <s v="284507A" u="1"/>
        <s v="311132A" u="1"/>
        <s v="267891B" u="1"/>
        <s v="286069A" u="1"/>
        <s v="309796C" u="1"/>
        <s v="283255A" u="1"/>
        <s v="284069C" u="1"/>
        <s v="278041A" u="1"/>
        <s v="309796D" u="1"/>
        <s v="283255B" u="1"/>
        <s v="022454A" u="1"/>
        <s v="286255A" u="1"/>
        <s v="247257A" u="1"/>
        <s v="286255B" u="1"/>
        <s v="052667A" u="1"/>
        <s v="052667B" u="1"/>
        <s v="297469B" u="1"/>
        <s v="270842B" u="1"/>
        <s v="274656B" u="1"/>
        <s v="115757B" u="1"/>
        <s v="305281B" u="1"/>
        <s v="115757C" u="1"/>
        <s v="52832H" u="1"/>
        <s v="273590A" u="1"/>
        <s v="275656E" u="1"/>
        <s v="184968C" u="1"/>
        <s v="273590B" u="1"/>
        <s v="291206A" u="1"/>
        <s v="275656F" u="1"/>
        <s v="273590C" u="1"/>
        <s v="291206B" u="1"/>
        <s v="293206A" u="1"/>
        <s v="034219A" u="1"/>
        <s v="048004A" u="1"/>
        <s v="277842D" u="1"/>
        <s v="055218A" u="1"/>
        <s v="273590D" u="1"/>
        <s v="291206C" u="1"/>
        <s v="034219B" u="1"/>
        <s v="275656H" u="1"/>
        <s v="055218B" u="1"/>
        <s v="273590E" u="1"/>
        <s v="034219C" u="1"/>
        <s v="275656I" u="1"/>
        <s v="307896A" u="1"/>
        <s v="055218C" u="1"/>
        <s v="282607A" u="1"/>
        <s v="034219D" u="1"/>
        <s v="232143A" u="1"/>
        <s v="275656J" u="1"/>
        <s v="232143B" u="1"/>
        <s v="285607A" u="1"/>
        <s v="294140A" u="1"/>
        <s v="232143C" u="1"/>
        <s v="192919A" u="1"/>
        <s v="264356A" u="1"/>
        <s v="278141A" u="1"/>
        <s v="192919B" u="1"/>
        <s v="285355A" u="1"/>
        <s v="192919C" u="1"/>
        <s v="064552A" u="1"/>
        <s v="306447A" u="1"/>
        <s v="192919D" u="1"/>
        <s v="064552B" u="1"/>
        <s v="300381A" u="1"/>
        <s v="268542A" u="1"/>
        <s v="306633A" u="1"/>
        <s v="300381B" u="1"/>
        <s v="212945A" u="1"/>
        <s v="296755A" u="1"/>
        <s v="306633B" u="1"/>
        <s v="300381C" u="1"/>
        <s v="294941A" u="1"/>
        <s v="270690A" u="1"/>
        <s v="303195E" u="1"/>
        <s v="278690A" u="1"/>
        <s v="235309A" u="1"/>
        <s v="278690B" u="1"/>
        <s v="850174" u="1"/>
        <s v="053504A" u="1"/>
        <s v="235309B" u="1"/>
        <s v="280707A" u="1"/>
        <s v="293054A" u="1"/>
        <s v="298306A" u="1"/>
        <s v="053504B" u="1"/>
        <s v="219693C" u="1"/>
        <s v="235309C" u="1"/>
        <s v="235309D" u="1"/>
        <s v="278055A" u="1"/>
        <s v="235309E" u="1"/>
        <s v="285269A" u="1"/>
        <s v="266708A" u="1"/>
        <s v="273241B" u="1"/>
        <s v="278055B" u="1"/>
        <s v="284455A" u="1"/>
        <s v="282455D" u="1"/>
        <s v="305547B" u="1"/>
        <s v="294669B" u="1"/>
        <s v="304295A" u="1"/>
        <s v="289455B" u="1"/>
        <s v="301733C" u="1"/>
        <s v="275856A" u="1"/>
        <s v="267456D" u="1"/>
        <s v="289455C" u="1"/>
        <s v="265390A" u="1"/>
        <s v="142741D" u="1"/>
        <s v="275856B" u="1"/>
        <s v="277856A" u="1"/>
        <s v="289455D" u="1"/>
        <s v="198767B" u="1"/>
        <s v="275856C" u="1"/>
        <s v="277856B" u="1"/>
        <s v="198767C" u="1"/>
        <s v="291406B" u="1"/>
        <s v="291406C" u="1"/>
        <s v="280369A" u="1"/>
        <s v="298406A" u="1"/>
        <s v="275155A" u="1"/>
        <s v="280369B" u="1"/>
        <s v="236157A" u="1"/>
        <s v="293154C" u="1"/>
        <s v="275341A" u="1"/>
        <s v="021754B" u="1"/>
        <s v="287555A" u="1"/>
        <s v="270956A" u="1"/>
        <s v="282741B" u="1"/>
        <s v="297769A" u="1"/>
        <s v="285741B" u="1"/>
        <s v="269808F" u="1"/>
        <s v="283106A" u="1"/>
        <s v="168654D" u="1"/>
        <s v="269808G" u="1"/>
        <s v="269490A" u="1"/>
        <s v="291068A" u="1"/>
        <s v="305395F" u="1"/>
        <s v="272890C" u="1"/>
        <s v="850188" u="1"/>
        <s v="024305B" u="1"/>
        <s v="022053A" u="1"/>
        <s v="300132A" u="1"/>
        <s v="305395G" u="1"/>
        <s v="050704A" u="1"/>
        <s v="290068C" u="1"/>
        <s v="117991A" u="1"/>
        <s v="295506A" u="1"/>
        <s v="273069B" u="1"/>
        <s v="291068C" u="1"/>
        <s v="272255A" u="1"/>
        <s v="295506B" u="1"/>
        <s v="291068D" u="1"/>
        <s v="293254A" u="1"/>
        <s v="041919A" u="1"/>
        <s v="281469A" u="1"/>
        <s v="291440A" u="1"/>
        <s v="293254B" u="1"/>
        <s v="028053B" u="1"/>
        <s v="295506D" u="1"/>
        <s v="293254C" u="1"/>
        <s v="282469B" u="1"/>
        <s v="54698J" u="1"/>
        <s v="278255A" u="1"/>
        <s v="294254C" u="1"/>
        <s v="028053C" u="1"/>
        <s v="221658A" u="1"/>
        <s v="282655A" u="1"/>
        <s v="221658B" u="1"/>
        <s v="289907A" u="1"/>
        <s v="225658A" u="1"/>
        <s v="289655B" u="1"/>
        <s v="043218A" u="1"/>
        <s v="264207A" u="1"/>
        <s v="043218B" u="1"/>
        <s v="306933D" u="1"/>
        <s v="304681C" u="1"/>
        <s v="280140A" u="1"/>
        <s v="273607A" u="1"/>
        <s v="291168B" u="1"/>
        <s v="273607B" u="1"/>
        <s v="291168C" u="1"/>
        <s v="092364A" u="1"/>
        <s v="273607C" u="1"/>
        <s v="049404B" u="1"/>
        <s v="311446A" u="1"/>
        <s v="092364B" u="1"/>
        <s v="273607D" u="1"/>
        <s v="299606A" u="1"/>
        <s v="279169A" u="1"/>
        <s v="092364C" u="1"/>
        <s v="288140B" u="1"/>
        <s v="273541A" u="1"/>
        <s v="277355A" u="1"/>
        <s v="092364D" u="1"/>
        <s v="276355B" u="1"/>
        <s v="278355A" u="1"/>
        <s v="298354A" u="1"/>
        <s v="277355B" u="1"/>
        <s v="287569A" u="1"/>
        <s v="099364B" u="1"/>
        <s v="277355C" u="1"/>
        <s v="260942A" u="1"/>
        <s v="288569A" u="1"/>
        <s v="285755A" u="1"/>
        <s v="287569B" u="1"/>
        <s v="099364C" u="1"/>
        <s v="260942B" u="1"/>
        <s v="286755A" u="1"/>
        <s v="288569B" u="1"/>
        <s v="300595A" u="1"/>
        <s v="287569C" u="1"/>
        <s v="099364D" u="1"/>
        <s v="286755B" u="1"/>
        <s v="281941C" u="1"/>
        <s v="099364E" u="1"/>
        <s v="201693A" u="1"/>
        <s v="286755C" u="1"/>
        <s v="286941A" u="1"/>
        <s v="201693B" u="1"/>
        <s v="286755D" u="1"/>
        <s v="286941B" u="1"/>
        <s v="288941A" u="1"/>
        <s v="286755E" u="1"/>
        <s v="286755F" u="1"/>
        <s v="288941C" u="1"/>
        <s v="228692A" u="1"/>
        <s v="280306C" u="1"/>
        <s v="225309A" u="1"/>
        <s v="305781B" u="1"/>
        <s v="286755G" u="1"/>
        <s v="225309B" u="1"/>
        <s v="305781C" u="1"/>
        <s v="309781A" u="1"/>
        <s v="283054A" u="1"/>
        <s v="225309C" u="1"/>
        <s v="271269A" u="1"/>
        <s v="285054A" u="1"/>
        <s v="066065A" u="1"/>
        <s v="225309D" u="1"/>
        <s v="271269B" u="1"/>
        <s v="273269A" u="1"/>
        <s v="283240A" u="1"/>
        <s v="287054A" u="1"/>
        <s v="294706A" u="1"/>
        <s v="274269A" u="1"/>
        <s v="271269C" u="1"/>
        <s v="287054B" u="1"/>
        <s v="296706A" u="1"/>
        <s v="286240A" u="1"/>
        <s v="271269D" u="1"/>
        <s v="281669A" u="1"/>
        <s v="286240B" u="1"/>
        <s v="271455C" u="1"/>
        <s v="269241A" u="1"/>
        <s v="287054D" u="1"/>
        <s v="281669B" u="1"/>
        <s v="273641A" u="1"/>
        <s v="281669C" u="1"/>
        <s v="219458A" u="1"/>
        <s v="273641B" u="1"/>
        <s v="194618G" u="1"/>
        <s v="017654A" u="1"/>
        <s v="273641C" u="1"/>
        <s v="273641D" u="1"/>
        <s v="277641B" u="1"/>
        <s v="286855A" u="1"/>
        <s v="010167" u="1"/>
        <s v="286855B" u="1"/>
        <s v="232008B" u="1"/>
        <s v="217392B" u="1"/>
        <s v="286855C" u="1"/>
        <s v="286855D" u="1"/>
        <s v="286855E" u="1"/>
        <s v="283406A" u="1"/>
        <s v="044418A" u="1"/>
        <s v="283406B" u="1"/>
        <s v="283406C" u="1"/>
        <s v="269407A" u="1"/>
        <s v="283406D" u="1"/>
        <s v="283406E" u="1"/>
        <s v="285154B" u="1"/>
        <s v="288154A" u="1"/>
        <s v="283406F" u="1"/>
        <s v="291554A" u="1"/>
        <s v="285340A" u="1"/>
        <s v="288154B" u="1"/>
        <s v="306246B" u="1"/>
        <s v="213558A" u="1"/>
        <s v="283406G" u="1"/>
        <s v="306246C" u="1"/>
        <s v="213558B" u="1"/>
        <s v="283406H" u="1"/>
        <s v="291740A" u="1"/>
        <s v="285340C" u="1"/>
        <s v="850860" u="1"/>
        <s v="279807B" u="1"/>
        <s v="213558C" u="1"/>
        <s v="283406I" u="1"/>
        <s v="291740B" u="1"/>
        <s v="285340D" u="1"/>
        <s v="294740A" u="1"/>
        <s v="285769A" u="1"/>
        <s v="283406J" u="1"/>
        <s v="291740C" u="1"/>
        <s v="230743D" u="1"/>
        <s v="274741B" u="1"/>
        <s v="291740D" u="1"/>
        <s v="278741A" u="1"/>
        <s v="213558F" u="1"/>
        <s v="291740E" u="1"/>
        <s v="271106A" u="1"/>
        <s v="278741B" u="1"/>
        <s v="213558G" u="1"/>
        <s v="269790L" u="1"/>
        <s v="288955A" u="1"/>
        <s v="213558H" u="1"/>
        <s v="297105B" u="1"/>
        <s v="058303A" u="1"/>
        <s v="285506A" u="1"/>
        <s v="276040A" u="1"/>
        <s v="285506B" u="1"/>
        <s v="067079A" u="1"/>
        <s v="277040A" u="1"/>
        <s v="280440A" u="1"/>
        <s v="276040B" u="1"/>
        <s v="067079B" u="1"/>
        <s v="131140D" u="1"/>
        <s v="293906A" u="1"/>
        <s v="276040C" u="1"/>
        <s v="283440A" u="1"/>
        <s v="294906A" u="1"/>
        <s v="288254A" u="1"/>
        <s v="283440B" u="1"/>
        <s v="274469B" u="1"/>
        <s v="283440C" u="1"/>
        <s v="306532A" u="1"/>
        <s v="283440D" u="1"/>
        <s v="092850A" u="1"/>
        <s v="232843A" u="1"/>
        <s v="293840A" u="1"/>
        <s v="293840B" u="1"/>
        <s v="52832G" u="1"/>
        <s v="2254C" u="1"/>
        <s v="035404A" u="1"/>
        <s v="035404B" u="1"/>
        <s v="098215C" u="1"/>
        <s v="035404C" u="1"/>
        <s v="098215D" u="1"/>
        <s v="067617A" u="1"/>
        <s v="228609A" u="1"/>
        <s v="098215E" u="1"/>
        <s v="286354A" u="1"/>
        <s v="268355A" u="1"/>
        <s v="286354B" u="1"/>
        <s v="291754A" u="1"/>
        <s v="289354B" u="1"/>
        <s v="276569B" u="1"/>
        <s v="312846A" u="1"/>
        <s v="289354C" u="1"/>
        <s v="277755A" u="1"/>
        <s v="289354D" u="1"/>
        <s v="301632E" u="1"/>
        <s v="275941A" u="1"/>
        <s v="275941B" u="1"/>
        <s v="288969B" u="1"/>
        <s v="290305C" u="1"/>
        <s v="275306A" u="1"/>
        <s v="295305A" u="1"/>
        <s v="850173" u="1"/>
        <s v="271054B" u="1"/>
        <s v="280706A" u="1"/>
        <s v="293053A" u="1"/>
        <s v="295053A" u="1"/>
        <s v="276054B" u="1"/>
        <s v="302546A" u="1"/>
        <s v="268455A" u="1"/>
        <s v="271855A" u="1"/>
        <s v="275669A" u="1"/>
        <s v="271855B" u="1"/>
        <s v="277669A" u="1"/>
        <s v="096678B" u="1"/>
        <s v="271855C" u="1"/>
        <s v="276855A" u="1"/>
        <s v="281005A" u="1"/>
        <s v="271855D" u="1"/>
        <s v="278054H" u="1"/>
        <s v="276855B" u="1"/>
        <s v="281005B" u="1"/>
        <s v="281005C" u="1"/>
        <s v="285005A" u="1"/>
        <s v="278054J" u="1"/>
        <s v="267006A" u="1"/>
        <s v="281005D" u="1"/>
        <s v="285005B" u="1"/>
        <s v="287005A" u="1"/>
        <s v="312880A" u="1"/>
        <s v="267006B" u="1"/>
        <s v="285005C" u="1"/>
        <s v="AA-000043" u="1"/>
        <s v="292405B" u="1"/>
        <s v="275406A" u="1"/>
        <s v="292405C" u="1"/>
        <s v="232156A" u="1"/>
        <s v="279406A" u="1"/>
        <s v="056165A" u="1"/>
        <s v="244808A" u="1"/>
        <s v="285806A" u="1"/>
        <s v="285368A" u="1"/>
        <s v="300646A" u="1"/>
        <s v="285806B" u="1"/>
        <s v="277340A" u="1"/>
        <s v="289806A" u="1"/>
        <s v="065565A" u="1"/>
        <s v="269369A" u="1"/>
        <s v="283554B" u="1"/>
        <s v="300394A" u="1"/>
        <s v="065565B" u="1"/>
        <s v="304646B" u="1"/>
        <s v="269807C" u="1"/>
        <s v="302394A" u="1"/>
        <s v="297405H" u="1"/>
        <s v="276769A" u="1"/>
        <s v="305394A" u="1"/>
        <s v="288740A" u="1"/>
        <s v="273955B" u="1"/>
        <s v="294153I" u="1"/>
        <s v="222108A" u="1"/>
        <s v="273955C" u="1"/>
        <s v="277955A" u="1"/>
        <s v="308394A" u="1"/>
        <s v="283105A" u="1"/>
        <s v="273955D" u="1"/>
        <s v="277955B" u="1"/>
        <s v="277955C" u="1"/>
        <s v="191417A" u="1"/>
        <s v="309580A" u="1"/>
        <s v="277955D" u="1"/>
        <s v="288105A" u="1"/>
        <s v="850187" u="1"/>
        <s v="300131A" u="1"/>
        <s v="288105C" u="1"/>
        <s v="117990A" u="1"/>
        <s v="117990B" u="1"/>
        <s v="277506A" u="1"/>
        <s v="291505D" u="1"/>
        <s v="117990C" u="1"/>
        <s v="278506B" u="1"/>
        <s v="282468A" u="1"/>
        <s v="278506C" u="1"/>
        <s v="54698I" u="1"/>
        <s v="052451B" u="1"/>
        <s v="277506D" u="1"/>
        <s v="286468A" u="1"/>
        <s v="288906C" u="1"/>
        <s v="304746B" u="1"/>
        <s v="075879A" u="1"/>
        <s v="288906D" u="1"/>
        <s v="239190A" u="1"/>
        <s v="276869B" u="1"/>
        <s v="239190B" u="1"/>
        <s v="278869B" u="1"/>
        <s v="239190C" u="1"/>
        <s v="290419A" u="1"/>
        <s v="284205A" u="1"/>
        <s v="285205A" u="1"/>
        <s v="099000A" u="1"/>
        <s v="290419B" u="1"/>
        <s v="284205B" u="1"/>
        <s v="308680A" u="1"/>
        <s v="099000B" u="1"/>
        <s v="290419C" u="1"/>
        <s v="292419B" u="1"/>
        <s v="099000C" u="1"/>
        <s v="290419D" u="1"/>
        <s v="291167B" u="1"/>
        <s v="099000D" u="1"/>
        <s v="290419E" u="1"/>
        <s v="295605A" u="1"/>
        <s v="302231A" u="1"/>
        <s v="091363A" u="1"/>
        <s v="291167C" u="1"/>
        <s v="295605B" u="1"/>
        <s v="302231B" u="1"/>
        <s v="091363C" u="1"/>
        <s v="280754A" u="1"/>
        <s v="278354A" u="1"/>
        <s v="279606C" u="1"/>
        <s v="019367A" u="1"/>
        <s v="278354B" u="1"/>
        <s v="019367B" u="1"/>
        <s v="278354C" u="1"/>
        <s v="019367C" u="1"/>
        <s v="271969B" u="1"/>
        <s v="273969A" u="1"/>
        <s v="278354D" u="1"/>
        <s v="283940A" u="1"/>
        <s v="075979A" u="1"/>
        <s v="273969B" u="1"/>
        <s v="283940B" u="1"/>
        <s v="281119A" u="1"/>
        <s v="283940C" u="1"/>
        <s v="268941A" u="1"/>
        <s v="283940D" u="1"/>
        <s v="268941B" u="1"/>
        <s v="277354J" u="1"/>
        <s v="281053A" u="1"/>
        <s v="277354K" u="1"/>
        <s v="301145A" u="1"/>
        <s v="266054A" u="1"/>
        <s v="273706A" u="1"/>
        <s v="296705A" u="1"/>
        <s v="301145D" u="1"/>
        <s v="291453B" u="1"/>
        <s v="301145E" u="1"/>
        <s v="278268A" u="1"/>
        <s v="306145C" u="1"/>
        <s v="277354P" u="1"/>
        <s v="301145F" u="1"/>
        <s v="282668B" u="1"/>
        <s v="279454A" u="1"/>
        <s v="282668C" u="1"/>
        <s v="044866B" u="1"/>
        <s v="044866C" u="1"/>
        <s v="282668G" u="1"/>
        <s v="282219A" u="1"/>
        <s v="279454H" u="1"/>
        <s v="301059A" u="1"/>
        <s v="224408A" u="1"/>
        <s v="286219B" u="1"/>
        <s v="286219C" u="1"/>
        <s v="280153B" u="1"/>
        <s v="283153A" u="1"/>
        <s v="292619B" u="1"/>
        <s v="301059C" u="1"/>
        <s v="286219D" u="1"/>
        <s v="285153A" u="1"/>
        <s v="293805A" u="1"/>
        <s v="294805A" u="1"/>
        <s v="268154A" u="1"/>
        <s v="291553A" u="1"/>
        <s v="269154A" u="1"/>
        <s v="276368A" u="1"/>
        <s v="291553B" u="1"/>
        <s v="280768A" u="1"/>
        <s v="291553C" u="1"/>
        <s v="291553D" u="1"/>
        <s v="282954A" u="1"/>
        <s v="850038" u="1"/>
        <s v="000052" u="1"/>
        <s v="282954B" u="1"/>
        <s v="288768A" u="1"/>
        <s v="278740A" u="1"/>
        <s v="285954A" u="1"/>
        <s v="273105A" u="1"/>
        <s v="288954A" u="1"/>
        <s v="273105B" u="1"/>
        <s v="284319A" u="1"/>
        <s v="273105D" u="1"/>
        <s v="284505A" u="1"/>
        <s v="264068A" u="1"/>
        <s v="303980C" u="1"/>
        <s v="303159A" u="1"/>
        <s v="266506A" u="1"/>
        <s v="286067A" u="1"/>
        <s v="189417A" u="1"/>
        <s v="303980D" u="1"/>
        <s v="181351A" u="1"/>
        <s v="167604A" u="1"/>
        <s v="189417B" u="1"/>
        <s v="273906A" u="1"/>
        <s v="167604B" u="1"/>
        <s v="300093A" u="1"/>
        <s v="289067B" u="1"/>
        <s v="167604C" u="1"/>
        <s v="275468A" u="1"/>
        <s v="300093B" u="1"/>
        <s v="054917B" u="1"/>
        <s v="289067C" u="1"/>
        <s v="296905A" u="1"/>
        <s v="167604D" u="1"/>
        <s v="277468A" u="1"/>
        <s v="274654A" u="1"/>
        <s v="284954N" u="1"/>
        <s v="274654B" u="1"/>
        <s v="306345D" u="1"/>
        <s v="306345F" u="1"/>
        <s v="277840A" u="1"/>
        <s v="52832F" u="1"/>
        <s v="273019A" u="1"/>
        <s v="295018A" u="1"/>
        <s v="289868D" u="1"/>
        <s v="850072" u="1"/>
        <s v="289868E" u="1"/>
        <s v="285419A" u="1"/>
        <s v="281167A" u="1"/>
        <s v="64558J" u="1"/>
        <s v="289868F" u="1"/>
        <s v="301894E" u="1"/>
        <s v="292819A" u="1"/>
        <s v="044365A" u="1"/>
        <s v="300445B" u="1"/>
        <s v="285353A" u="1"/>
        <s v="044365B" u="1"/>
        <s v="269606B" u="1"/>
        <s v="298819A" u="1"/>
        <s v="306445A" u="1"/>
        <s v="271568C" u="1"/>
        <s v="294753B" u="1"/>
        <s v="271940B" u="1"/>
        <s v="271119A" u="1"/>
        <s v="271119B" u="1"/>
        <s v="288968A" u="1"/>
        <s v="051316A" u="1"/>
        <s v="263969F" u="1"/>
        <s v="263969G" u="1"/>
        <s v="850172" u="1"/>
        <s v="290052B" u="1"/>
        <s v="273053A" u="1"/>
        <s v="293052A" u="1"/>
        <s v="290052C" u="1"/>
        <s v="279305A" u="1"/>
        <s v="274119F" u="1"/>
        <s v="290052D" u="1"/>
        <s v="064278A" u="1"/>
        <s v="274119G" u="1"/>
        <s v="278305C" u="1"/>
        <s v="280453A" u="1"/>
        <s v="284267A" u="1"/>
        <s v="236055B" u="1"/>
        <s v="312330A" u="1"/>
        <s v="064278B" u="1"/>
        <s v="270305H" u="1"/>
        <s v="274119H" u="1"/>
        <s v="280453B" u="1"/>
        <s v="043903A" u="1"/>
        <s v="087715A" u="1"/>
        <s v="236055C" u="1"/>
        <s v="279305D" u="1"/>
        <s v="294919A" u="1"/>
        <s v="270305I" u="1"/>
        <s v="043903B" u="1"/>
        <s v="183551A" u="1"/>
        <s v="850787" u="1"/>
        <s v="288705B" u="1"/>
        <s v="270305J" u="1"/>
        <s v="101741A" u="1"/>
        <s v="243641A" u="1"/>
        <s v="101741B" u="1"/>
        <s v="278668B" u="1"/>
        <s v="236856B" u="1"/>
        <s v="283004A" u="1"/>
        <s v="296853C" u="1"/>
        <s v="287004A" u="1"/>
        <s v="284619A" u="1"/>
        <s v="053350A" u="1"/>
        <s v="265368A" u="1"/>
        <s v="281367C" u="1"/>
        <s v="053350B" u="1"/>
        <s v="265368B" u="1"/>
        <s v="286805B" u="1"/>
        <s v="285619E" u="1"/>
        <s v="268554A" u="1"/>
        <s v="306645A" u="1"/>
        <s v="269806C" u="1"/>
        <s v="268554B" u="1"/>
        <s v="304645C" u="1"/>
        <s v="277768A" u="1"/>
        <s v="285619H" u="1"/>
        <s v="055965A" u="1"/>
        <s v="055965B" u="1"/>
        <s v="307831B" u="1"/>
        <s v="040302A" u="1"/>
        <s v="040302B" u="1"/>
        <s v="851438" u="1"/>
        <s v="294318A" u="1"/>
        <s v="308831D" u="1"/>
        <s v="022303B" u="1"/>
        <s v="029117A" u="1"/>
        <s v="283104D" u="1"/>
        <s v="270319D" u="1"/>
        <s v="292504A" u="1"/>
        <s v="294318B" u="1"/>
        <s v="850186" u="1"/>
        <s v="029117B" u="1"/>
        <s v="280719A" u="1"/>
        <s v="283104E" u="1"/>
        <s v="029117C" u="1"/>
        <s v="294504B" u="1"/>
        <s v="280719C" u="1"/>
        <s v="282719B" u="1"/>
        <s v="284719A" u="1"/>
        <s v="030451A" u="1"/>
        <s v="294252A" u="1"/>
        <s v="298066A" u="1"/>
        <s v="282719C" u="1"/>
        <s v="030451B" u="1"/>
        <s v="194350A" u="1"/>
        <s v="294252B" u="1"/>
        <s v="298066B" u="1"/>
        <s v="270319I" u="1"/>
        <s v="54698H" u="1"/>
        <s v="030451C" u="1"/>
        <s v="294252C" u="1"/>
        <s v="221656A" u="1"/>
        <s v="280719F" u="1"/>
        <s v="282719E" u="1"/>
        <s v="054264D" u="1"/>
        <s v="294252D" u="1"/>
        <s v="298066D" u="1"/>
        <s v="268468A" u="1"/>
        <s v="270319K" u="1"/>
        <s v="054264E" u="1"/>
        <s v="280719H" u="1"/>
        <s v="268468B" u="1"/>
        <s v="300931A" u="1"/>
        <s v="054264F" u="1"/>
        <s v="264840A" u="1"/>
        <s v="054264G" u="1"/>
        <s v="219190A" u="1"/>
        <s v="298066H" u="1"/>
        <s v="066664D" u="1"/>
        <s v="306493A" u="1"/>
        <s v="308931A" u="1"/>
        <s v="282204A" u="1"/>
        <s v="306493B" u="1"/>
        <s v="282204B" u="1"/>
        <s v="287018B" u="1"/>
        <s v="069029B" u="1"/>
        <s v="294418A" u="1"/>
        <s v="276419A" u="1"/>
        <s v="296418A" u="1"/>
        <s v="191702A" u="1"/>
        <s v="297418A" u="1"/>
        <s v="069029D" u="1"/>
        <s v="276419B" u="1"/>
        <s v="278419A" u="1"/>
        <s v="191702B" u="1"/>
        <s v="069029E" u="1"/>
        <s v="235169A" u="1"/>
        <s v="276419C" u="1"/>
        <s v="168051A" u="1"/>
        <s v="033365A" u="1"/>
        <s v="282819B" u="1"/>
        <s v="168051B" u="1"/>
        <s v="033365B" u="1"/>
        <s v="168051C" u="1"/>
        <s v="277353A" u="1"/>
        <s v="288819A" u="1"/>
        <s v="168051D" u="1"/>
        <s v="277353B" u="1"/>
        <s v="288819B" u="1"/>
        <s v="168051E" u="1"/>
        <s v="277353C" u="1"/>
        <s v="288819C" u="1"/>
        <s v="306659A" u="1"/>
        <s v="291967A" u="1"/>
        <s v="277353D" u="1"/>
        <s v="282819G" u="1"/>
        <s v="053979A" u="1"/>
        <s v="850023" u="1"/>
        <s v="053979B" u="1"/>
        <s v="053979C" u="1"/>
        <s v="197879B" u="1"/>
        <s v="287753C" u="1"/>
        <s v="083128A" u="1"/>
        <s v="268940A" u="1"/>
        <s v="053979D" u="1"/>
        <s v="197879C" u="1"/>
        <s v="268940B" u="1"/>
        <s v="197879D" u="1"/>
        <s v="282304A" u="1"/>
        <s v="309593A" u="1"/>
        <s v="282304B" u="1"/>
        <s v="289118A" u="1"/>
        <s v="292518A" u="1"/>
        <s v="222055A" u="1"/>
        <s v="222055B" u="1"/>
        <s v="224055A" u="1"/>
        <s v="285052A" u="1"/>
        <s v="047502A" u="1"/>
        <s v="289118D" u="1"/>
        <s v="274267A" u="1"/>
        <s v="275705A" u="1"/>
        <s v="047502B" u="1"/>
        <s v="285052C" u="1"/>
        <s v="274267B" u="1"/>
        <s v="296266A" u="1"/>
        <s v="000017" u="1"/>
        <s v="304330A" u="1"/>
        <s v="277267A" u="1"/>
        <s v="297266A" u="1"/>
        <s v="285052D" u="1"/>
        <s v="284919B" u="1"/>
        <s v="298518D" u="1"/>
        <s v="284919C" u="1"/>
        <s v="109154E" u="1"/>
        <s v="109154F" u="1"/>
        <s v="286853A" u="1"/>
        <s v="305945A" u="1"/>
        <s v="294003A" u="1"/>
        <s v="268854B" u="1"/>
        <s v="293003B" u="1"/>
        <s v="282218A" u="1"/>
        <s v="305693A" u="1"/>
        <s v="277004A" u="1"/>
        <s v="280218C" u="1"/>
        <s v="227790A" u="1"/>
        <s v="268219A" u="1"/>
        <s v="227790B" u="1"/>
        <s v="280152B" u="1"/>
        <s v="293618A" u="1"/>
        <s v="227790C" u="1"/>
        <s v="186064A" u="1"/>
        <s v="269405A" u="1"/>
        <s v="79768I" u="1"/>
        <s v="290366B" u="1"/>
        <s v="186064B" u="1"/>
        <s v="266153A" u="1"/>
        <s v="293804A" u="1"/>
        <s v="283152C" u="1"/>
        <s v="294804A" u="1"/>
        <s v="186064C" u="1"/>
        <s v="279619A" u="1"/>
        <s v="178717A" u="1"/>
        <s v="279367A" u="1"/>
        <s v="272805F" u="1"/>
        <s v="098562A" u="1"/>
        <s v="279553A" u="1"/>
        <s v="098562B" u="1"/>
        <s v="850037" u="1"/>
        <s v="293804G" u="1"/>
        <s v="000051" u="1"/>
        <s v="257740A" u="1"/>
        <s v="279553B" u="1"/>
        <s v="272805H" u="1"/>
        <s v="257740B" u="1"/>
        <s v="279553C" u="1"/>
        <s v="237741C" u="1"/>
        <s v="257740C" u="1"/>
        <s v="279553D" u="1"/>
        <s v="279553E" u="1"/>
        <s v="277104A" u="1"/>
        <s v="297103A" u="1"/>
        <s v="212107D" u="1"/>
        <s v="281504A" u="1"/>
        <s v="277104B" u="1"/>
        <s v="300158A" u="1"/>
        <s v="280252A" u="1"/>
        <s v="023079B" u="1"/>
        <s v="065077A" u="1"/>
        <s v="022703A" u="1"/>
        <s v="280252B" u="1"/>
        <s v="263253A" u="1"/>
        <s v="291718C" u="1"/>
        <s v="302344A" u="1"/>
        <s v="290904B" u="1"/>
        <s v="022451A" u="1"/>
        <s v="273905A" u="1"/>
        <s v="286252A" u="1"/>
        <s v="294904A" u="1"/>
        <s v="230655A" u="1"/>
        <s v="022451B" u="1"/>
        <s v="273905B" u="1"/>
        <s v="297904A" u="1"/>
        <s v="274653A" u="1"/>
        <s v="281867A" u="1"/>
        <s v="279467A" u="1"/>
        <s v="096662A" u="1"/>
        <s v="096662B" u="1"/>
        <s v="278653A" u="1"/>
        <s v="041001A" u="1"/>
        <s v="096662C" u="1"/>
        <s v="281867D" u="1"/>
        <s v="288867A" u="1"/>
        <s v="041001B" u="1"/>
        <s v="096662D" u="1"/>
        <s v="289867A" u="1"/>
        <s v="288867B" u="1"/>
        <s v="041001C" u="1"/>
        <s v="052215A" u="1"/>
        <s v="289867B" u="1"/>
        <s v="290203B" u="1"/>
        <s v="277018A" u="1"/>
        <s v="296904H" u="1"/>
        <s v="041001D" u="1"/>
        <s v="289867C" u="1"/>
        <s v="296904I" u="1"/>
        <s v="281867H" u="1"/>
        <s v="297203A" u="1"/>
        <s v="282418B" u="1"/>
        <s v="278204A" u="1"/>
        <s v="288867F" u="1"/>
        <s v="297203B" u="1"/>
        <s v="64558I" u="1"/>
        <s v="282418C" u="1"/>
        <s v="278204B" u="1"/>
        <s v="283604A" u="1"/>
        <s v="297203C" u="1"/>
        <s v="256468L" u="1"/>
        <s v="282418D" u="1"/>
        <s v="292818A" u="1"/>
        <s v="273819A" u="1"/>
        <s v="264353A" u="1"/>
        <s v="189516B" u="1"/>
        <s v="301258D" u="1"/>
        <s v="189516C" u="1"/>
        <s v="255654N" u="1"/>
        <s v="273567A" u="1"/>
        <s v="288352A" u="1"/>
        <s v="306444A" u="1"/>
        <s v="133667A" u="1"/>
        <s v="273567B" u="1"/>
        <s v="269353A" u="1"/>
        <s v="288352B" u="1"/>
        <s v="273567C" u="1"/>
        <s v="273567D" u="1"/>
        <s v="050129A" u="1"/>
        <s v="299752A" u="1"/>
        <s v="050129B" u="1"/>
        <s v="018952A" u="1"/>
        <s v="289967A" u="1"/>
        <s v="018952B" u="1"/>
        <s v="276118A" u="1"/>
        <s v="018952C" u="1"/>
        <s v="096762F" u="1"/>
        <s v="276118B" u="1"/>
        <s v="294117C" u="1"/>
        <s v="275304A" u="1"/>
        <s v="096762G" u="1"/>
        <s v="276118C" u="1"/>
        <s v="850171" u="1"/>
        <s v="298303A" u="1"/>
        <s v="277304B" u="1"/>
        <s v="272304E" u="1"/>
        <s v="274118F" u="1"/>
        <s v="276052A" u="1"/>
        <s v="040902A" u="1"/>
        <s v="272919A" u="1"/>
        <s v="100554A" u="1"/>
        <s v="274118H" u="1"/>
        <s v="283704C" u="1"/>
        <s v="068715A" u="1"/>
        <s v="100554B" u="1"/>
        <s v="274118I" u="1"/>
        <s v="286266B" u="1"/>
        <s v="283704D" u="1"/>
        <s v="229269A" u="1"/>
        <s v="294918B" u="1"/>
        <s v="068715B" u="1"/>
        <s v="100554C" u="1"/>
        <s v="274118J" u="1"/>
        <s v="294918C" u="1"/>
        <s v="068715C" u="1"/>
        <s v="100554D" u="1"/>
        <s v="274118K" u="1"/>
        <s v="296666A" u="1"/>
        <s v="274118L" u="1"/>
        <s v="274853A" u="1"/>
        <s v="274118M" u="1"/>
        <s v="275853A" u="1"/>
        <s v="168365E" u="1"/>
        <s v="274118N" u="1"/>
        <s v="193950B" u="1"/>
        <s v="193950C" u="1"/>
        <s v="091227A" u="1"/>
        <s v="193950D" u="1"/>
        <s v="266004A" u="1"/>
        <s v="274218A" u="1"/>
        <s v="111067A" u="1"/>
        <s v="274404A" u="1"/>
        <s v="281804A" u="1"/>
        <s v="285618A" u="1"/>
        <s v="281366A" u="1"/>
        <s v="273152B" u="1"/>
        <s v="275152A" u="1"/>
        <s v="274404D" u="1"/>
        <s v="285618B" u="1"/>
        <s v="285366A" u="1"/>
        <s v="042564A" u="1"/>
        <s v="274404F" u="1"/>
        <s v="285804B" u="1"/>
        <s v="042564B" u="1"/>
        <s v="044564A" u="1"/>
        <s v="306458A" u="1"/>
        <s v="285804C" u="1"/>
        <s v="267367B" u="1"/>
        <s v="042564C" u="1"/>
        <s v="268367B" u="1"/>
        <s v="274404H" u="1"/>
        <s v="268553A" u="1"/>
        <s v="304644B" u="1"/>
        <s v="306644A" u="1"/>
        <s v="275767A" u="1"/>
        <s v="296766A" u="1"/>
        <s v="275767B" u="1"/>
        <s v="278767A" u="1"/>
        <s v="266805G" u="1"/>
        <s v="278767B" u="1"/>
        <s v="307392A" u="1"/>
        <s v="278767C" u="1"/>
        <s v="193229A" u="1"/>
        <s v="270318C" u="1"/>
        <s v="292317B" u="1"/>
        <s v="291065A" u="1"/>
        <s v="212507A" u="1"/>
        <s v="292317C" u="1"/>
        <s v="850185" u="1"/>
        <s v="292317D" u="1"/>
        <s v="290251A" u="1"/>
        <s v="292065B" u="1"/>
        <s v="294065A" u="1"/>
        <s v="295503A" u="1"/>
        <s v="296503A" u="1"/>
        <s v="280904A" u="1"/>
        <s v="284718A" u="1"/>
        <s v="296503B" u="1"/>
        <s v="234254A" u="1"/>
        <s v="228040A" u="1"/>
        <s v="286718A" u="1"/>
        <s v="300558A" u="1"/>
        <s v="234254B" u="1"/>
        <s v="228040B" u="1"/>
        <s v="286718B" u="1"/>
        <s v="54698G" u="1"/>
        <s v="234254C" u="1"/>
        <s v="269719A" u="1"/>
        <s v="278252A" u="1"/>
        <s v="298251A" u="1"/>
        <s v="228040C" u="1"/>
        <s v="202656A" u="1"/>
        <s v="269719B" u="1"/>
        <s v="298251B" u="1"/>
        <s v="202656B" u="1"/>
        <s v="269719C" u="1"/>
        <s v="298251C" u="1"/>
        <s v="081476E" u="1"/>
        <s v="282652C" u="1"/>
        <s v="272867B" u="1"/>
        <s v="302492A" u="1"/>
        <s v="301558F" u="1"/>
        <s v="303930B" u="1"/>
        <s v="305492A" u="1"/>
        <s v="309930A" u="1"/>
        <s v="274867E" u="1"/>
        <s v="268018B" u="1"/>
        <s v="286203A" u="1"/>
        <s v="276418A" u="1"/>
        <s v="292165A" u="1"/>
        <s v="293165A" u="1"/>
        <s v="292165B" u="1"/>
        <s v="021150C" u="1"/>
        <s v="292165C" u="1"/>
        <s v="297165A" u="1"/>
        <s v="292165D" u="1"/>
        <s v="310191A" u="1"/>
        <s v="288818A" u="1"/>
        <s v="274166E" u="1"/>
        <s v="283566B" u="1"/>
        <s v="274166F" u="1"/>
        <s v="305658A" u="1"/>
        <s v="139266D" u="1"/>
        <s v="277352D" u="1"/>
        <s v="292966A" u="1"/>
        <s v="850022" u="1"/>
        <s v="034979A" u="1"/>
        <s v="277352E" u="1"/>
        <s v="292966B" u="1"/>
        <s v="277352F" u="1"/>
        <s v="277352G" u="1"/>
        <s v="298966A" u="1"/>
        <s v="228941A" u="1"/>
        <s v="277352H" u="1"/>
        <s v="285117A" u="1"/>
        <s v="228941B" u="1"/>
        <s v="277352I" u="1"/>
        <s v="228941C" u="1"/>
        <s v="023316B" u="1"/>
        <s v="277352J" u="1"/>
        <s v="228941D" u="1"/>
        <s v="272518A" u="1"/>
        <s v="293517A" u="1"/>
        <s v="023316C" u="1"/>
        <s v="277352K" u="1"/>
        <s v="291703A" u="1"/>
        <s v="293517B" u="1"/>
        <s v="277352L" u="1"/>
        <s v="295079A" u="1"/>
        <s v="286051A" u="1"/>
        <s v="213269A" u="1"/>
        <s v="277352M" u="1"/>
        <s v="287051A" u="1"/>
        <s v="055715A" u="1"/>
        <s v="213269B" u="1"/>
        <s v="287051B" u="1"/>
        <s v="298517B" u="1"/>
        <s v="000016" u="1"/>
        <s v="181029K" u="1"/>
        <s v="293451A" u="1"/>
        <s v="181029L" u="1"/>
        <s v="293451B" u="1"/>
        <s v="288666A" u="1"/>
        <s v="292002A" u="1"/>
        <s v="264853C" u="1"/>
        <s v="302692A" u="1"/>
        <s v="292002B" u="1"/>
        <s v="055014A" u="1"/>
        <s v="288852B" u="1"/>
        <s v="055014B" u="1"/>
        <s v="306692A" u="1"/>
        <s v="283403A" u="1"/>
        <s v="303692D" u="1"/>
        <s v="269218A" u="1"/>
        <s v="283403B" u="1"/>
        <s v="280151B" u="1"/>
        <s v="282151A" u="1"/>
        <s v="283403C" u="1"/>
        <s v="287403B" u="1"/>
        <s v="79768H" u="1"/>
        <s v="275804A" u="1"/>
        <s v="238806A" u="1"/>
        <s v="278366A" u="1"/>
        <s v="099375A" u="1"/>
        <s v="231740A" u="1"/>
        <s v="238806B" u="1"/>
        <s v="278366B" u="1"/>
        <s v="231740B" u="1"/>
        <s v="238806C" u="1"/>
        <s v="272804F" u="1"/>
        <s v="278366C" u="1"/>
        <s v="285766A" u="1"/>
        <s v="279552A" u="1"/>
        <s v="238806D" u="1"/>
        <s v="300858C" u="1"/>
        <s v="278366D" u="1"/>
        <s v="850036" u="1"/>
        <s v="067777A" u="1"/>
        <s v="279552B" u="1"/>
        <s v="268767A" u="1"/>
        <s v="272804H" u="1"/>
        <s v="278366E" u="1"/>
        <s v="067777B" u="1"/>
        <s v="172015A" u="1"/>
        <s v="099375E" u="1"/>
        <s v="279552C" u="1"/>
        <s v="284766D" u="1"/>
        <s v="067777C" u="1"/>
        <s v="172015B" u="1"/>
        <s v="227955A" u="1"/>
        <s v="099375F" u="1"/>
        <s v="279552D" u="1"/>
        <s v="172015C" u="1"/>
        <s v="099375G" u="1"/>
        <s v="279552E" u="1"/>
        <s v="172015D" u="1"/>
        <s v="099375H" u="1"/>
        <s v="172015E" u="1"/>
        <s v="283317B" u="1"/>
        <s v="219106A" u="1"/>
        <s v="286317A" u="1"/>
        <s v="219106B" u="1"/>
        <s v="219106C" u="1"/>
        <s v="291717B" u="1"/>
        <s v="043701A" u="1"/>
        <s v="169416A" u="1"/>
        <s v="293279A" u="1"/>
        <s v="063262A" u="1"/>
        <s v="294717A" u="1"/>
        <s v="266504B" u="1"/>
        <s v="284065C" u="1"/>
        <s v="302343A" u="1"/>
        <s v="169416B" u="1"/>
        <s v="276718A" u="1"/>
        <s v="285251A" u="1"/>
        <s v="AA-000046" u="1"/>
        <s v="266504C" u="1"/>
        <s v="296279A" u="1"/>
        <s v="284065D" u="1"/>
        <s v="169416C" u="1"/>
        <s v="296279B" u="1"/>
        <s v="169416D" u="1"/>
        <s v="296903A" u="1"/>
        <s v="279466A" u="1"/>
        <s v="279466B" u="1"/>
        <s v="034850A" u="1"/>
        <s v="305091C" u="1"/>
        <s v="034850B" u="1"/>
        <s v="034850C" u="1"/>
        <s v="288866B" u="1"/>
        <s v="276017A" u="1"/>
        <s v="289317L" u="1"/>
        <s v="295202A" u="1"/>
        <s v="116118B" u="1"/>
        <s v="280603A" u="1"/>
        <s v="302509A" u="1"/>
        <s v="116118C" u="1"/>
        <s v="64558H" u="1"/>
        <s v="280603B" u="1"/>
        <s v="291817A" u="1"/>
        <s v="245605A" u="1"/>
        <s v="292817A" u="1"/>
        <s v="245605B" u="1"/>
        <s v="228606A" u="1"/>
        <s v="264352A" u="1"/>
        <s v="245605C" u="1"/>
        <s v="269604A" u="1"/>
        <s v="285351A" u="1"/>
        <s v="245605D" u="1"/>
        <s v="269352A" u="1"/>
        <s v="289351A" u="1"/>
        <s v="053763A" u="1"/>
        <s v="293751A" u="1"/>
        <s v="278566A" u="1"/>
        <s v="053763B" u="1"/>
        <s v="275752A" u="1"/>
        <s v="279566A" u="1"/>
        <s v="283966A" u="1"/>
        <s v="279566B" u="1"/>
        <s v="283966B" u="1"/>
        <s v="279566C" u="1"/>
        <s v="283966C" u="1"/>
        <s v="287966A" u="1"/>
        <s v="279566D" u="1"/>
        <s v="288966A" u="1"/>
        <s v="283966D" u="1"/>
        <s v="287966B" u="1"/>
        <s v="279566E" u="1"/>
        <s v="301992A" u="1"/>
        <s v="278117A" u="1"/>
        <s v="280079A" u="1"/>
        <s v="279566G" u="1"/>
        <s v="235305A" u="1"/>
        <s v="295302A" u="1"/>
        <s v="850170" u="1"/>
        <s v="299302A" u="1"/>
        <s v="295050A" u="1"/>
        <s v="276051A" u="1"/>
        <s v="268518A" u="1"/>
        <s v="273051C" u="1"/>
        <s v="290479A" u="1"/>
        <s v="295050B" u="1"/>
        <s v="091489A" u="1"/>
        <s v="276051B" u="1"/>
        <s v="279051A" u="1"/>
        <s v="292479A" u="1"/>
        <s v="124366A" u="1"/>
        <s v="091489B" u="1"/>
        <s v="023464A" u="1"/>
        <s v="279051B" u="1"/>
        <s v="124366B" u="1"/>
        <s v="274117I" u="1"/>
        <s v="281517G" u="1"/>
        <s v="023464B" u="1"/>
        <s v="032678A" u="1"/>
        <s v="290479D" u="1"/>
        <s v="026278C" u="1"/>
        <s v="124366C" u="1"/>
        <s v="274117J" u="1"/>
        <s v="272918D" u="1"/>
        <s v="290479E" u="1"/>
        <s v="026278D" u="1"/>
        <s v="274117K" u="1"/>
        <s v="282451D" u="1"/>
        <s v="306543A" u="1"/>
        <s v="232854A" u="1"/>
        <s v="290479F" u="1"/>
        <s v="053863A" u="1"/>
        <s v="232854B" u="1"/>
        <s v="278666A" u="1"/>
        <s v="053863B" u="1"/>
        <s v="273852B" u="1"/>
        <s v="275852A" u="1"/>
        <s v="232854C" u="1"/>
        <s v="053863C" u="1"/>
        <s v="273852C" u="1"/>
        <s v="303543F" u="1"/>
        <s v="232854D" u="1"/>
        <s v="053863D" u="1"/>
        <s v="224005A" u="1"/>
        <s v="273852D" u="1"/>
        <s v="299851A" u="1"/>
        <s v="224005B" u="1"/>
        <s v="273852E" u="1"/>
        <s v="273217A" u="1"/>
        <s v="293216A" u="1"/>
        <s v="273217B" u="1"/>
        <s v="276217A" u="1"/>
        <s v="276217B" u="1"/>
        <s v="299851E" u="1"/>
        <s v="312056A" u="1"/>
        <s v="097412A" u="1"/>
        <s v="305709A" u="1"/>
        <s v="268618A" u="1"/>
        <s v="277151A" u="1"/>
        <s v="021564A" u="1"/>
        <s v="059414C" u="1"/>
        <s v="285365A" u="1"/>
        <s v="021564B" u="1"/>
        <s v="059414D" u="1"/>
        <s v="288803A" u="1"/>
        <s v="200741A" u="1"/>
        <s v="289803A" u="1"/>
        <s v="021564C" u="1"/>
        <s v="059414E" u="1"/>
        <s v="304643A" u="1"/>
        <s v="289803B" u="1"/>
        <s v="021564D" u="1"/>
        <s v="059414F" u="1"/>
        <s v="268552A" u="1"/>
        <s v="021564E" u="1"/>
        <s v="296765A" u="1"/>
        <s v="021564F" u="1"/>
        <s v="294951A" u="1"/>
        <s v="295951A" u="1"/>
        <s v="292951C" u="1"/>
        <s v="292951D" u="1"/>
        <s v="294951C" u="1"/>
        <s v="292951E" u="1"/>
        <s v="306391D" u="1"/>
        <s v="291064A" u="1"/>
        <s v="092512A" u="1"/>
        <s v="850184" u="1"/>
        <s v="273503A" u="1"/>
        <s v="293064A" u="1"/>
        <s v="092512B" u="1"/>
        <s v="293064B" u="1"/>
        <s v="272251A" u="1"/>
        <s v="292250A" u="1"/>
        <s v="283279A" u="1"/>
        <s v="291250B" u="1"/>
        <s v="280465A" u="1"/>
        <s v="284279A" u="1"/>
        <s v="281465A" u="1"/>
        <s v="283279B" u="1"/>
        <s v="282903A" u="1"/>
        <s v="178601A" u="1"/>
        <s v="287717A" u="1"/>
        <s v="296250A" u="1"/>
        <s v="141565A" u="1"/>
        <s v="282903B" u="1"/>
        <s v="54698F" u="1"/>
        <s v="287717B" u="1"/>
        <s v="296250B" u="1"/>
        <s v="141565B" u="1"/>
        <s v="280465D" u="1"/>
        <s v="293679A" u="1"/>
        <s v="141565C" u="1"/>
        <s v="280465E" u="1"/>
        <s v="218440A" u="1"/>
        <s v="141565D" u="1"/>
        <s v="232868A" u="1"/>
        <s v="291865B" u="1"/>
        <s v="141565E" u="1"/>
        <s v="283651C" u="1"/>
        <s v="309557A" u="1"/>
        <s v="294865A" u="1"/>
        <s v="291865C" u="1"/>
        <s v="293865B" u="1"/>
        <s v="141565F" u="1"/>
        <s v="283651D" u="1"/>
        <s v="294679D" u="1"/>
        <s v="291865D" u="1"/>
        <s v="141565G" u="1"/>
        <s v="280202B" u="1"/>
        <s v="308491A" u="1"/>
        <s v="290416A" u="1"/>
        <s v="289016A" u="1"/>
        <s v="290416B" u="1"/>
        <s v="171515A" u="1"/>
        <s v="289016B" u="1"/>
        <s v="290416C" u="1"/>
        <s v="171515B" u="1"/>
        <s v="295416A" u="1"/>
        <s v="270603B" u="1"/>
        <s v="171515C" u="1"/>
        <s v="273165A" u="1"/>
        <s v="117518A" u="1"/>
        <s v="171515D" u="1"/>
        <s v="273165B" u="1"/>
        <s v="289016E" u="1"/>
        <s v="212354A" u="1"/>
        <s v="276165A" u="1"/>
        <s v="117518B" u="1"/>
        <s v="297164A" u="1"/>
        <s v="212354B" u="1"/>
        <s v="286817A" u="1"/>
        <s v="010129" u="1"/>
        <s v="283565A" u="1"/>
        <s v="277351A" u="1"/>
        <s v="290779A" u="1"/>
        <s v="289379A" u="1"/>
        <s v="850899" u="1"/>
        <s v="286379C" u="1"/>
        <s v="289379B" u="1"/>
        <s v="305657A" u="1"/>
        <s v="289379C" u="1"/>
        <s v="289379D" u="1"/>
        <s v="305843A" u="1"/>
        <s v="288565C" u="1"/>
        <s v="302843C" u="1"/>
        <s v="289379E" u="1"/>
        <s v="275966B" u="1"/>
        <s v="282116A" u="1"/>
        <s v="298965A" u="1"/>
        <s v="275966C" u="1"/>
        <s v="183663G" u="1"/>
        <s v="298965B" u="1"/>
        <s v="183663H" u="1"/>
        <s v="183663I" u="1"/>
        <s v="291078A" u="1"/>
        <s v="272517A" u="1"/>
        <s v="272079A" u="1"/>
        <s v="290078B" u="1"/>
        <s v="292078A" u="1"/>
        <s v="183663J" u="1"/>
        <s v="233519A" u="1"/>
        <s v="293516A" u="1"/>
        <s v="274079A" u="1"/>
        <s v="292078B" u="1"/>
        <s v="274079B" u="1"/>
        <s v="273517C" u="1"/>
        <s v="273703A" u="1"/>
        <s v="286050A" u="1"/>
        <s v="293516C" u="1"/>
        <s v="276517B" u="1"/>
        <s v="274079C" u="1"/>
        <s v="273703B" u="1"/>
        <s v="281479A" u="1"/>
        <s v="291450A" u="1"/>
        <s v="000015" u="1"/>
        <s v="291450B" u="1"/>
        <s v="272451B" u="1"/>
        <s v="279703A" u="1"/>
        <s v="296264C" u="1"/>
        <s v="063676A" u="1"/>
        <s v="279703B" u="1"/>
        <s v="282851A" u="1"/>
        <s v="198362C" u="1"/>
        <s v="261852B" u="1"/>
        <s v="198362D" u="1"/>
        <s v="272002A" u="1"/>
        <s v="268666C" u="1"/>
        <s v="287851B" u="1"/>
        <s v="272002D" u="1"/>
        <s v="304308A" u="1"/>
        <s v="272002E" u="1"/>
        <s v="270617A" u="1"/>
        <s v="290616A" u="1"/>
        <s v="186314A" u="1"/>
        <s v="272002F" u="1"/>
        <s v="289216A" u="1"/>
        <s v="270617B" u="1"/>
        <s v="186314B" u="1"/>
        <s v="280150B" u="1"/>
        <s v="283402C" u="1"/>
        <s v="285402B" u="1"/>
        <s v="293178A" u="1"/>
        <s v="270617C" u="1"/>
        <s v="294616A" u="1"/>
        <s v="271803A" u="1"/>
        <s v="79768G" u="1"/>
        <s v="270617D" u="1"/>
        <s v="294802A" u="1"/>
        <s v="275803A" u="1"/>
        <s v="294802B" u="1"/>
        <s v="052562A" u="1"/>
        <s v="275803B" u="1"/>
        <s v="238805A" u="1"/>
        <s v="052562B" u="1"/>
        <s v="298364A" u="1"/>
        <s v="275803C" u="1"/>
        <s v="281765A" u="1"/>
        <s v="238805B" u="1"/>
        <s v="296802C" u="1"/>
        <s v="052562C" u="1"/>
        <s v="IU-400118" u="1"/>
        <s v="238805C" u="1"/>
        <s v="052562D" u="1"/>
        <s v="279551A" u="1"/>
        <s v="292979A" u="1"/>
        <s v="238805D" u="1"/>
        <s v="284765B" u="1"/>
        <s v="052562E" u="1"/>
        <s v="279551B" u="1"/>
        <s v="288765A" u="1"/>
        <s v="265952A" u="1"/>
        <s v="215554E" u="1"/>
        <s v="279551C" u="1"/>
        <s v="289765B" u="1"/>
        <s v="279551D" u="1"/>
        <s v="098989B" u="1"/>
        <s v="261317A" u="1"/>
        <s v="098989C" u="1"/>
        <s v="261317B" u="1"/>
        <s v="238104A" u="1"/>
        <s v="280064A" u="1"/>
        <s v="289765E" u="1"/>
        <s v="281064A" u="1"/>
        <s v="238104B" u="1"/>
        <s v="280064B" u="1"/>
        <s v="289765F" u="1"/>
        <s v="285502A" u="1"/>
        <s v="086512A" u="1"/>
        <s v="273717A" u="1"/>
        <s v="294716A" u="1"/>
        <s v="273717B" u="1"/>
        <s v="302342A" u="1"/>
        <s v="272903A" u="1"/>
        <s v="273717C" u="1"/>
        <s v="294464A" u="1"/>
        <s v="276465C" u="1"/>
        <s v="287679A" u="1"/>
        <s v="284865A" u="1"/>
        <s v="288679A" u="1"/>
        <s v="300957B" u="1"/>
        <s v="276465D" u="1"/>
        <s v="278651A" u="1"/>
        <s v="300957C" u="1"/>
        <s v="276465E" u="1"/>
        <s v="165778C" u="1"/>
        <s v="185963A" u="1"/>
        <s v="303957B" u="1"/>
        <s v="293015A" u="1"/>
        <s v="185963B" u="1"/>
        <s v="267866B" u="1"/>
        <s v="289865A" u="1"/>
        <s v="293015B" u="1"/>
        <s v="272279K" u="1"/>
        <s v="185963C" u="1"/>
        <s v="267866C" u="1"/>
        <s v="289865B" u="1"/>
        <s v="276465H" u="1"/>
        <s v="274202A" u="1"/>
        <s v="289865C" u="1"/>
        <s v="281416A" u="1"/>
        <s v="281416B" u="1"/>
        <s v="277202A" u="1"/>
        <s v="302508A" u="1"/>
        <s v="297201B" u="1"/>
        <s v="64558G" u="1"/>
        <s v="282416C" u="1"/>
        <s v="306508A" u="1"/>
        <s v="291378A" u="1"/>
        <s v="282416E" u="1"/>
        <s v="306508B" u="1"/>
        <s v="292816B" u="1"/>
        <s v="270565A" u="1"/>
        <s v="284350A" u="1"/>
        <s v="292816C" u="1"/>
        <s v="232567A" u="1"/>
        <s v="268603B" u="1"/>
        <s v="276379A" u="1"/>
        <s v="298816A" u="1"/>
        <s v="232567B" u="1"/>
        <s v="268603C" u="1"/>
        <s v="298378A" u="1"/>
        <s v="282779A" u="1"/>
        <s v="232567C" u="1"/>
        <s v="299378B" u="1"/>
        <s v="232567D" u="1"/>
        <s v="279565A" u="1"/>
        <s v="279565B" u="1"/>
        <s v="288779A" u="1"/>
        <s v="278565C" u="1"/>
        <s v="278751A" u="1"/>
        <s v="279565C" u="1"/>
        <s v="278751B" u="1"/>
        <s v="192027B" u="1"/>
        <s v="279565D" u="1"/>
        <s v="279565E" u="1"/>
        <s v="236118A" u="1"/>
        <s v="236118B" u="1"/>
        <s v="278116A" u="1"/>
        <s v="093311B" u="1"/>
        <s v="261079A" u="1"/>
        <s v="300608A" u="1"/>
        <s v="236118C" u="1"/>
        <s v="274302B" u="1"/>
        <s v="261079B" u="1"/>
        <s v="275302B" u="1"/>
        <s v="236118D" u="1"/>
        <s v="274302C" u="1"/>
        <s v="298301A" u="1"/>
        <s v="303991C" u="1"/>
        <s v="261079C" u="1"/>
        <s v="266517A" u="1"/>
        <s v="303991D" u="1"/>
        <s v="283264A" u="1"/>
        <s v="268517A" u="1"/>
        <s v="280264C" u="1"/>
        <s v="283264B" u="1"/>
        <s v="273917A" u="1"/>
        <s v="283264C" u="1"/>
        <s v="288702A" u="1"/>
        <s v="026277B" u="1"/>
        <s v="272665A" u="1"/>
        <s v="292478C" u="1"/>
        <s v="026277C" u="1"/>
        <s v="277917A" u="1"/>
        <s v="286450A" u="1"/>
        <s v="274917C" u="1"/>
        <s v="280879A" u="1"/>
        <s v="272665B" u="1"/>
        <s v="026277D" u="1"/>
        <s v="281879B" u="1"/>
        <s v="274665C" u="1"/>
        <s v="274851A" u="1"/>
        <s v="275851A" u="1"/>
        <s v="282879C" u="1"/>
        <s v="274851B" u="1"/>
        <s v="282879D" u="1"/>
        <s v="274851C" u="1"/>
        <s v="292029B" u="1"/>
        <s v="2254D" u="1"/>
        <s v="307290C" u="1"/>
        <s v="307290E" u="1"/>
        <s v="283178A" u="1"/>
        <s v="253151A" u="1"/>
        <s v="271150B" u="1"/>
        <s v="140278B" u="1"/>
        <s v="280178C" u="1"/>
        <s v="140278C" u="1"/>
        <s v="282178C" u="1"/>
        <s v="285802A" u="1"/>
        <s v="287178B" u="1"/>
        <s v="282178E" u="1"/>
        <s v="302456C" u="1"/>
        <s v="269803A" u="1"/>
        <s v="269365A" u="1"/>
        <s v="310856A" u="1"/>
        <s v="053776A" u="1"/>
        <s v="273579C" u="1"/>
        <s v="273765A" u="1"/>
        <s v="277579A" u="1"/>
        <s v="280979A" u="1"/>
        <s v="054776A" u="1"/>
        <s v="053776B" u="1"/>
        <s v="053776C" u="1"/>
        <s v="277579C" u="1"/>
        <s v="294578E" u="1"/>
        <s v="294950A" u="1"/>
        <s v="053776D" u="1"/>
        <s v="294578F" u="1"/>
        <s v="294950B" u="1"/>
        <s v="310790A" u="1"/>
        <s v="277951A" u="1"/>
        <s v="294578G" u="1"/>
        <s v="294578H" u="1"/>
        <s v="291063A" u="1"/>
        <s v="296315A" u="1"/>
        <s v="850183" u="1"/>
        <s v="299950D" u="1"/>
        <s v="291063B" u="1"/>
        <s v="293063A" u="1"/>
        <s v="294501A" u="1"/>
        <s v="051261A" u="1"/>
        <s v="291063C" u="1"/>
        <s v="294501B" u="1"/>
        <s v="051261B" u="1"/>
        <s v="291063D" u="1"/>
        <s v="284278A" u="1"/>
        <s v="294501C" u="1"/>
        <s v="283278B" u="1"/>
        <s v="051261C" u="1"/>
        <s v="282902A" u="1"/>
        <s v="291063E" u="1"/>
        <s v="299063A" u="1"/>
        <s v="282464A" u="1"/>
        <s v="294501D" u="1"/>
        <s v="020915C" u="1"/>
        <s v="282464B" u="1"/>
        <s v="286278B" u="1"/>
        <s v="294501E" u="1"/>
        <s v="54698E" u="1"/>
        <s v="021915C" u="1"/>
        <s v="199161B" u="1"/>
        <s v="277250B" u="1"/>
        <s v="310956A" u="1"/>
        <s v="291864B" u="1"/>
        <s v="280015A" u="1"/>
        <s v="302490A" u="1"/>
        <s v="283650D" u="1"/>
        <s v="278865A" u="1"/>
        <s v="278865B" u="1"/>
        <s v="285015A" u="1"/>
        <s v="299864B" u="1"/>
        <s v="223204A" u="1"/>
        <s v="278865C" u="1"/>
        <s v="299864C" u="1"/>
        <s v="265202A" u="1"/>
        <s v="231604B" u="1"/>
        <s v="231604C" u="1"/>
        <s v="239418A" u="1"/>
        <s v="306041A" u="1"/>
        <s v="282816A" u="1"/>
        <s v="305041B" u="1"/>
        <s v="231604D" u="1"/>
        <s v="239418B" u="1"/>
        <s v="263379A" u="1"/>
        <s v="231604E" u="1"/>
        <s v="239418C" u="1"/>
        <s v="277164B" u="1"/>
        <s v="282816C" u="1"/>
        <s v="010128" u="1"/>
        <s v="000100" u="1"/>
        <s v="239418D" u="1"/>
        <s v="277350A" u="1"/>
        <s v="288816A" u="1"/>
        <s v="086388B" u="1"/>
        <s v="280750A" u="1"/>
        <s v="850898" u="1"/>
        <s v="277350B" u="1"/>
        <s v="196513F" u="1"/>
        <s v="284564B" u="1"/>
        <s v="277350C" u="1"/>
        <s v="300908F" u="1"/>
        <s v="196513G" u="1"/>
        <s v="200940A" u="1"/>
        <s v="277350D" u="1"/>
        <s v="293964A" u="1"/>
        <s v="265565D" u="1"/>
        <s v="IU-400120" u="1"/>
        <s v="278779A" u="1"/>
        <s v="900139" u="1"/>
        <s v="273965B" u="1"/>
        <s v="236967A" u="1"/>
        <s v="282115A" u="1"/>
        <s v="236967B" u="1"/>
        <s v="236967C" u="1"/>
        <s v="282301A" u="1"/>
        <s v="265116B" u="1"/>
        <s v="294329A" u="1"/>
        <s v="288115A" u="1"/>
        <s v="291515A" u="1"/>
        <s v="265116C" u="1"/>
        <s v="285301A" u="1"/>
        <s v="850197" u="1"/>
        <s v="286301A" u="1"/>
        <s v="308207A" u="1"/>
        <s v="270702A" u="1"/>
        <s v="268302A" u="1"/>
        <s v="274078A" u="1"/>
        <s v="313607A" u="1"/>
        <s v="274078B" u="1"/>
        <s v="294701A" u="1"/>
        <s v="274078C" u="1"/>
        <s v="299515A" u="1"/>
        <s v="226118G" u="1"/>
        <s v="000014" u="1"/>
        <s v="229304D" u="1"/>
        <s v="284916A" u="1"/>
        <s v="297263A" u="1"/>
        <s v="309141A" u="1"/>
        <s v="054461A" u="1"/>
        <s v="226118H" u="1"/>
        <s v="274450A" u="1"/>
        <s v="085488A" u="1"/>
        <s v="054461B" u="1"/>
        <s v="289916A" u="1"/>
        <s v="303756A" u="1"/>
        <s v="279450A" u="1"/>
        <s v="155801E" u="1"/>
        <s v="155801F" u="1"/>
        <s v="279450C" u="1"/>
        <s v="028677B" u="1"/>
        <s v="155801G" u="1"/>
        <s v="290000B" u="1"/>
        <s v="028677C" u="1"/>
        <s v="304756D" u="1"/>
        <s v="028677D" u="1"/>
        <s v="279450F" u="1"/>
        <s v="237003A" u="1"/>
        <s v="264216A" u="1"/>
        <s v="280215C" u="1"/>
        <s v="280401A" u="1"/>
        <s v="306690A" u="1"/>
        <s v="287029B" u="1"/>
        <s v="280401B" u="1"/>
        <s v="308690A" u="1"/>
        <s v="276001C" u="1"/>
        <s v="287215A" u="1"/>
        <s v="224404A" u="1"/>
        <s v="292615A" u="1"/>
        <s v="224404B" u="1"/>
        <s v="276001E" u="1"/>
        <s v="287215C" u="1"/>
        <s v="224404C" u="1"/>
        <s v="295177A" u="1"/>
        <s v="276001G" u="1"/>
        <s v="308055A" u="1"/>
        <s v="294363A" u="1"/>
        <s v="291363C" u="1"/>
        <s v="277802A" u="1"/>
        <s v="233552A" u="1"/>
        <s v="266150D" u="1"/>
        <s v="233552B" u="1"/>
        <s v="233552C" u="1"/>
        <s v="040776C" u="1"/>
        <s v="291978A" u="1"/>
        <s v="233552D" u="1"/>
        <s v="850034" u="1"/>
        <s v="233552E" u="1"/>
        <s v="273979B" u="1"/>
        <s v="286950A" u="1"/>
        <s v="295978B" u="1"/>
        <s v="068961A" u="1"/>
        <s v="273101A" u="1"/>
        <s v="068961B" u="1"/>
        <s v="295100A" u="1"/>
        <s v="286129A" u="1"/>
        <s v="305790A" u="1"/>
        <s v="068961C" u="1"/>
        <s v="277101A" u="1"/>
        <s v="286129B" u="1"/>
        <s v="165228B" u="1"/>
        <s v="303407A" u="1"/>
        <s v="279101A" u="1"/>
        <s v="285315B" u="1"/>
        <s v="279101B" u="1"/>
        <s v="284501A" u="1"/>
        <s v="285501A" u="1"/>
        <s v="279101C" u="1"/>
        <s v="297529A" u="1"/>
        <s v="267316C" u="1"/>
        <s v="279101D" u="1"/>
        <s v="285063B" u="1"/>
        <s v="290901A" u="1"/>
        <s v="275716A" u="1"/>
        <s v="302341A" u="1"/>
        <s v="272902A" u="1"/>
        <s v="279101E" u="1"/>
        <s v="290901B" u="1"/>
        <s v="294715B" u="1"/>
        <s v="296715A" u="1"/>
        <s v="190561A" u="1"/>
        <s v="250551P" u="1"/>
        <s v="275716B" u="1"/>
        <s v="294978K" u="1"/>
        <s v="225252B" u="1"/>
        <s v="279101F" u="1"/>
        <s v="190561B" u="1"/>
        <s v="296277B" u="1"/>
        <s v="275716C" u="1"/>
        <s v="279716A" u="1"/>
        <s v="297277B" u="1"/>
        <s v="225252C" u="1"/>
        <s v="290901D" u="1"/>
        <s v="296277C" u="1"/>
        <s v="296463A" u="1"/>
        <s v="310741A" u="1"/>
        <s v="308341A" u="1"/>
        <s v="279101H" u="1"/>
        <s v="177562B" u="1"/>
        <s v="214905E" u="1"/>
        <s v="276650B" u="1"/>
        <s v="265865A" u="1"/>
        <s v="214905F" u="1"/>
        <s v="265865B" u="1"/>
        <s v="214905G" u="1"/>
        <s v="214905H" u="1"/>
        <s v="280229B" u="1"/>
        <s v="282229A" u="1"/>
        <s v="273201A" u="1"/>
        <s v="280229C" u="1"/>
        <s v="274201A" u="1"/>
        <s v="283229B" u="1"/>
        <s v="295200A" u="1"/>
        <s v="280229D" u="1"/>
        <s v="295200B" u="1"/>
        <s v="64558F" u="1"/>
        <s v="280229F" u="1"/>
        <s v="302255A" u="1"/>
        <s v="045613A" u="1"/>
        <s v="289415A" u="1"/>
        <s v="201353A" u="1"/>
        <s v="280229H" u="1"/>
        <s v="293815A" u="1"/>
        <s v="045613B" u="1"/>
        <s v="118050A" u="1"/>
        <s v="292815B" u="1"/>
        <s v="294815A" u="1"/>
        <s v="280229I" u="1"/>
        <s v="286163B" u="1"/>
        <s v="306255A" u="1"/>
        <s v="045613C" u="1"/>
        <s v="118050B" u="1"/>
        <s v="201353C" u="1"/>
        <s v="289163A" u="1"/>
        <s v="280229J" u="1"/>
        <s v="286163C" u="1"/>
        <s v="045613D" u="1"/>
        <s v="118050C" u="1"/>
        <s v="201353D" u="1"/>
        <s v="289163B" u="1"/>
        <s v="280229K" u="1"/>
        <s v="279816A" u="1"/>
        <s v="281778A" u="1"/>
        <s v="045613E" u="1"/>
        <s v="289163C" u="1"/>
        <s v="310841A" u="1"/>
        <s v="033762A" u="1"/>
        <s v="045613F" u="1"/>
        <s v="095573B" u="1"/>
        <s v="201353F" u="1"/>
        <s v="234752A" u="1"/>
        <s v="033762B" u="1"/>
        <s v="276750A" u="1"/>
        <s v="033762C" u="1"/>
        <s v="263602I" u="1"/>
        <s v="268779A" u="1"/>
        <s v="269779A" u="1"/>
        <s v="266965A" u="1"/>
        <s v="268779B" u="1"/>
        <s v="271115A" u="1"/>
        <s v="276750C" u="1"/>
        <s v="170213A" u="1"/>
        <s v="268779C" u="1"/>
        <s v="170213B" u="1"/>
        <s v="290114C" u="1"/>
        <s v="170213C" u="1"/>
        <s v="216118A" u="1"/>
        <s v="283329A" u="1"/>
        <s v="170213D" u="1"/>
        <s v="216118B" u="1"/>
        <s v="278115A" u="1"/>
        <s v="285329A" u="1"/>
        <s v="261078A" u="1"/>
        <s v="216118C" u="1"/>
        <s v="283329C" u="1"/>
        <s v="305990A" u="1"/>
        <s v="261078B" u="1"/>
        <s v="281701A" u="1"/>
        <s v="277301B" u="1"/>
        <s v="276301C" u="1"/>
        <s v="281701B" u="1"/>
        <s v="270916A" u="1"/>
        <s v="294729A" u="1"/>
        <s v="268516A" u="1"/>
        <s v="288515A" u="1"/>
        <s v="281701C" u="1"/>
        <s v="270916B" u="1"/>
        <s v="165800A" u="1"/>
        <s v="281701D" u="1"/>
        <s v="165800B" u="1"/>
        <s v="281701E" u="1"/>
        <s v="285701C" u="1"/>
        <s v="232666A" u="1"/>
        <s v="272664A" u="1"/>
        <s v="165800C" u="1"/>
        <s v="280878A" u="1"/>
        <s v="232666B" u="1"/>
        <s v="294663A" u="1"/>
        <s v="165800D" u="1"/>
        <s v="232666C" u="1"/>
        <s v="234852A" u="1"/>
        <s v="900024" u="1"/>
        <s v="275850A" u="1"/>
        <s v="234852B" u="1"/>
        <s v="277850A" u="1"/>
        <s v="234852C" u="1"/>
        <s v="065011A" u="1"/>
        <s v="234852D" u="1"/>
        <s v="276029A" u="1"/>
        <s v="277850C" u="1"/>
        <s v="193126B" u="1"/>
        <s v="065011B" u="1"/>
        <s v="234217A" u="1"/>
        <s v="277850E" u="1"/>
        <s v="279215A" u="1"/>
        <s v="295400A" u="1"/>
        <s v="279215B" u="1"/>
        <s v="283177A" u="1"/>
        <s v="291829A" u="1"/>
        <s v="285615B" u="1"/>
        <s v="090587A" u="1"/>
        <s v="228618A" u="1"/>
        <s v="169528B" u="1"/>
        <s v="269616A" u="1"/>
        <s v="285363A" u="1"/>
        <s v="272578A" u="1"/>
        <s v="304455A" u="1"/>
        <s v="169528C" u="1"/>
        <s v="227618C" u="1"/>
        <s v="299214F" u="1"/>
        <s v="305455A" u="1"/>
        <s v="228804A" u="1"/>
        <s v="288801A" u="1"/>
        <s v="091773A" u="1"/>
        <s v="049189C" u="1"/>
        <s v="296577A" u="1"/>
        <s v="091773B" u="1"/>
        <s v="067560A" u="1"/>
        <s v="296577B" u="1"/>
        <s v="067560B" u="1"/>
        <s v="052961A" u="1"/>
        <s v="276764A" u="1"/>
        <s v="296577C" u="1"/>
        <s v="067560C" u="1"/>
        <s v="052961B" u="1"/>
        <s v="276764B" u="1"/>
        <s v="278764A" u="1"/>
        <s v="296577D" u="1"/>
        <s v="052961C" u="1"/>
        <s v="278764B" u="1"/>
        <s v="277950A" u="1"/>
        <s v="268979A" u="1"/>
        <s v="288978A" u="1"/>
        <s v="278764C" u="1"/>
        <s v="277950B" u="1"/>
        <s v="288978B" u="1"/>
        <s v="277950C" u="1"/>
        <s v="053326B" u="1"/>
        <s v="279129A" u="1"/>
        <s v="291500A" u="1"/>
        <s v="096324A" u="1"/>
        <s v="198226A" u="1"/>
        <s v="850182" u="1"/>
        <s v="032075A" u="1"/>
        <s v="282100E" u="1"/>
        <s v="283529A" u="1"/>
        <s v="053326C" u="1"/>
        <s v="279129B" u="1"/>
        <s v="293062A" u="1"/>
        <s v="198226B" u="1"/>
        <s v="032075B" u="1"/>
        <s v="279129C" u="1"/>
        <s v="275063A" u="1"/>
        <s v="280715B" u="1"/>
        <s v="282529C" u="1"/>
        <s v="293062B" u="1"/>
        <s v="198226C" u="1"/>
        <s v="279129D" u="1"/>
        <s v="280715C" u="1"/>
        <s v="293062C" u="1"/>
        <s v="278315C" u="1"/>
        <s v="284277A" u="1"/>
        <s v="286715A" u="1"/>
        <s v="196412D" u="1"/>
        <s v="295929A" u="1"/>
        <s v="54698D" u="1"/>
        <s v="285463A" u="1"/>
        <s v="284901B" u="1"/>
        <s v="294677A" u="1"/>
        <s v="271678C" u="1"/>
        <s v="229466A" u="1"/>
        <s v="284901D" u="1"/>
        <s v="229466B" u="1"/>
        <s v="278678A" u="1"/>
        <s v="229466C" u="1"/>
        <s v="278678B" u="1"/>
        <s v="229466D" u="1"/>
        <s v="285014A" u="1"/>
        <s v="294228A" u="1"/>
        <s v="271415A" u="1"/>
        <s v="289014A" u="1"/>
        <s v="294228B" u="1"/>
        <s v="311506A" u="1"/>
        <s v="278229A" u="1"/>
        <s v="294228C" u="1"/>
        <s v="191074B" u="1"/>
        <s v="237417A" u="1"/>
        <s v="286200D" u="1"/>
        <s v="086639A" u="1"/>
        <s v="281629D" u="1"/>
        <s v="286200F" u="1"/>
        <s v="285377A" u="1"/>
        <s v="116702B" u="1"/>
        <s v="010127" u="1"/>
        <s v="850897" u="1"/>
        <s v="287563A" u="1"/>
        <s v="303655B" u="1"/>
        <s v="287563B" u="1"/>
        <s v="282114A" u="1"/>
        <s v="282114B" u="1"/>
        <s v="287114A" u="1"/>
        <s v="280300C" u="1"/>
        <s v="282114D" u="1"/>
        <s v="304206B" u="1"/>
        <s v="275329A" u="1"/>
        <s v="850196" u="1"/>
        <s v="286300A" u="1"/>
        <s v="295777H" u="1"/>
        <s v="047312A" u="1"/>
        <s v="281729A" u="1"/>
        <s v="286300B" u="1"/>
        <s v="295777I" u="1"/>
        <s v="277329B" u="1"/>
        <s v="297328B" u="1"/>
        <s v="271263A" u="1"/>
        <s v="281729B" u="1"/>
        <s v="295777J" u="1"/>
        <s v="296076A" u="1"/>
        <s v="233703A" u="1"/>
        <s v="278515A" u="1"/>
        <s v="281729C" u="1"/>
        <s v="275701A" u="1"/>
        <s v="140577A" u="1"/>
        <s v="276701A" u="1"/>
        <s v="278515B" u="1"/>
        <s v="280477B" u="1"/>
        <s v="283729C" u="1"/>
        <s v="282915B" u="1"/>
        <s v="140577B" u="1"/>
        <s v="278515C" u="1"/>
        <s v="276263B" u="1"/>
        <s v="283729D" u="1"/>
        <s v="285477A" u="1"/>
        <s v="286915A" u="1"/>
        <s v="288729B" u="1"/>
        <s v="276515E" u="1"/>
        <s v="294877A" u="1"/>
        <s v="267850A" u="1"/>
        <s v="306941A" u="1"/>
        <s v="286214A" u="1"/>
        <s v="287214A" u="1"/>
        <s v="305306A" u="1"/>
        <s v="072439B" u="1"/>
        <s v="290176A" u="1"/>
        <s v="293428B" u="1"/>
        <s v="261401C" u="1"/>
        <s v="281400C" u="1"/>
        <s v="286400A" u="1"/>
        <s v="261401D" u="1"/>
        <s v="293176A" u="1"/>
        <s v="274615A" u="1"/>
        <s v="286400B" u="1"/>
        <s v="033375A" u="1"/>
        <s v="282829B" u="1"/>
        <s v="274615C" u="1"/>
        <s v="294800A" u="1"/>
        <s v="282829C" u="1"/>
        <s v="282577A" u="1"/>
        <s v="278177B" u="1"/>
        <s v="286400E" u="1"/>
        <s v="181675A" u="1"/>
        <s v="282829D" u="1"/>
        <s v="288829A" u="1"/>
        <s v="282577B" u="1"/>
        <s v="286400F" u="1"/>
        <s v="181675B" u="1"/>
        <s v="281763A" u="1"/>
        <s v="285577A" u="1"/>
        <s v="282829E" u="1"/>
        <s v="286400G" u="1"/>
        <s v="050989A" u="1"/>
        <s v="282829F" u="1"/>
        <s v="286400H" u="1"/>
        <s v="050989B" u="1"/>
        <s v="282829G" u="1"/>
        <s v="286400I" u="1"/>
        <s v="050989C" u="1"/>
        <s v="294977A" u="1"/>
        <s v="288763A" u="1"/>
        <s v="286400J" u="1"/>
        <s v="050989D" u="1"/>
        <s v="294977B" u="1"/>
        <s v="050989E" u="1"/>
        <s v="282829J" u="1"/>
        <s v="228952A" u="1"/>
        <s v="261129D" u="1"/>
        <s v="287128A" u="1"/>
        <s v="284314A" u="1"/>
        <s v="187226A" u="1"/>
        <s v="285062A" u="1"/>
        <s v="286500A" u="1"/>
        <s v="285062B" u="1"/>
        <s v="294714A" u="1"/>
        <s v="302340A" u="1"/>
        <s v="285062C" u="1"/>
        <s v="296714A" u="1"/>
        <s v="283929A" u="1"/>
        <s v="273901A" u="1"/>
        <s v="273901B" u="1"/>
        <s v="272901C" u="1"/>
        <s v="298714B" u="1"/>
        <s v="273901C" u="1"/>
        <s v="297900A" u="1"/>
        <s v="298900A" u="1"/>
        <s v="309340A" u="1"/>
        <s v="298462A" u="1"/>
        <s v="184589C" u="1"/>
        <s v="282863A" u="1"/>
        <s v="282863B" u="1"/>
        <s v="288677A" u="1"/>
        <s v="302955A" u="1"/>
        <s v="289677A" u="1"/>
        <s v="290013A" u="1"/>
        <s v="288677B" u="1"/>
        <s v="288677C" u="1"/>
        <s v="271200A" u="1"/>
        <s v="288677D" u="1"/>
        <s v="271200B" u="1"/>
        <s v="288677E" u="1"/>
        <s v="274200A" u="1"/>
        <s v="275014C" u="1"/>
        <s v="288677F" u="1"/>
        <s v="278014B" u="1"/>
        <s v="288677G" u="1"/>
        <s v="268229A" u="1"/>
        <s v="285414A" u="1"/>
        <s v="64558E" u="1"/>
        <s v="268229B" u="1"/>
        <s v="268229C" u="1"/>
        <s v="284162A" u="1"/>
        <s v="167513A" u="1"/>
        <s v="249416A" u="1"/>
        <s v="292814A" u="1"/>
        <s v="290376B" u="1"/>
        <s v="293376A" u="1"/>
        <s v="292814B" u="1"/>
        <s v="288600A" u="1"/>
        <s v="294376A" u="1"/>
        <s v="286162B" u="1"/>
        <s v="288162A" u="1"/>
        <s v="292814C" u="1"/>
        <s v="272563A" u="1"/>
        <s v="276377A" u="1"/>
        <s v="294376B" u="1"/>
        <s v="000127" u="1"/>
        <s v="275815B" u="1"/>
        <s v="288162B" u="1"/>
        <s v="272563B" u="1"/>
        <s v="298376A" u="1"/>
        <s v="308440A" u="1"/>
        <s v="175289E" u="1"/>
        <s v="302869B" u="1"/>
        <s v="AA-000041" u="1"/>
        <s v="285777B" u="1"/>
        <s v="266964A" u="1"/>
        <s v="272300A" u="1"/>
        <s v="281076A" u="1"/>
        <s v="284328B" u="1"/>
        <s v="287328A" u="1"/>
        <s v="281076B" u="1"/>
        <s v="264515A" u="1"/>
        <s v="284328C" u="1"/>
        <s v="278300A" u="1"/>
        <s v="287328B" u="1"/>
        <s v="266515A" u="1"/>
        <s v="287328C" u="1"/>
        <s v="270915A" u="1"/>
        <s v="294728A" u="1"/>
        <s v="268515A" u="1"/>
        <s v="302354A" u="1"/>
        <s v="270915B" u="1"/>
        <s v="302354B" u="1"/>
        <s v="025713B" u="1"/>
        <s v="293476A" u="1"/>
        <s v="274915A" u="1"/>
        <s v="287262A" u="1"/>
        <s v="273915B" u="1"/>
        <s v="025713C" u="1"/>
        <s v="226451A" u="1"/>
        <s v="273915C" u="1"/>
        <s v="299728B" u="1"/>
        <s v="025713D" u="1"/>
        <s v="287262C" u="1"/>
        <s v="226451B" u="1"/>
        <s v="273915D" u="1"/>
        <s v="286262D" u="1"/>
        <s v="286262F" u="1"/>
        <s v="010189" u="1"/>
        <s v="286262G" u="1"/>
        <s v="294027A" u="1"/>
        <s v="294027B" u="1"/>
        <s v="277028A" u="1"/>
        <s v="294027C" u="1"/>
        <s v="277028B" u="1"/>
        <s v="294027D" u="1"/>
        <s v="273400B" u="1"/>
        <s v="283176A" u="1"/>
        <s v="286614A" u="1"/>
        <s v="304706A" u="1"/>
        <s v="283800A" u="1"/>
        <s v="285176B" u="1"/>
        <s v="270577A" u="1"/>
        <s v="264363A" u="1"/>
        <s v="284362A" u="1"/>
        <s v="285176C" u="1"/>
        <s v="305268B" u="1"/>
        <s v="286800A" u="1"/>
        <s v="304454A" u="1"/>
        <s v="305268C" u="1"/>
        <s v="288800A" u="1"/>
        <s v="267363B" u="1"/>
        <s v="034775A" u="1"/>
        <s v="282977A" u="1"/>
        <s v="283977B" u="1"/>
        <s v="268978A" u="1"/>
        <s v="055139A" u="1"/>
        <s v="271314A" u="1"/>
        <s v="307005A" u="1"/>
        <s v="296127A" u="1"/>
        <s v="270062A" u="1"/>
        <s v="293313B" u="1"/>
        <s v="296313A" u="1"/>
        <s v="850181" u="1"/>
        <s v="270062B" u="1"/>
        <s v="234502A" u="1"/>
        <s v="296127D" u="1"/>
        <s v="296313B" u="1"/>
        <s v="293061B" u="1"/>
        <s v="276500A" u="1"/>
        <s v="284528C" u="1"/>
        <s v="089538A" u="1"/>
        <s v="274062C" u="1"/>
        <s v="287528B" u="1"/>
        <s v="282900A" u="1"/>
        <s v="284528D" u="1"/>
        <s v="286714A" u="1"/>
        <s v="293928A" u="1"/>
        <s v="023913A" u="1"/>
        <s v="274062D" u="1"/>
        <s v="286714B" u="1"/>
        <s v="54698C" u="1"/>
        <s v="023913B" u="1"/>
        <s v="291676A" u="1"/>
        <s v="286900A" u="1"/>
        <s v="023913C" u="1"/>
        <s v="068911A" u="1"/>
        <s v="286900B" u="1"/>
        <s v="052874A" u="1"/>
        <s v="068911B" u="1"/>
        <s v="276677A" u="1"/>
        <s v="296676A" u="1"/>
        <s v="052874B" u="1"/>
        <s v="276677B" u="1"/>
        <s v="294862A" u="1"/>
        <s v="296676B" u="1"/>
        <s v="020026A" u="1"/>
        <s v="299676A" u="1"/>
        <s v="303740C" u="1"/>
        <s v="296676C" u="1"/>
        <s v="310954C" u="1"/>
        <s v="020026B" u="1"/>
        <s v="303740D" u="1"/>
        <s v="020026C" u="1"/>
        <s v="020026D" u="1"/>
        <s v="020026E" u="1"/>
        <s v="020026F" u="1"/>
        <s v="266200A" u="1"/>
        <s v="308105A" u="1"/>
        <s v="278228A" u="1"/>
        <s v="282628A" u="1"/>
        <s v="278228B" u="1"/>
        <s v="263629A" u="1"/>
        <s v="280376A" u="1"/>
        <s v="265629A" u="1"/>
        <s v="275600A" u="1"/>
        <s v="235164A" u="1"/>
        <s v="282814A" u="1"/>
        <s v="280376B" u="1"/>
        <s v="077610A" u="1"/>
        <s v="235164B" u="1"/>
        <s v="284628C" u="1"/>
        <s v="280376C" u="1"/>
        <s v="185726B" u="1"/>
        <s v="235164C" u="1"/>
        <s v="279162A" u="1"/>
        <s v="282814C" u="1"/>
        <s v="010126" u="1"/>
        <s v="185726C" u="1"/>
        <s v="301906C" u="1"/>
        <s v="235164D" u="1"/>
        <s v="186474A" u="1"/>
        <s v="235164E" u="1"/>
        <s v="186474B" u="1"/>
        <s v="273777A" u="1"/>
        <s v="290776C" u="1"/>
        <s v="186474C" u="1"/>
        <s v="075787A" u="1"/>
        <s v="296776A" u="1"/>
        <s v="277777A" u="1"/>
        <s v="282113A" u="1"/>
        <s v="282113B" u="1"/>
        <s v="261300A" u="1"/>
        <s v="282113C" u="1"/>
        <s v="053339A" u="1"/>
        <s v="261300B" u="1"/>
        <s v="287113A" u="1"/>
        <s v="053339B" u="1"/>
        <s v="275328A" u="1"/>
        <s v="261300C" u="1"/>
        <s v="302654J" u="1"/>
        <s v="850195" u="1"/>
        <s v="053339C" u="1"/>
        <s v="275328B" u="1"/>
        <s v="261300D" u="1"/>
        <s v="302654K" u="1"/>
        <s v="053339D" u="1"/>
        <s v="275328C" u="1"/>
        <s v="261300E" u="1"/>
        <s v="280728B" u="1"/>
        <s v="194611A" u="1"/>
        <s v="302654L" u="1"/>
        <s v="053339E" u="1"/>
        <s v="273700A" u="1"/>
        <s v="275328D" u="1"/>
        <s v="277328C" u="1"/>
        <s v="194611B" u="1"/>
        <s v="021927A" u="1"/>
        <s v="201918A" u="1"/>
        <s v="274262A" u="1"/>
        <s v="298075A" u="1"/>
        <s v="053339F" u="1"/>
        <s v="273700B" u="1"/>
        <s v="194611C" u="1"/>
        <s v="021927B" u="1"/>
        <s v="276262A" u="1"/>
        <s v="021927C" u="1"/>
        <s v="265729C" u="1"/>
        <s v="021927D" u="1"/>
        <s v="276262C" u="1"/>
        <s v="298075D" u="1"/>
        <s v="270877A" u="1"/>
        <s v="021927E" u="1"/>
        <s v="089924A" u="1"/>
        <s v="267729D" u="1"/>
        <s v="029489A" u="1"/>
        <s v="241850A" u="1"/>
        <s v="270877B" u="1"/>
        <s v="029489B" u="1"/>
        <s v="294876A" u="1"/>
        <s v="029489C" u="1"/>
        <s v="269663A" u="1"/>
        <s v="276877A" u="1"/>
        <s v="029489D" u="1"/>
        <s v="100277" u="1"/>
        <s v="285027B" u="1"/>
        <s v="290427A" u="1"/>
        <s v="264214A" u="1"/>
        <s v="287027B" u="1"/>
        <s v="290427B" u="1"/>
        <s v="287213A" u="1"/>
        <s v="290427C" u="1"/>
        <s v="053439B" u="1"/>
        <s v="275428A" u="1"/>
        <s v="287213B" u="1"/>
        <s v="053439C" u="1"/>
        <s v="280828A" u="1"/>
        <s v="053439D" u="1"/>
        <s v="269400A" u="1"/>
        <s v="282828A" u="1"/>
        <s v="236178A" u="1"/>
        <s v="234802A" u="1"/>
        <s v="143928A" u="1"/>
        <s v="236178B" u="1"/>
        <s v="294361A" u="1"/>
        <s v="295361A" u="1"/>
        <s v="143928B" u="1"/>
        <s v="295361B" u="1"/>
        <s v="143928C" u="1"/>
        <s v="294361C" u="1"/>
        <s v="281762A" u="1"/>
        <s v="143928D" u="1"/>
        <s v="302668C" u="1"/>
        <s v="286576C" u="1"/>
        <s v="286762A" u="1"/>
        <s v="294976A" u="1"/>
        <s v="307854A" u="1"/>
        <s v="294976B" u="1"/>
        <s v="308854A" u="1"/>
        <s v="307854B" u="1"/>
        <s v="305854E" u="1"/>
        <s v="047139A" u="1"/>
        <s v="284313A" u="1"/>
        <s v="305854F" u="1"/>
        <s v="047139B" u="1"/>
        <s v="069138A" u="1"/>
        <s v="069138B" u="1"/>
        <s v="850833" u="1"/>
        <s v="276528A" u="1"/>
        <s v="SA-000032" u="1"/>
        <s v="026512A" u="1"/>
        <s v="224064B" u="1"/>
        <s v="273714A" u="1"/>
        <s v="273714B" u="1"/>
        <s v="062939A" u="1"/>
        <s v="225250A" u="1"/>
        <s v="166160B" u="1"/>
        <s v="273714C" u="1"/>
        <s v="273900A" u="1"/>
        <s v="062939B" u="1"/>
        <s v="284928A" u="1"/>
        <s v="276714B" u="1"/>
        <s v="018289A" u="1"/>
        <s v="032474B" u="1"/>
        <s v="166160C" u="1"/>
        <s v="273900B" u="1"/>
        <s v="276714C" u="1"/>
        <s v="018289B" u="1"/>
        <s v="276462A" u="1"/>
        <s v="296461A" u="1"/>
        <s v="023689A" u="1"/>
        <s v="273900C" u="1"/>
        <s v="018289C" u="1"/>
        <s v="296461B" u="1"/>
        <s v="023689B" u="1"/>
        <s v="230650D" u="1"/>
        <s v="287676A" u="1"/>
        <s v="305768A" u="1"/>
        <s v="283676D" u="1"/>
        <s v="193988C" u="1"/>
        <s v="282227A" u="1"/>
        <s v="296012A" u="1"/>
        <s v="219016A" u="1"/>
        <s v="286227A" u="1"/>
        <s v="219016B" u="1"/>
        <s v="286227B" u="1"/>
        <s v="306319A" u="1"/>
        <s v="091637A" u="1"/>
        <s v="219016C" u="1"/>
        <s v="64558D" u="1"/>
        <s v="302505B" u="1"/>
        <s v="091637B" u="1"/>
        <s v="219016D" u="1"/>
        <s v="290627C" u="1"/>
        <s v="091637C" u="1"/>
        <s v="287676J" u="1"/>
        <s v="265162A" u="1"/>
        <s v="296627A" u="1"/>
        <s v="091637D" u="1"/>
        <s v="223164C" u="1"/>
        <s v="287161A" u="1"/>
        <s v="228602A" u="1"/>
        <s v="271562A" u="1"/>
        <s v="276628C" u="1"/>
        <s v="296375A" u="1"/>
        <s v="277814A" u="1"/>
        <s v="271562B" u="1"/>
        <s v="297375A" u="1"/>
        <s v="311653A" u="1"/>
        <s v="287161C" u="1"/>
        <s v="296375B" u="1"/>
        <s v="277814B" u="1"/>
        <s v="271562C" u="1"/>
        <s v="276628E" u="1"/>
        <s v="021789B" u="1"/>
        <s v="271562D" u="1"/>
        <s v="276628F" u="1"/>
        <s v="034760A" u="1"/>
        <s v="285776A" u="1"/>
        <s v="271562E" u="1"/>
        <s v="277376D" u="1"/>
        <s v="276628G" u="1"/>
        <s v="271562F" u="1"/>
        <s v="268777A" u="1"/>
        <s v="286776B" u="1"/>
        <s v="289776A" u="1"/>
        <s v="276628I" u="1"/>
        <s v="273113A" u="1"/>
        <s v="277376H" u="1"/>
        <s v="281327A" u="1"/>
        <s v="273113B" u="1"/>
        <s v="302167A" u="1"/>
        <s v="042711A" u="1"/>
        <s v="266514A" u="1"/>
        <s v="270914A" u="1"/>
        <s v="294727A" u="1"/>
        <s v="305167A" u="1"/>
        <s v="024274A" u="1"/>
        <s v="295727A" u="1"/>
        <s v="302353A" u="1"/>
        <s v="270914B" u="1"/>
        <s v="307167A" u="1"/>
        <s v="024274B" u="1"/>
        <s v="295727B" u="1"/>
        <s v="307167B" u="1"/>
        <s v="295727C" u="1"/>
        <s v="269700A" u="1"/>
        <s v="275476A" u="1"/>
        <s v="291661A" u="1"/>
        <s v="295727D" u="1"/>
        <s v="275476B" u="1"/>
        <s v="291661B" u="1"/>
        <s v="294661A" u="1"/>
        <s v="295727E" u="1"/>
        <s v="295661A" u="1"/>
        <s v="098737D" u="1"/>
        <s v="295727F" u="1"/>
        <s v="295661B" u="1"/>
        <s v="209451B" u="1"/>
        <s v="209451C" u="1"/>
        <s v="272662E" u="1"/>
        <s v="010188" u="1"/>
        <s v="093036A" u="1"/>
        <s v="273027A" u="1"/>
        <s v="274027A" u="1"/>
        <s v="294026A" u="1"/>
        <s v="093036B" u="1"/>
        <s v="272662G" u="1"/>
        <s v="170311A" u="1"/>
        <s v="093036C" u="1"/>
        <s v="093036D" u="1"/>
        <s v="272662I" u="1"/>
        <s v="283427A" u="1"/>
        <s v="093036E" u="1"/>
        <s v="283427B" u="1"/>
        <s v="093036F" u="1"/>
        <s v="282613B" u="1"/>
        <s v="291389A" u="1"/>
        <s v="292389A" u="1"/>
        <s v="294827A" u="1"/>
        <s v="270576A" u="1"/>
        <s v="221364D" u="1"/>
        <s v="282613G" u="1"/>
        <s v="282613H" u="1"/>
        <s v="298575C" u="1"/>
        <s v="301004A" u="1"/>
        <s v="310218A" u="1"/>
        <s v="295126A" u="1"/>
        <s v="234315A" u="1"/>
        <s v="280089A" u="1"/>
        <s v="270061A" u="1"/>
        <s v="031511A" u="1"/>
        <s v="280089B" u="1"/>
        <s v="296312A" u="1"/>
        <s v="850180" u="1"/>
        <s v="031511B" u="1"/>
        <s v="293060A" u="1"/>
        <s v="296312B" u="1"/>
        <s v="031511C" u="1"/>
        <s v="282275A" u="1"/>
        <s v="031511D" u="1"/>
        <s v="277061A" u="1"/>
        <s v="282713B" u="1"/>
        <s v="282275B" u="1"/>
        <s v="284275A" u="1"/>
        <s v="053939A" u="1"/>
        <s v="060910C" u="1"/>
        <s v="264900A" u="1"/>
        <s v="053939B" u="1"/>
        <s v="220650A" u="1"/>
        <s v="54698B" u="1"/>
        <s v="198839A" u="1"/>
        <s v="060910D" u="1"/>
        <s v="053939C" u="1"/>
        <s v="220650B" u="1"/>
        <s v="198839B" u="1"/>
        <s v="290861A" u="1"/>
        <s v="053939D" u="1"/>
        <s v="220650C" u="1"/>
        <s v="198839C" u="1"/>
        <s v="296675A" u="1"/>
        <s v="274862A" u="1"/>
        <s v="294861A" u="1"/>
        <s v="261013A" u="1"/>
        <s v="276862A" u="1"/>
        <s v="261013B" u="1"/>
        <s v="261013C" u="1"/>
        <s v="272227A" u="1"/>
        <s v="288012A" u="1"/>
        <s v="294226C" u="1"/>
        <s v="291160A" u="1"/>
        <s v="283627A" u="1"/>
        <s v="070423E" u="1"/>
        <s v="294160A" u="1"/>
        <s v="066638A" u="1"/>
        <s v="284189B" u="1"/>
        <s v="294160B" u="1"/>
        <s v="066638B" u="1"/>
        <s v="284813A" u="1"/>
        <s v="284189C" u="1"/>
        <s v="066638C" u="1"/>
        <s v="066824A" u="1"/>
        <s v="282813C" u="1"/>
        <s v="308719A" u="1"/>
        <s v="284561A" u="1"/>
        <s v="285561A" u="1"/>
        <s v="850895" u="1"/>
        <s v="066824C" u="1"/>
        <s v="308905A" u="1"/>
        <s v="284561B" u="1"/>
        <s v="066824D" u="1"/>
        <s v="277776A" u="1"/>
        <s v="102028A" u="1"/>
        <s v="178874A" u="1"/>
        <s v="102028B" u="1"/>
        <s v="178874B" u="1"/>
        <s v="291160L" u="1"/>
        <s v="102028C" u="1"/>
        <s v="178874C" u="1"/>
        <s v="102028D" u="1"/>
        <s v="178874D" u="1"/>
        <s v="291160N" u="1"/>
        <s v="270075A" u="1"/>
        <s v="271075A" u="1"/>
        <s v="850194" u="1"/>
        <s v="102028F" u="1"/>
        <s v="270075B" u="1"/>
        <s v="293074A" u="1"/>
        <s v="299326A" u="1"/>
        <s v="000889" u="1"/>
        <s v="275075A" u="1"/>
        <s v="293074B" u="1"/>
        <s v="276075A" u="1"/>
        <s v="293074C" u="1"/>
        <s v="280475A" u="1"/>
        <s v="276075B" u="1"/>
        <s v="276075C" u="1"/>
        <s v="284913A" u="1"/>
        <s v="280475C" u="1"/>
        <s v="270876A" u="1"/>
        <s v="288913A" u="1"/>
        <s v="280475F" u="1"/>
        <s v="049739D" u="1"/>
        <s v="305567C" u="1"/>
        <s v="294875A" u="1"/>
        <s v="049739E" u="1"/>
        <s v="289475C" u="1"/>
        <s v="296875A" u="1"/>
        <s v="280475H" u="1"/>
        <s v="306753B" u="1"/>
        <s v="049739F" u="1"/>
        <s v="309753A" u="1"/>
        <s v="306753C" u="1"/>
        <s v="285026A" u="1"/>
        <s v="306118A" u="1"/>
        <s v="294426A" u="1"/>
        <s v="230177A" u="1"/>
        <s v="275427A" u="1"/>
        <s v="191086B" u="1"/>
        <s v="056438A" u="1"/>
        <s v="294426B" u="1"/>
        <s v="192086B" u="1"/>
        <s v="311266A" u="1"/>
        <s v="056438B" u="1"/>
        <s v="276427B" u="1"/>
        <s v="192086C" u="1"/>
        <s v="279427A" u="1"/>
        <s v="278175A" u="1"/>
        <s v="290360C" u="1"/>
        <s v="193710C" u="1"/>
        <s v="285389A" u="1"/>
        <s v="278175B" u="1"/>
        <s v="193710D" u="1"/>
        <s v="285389B" u="1"/>
        <s v="287389A" u="1"/>
        <s v="238801A" u="1"/>
        <s v="280761A" u="1"/>
        <s v="281761A" u="1"/>
        <s v="287389B" u="1"/>
        <s v="289389A" u="1"/>
        <s v="282761A" u="1"/>
        <s v="287389D" u="1"/>
        <s v="296789A" u="1"/>
        <s v="287389E" u="1"/>
        <s v="292975B" u="1"/>
        <s v="287389F" u="1"/>
        <s v="292975C" u="1"/>
        <s v="287389G" u="1"/>
        <s v="296975C" u="1"/>
        <s v="142412A" u="1"/>
        <s v="264313A" u="1"/>
        <s v="280312C" u="1"/>
        <s v="305218B" u="1"/>
        <s v="142412B" u="1"/>
        <s v="142412C" u="1"/>
        <s v="296526A" u="1"/>
        <s v="142412D" u="1"/>
        <s v="277527A" u="1"/>
        <s v="274713A" u="1"/>
        <s v="294712A" u="1"/>
        <s v="296526B" u="1"/>
        <s v="234277A" u="1"/>
        <s v="281489A" u="1"/>
        <s v="274713B" u="1"/>
        <s v="296526C" u="1"/>
        <s v="234277B" u="1"/>
        <s v="277527C" u="1"/>
        <s v="283489B" u="1"/>
        <s v="284861A" u="1"/>
        <s v="284861B" u="1"/>
        <s v="286861A" u="1"/>
        <s v="286861B" u="1"/>
        <s v="293011A" u="1"/>
        <s v="269862A" u="1"/>
        <s v="286861C" u="1"/>
        <s v="282226A" u="1"/>
        <s v="265227A" u="1"/>
        <s v="64558C" u="1"/>
        <s v="302504B" u="1"/>
        <s v="293188A" u="1"/>
        <s v="302504C" u="1"/>
        <s v="293188B" u="1"/>
        <s v="265161A" u="1"/>
        <s v="292812A" u="1"/>
        <s v="296626A" u="1"/>
        <s v="306504B" u="1"/>
        <s v="293812A" u="1"/>
        <s v="297626A" u="1"/>
        <s v="285160B" u="1"/>
        <s v="287160A" u="1"/>
        <s v="275813A" u="1"/>
        <s v="269413C" u="1"/>
        <s v="296626C" u="1"/>
        <s v="275813B" u="1"/>
        <s v="311652A" u="1"/>
        <s v="275813C" u="1"/>
        <s v="285589A" u="1"/>
        <s v="280589D" u="1"/>
        <s v="280589F" u="1"/>
        <s v="291989B" u="1"/>
        <s v="268776A" u="1"/>
        <s v="311017A" u="1"/>
        <s v="291989C" u="1"/>
        <s v="266962A" u="1"/>
        <s v="291989D" u="1"/>
        <s v="294111A" u="1"/>
        <s v="035124A" u="1"/>
        <s v="035124B" u="1"/>
        <s v="061523A" u="1"/>
        <s v="033310B" u="1"/>
        <s v="061523B" u="1"/>
        <s v="265327B" u="1"/>
        <s v="061271A" u="1"/>
        <s v="202702A" u="1"/>
        <s v="270913A" u="1"/>
        <s v="283260A" u="1"/>
        <s v="305166A" u="1"/>
        <s v="202702B" u="1"/>
        <s v="270913B" u="1"/>
        <s v="283260B" u="1"/>
        <s v="289074A" u="1"/>
        <s v="202702C" u="1"/>
        <s v="276289A" u="1"/>
        <s v="000039" u="1"/>
        <s v="175639C" u="1"/>
        <s v="283260C" u="1"/>
        <s v="289074B" u="1"/>
        <s v="292912B" u="1"/>
        <s v="281689A" u="1"/>
        <s v="306352A" u="1"/>
        <s v="165173D" u="1"/>
        <s v="283260D" u="1"/>
        <s v="289074C" u="1"/>
        <s v="292912C" u="1"/>
        <s v="307352A" u="1"/>
        <s v="306352B" u="1"/>
        <s v="273661A" u="1"/>
        <s v="289074D" u="1"/>
        <s v="292912D" u="1"/>
        <s v="219916A" u="1"/>
        <s v="289074E" u="1"/>
        <s v="014674B" u="1"/>
        <s v="219916B" u="1"/>
        <s v="289074F" u="1"/>
        <s v="014674C" u="1"/>
        <s v="289074G" u="1"/>
        <s v="010187" u="1"/>
        <s v="217850A" u="1"/>
        <s v="273026A" u="1"/>
        <s v="289074H" u="1"/>
        <s v="274026A" u="1"/>
        <s v="217850B" u="1"/>
        <s v="276026A" u="1"/>
        <s v="217850C" u="1"/>
        <s v="277026A" u="1"/>
        <s v="295025B" u="1"/>
        <s v="294211A" u="1"/>
        <s v="217850D" u="1"/>
        <s v="295025D" u="1"/>
        <s v="280174A" u="1"/>
        <s v="266427A" u="1"/>
        <s v="280426D" u="1"/>
        <s v="305518A" u="1"/>
        <s v="101276A" u="1"/>
        <s v="302518C" u="1"/>
        <s v="285612A" u="1"/>
        <s v="101276B" u="1"/>
        <s v="223177B" u="1"/>
        <s v="292826A" u="1"/>
        <s v="285612B" u="1"/>
        <s v="309518A" u="1"/>
        <s v="101276C" u="1"/>
        <s v="305266A" u="1"/>
        <s v="291574A" u="1"/>
        <s v="101276D" u="1"/>
        <s v="303452A" u="1"/>
        <s v="277827A" u="1"/>
        <s v="010110" u="1"/>
        <s v="298388A" u="1"/>
        <s v="311852A" u="1"/>
        <s v="282975A" u="1"/>
        <s v="268427H" u="1"/>
        <s v="850059" u="1"/>
        <s v="282975B" u="1"/>
        <s v="288789A" u="1"/>
        <s v="900121" u="1"/>
        <s v="279761A" u="1"/>
        <s v="305003A" u="1"/>
        <s v="285789E" u="1"/>
        <s v="291311B" u="1"/>
        <s v="280088A" u="1"/>
        <s v="222529A" u="1"/>
        <s v="280088B" u="1"/>
        <s v="222529B" u="1"/>
        <s v="238314A" u="1"/>
        <s v="282088B" u="1"/>
        <s v="265527A" u="1"/>
        <s v="222529C" u="1"/>
        <s v="282088C" u="1"/>
        <s v="036072A" u="1"/>
        <s v="265527B" u="1"/>
        <s v="186624A" u="1"/>
        <s v="282088D" u="1"/>
        <s v="036072B" u="1"/>
        <s v="159411B" u="1"/>
        <s v="292926A" u="1"/>
        <s v="182186D" u="1"/>
        <s v="036072C" u="1"/>
        <s v="54698A" u="1"/>
        <s v="127375A" u="1"/>
        <s v="274927B" u="1"/>
        <s v="286712C" u="1"/>
        <s v="296488A" u="1"/>
        <s v="298488A" u="1"/>
        <s v="284889A" u="1"/>
        <s v="285889A" u="1"/>
        <s v="850159" u="1"/>
        <s v="277861A" u="1"/>
        <s v="290039C" u="1"/>
        <s v="284011A" u="1"/>
        <s v="293039B" u="1"/>
        <s v="295039A" u="1"/>
        <s v="2254E" u="1"/>
        <s v="290039D" u="1"/>
        <s v="293225A" u="1"/>
        <s v="287011A" u="1"/>
        <s v="305103A" u="1"/>
        <s v="290039E" u="1"/>
        <s v="294225A" u="1"/>
        <s v="287011B" u="1"/>
        <s v="056237A" u="1"/>
        <s v="276226A" u="1"/>
        <s v="294225B" u="1"/>
        <s v="213415A" u="1"/>
        <s v="293225C" u="1"/>
        <s v="060637A" u="1"/>
        <s v="280626A" u="1"/>
        <s v="272226D" u="1"/>
        <s v="276226B" u="1"/>
        <s v="294225C" u="1"/>
        <s v="273226D" u="1"/>
        <s v="060637B" u="1"/>
        <s v="280626B" u="1"/>
        <s v="287011D" u="1"/>
        <s v="273226E" u="1"/>
        <s v="060637C" u="1"/>
        <s v="273160A" u="1"/>
        <s v="280626C" u="1"/>
        <s v="284626A" u="1"/>
        <s v="287011E" u="1"/>
        <s v="034610A" u="1"/>
        <s v="284188A" u="1"/>
        <s v="285626A" u="1"/>
        <s v="285188A" u="1"/>
        <s v="280626D" u="1"/>
        <s v="287011F" u="1"/>
        <s v="034610B" u="1"/>
        <s v="284188B" u="1"/>
        <s v="285626B" u="1"/>
        <s v="287011G" u="1"/>
        <s v="034610C" u="1"/>
        <s v="282374B" u="1"/>
        <s v="278160A" u="1"/>
        <s v="266813A" u="1"/>
        <s v="286812A" u="1"/>
        <s v="278160B" u="1"/>
        <s v="266813B" u="1"/>
        <s v="286812B" u="1"/>
        <s v="269375A" u="1"/>
        <s v="289374A" u="1"/>
        <s v="850894" u="1"/>
        <s v="272775A" u="1"/>
        <s v="277589A" u="1"/>
        <s v="287560A" u="1"/>
        <s v="289374B" u="1"/>
        <s v="287560B" u="1"/>
        <s v="295774B" u="1"/>
        <s v="287560C" u="1"/>
        <s v="292139A" u="1"/>
        <s v="290325B" u="1"/>
        <s v="227114A" u="1"/>
        <s v="285111B" u="1"/>
        <s v="227114B" u="1"/>
        <s v="850193" u="1"/>
        <s v="227114C" u="1"/>
        <s v="294511A" u="1"/>
        <s v="000888" u="1"/>
        <s v="294511B" u="1"/>
        <s v="296511A" u="1"/>
        <s v="302818A" u="1"/>
        <s v="052271B" u="1"/>
        <s v="201916A" u="1"/>
        <s v="283726B" u="1"/>
        <s v="283726C" u="1"/>
        <s v="269727A" u="1"/>
        <s v="265475A" u="1"/>
        <s v="266913A" u="1"/>
        <s v="290325J" u="1"/>
        <s v="266913B" u="1"/>
        <s v="018711C" u="1"/>
        <s v="287474B" u="1"/>
        <s v="289474A" u="1"/>
        <s v="018711D" u="1"/>
        <s v="093884A" u="1"/>
        <s v="271875B" u="1"/>
        <s v="287660A" u="1"/>
        <s v="274875A" u="1"/>
        <s v="294874A" u="1"/>
        <s v="018711E" u="1"/>
        <s v="093884B" u="1"/>
        <s v="279689A" u="1"/>
        <s v="093884C" u="1"/>
        <s v="297874A" u="1"/>
        <s v="276875B" u="1"/>
        <s v="093884D" u="1"/>
        <s v="AA-000044" u="1"/>
        <s v="306303A" u="1"/>
        <s v="293425B" u="1"/>
        <s v="272612A" u="1"/>
        <s v="304117E" u="1"/>
        <s v="306303B" u="1"/>
        <s v="293425C" u="1"/>
        <s v="293425D" u="1"/>
        <s v="280826B" u="1"/>
        <s v="281574A" u="1"/>
        <s v="285388A" u="1"/>
        <s v="279174A" u="1"/>
        <s v="283574A" u="1"/>
        <s v="285388B" u="1"/>
        <s v="286388B" u="1"/>
        <s v="281760A" u="1"/>
        <s v="285388C" u="1"/>
        <s v="279360A" u="1"/>
        <s v="286574A" u="1"/>
        <s v="273789A" u="1"/>
        <s v="308918B" u="1"/>
        <s v="134460D" u="1"/>
        <s v="271975A" u="1"/>
        <s v="273789B" u="1"/>
        <s v="134460E" u="1"/>
        <s v="273789C" u="1"/>
        <s v="277789A" u="1"/>
        <s v="288574C" u="1"/>
        <s v="273789D" u="1"/>
        <s v="280125A" u="1"/>
        <s v="051986D" u="1"/>
        <s v="273789E" u="1"/>
        <s v="280125B" u="1"/>
        <s v="291339A" u="1"/>
        <s v="288574F" u="1"/>
        <s v="287125A" u="1"/>
        <s v="288574G" u="1"/>
        <s v="202315B" u="1"/>
        <s v="268126A" u="1"/>
        <s v="229128A" u="1"/>
        <s v="287125B" u="1"/>
        <s v="202315C" u="1"/>
        <s v="268126B" u="1"/>
        <s v="273789I" u="1"/>
        <s v="054537A" u="1"/>
        <s v="290711A" u="1"/>
        <s v="268126C" u="1"/>
        <s v="273789J" u="1"/>
        <s v="295525A" u="1"/>
        <s v="307403A" u="1"/>
        <s v="202315E" u="1"/>
        <s v="272088C" u="1"/>
        <s v="273789K" u="1"/>
        <s v="276088A" u="1"/>
        <s v="272712B" u="1"/>
        <s v="290711C" u="1"/>
        <s v="294711A" u="1"/>
        <s v="202315F" u="1"/>
        <s v="272088D" u="1"/>
        <s v="273789L" u="1"/>
        <s v="294273A" u="1"/>
        <s v="272088E" u="1"/>
        <s v="273789M" u="1"/>
        <s v="272088F" u="1"/>
        <s v="273789N" u="1"/>
        <s v="131560B" u="1"/>
        <s v="217277B" u="1"/>
        <s v="100776A" u="1"/>
        <s v="280674B" u="1"/>
        <s v="202315I" u="1"/>
        <s v="273789O" u="1"/>
        <s v="292273E" u="1"/>
        <s v="301766A" u="1"/>
        <s v="131560C" u="1"/>
        <s v="268927A" u="1"/>
        <s v="100776B" u="1"/>
        <s v="280860A" u="1"/>
        <s v="202315J" u="1"/>
        <s v="269489A" u="1"/>
        <s v="277460B" u="1"/>
        <s v="292273G" u="1"/>
        <s v="283860A" u="1"/>
        <s v="284860A" u="1"/>
        <s v="290711I" u="1"/>
        <s v="202315L" u="1"/>
        <s v="269927D" u="1"/>
        <s v="025873B" u="1"/>
        <s v="272011A" u="1"/>
        <s v="268861A" u="1"/>
        <s v="290711K" u="1"/>
        <s v="272088L" u="1"/>
        <s v="279889A" u="1"/>
        <s v="025873C" u="1"/>
        <s v="272011B" u="1"/>
        <s v="279889B" u="1"/>
        <s v="282225A" u="1"/>
        <s v="025873D" u="1"/>
        <s v="272011C" u="1"/>
        <s v="277011A" u="1"/>
        <s v="277011B" u="1"/>
        <s v="282411A" u="1"/>
        <s v="305317A" u="1"/>
        <s v="277011C" u="1"/>
        <s v="299010C" u="1"/>
        <s v="64558B" u="1"/>
        <s v="282411C" u="1"/>
        <s v="290187B" u="1"/>
        <s v="293187A" u="1"/>
        <s v="299010D" u="1"/>
        <s v="269927K" u="1"/>
        <s v="274188A" u="1"/>
        <s v="231376A" u="1"/>
        <s v="265160A" u="1"/>
        <s v="269927L" u="1"/>
        <s v="272812B" u="1"/>
        <s v="272812C" u="1"/>
        <s v="282411G" u="1"/>
        <s v="282411H" u="1"/>
        <s v="298373A" u="1"/>
        <s v="265589A" u="1"/>
        <s v="265589B" u="1"/>
        <s v="282411J" u="1"/>
        <s v="265589C" u="1"/>
        <s v="264775B" u="1"/>
        <s v="264775C" u="1"/>
        <s v="268775A" u="1"/>
        <s v="279374E" u="1"/>
        <s v="266961A" u="1"/>
        <s v="268775B" u="1"/>
        <s v="288774B" u="1"/>
        <s v="272111A" u="1"/>
        <s v="289774B" u="1"/>
        <s v="289774C" u="1"/>
        <s v="279374G" u="1"/>
        <s v="275111B" u="1"/>
        <s v="303417A" u="1"/>
        <s v="299110A" u="1"/>
        <s v="205077A" u="1"/>
        <s v="266512A" u="1"/>
        <s v="284511B" u="1"/>
        <s v="266074A" u="1"/>
        <s v="293287A" u="1"/>
        <s v="294725A" u="1"/>
        <s v="288073A" u="1"/>
        <s v="291473A" u="1"/>
        <s v="272912A" u="1"/>
        <s v="296287A" u="1"/>
        <s v="000038" u="1"/>
        <s v="296287B" u="1"/>
        <s v="275474A" u="1"/>
        <s v="279288A" u="1"/>
        <s v="289073C" u="1"/>
        <s v="270474D" u="1"/>
        <s v="297473A" u="1"/>
        <s v="289073D" u="1"/>
        <s v="298473A" u="1"/>
        <s v="310751B" u="1"/>
        <s v="297473B" u="1"/>
        <s v="310751D" u="1"/>
        <s v="267875A" u="1"/>
        <s v="273660E" u="1"/>
        <s v="311116A" u="1"/>
        <s v="272211A" u="1"/>
        <s v="303966D" u="1"/>
        <s v="283239A" u="1"/>
        <s v="303966E" u="1"/>
        <s v="295210A" u="1"/>
        <s v="295210B" u="1"/>
        <s v="272211D" u="1"/>
        <s v="081183A" u="1"/>
        <s v="300265A" u="1"/>
        <s v="285425B" u="1"/>
        <s v="296210D" u="1"/>
        <s v="285611A" u="1"/>
        <s v="255212E" u="1"/>
        <s v="285173A" u="1"/>
        <s v="286611A" u="1"/>
        <s v="189523A" u="1"/>
        <s v="286611B" u="1"/>
        <s v="288611A" u="1"/>
        <s v="189523B" u="1"/>
        <s v="291573A" u="1"/>
        <s v="268612B" u="1"/>
        <s v="286611C" u="1"/>
        <s v="277826A" u="1"/>
        <s v="293573A" u="1"/>
        <s v="268612C" u="1"/>
        <s v="277826C" u="1"/>
        <s v="293573C" u="1"/>
        <s v="298573A" u="1"/>
        <s v="277826D" u="1"/>
        <s v="275760A" u="1"/>
        <s v="293573D" u="1"/>
        <s v="267789A" u="1"/>
        <s v="275760B" u="1"/>
        <s v="268789A" u="1"/>
        <s v="275760C" u="1"/>
        <s v="268789B" u="1"/>
        <s v="287974A" u="1"/>
        <s v="275125A" u="1"/>
        <s v="272311A" u="1"/>
        <s v="238127C" u="1"/>
        <s v="265526A" u="1"/>
        <s v="850859" u="1"/>
        <s v="277311B" u="1"/>
        <s v="299310A" u="1"/>
        <s v="301179B" u="1"/>
        <s v="265526B" u="1"/>
        <s v="277311C" u="1"/>
        <s v="294739A" u="1"/>
        <s v="284273A" u="1"/>
        <s v="265526C" u="1"/>
        <s v="304803A" u="1"/>
        <s v="292925B" u="1"/>
        <s v="268712A" u="1"/>
        <s v="053499B" u="1"/>
        <s v="308803A" u="1"/>
        <s v="053499C" u="1"/>
        <s v="292739F" u="1"/>
        <s v="022910D" u="1"/>
        <s v="053499D" u="1"/>
        <s v="282888A" u="1"/>
        <s v="278674A" u="1"/>
        <s v="055685C" u="1"/>
        <s v="286888A" u="1"/>
        <s v="261011A" u="1"/>
        <s v="850158" u="1"/>
        <s v="055685D" u="1"/>
        <s v="293038A" u="1"/>
        <s v="261011B" u="1"/>
        <s v="293038B" u="1"/>
        <s v="170323A" u="1"/>
        <s v="170323B" u="1"/>
        <s v="288010A" u="1"/>
        <s v="231413A" u="1"/>
        <s v="219228A" u="1"/>
        <s v="279225A" u="1"/>
        <s v="073421C" u="1"/>
        <s v="095234D" u="1"/>
        <s v="279225B" u="1"/>
        <s v="297410A" u="1"/>
        <s v="291839A" u="1"/>
        <s v="302279A" u="1"/>
        <s v="312250A" u="1"/>
        <s v="095234E" u="1"/>
        <s v="292839A" u="1"/>
        <s v="282811A" u="1"/>
        <s v="227628A" u="1"/>
        <s v="292839B" u="1"/>
        <s v="282373B" u="1"/>
        <s v="283625D" u="1"/>
        <s v="291587A" u="1"/>
        <s v="287187B" u="1"/>
        <s v="292839C" u="1"/>
        <s v="305279B" u="1"/>
        <s v="092597A" u="1"/>
        <s v="282811C" u="1"/>
        <s v="292839D" u="1"/>
        <s v="092597B" u="1"/>
        <s v="282373D" u="1"/>
        <s v="289811A" u="1"/>
        <s v="294587B" u="1"/>
        <s v="308903A" u="1"/>
        <s v="273774A" u="1"/>
        <s v="289811B" u="1"/>
        <s v="293773A" u="1"/>
        <s v="095783A" u="1"/>
        <s v="293773B" u="1"/>
        <s v="265188G" u="1"/>
        <s v="296773A" u="1"/>
        <s v="293773C" u="1"/>
        <s v="265188H" u="1"/>
        <s v="278774A" u="1"/>
        <s v="265188I" u="1"/>
        <s v="283988C" u="1"/>
        <s v="199871A" u="1"/>
        <s v="265188J" u="1"/>
        <s v="290324A" u="1"/>
        <s v="199871B" u="1"/>
        <s v="265188K" u="1"/>
        <s v="294138B" u="1"/>
        <s v="128025A" u="1"/>
        <s v="265188L" u="1"/>
        <s v="293324A" u="1"/>
        <s v="301202C" u="1"/>
        <s v="199871D" u="1"/>
        <s v="265188M" u="1"/>
        <s v="293324B" u="1"/>
        <s v="850192" u="1"/>
        <s v="237327A" u="1"/>
        <s v="265188N" u="1"/>
        <s v="296138D" u="1"/>
        <s v="298324A" u="1"/>
        <s v="219328A" u="1"/>
        <s v="237327B" u="1"/>
        <s v="265188O" u="1"/>
        <s v="295510A" u="1"/>
        <s v="000887" u="1"/>
        <s v="265111E" u="1"/>
        <s v="216076A" u="1"/>
        <s v="219328B" u="1"/>
        <s v="237327C" u="1"/>
        <s v="237513A" u="1"/>
        <s v="273073C" u="1"/>
        <s v="298510A" u="1"/>
        <s v="285287A" u="1"/>
        <s v="282725C" u="1"/>
        <s v="298510B" u="1"/>
        <s v="024486A" u="1"/>
        <s v="052699A" u="1"/>
        <s v="266912A" u="1"/>
        <s v="287911A" u="1"/>
        <s v="293687A" u="1"/>
        <s v="052699B" u="1"/>
        <s v="266912B" u="1"/>
        <s v="052699C" u="1"/>
        <s v="052885A" u="1"/>
        <s v="290873B" u="1"/>
        <s v="287911C" u="1"/>
        <s v="293873A" u="1"/>
        <s v="052699D" u="1"/>
        <s v="052885B" u="1"/>
        <s v="275874A" u="1"/>
        <s v="287911D" u="1"/>
        <s v="293873B" u="1"/>
        <s v="249661A" u="1"/>
        <s v="289473C" u="1"/>
        <s v="052885C" u="1"/>
        <s v="276874A" u="1"/>
        <s v="281024A" u="1"/>
        <s v="275874B" u="1"/>
        <s v="297873A" u="1"/>
        <s v="052885D" u="1"/>
        <s v="281024B" u="1"/>
        <s v="100274" u="1"/>
        <s v="287911F" u="1"/>
        <s v="052885E" u="1"/>
        <s v="281024C" u="1"/>
        <s v="293238A" u="1"/>
        <s v="287911I" u="1"/>
        <s v="304302A" u="1"/>
        <s v="285210B" u="1"/>
        <s v="312516A" u="1"/>
        <s v="268211A" u="1"/>
        <s v="287911J" u="1"/>
        <s v="285210C" u="1"/>
        <s v="052184A" u="1"/>
        <s v="274173A" u="1"/>
        <s v="273239F" u="1"/>
        <s v="286639A" u="1"/>
        <s v="210614D" u="1"/>
        <s v="301479A" u="1"/>
        <s v="286639B" u="1"/>
        <s v="288639A" u="1"/>
        <s v="297172A" u="1"/>
        <s v="210614E" u="1"/>
        <s v="098182A" u="1"/>
        <s v="294172C" u="1"/>
        <s v="285387A" u="1"/>
        <s v="286825A" u="1"/>
        <s v="115712C" u="1"/>
        <s v="228828A" u="1"/>
        <s v="304479B" u="1"/>
        <s v="274173E" u="1"/>
        <s v="289387A" u="1"/>
        <s v="228828B" u="1"/>
        <s v="304479C" u="1"/>
        <s v="043771A" u="1"/>
        <s v="287573A" u="1"/>
        <s v="301851A" u="1"/>
        <s v="228828C" u="1"/>
        <s v="294787A" u="1"/>
        <s v="288573A" u="1"/>
        <s v="306665A" u="1"/>
        <s v="218362C" u="1"/>
        <s v="287573B" u="1"/>
        <s v="292973A" u="1"/>
        <s v="294787B" u="1"/>
        <s v="218362D" u="1"/>
        <s v="274173H" u="1"/>
        <s v="277788A" u="1"/>
        <s v="287573C" u="1"/>
        <s v="218362E" u="1"/>
        <s v="274173I" u="1"/>
        <s v="265574E" u="1"/>
        <s v="287573D" u="1"/>
        <s v="218362F" u="1"/>
        <s v="274173J" u="1"/>
        <s v="282124A" u="1"/>
        <s v="287573E" u="1"/>
        <s v="282124B" u="1"/>
        <s v="287573F" u="1"/>
        <s v="279974B" u="1"/>
        <s v="280310B" u="1"/>
        <s v="282124C" u="1"/>
        <s v="282310A" u="1"/>
        <s v="287573G" u="1"/>
        <s v="017987D" u="1"/>
        <s v="282310B" u="1"/>
        <s v="229127A" u="1"/>
        <s v="285310A" u="1"/>
        <s v="046322A" u="1"/>
        <s v="286310A" u="1"/>
        <s v="229127B" u="1"/>
        <s v="298338A" u="1"/>
        <s v="274087A" u="1"/>
        <s v="295524A" u="1"/>
        <s v="272087C" u="1"/>
        <s v="274087B" u="1"/>
        <s v="273711A" u="1"/>
        <s v="294710A" u="1"/>
        <s v="272087D" u="1"/>
        <s v="274087C" u="1"/>
        <s v="274273A" u="1"/>
        <s v="283739B" u="1"/>
        <s v="273711B" u="1"/>
        <s v="297086B" u="1"/>
        <s v="850009" u="1"/>
        <s v="272087E" u="1"/>
        <s v="273711C" u="1"/>
        <s v="301579A" u="1"/>
        <s v="185837B" u="1"/>
        <s v="272087F" u="1"/>
        <s v="285925A" u="1"/>
        <s v="065498A" u="1"/>
        <s v="285487A" u="1"/>
        <s v="301579B" u="1"/>
        <s v="185837C" u="1"/>
        <s v="065498B" u="1"/>
        <s v="285487B" u="1"/>
        <s v="306579A" u="1"/>
        <s v="065498C" u="1"/>
        <s v="276888A" u="1"/>
        <s v="046499E" u="1"/>
        <s v="010171" u="1"/>
        <s v="117989A" u="1"/>
        <s v="272087L" u="1"/>
        <s v="266488G" u="1"/>
        <s v="117989B" u="1"/>
        <s v="282224A" u="1"/>
        <s v="283038C" u="1"/>
        <s v="283038D" u="1"/>
        <s v="266488J" u="1"/>
        <s v="302502A" u="1"/>
        <s v="64558A" u="1"/>
        <s v="310278A" u="1"/>
        <s v="095448B" u="1"/>
        <s v="280839A" u="1"/>
        <s v="301250A" u="1"/>
        <s v="274187A" u="1"/>
        <s v="228413B" u="1"/>
        <s v="308502A" u="1"/>
        <s v="284839A" u="1"/>
        <s v="301250C" u="1"/>
        <s v="294372A" u="1"/>
        <s v="308502B" u="1"/>
        <s v="294372B" u="1"/>
        <s v="308502C" u="1"/>
        <s v="277811A" u="1"/>
        <s v="295372B" u="1"/>
        <s v="308502D" u="1"/>
        <s v="299810A" u="1"/>
        <s v="222776A" u="1"/>
        <s v="286587A" u="1"/>
        <s v="270988A" u="1"/>
        <s v="222776B" u="1"/>
        <s v="280773C" u="1"/>
        <s v="288587A" u="1"/>
        <s v="285773A" u="1"/>
        <s v="072998A" u="1"/>
        <s v="270988B" u="1"/>
        <s v="222776C" u="1"/>
        <s v="285773B" u="1"/>
        <s v="268774A" u="1"/>
        <s v="288773A" u="1"/>
        <s v="280138A" u="1"/>
        <s v="271110A" u="1"/>
        <s v="189871A" u="1"/>
        <s v="298987A" u="1"/>
        <s v="268960A" u="1"/>
        <s v="302416B" u="1"/>
        <s v="281510B" u="1"/>
        <s v="264511A" u="1"/>
        <s v="293724A" u="1"/>
        <s v="287510A" u="1"/>
        <s v="294724A" u="1"/>
        <s v="292286B" u="1"/>
        <s v="208076A" u="1"/>
        <s v="291910A" u="1"/>
        <s v="211476A" u="1"/>
        <s v="275287A" u="1"/>
        <s v="032923A" u="1"/>
        <s v="272911A" u="1"/>
        <s v="292286C" u="1"/>
        <s v="208076B" u="1"/>
        <s v="277725A" u="1"/>
        <s v="291910B" u="1"/>
        <s v="293910A" u="1"/>
        <s v="032923B" u="1"/>
        <s v="274911A" u="1"/>
        <s v="294472A" u="1"/>
        <s v="208076C" u="1"/>
        <s v="291910C" u="1"/>
        <s v="286939A" u="1"/>
        <s v="032923C" u="1"/>
        <s v="294472B" u="1"/>
        <s v="033671A" u="1"/>
        <s v="286939B" u="1"/>
        <s v="288939A" u="1"/>
        <s v="064698A" u="1"/>
        <s v="281873A" u="1"/>
        <s v="033671B" u="1"/>
        <s v="277473B" u="1"/>
        <s v="286939C" u="1"/>
        <s v="064698B" u="1"/>
        <s v="064698C" u="1"/>
        <s v="283687D" u="1"/>
        <s v="064698D" u="1"/>
        <s v="064698E" u="1"/>
        <s v="307965A" u="1"/>
        <s v="173122A" u="1"/>
        <s v="280238B" u="1"/>
        <s v="064698G" u="1"/>
        <s v="300264A" u="1"/>
        <s v="203428C" u="1"/>
        <s v="305516A" u="1"/>
        <s v="094648A" u="1"/>
        <s v="302702A" u="1"/>
        <s v="231389A" u="1"/>
        <s v="292824A" u="1"/>
        <s v="266611A" u="1"/>
        <s v="231389B" u="1"/>
        <s v="291386B" u="1"/>
        <s v="309516A" u="1"/>
        <s v="276639B" u="1"/>
        <s v="287172A" u="1"/>
        <s v="292824B" u="1"/>
        <s v="266611B" u="1"/>
        <s v="288610A" u="1"/>
        <s v="273387B" u="1"/>
        <s v="291572A" u="1"/>
        <s v="295386A" u="1"/>
        <s v="276639C" u="1"/>
        <s v="292824C" u="1"/>
        <s v="266611C" u="1"/>
        <s v="276639D" u="1"/>
        <s v="273387D" u="1"/>
        <s v="276639E" u="1"/>
        <s v="276639F" u="1"/>
        <s v="276639G" u="1"/>
        <s v="276387E" u="1"/>
        <s v="226976A" u="1"/>
        <s v="283973C" u="1"/>
        <s v="304001A" u="1"/>
        <s v="283973D" u="1"/>
        <s v="304001B" u="1"/>
        <s v="307001A" u="1"/>
        <s v="272310A" u="1"/>
        <s v="282086A" u="1"/>
        <s v="287338A" u="1"/>
        <s v="277310A" u="1"/>
        <s v="280272A" u="1"/>
        <s v="850858" u="1"/>
        <s v="265087A" u="1"/>
        <s v="278310B" u="1"/>
        <s v="294738A" u="1"/>
        <s v="302616C" u="1"/>
        <s v="278310C" u="1"/>
        <s v="284272A" u="1"/>
        <s v="207528B" u="1"/>
        <s v="271487A" u="1"/>
        <s v="224713B" u="1"/>
        <s v="287272A" u="1"/>
        <s v="272487B" u="1"/>
        <s v="288710A" u="1"/>
        <s v="279739A" u="1"/>
        <s v="272487C" u="1"/>
        <s v="096748D" u="1"/>
        <s v="272487D" u="1"/>
        <s v="279925A" u="1"/>
        <s v="236675A" u="1"/>
        <s v="272487E" u="1"/>
        <s v="279925B" u="1"/>
        <s v="236675B" u="1"/>
        <s v="285887A" u="1"/>
        <s v="236675C" u="1"/>
        <s v="850157" u="1"/>
        <s v="285887B" u="1"/>
        <s v="273038A" u="1"/>
        <s v="285887C" u="1"/>
        <s v="273038B" u="1"/>
        <s v="273038C" u="1"/>
        <s v="277038A" u="1"/>
        <s v="277038B" u="1"/>
        <s v="280624A" u="1"/>
        <s v="285438A" u="1"/>
        <s v="280624B" u="1"/>
        <s v="285438B" u="1"/>
        <s v="023199A" u="1"/>
        <s v="280624C" u="1"/>
        <s v="284186A" u="1"/>
        <s v="300278B" u="1"/>
        <s v="045636A" u="1"/>
        <s v="281624C" u="1"/>
        <s v="280624D" u="1"/>
        <s v="282810A" u="1"/>
        <s v="284186B" u="1"/>
        <s v="236160A" u="1"/>
        <s v="301902A" u="1"/>
        <s v="280624E" u="1"/>
        <s v="295838A" u="1"/>
        <s v="285810A" u="1"/>
        <s v="277839A" u="1"/>
        <s v="298838A" u="1"/>
        <s v="288810A" u="1"/>
        <s v="277839B" u="1"/>
        <s v="306464A" u="1"/>
        <s v="289810A" u="1"/>
        <s v="850892" u="1"/>
        <s v="277839C" u="1"/>
        <s v="302464D" u="1"/>
        <s v="280987A" u="1"/>
        <s v="294772A" u="1"/>
        <s v="099596B" u="1"/>
        <s v="099596C" u="1"/>
        <s v="056970A" u="1"/>
        <s v="288987A" u="1"/>
        <s v="310415B" u="1"/>
        <s v="051521A" u="1"/>
        <s v="307015C" u="1"/>
        <s v="850191" u="1"/>
        <s v="051521B" u="1"/>
        <s v="284538A" u="1"/>
        <s v="309201A" u="1"/>
        <s v="051521C" u="1"/>
        <s v="000886" u="1"/>
        <s v="275072A" u="1"/>
        <s v="300378A" u="1"/>
        <s v="283724A" u="1"/>
        <s v="290938A" u="1"/>
        <s v="285286A" u="1"/>
        <s v="290938B" u="1"/>
        <s v="020737D" u="1"/>
        <s v="023923A" u="1"/>
        <s v="303816B" u="1"/>
        <s v="287286A" u="1"/>
        <s v="284910A" u="1"/>
        <s v="303816C" u="1"/>
        <s v="266725C" u="1"/>
        <s v="286910A" u="1"/>
        <s v="287910A" u="1"/>
        <s v="293686A" u="1"/>
        <s v="303816D" u="1"/>
        <s v="267473A" u="1"/>
        <s v="266725D" u="1"/>
        <s v="023671B" u="1"/>
        <s v="023671C" u="1"/>
        <s v="274687C" u="1"/>
        <s v="276873A" u="1"/>
        <s v="298686B" u="1"/>
        <s v="297872A" u="1"/>
        <s v="274687E" u="1"/>
        <s v="100273" u="1"/>
        <s v="274687F" u="1"/>
        <s v="285023A" u="1"/>
        <s v="266024A" u="1"/>
        <s v="043221A" u="1"/>
        <s v="266024B" u="1"/>
        <s v="043221B" u="1"/>
        <s v="293423A" u="1"/>
        <s v="043221C" u="1"/>
        <s v="293423B" u="1"/>
        <s v="295423A" u="1"/>
        <s v="043221D" u="1"/>
        <s v="285638A" u="1"/>
        <s v="236174A" u="1"/>
        <s v="268639A" u="1"/>
        <s v="236174B" u="1"/>
        <s v="275610C" u="1"/>
        <s v="284386B" u="1"/>
        <s v="286386A" u="1"/>
        <s v="236174C" u="1"/>
        <s v="068397A" u="1"/>
        <s v="236174D" u="1"/>
        <s v="269387A" u="1"/>
        <s v="283572B" u="1"/>
        <s v="292786A" u="1"/>
        <s v="236174E" u="1"/>
        <s v="287572A" u="1"/>
        <s v="287572B" u="1"/>
        <s v="296786A" u="1"/>
        <s v="000099" u="1"/>
        <s v="272787D" u="1"/>
        <s v="312000A" u="1"/>
        <s v="272787E" u="1"/>
        <s v="262573G" u="1"/>
        <s v="292337A" u="1"/>
        <s v="293337A" u="1"/>
        <s v="287123A" u="1"/>
        <s v="059984C" u="1"/>
        <s v="291523A" u="1"/>
        <s v="293337B" u="1"/>
        <s v="293337C" u="1"/>
        <s v="274524B" u="1"/>
        <s v="233712A" u="1"/>
        <s v="284738A" u="1"/>
        <s v="274524C" u="1"/>
        <s v="233712B" u="1"/>
        <s v="274524D" u="1"/>
        <s v="233712C" u="1"/>
        <s v="233712D" u="1"/>
        <s v="170799A" u="1"/>
        <s v="170799B" u="1"/>
        <s v="277272C" u="1"/>
        <s v="282672B" u="1"/>
        <s v="170799C" u="1"/>
        <s v="308578A" u="1"/>
        <s v="170799D" u="1"/>
        <s v="288738F" u="1"/>
        <s v="277887A" u="1"/>
        <s v="010170" u="1"/>
        <s v="054020A" u="1"/>
        <s v="303129A" u="1"/>
        <s v="282223A" u="1"/>
        <s v="283223A" u="1"/>
        <s v="194349A" u="1"/>
        <s v="259010A" u="1"/>
        <s v="068048B" u="1"/>
        <s v="194349B" u="1"/>
        <s v="259010B" u="1"/>
        <s v="302501A" u="1"/>
        <s v="275438A" u="1"/>
        <s v="194349C" u="1"/>
        <s v="259010C" u="1"/>
        <s v="068048D" u="1"/>
        <s v="191721A" u="1"/>
        <s v="267410A" u="1"/>
        <s v="305501A" u="1"/>
        <s v="191721B" u="1"/>
        <s v="267410B" u="1"/>
        <s v="274624B" u="1"/>
        <s v="053821A" u="1"/>
        <s v="191721C" u="1"/>
        <s v="267410C" u="1"/>
        <s v="293371A" u="1"/>
        <s v="032636D" u="1"/>
        <s v="296437D" u="1"/>
        <s v="175536D" u="1"/>
        <s v="191721D" u="1"/>
        <s v="282586A" u="1"/>
        <s v="067849A" u="1"/>
        <s v="191721E" u="1"/>
        <s v="067849B" u="1"/>
        <s v="298371A" u="1"/>
        <s v="187498A" u="1"/>
        <s v="285586A" u="1"/>
        <s v="067849C" u="1"/>
        <s v="187498B" u="1"/>
        <s v="228589A" u="1"/>
        <s v="288586A" u="1"/>
        <s v="306678A" u="1"/>
        <s v="187498C" u="1"/>
        <s v="285772A" u="1"/>
        <s v="301864B" u="1"/>
        <s v="053998A" u="1"/>
        <s v="267773A" u="1"/>
        <s v="053998B" u="1"/>
        <s v="88454H" u="1"/>
        <s v="249774A" u="1"/>
        <s v="269773A" u="1"/>
        <s v="276987A" u="1"/>
        <s v="053998C" u="1"/>
        <s v="269773C" u="1"/>
        <s v="261324A" u="1"/>
        <s v="053120B" u="1"/>
        <s v="188049A" u="1"/>
        <s v="269773D" u="1"/>
        <s v="043335A" u="1"/>
        <s v="287137A" u="1"/>
        <s v="053120C" u="1"/>
        <s v="264324A" u="1"/>
        <s v="053120D" u="1"/>
        <s v="084333B" u="1"/>
        <s v="023522A" u="1"/>
        <s v="303415B" u="1"/>
        <s v="084333C" u="1"/>
        <s v="188049D" u="1"/>
        <s v="264510A" u="1"/>
        <s v="288323A" u="1"/>
        <s v="023522B" u="1"/>
        <s v="295099A" u="1"/>
        <s v="303415C" u="1"/>
        <s v="285071A" u="1"/>
        <s v="293723A" u="1"/>
        <s v="295099B" u="1"/>
        <s v="092295B" u="1"/>
        <s v="272910A" u="1"/>
        <s v="230660A" u="1"/>
        <s v="230660B" u="1"/>
        <s v="266939B" u="1"/>
        <s v="288938A" u="1"/>
        <s v="064697A" u="1"/>
        <s v="230660C" u="1"/>
        <s v="064697B" u="1"/>
        <s v="230660D" u="1"/>
        <s v="064697C" u="1"/>
        <s v="280872C" u="1"/>
        <s v="064697D" u="1"/>
        <s v="064697E" u="1"/>
        <s v="289872A" u="1"/>
        <s v="294022A" u="1"/>
        <s v="294022B" u="1"/>
        <s v="267238A" u="1"/>
        <s v="286237B" u="1"/>
        <s v="182083A" u="1"/>
        <s v="277023D" u="1"/>
        <s v="182083B" u="1"/>
        <s v="286237D" u="1"/>
        <s v="292199B" u="1"/>
        <s v="295199A" u="1"/>
        <s v="305701A" u="1"/>
        <s v="270572A" u="1"/>
        <s v="050583B" u="1"/>
        <s v="277386A" u="1"/>
        <s v="296823B" u="1"/>
        <s v="050583C" u="1"/>
        <s v="292571B" u="1"/>
        <s v="184083F" u="1"/>
        <s v="050583D" u="1"/>
        <s v="184083G" u="1"/>
        <s v="275572B" u="1"/>
        <s v="184083H" u="1"/>
        <s v="215827E" u="1"/>
        <s v="299571A" u="1"/>
        <s v="209175E" u="1"/>
        <s v="262973A" u="1"/>
        <s v="027799A" u="1"/>
        <s v="184083I" u="1"/>
        <s v="285786B" u="1"/>
        <s v="275572D" u="1"/>
        <s v="285786C" u="1"/>
        <s v="288786B" u="1"/>
        <s v="272123A" u="1"/>
        <s v="275123A" u="1"/>
        <s v="299122A" u="1"/>
      </sharedItems>
    </cacheField>
    <cacheField name="CNPJ/CPF" numFmtId="0">
      <sharedItems containsBlank="1"/>
    </cacheField>
    <cacheField name="CLIENTE" numFmtId="0">
      <sharedItems containsBlank="1" count="794">
        <s v="FRANCISCA LOPES CARNEIRO ME"/>
        <s v="VIRGINIA SABINO MACHADO"/>
        <s v="LIMA &amp; SABINO SOCIEDADE FARMACEUTICA LTDA"/>
        <s v="F.E COMERCIAL FARMACEUTICO - ME"/>
        <s v="IZABEL BARROS DOS SANTOS - ME"/>
        <s v="MARIA JAILA MATIAS DA SILVA ME"/>
        <s v="DEISILANIA MARIA DA SILVA ALVES ME"/>
        <s v="ALUISIO TIAGO TAVORA DO NASCIMENTO ME"/>
        <s v="ANA SHINAYDA V. PEREIRA"/>
        <s v="FRANCISCO DAS CHAGAS MARTINS FCIA"/>
        <s v="MARIA DO SOCORRO POMPEU RIB. ME"/>
        <s v="FARMACIA SAO VICENTE LTDA"/>
        <s v="JWS &amp; VIEIRA PROD FARMACÊUTICOS LTDA - ME"/>
        <s v="SILVA E SOUZA COM DE PROD FARM LTDA - ME"/>
        <s v="MARIA TATIANA ARAUJO LIMA ME"/>
        <s v="A C COMERCIAL FARMACEUTICA LTDA ME"/>
        <s v="F D F GONZAGA DROGARIA ME"/>
        <s v="DROGAMELIA COM.DE PRODUTOS FARM. LTDA"/>
        <s v="FARMANATO COM DE MEDIC. LTDA-MZ"/>
        <s v="FARMACIA FP POPULAR N S DE FATIMA LTDA ME"/>
        <s v="FARMANATO COM DE MEDIC. LTDA-FL2"/>
        <s v="M E XIMENES COSTA COM DE MED  LTDA - ME"/>
        <s v="DROGARIA NOGUEIRA &amp; BARBOSA-ME"/>
        <s v="FARMANATO COM DE MEDIC. LTDA-FL1"/>
        <s v="M L MARQUES COM DE PROD FARM ME"/>
        <s v="M M FARMA COM DE PROD FARM EIRELI"/>
        <s v="DROGARIA + VIDA LTDA ME"/>
        <s v="FARMACIA ESTADO DO RIO LTDA"/>
        <s v="DOMINGOS TELES CAVALCANTE-EPP"/>
        <s v="FARMACIA CAVALCANTE LTDA"/>
        <s v="FRANCISCO O SILVA FARMACIA ME"/>
        <s v="WASHINGTON DE MOURA QUEIROZ-ME"/>
        <s v="RAFAEL PEREZ DE FREITAS ME"/>
        <s v="FARMACIA CASA DO REMEDIO LTDA-FILIAL 1"/>
        <s v="S V DE SOUSA COMERCIO DE MEDICAM LTDA ME"/>
        <s v="FARMACIA SUPER SAUDE LTDA-ME"/>
        <s v="FARMACIA IPARANA LTDA ME - FL"/>
        <s v="COMERCIAL DE PROD. FARM.MARTINS LTDA"/>
        <s v="FARMACIA NOVA SAUDE LTDA-ME"/>
        <s v="FEIJO &amp; XAVIER PROD FARMAC LTDA ME"/>
        <s v="FERREIRA &amp; CASTRO FARMACIA LTDA-ME"/>
        <s v="DROGARIA ABREU E BRAGA LTDA"/>
        <s v="FARMA DINIZ COM DE MED LTDA ME"/>
        <s v="FARMACIA DA COMUNIDADE LTDA-ME"/>
        <s v="MATOSO E MALVEIRA COM  MED E CORREL LTDA"/>
        <s v="FARMACIA E DROGARIA DO TRABALHADOR LTDA"/>
        <s v="FARMACIA TELE JUCA LTDA FILIAL-4"/>
        <s v="FARMACIA TELE JUCA LTDA FILIAL-6"/>
        <s v="FARMACIA TELE JUCA LTDA-MATRIZ"/>
        <s v="FARMACIA TELE JUCA LTDA FILIAL 12"/>
        <s v="FARMACIA TELE JUCA LTDA FILIAL-2"/>
        <s v="FARMACIA TELE JUCA LTDA FILIAL-7"/>
        <s v="FARMACIA TELE JUCA LTDA FILIAL-8"/>
        <s v="FARMACIA TELE JUCA LTDA FILIAL-9"/>
        <s v="CLEENE MARQUES DE MOURA -ME"/>
        <s v="FARMACIA TELE JUCA LTDA FILIAL-3"/>
        <s v="CASA DOS COMPRIMIDOS COM LTDA-ME"/>
        <s v="FCIA DA ECONOMIA NACIONAL-FL 03"/>
        <s v="FCIA DA ECONOMIA NACIONAL-FL 18"/>
        <s v="FARMACIA DO TRAB. DE PENTECOSTE LTDA ME"/>
        <s v="EVELMA BARROS BARBOSA"/>
        <s v="FRANCISCO DE ASSIS APOLONIO DE SOUZA-ME"/>
        <s v="SANFARMA S.ANTONIO FARMAC. LTDA LJ-27"/>
        <s v="FCIA TRAB CENTRAL  LIM DO NORTE LTDA"/>
        <s v="IPHARMA EMPREEND FARMAC LTDA EPP"/>
        <s v="B M COM DE PROD FARMLTDA ME"/>
        <s v="I B COM DE PROD FARMACEUTICOS LTDA"/>
        <s v="WESLEY FONSECA DANTAS EIRELI ME"/>
        <s v="JULIO CESAR PASCOAL DA SILVA LTDA"/>
        <s v="FCIA DA ECONOMIA NACIONAL-LJ 08"/>
        <s v="FCIA DA ECONOMIA NACIONAL-LJ 14"/>
        <s v="FCIA DA ECONOMIA NACIONAL-FL 10"/>
        <s v="FARMACIA DA ECONOMIA CEARENSE LTDA  LJ 21"/>
        <s v="MARIA LARISSA DE OLIVEIRA RODRIGUES"/>
        <s v="RAISSA M TAVARES PHARMACIA"/>
        <s v="FARMACIA BONS AMIGOS ITAPIPOCA"/>
        <s v="L A COM DE PROD FARMAC LTDA"/>
        <s v="LUANA DA SILVA COELHO LIMA"/>
        <s v="L C L DE FIGUEIREDO - ME"/>
        <s v="DROGARIA E COSMETICOS MELOS- EIRELI"/>
        <s v="FARMACENTRO DROGARIA LTDA"/>
        <s v="LAZARO JUNIOR MEDEIROS DE MELO ME"/>
        <s v="PLACIDO COMERCIAL DE MEDIC LTDA -ME"/>
        <s v="DROGARIA E COSMETICOS MELOS - EIRELI"/>
        <s v="PAMPLONA E PINHO FARMACIA LTDA-MZ"/>
        <s v="EMPREENDIMENTO FARMAC ALVES LIMA LTDA"/>
        <s v="SANTA CECILIA COM DE MEDIC LTDA ME"/>
        <s v="COMERCIAL DE MEDICAMENTOS ALVES LIMA"/>
        <s v="COMERCIAL FARM SANTA CECILIA LTDA - M"/>
        <s v="IGOR PINTO ALVES - MZ"/>
        <s v="FARMACIA SANTO ANTONIO PROD FARM LTDA"/>
        <s v="DROGARIA FARMAHALLEY LTDA ME"/>
        <s v="CEARENSE HOSPITALAR EIRELI ME"/>
        <s v="CLAUDIA GOMES ARAUJO ROLIM - MATRIZ"/>
        <s v="SANTA CECILIA COM DE PROD FARM LTDA-ME"/>
        <s v="ALCIONE S. LIMA - ME"/>
        <s v="F J ANDRADE FEITOSA MEDICAM EIRELI - ME"/>
        <s v="CLAUDIO CORDEIRO E CIA LTDA ME"/>
        <s v="EMPREEND FARMACIA DO POVO MED LTDA-ME"/>
        <s v="L C M FERREIRA FARMACIA - M"/>
        <s v="PONTES &amp; ARRUDA DROGARIA LTDA ME"/>
        <s v="ORGANIZACAO POP FARMA LTDA - ME"/>
        <s v="FARMACIA RIBEIRO EIRELI"/>
        <s v="BEZERRA &amp; SARAIVA LTDA-ME"/>
        <s v="ORG XIMENES ARAGAO LTDA"/>
        <s v="GUEDES E SILVA PROD FARM LTDA ME"/>
        <s v="VAREJAO DOS COMPRIMIDOS LTDA - MZ"/>
        <s v="GUEDES E SILVA PROD FARMAC LTDA ME"/>
        <s v="LEONARDO TEIXEIRA FEITOSA VERAS ME"/>
        <s v="M P MEDICAMENTOS LTDA ME"/>
        <s v="FCIA DA ECONOMIA NACIONAL-MZ"/>
        <s v="SANTA BRANCA COM.FARMAC. LTDA - LOJA 06"/>
        <s v="AGUIAR E SILVA FARMACIA LTDA"/>
        <s v="FCIA DO TRAB CENTRAL LTDA ME"/>
        <s v="JULIO CESAR ALVES DA COSTA 02727154330"/>
        <s v="FARMACIA DO TRAB DE HORIZONTE LTDA"/>
        <s v="FCIA DO TRAB CENTRAL DE PACAJUS LTDA-ME"/>
        <s v="CELIA MARIA VIEIRA LIMA -MZ"/>
        <s v="FRANCISCO ELTON APOLONIO MENDES-FL 02"/>
        <s v="J M EXPRESS SERV DE TRANSPORTES LTDA"/>
        <s v="FARMACIA CENTRAL PRECO BAIXO LTDA"/>
        <s v="FARMACIA VARJOTENSE - EIRELI"/>
        <s v="LUIS ALBERTO BARROS DA COSTA - ME"/>
        <s v="HILDO C SALES"/>
        <s v="RODRIGUES E FERNANDES COM. PROD FARM  LTDA"/>
        <s v="FARMACIA DO TRAB REDENCIONISTA LTDA - ME"/>
        <s v="JESSER PASSOS SAMPAIO"/>
        <s v="DIEGO DE ARAGAO SANTOS ME"/>
        <s v="FARMACIA MAGALHAES LTDA"/>
        <s v="LIMA &amp; MOURA COM DE PRODFARM LTDA-ME"/>
        <s v="CLAUDENIO DIOGENES ALVES ME"/>
        <s v="FARMALARA COMERCIO FARMACEUTICO LTDA"/>
        <s v="FARMAZON FARMACIA AMAZONAS"/>
        <s v="SANFARMA S.ANTONIO FARMAC. LTDA LJ-11"/>
        <s v="FARMALARA 3 COMERCIO FARMACEUTICO LTDA"/>
        <s v="DROGARIA FIBO LTDA"/>
        <s v="FARMALARA 2 COM FARMACEUTICO LTDA ME"/>
        <s v="F.P FARMACIA PORTUGAL LTDA"/>
        <s v="FARMACIA E DROGARIA SANTANA"/>
        <s v="FARMACIA PROGRESSO LTDA ME-FL 02"/>
        <s v="R F MARINHO FARMACIA"/>
        <s v="FARMACIA ENTRE IRMAOS LTDA"/>
        <s v="LAYANA DE OLIVEIRA LTDA - ME"/>
        <s v="SANZIO RODRIGUES COML MED LTDA"/>
        <s v="FARMACIA SANTA ANA LTDA-ME"/>
        <s v="ANTONIA VERONICA DOS SANTOS MENDES"/>
        <s v="FARMAFIT COM DE PROD FARM LTDA-ME"/>
        <s v="SHOPPING PROHOSPITAL MATERIAL MEDICO LTDA-EPP"/>
        <s v="F F BASTOS HOLANDA"/>
        <s v="R E D FARMA LTDA"/>
        <s v="FARMACIA DO TRAB DE CAPISTRANO EIRELI - ME"/>
        <s v="FARMACIA COELHO LTDA ME"/>
        <s v="FARMACIA OPCAO LTDA-EPP"/>
        <s v="FARMALU COM DE PROD FARMACEUTICOS LTDA"/>
        <s v="M R BOTAO NOGUEIRA-ME"/>
        <s v="P I COMERCIO DE MEDICAMENTOS LTDA"/>
        <s v="FARMACIA DOSE EXTRA LTDA ME"/>
        <s v="GLEYCIANE LUCIANO DE BARROS ME"/>
        <s v="DROGARIA BOA ESPERANÇA LTDA"/>
        <s v="F R GRANGEIRO PROD FARMAC LTDA-ME"/>
        <s v="FARMACIA DO TRAB ITAICABENSE LTDA"/>
        <s v="MARILENE DE O FERNANDES BARROS - ME"/>
        <s v="PAMELA MOREIRA BARROSO"/>
        <s v="SONELTA MASTERPHARMA LTDA - ME"/>
        <s v="UILACI LEANDRO PINHEIRO"/>
        <s v="CAUBI GARCIA SOARES - ME"/>
        <s v="LUANA DANIELLY FERNANDES RAMOS DA SILVA ME"/>
        <s v="ANTONIO WILLIAN SOARES-ME"/>
        <s v="JOSE ANTONIO DE OLIVEIRA - ME"/>
        <s v="T DIAS E MELO LTDA"/>
        <s v="FARIAS PASSOS E CIA"/>
        <s v="KARINA SILVA SALES"/>
        <s v="A V SANTIAGO MEDICAMENTOS ME"/>
        <s v="F K ARAGÃO XEREZ-EPP"/>
        <s v="ORGANIZACAO FARMACEUTICA JANIO LTDA"/>
        <s v="R F DO NASCIMENTO COM DE MED EIRELI"/>
        <s v="CRISTO REDENTOR FARMA LTDA"/>
        <s v="FARMACIA NOSSA SENHORA DO CARMO LTDA"/>
        <s v="FIRMINO CLAUDIO DE CARVALHO"/>
        <s v="J &amp; N COMERCIO DE MEDICAMENTOS LTDA"/>
        <s v="F R GRANGEIRO PROD FARMAC LTDA ME"/>
        <s v="J R ARAUJO ME"/>
        <s v="JEORGE CHAGAS PAULO MICROEMPRESA"/>
        <s v="MACKSWELL R G TEIXEIRA"/>
        <s v="MANOEL P DA COSTA NETO - ME"/>
        <s v="NOSSA SENHORA APARECIDA MED LTDA"/>
        <s v="FARMACIA LOURENCO LTDA ME"/>
        <s v="GERALDO LEITE DE MELO"/>
        <s v="GLACY KELLY SILVA DE SOUSA"/>
        <s v="J C PRODUTOS FARMACEUTICOS EIRELI ME"/>
        <s v="K L C &amp; M F DE OLIVEIRA MED E PERF LTDA"/>
        <s v="L SOMBRA PONTES"/>
        <s v="LAERCIO COSME DE MORAIS ME"/>
        <s v="MAGALHAES COMERCIAL DE MEDIC LTDA ME"/>
        <s v="RODOLFO BASILIO MADEIRA COM.REP.LTDA"/>
        <s v="SOUZA &amp; CARDOSO DROGARIA LTDA ME"/>
        <s v="A. FEITOSA LIMA EIRELI - ME"/>
        <s v="ANA BRIGIDA FERREIRA MOURA - ME"/>
        <s v="C G F FARMACIA- LTDA"/>
        <s v="COMPLETA COMERCIO DE MEDICAMENTOS LTDA"/>
        <s v="DARLAN FREIRES DA SILVA"/>
        <s v="DROGARIA LOPES VIEIRA LTDA"/>
        <s v="FARMACIA TEJUCUOCA LTDA-ME"/>
        <s v="FARMASOUSA COM DE PROD FARM LTDA"/>
        <s v="FG FARMACIAS LTDA ME"/>
        <s v="J. P. SAMPAIO FARMACIA - ME"/>
        <s v="KURA FARMA LTDA ME"/>
        <s v="LYDER FARMA PROD FARMACEUTICOS LTDA ME"/>
        <s v="A M DE PAULA R.MEDICAMENTOS-ME"/>
        <s v="C.F.L. COMERCIAL FARMACEUTICA LTDA"/>
        <s v="COMERCIAL DE MED LA FARMA LTDA"/>
        <s v="FARMACIA SAO PAULO COM DE MEDIC LTDA"/>
        <s v="IOLANDA M BARROSO"/>
        <s v="JAQUELINE LEITE CID - ME"/>
        <s v="JOAQUIM DE PAULO BARROS FILHO-ME"/>
        <s v="KARINA GONCALVES DO NASCIMENTO"/>
        <s v="M JORDANA ARAUJO LIMA"/>
        <s v="MARIA MOREIRA DE S. MEDICAMENTOS"/>
        <s v="MC COMERCIO DE MEDICAMENTOS LTDA - ME"/>
        <s v="N S LOPES DROGARIA"/>
        <s v="QUALIFARMA PRODUTOS FARMACEUTICOS LTDA"/>
        <s v="REI DOS REIS FARMA LTDA - ME"/>
        <s v="SABRINA F CASTRO"/>
        <m/>
        <s v="M &amp; K COM DE PROD FARM E COSM LTDA-FL"/>
        <s v="SANFARMA S.ANTONIO FARMAC. LTDA LJ-04" u="1"/>
        <s v="F.M.REIS AGUIAR" u="1"/>
        <s v="ROBERTO MAIA DE SOUZA" u="1"/>
        <s v="SANFARMA S.ANTONIO FARMAC. LTDA LJ-08" u="1"/>
        <s v="CLAUDIA GOMES ARAUJO ROLIM - FILIAL" u="1"/>
        <s v="LUCAS CASTRO CORTEZ RUFINO ME" u="1"/>
        <s v="ALINE CRISTINE FERREIRA DE ARAUJO - ME" u="1"/>
        <s v="FRANCISCO CLEGINALDO SALES DE ARAGÃO *" u="1"/>
        <s v="S V COMERCIO FARMACEUTICO LTDA" u="1"/>
        <s v="J S FARMACIAS LTDA - MZ" u="1"/>
        <s v="ANTONIO RIOS CARNEIRO JUNIOR ME" u="1"/>
        <s v="FARMAVIDA CARIRI LTDA - EPP" u="1"/>
        <s v="R.S. VIEIRA CESARIO DROGARIA -ME" u="1"/>
        <s v="LEILE KARINE MEDEIROS DE MELO" u="1"/>
        <s v="CARMELINA DE OLIVEIRA PASSOS SAMPAIO" u="1"/>
        <s v="IBIFARMA COM DE PROD FARMA E HOSP" u="1"/>
        <s v="DROGARIA + SAUDE ME" u="1"/>
        <s v="DROGARIA LIMA MAIA LTDA" u="1"/>
        <s v="N F SOARES PRODUTOS FARMACEUTICOS ME" u="1"/>
        <s v="DIOLINA MARTINS DE OLIVEIRA ME" u="1"/>
        <s v="FARMACIA DA ECONOMIA NACIONAL LTDA - 08" u="1"/>
        <s v="JONATHAN F PEREIRA" u="1"/>
        <s v="VANUZA ALVES PEDROSA-EPP" u="1"/>
        <s v="DROGARIA PEIXOTO &amp; SILVA LTDA" u="1"/>
        <s v="M. MICHELLE SARAIVA MOREIRA" u="1"/>
        <s v="DROGARIA AGUIAR MAGALHÃES EIRELI - ME" u="1"/>
        <s v="JATHA COM DE PROD FARM LTDA" u="1"/>
        <s v="A. B. MARQUES ME" u="1"/>
        <s v="A L RODRIGUES DE DEUS LIMA-ME" u="1"/>
        <s v="JOSE NARDIE DOS SANTOS ME" u="1"/>
        <s v="CELSO FLORENTINO TEIXEIRA SOBRINHO" u="1"/>
        <s v="GOMES DE ALMEIDA E CIA LTDA" u="1"/>
        <s v="RAIMUNDO IVAN ROCHA GIFFONI FILHO ME" u="1"/>
        <s v="FARMACIA SANTA MARTA LTDA" u="1"/>
        <s v="ISABEL CHAGAS SILVA-ME" u="1"/>
        <s v="MEGA PHARMA COM.DE PROD.FARMAC.LTDA-FL" u="1"/>
        <s v="FARMACIA 2 IRMAOS LTDA ME" u="1"/>
        <s v="R.B.S.MEDICAMENTOS LTDA" u="1"/>
        <s v="FRANCISCO GLEISON DA COSTA MARQUES ME" u="1"/>
        <s v="C.A CARVALHO DOURADO ME" u="1"/>
        <s v="JOSE LIRA DE FREITAS" u="1"/>
        <s v="J. L. R. LIMA FILHO" u="1"/>
        <s v="MF COMERCIAL DE MEDICAMENTOS LTDA" u="1"/>
        <s v="JAMILE LANDIM CRUZ SANTANA - ME" u="1"/>
        <s v="ROSENO PEREIRA COM DE MEDICAMENTOS LTDA" u="1"/>
        <s v="J ANGELO DE OLIVEIRA FILHO-ME" u="1"/>
        <s v="MICHELYS SOARES DE ARAUJO - ME" u="1"/>
        <s v="J.ADERSON DA SILVA - ME" u="1"/>
        <s v="FARMACIA METROPOLITANA POPULAR LTDA" u="1"/>
        <s v="CLEMILTON ARRUDA MONTEIRO-ME" u="1"/>
        <s v="ANDERSON PEREIRA LEITÃO" u="1"/>
        <s v="FRANCISCO ELTON APOLONIO MENDES-FL 01" u="1"/>
        <s v="FARMACIA DROGALESTE LTDA" u="1"/>
        <s v="WAGNER DE SOUSA ROCHA ME" u="1"/>
        <s v="FARMACIA MANDACARU LTDA" u="1"/>
        <s v="COMERCIAL DE MEDIC FARMA E VIDA LTDA" u="1"/>
        <s v="F.C BRINGEL DE LIMA - EPP" u="1"/>
        <s v="G S CASEMIRO- MATRIZ" u="1"/>
        <s v="THALYNE NOBREGA Q. FEITOSA-FL03" u="1"/>
        <s v="J &amp; R COMERCIO DE MEDICAMENTOS LTDA" u="1"/>
        <s v="MANOEL NETO DIAS DA SILVA" u="1"/>
        <s v="M H RODRIQUES LOPES FARMACIA" u="1"/>
        <s v="MED FARM COM REP LTDA" u="1"/>
        <s v="MARIA GORETE DE MELO ME" u="1"/>
        <s v="MLA COMERCIAL FARMAC.LTDA" u="1"/>
        <s v="E DE SOUSA TAVEIRA ME" u="1"/>
        <s v="G T DOS SANTOS FILHO" u="1"/>
        <s v="FARMACIA LISIEUX LTDA" u="1"/>
        <s v="JOSE WILKER MARTINS DA SILVA" u="1"/>
        <s v="A&amp;D PRODUTOS FARMACEUTICOS LTDA ME" u="1"/>
        <s v="ODILON FILGUEIRAS LIMA NETO-ME" u="1"/>
        <s v="COMERCIAL MED GUIMARAES E SOARES LTDA" u="1"/>
        <s v="COMERCIAL VIEIRA DE MEDICAMENTOS" u="1"/>
        <s v="FARMACIA DIVINO LTDA" u="1"/>
        <s v="SANFARMA S.ANTONIO FARMAC. LTDA LJ-12" u="1"/>
        <s v="SANFARMA S.ANTONIO FARMAC. LTDA LJ-14" u="1"/>
        <s v="FARMACIA EL-SHADAY LTDA - ME" u="1"/>
        <s v="FARMACIA VITALICIA LTDA - ME" u="1"/>
        <s v="E V FARMACIA SOBREIRA LTDA" u="1"/>
        <s v="SANFARMA S.ANTONIO FARMAC. LTDA LJ-17" u="1"/>
        <s v="FARMACIA SALES LTDA-ME" u="1"/>
        <s v="DULCILENE BARBOSA FERNANDES" u="1"/>
        <s v="FARMACIA FARMAVIDA COMERCIO LTDA" u="1"/>
        <s v="SARAIVA E BEZERRA COM DE MED LTDA" u="1"/>
        <s v="N DO NASCIMENTO AZEVEDO" u="1"/>
        <s v="DROGARIA BEM ESTAR PENTECOSTE LTDA" u="1"/>
        <s v="ABS COM DE PROD FARMACEUTICOS LTDA-ME" u="1"/>
        <s v="SYNTHIA QUIRINO DA CUNHA - ME" u="1"/>
        <s v="ALDENIZA DE SOUSA MELO" u="1"/>
        <s v="ANTONIO AGAMENON DE ARAUJO" u="1"/>
        <s v="R. N. ALMEIDA JR EMPREEND FARMACEUTICO" u="1"/>
        <s v="R R DE AGUIAR" u="1"/>
        <s v="ARQUIMEDICA COM DE PROD HOSP E ODONT LTDA" u="1"/>
        <s v="CESTAO DO LAR COM DE PROD FARM LTDA ME" u="1"/>
        <s v="J E DA SILVA FARMACIA" u="1"/>
        <s v="COMERCIAL DE MED. R J R LTDA" u="1"/>
        <s v="ANTONIO GOMES MORORO SOBRINHO - EPP" u="1"/>
        <s v="CABRAL &amp; TELES LTDA ME" u="1"/>
        <s v="MARIA NAGELA DOS SANTOS - ME" u="1"/>
        <s v="JP-COMERCIO VAREJISTA DE PROD.FARMACEUTICOS L" u="1"/>
        <s v="FARMACIA DA ECONOMIA NACIONAL LTDA" u="1"/>
        <s v="A A FROTA DE SOUSA" u="1"/>
        <s v="R FONTENELE SANTOS LTDA - ME" u="1"/>
        <s v="RAQUEL CARNEIRO LOPES ME" u="1"/>
        <s v="FRANCISCO WELLINGTON NUNES SILVA" u="1"/>
        <s v="ROSA MARIA PEREIRA SARAIVA ME" u="1"/>
        <s v="FARMACIA POPULAR DO CEARA COM DE MED LTDA" u="1"/>
        <s v="JEFFERSON LUCAS M. DE ALBUQUERQUE - ME" u="1"/>
        <s v="FARMACIA CASTELO BRANCO LTDA" u="1"/>
        <s v="DROGARIA TADEU RIBEIRO LTDA - ME" u="1"/>
        <s v="FARMACIA VASCONCELOS &amp; PESSOA LTDA-MZ" u="1"/>
        <s v="ROBERIO FERRER SERPA - ME" u="1"/>
        <s v="PEDRO ALBERTO LIMA DE ASSIS - ME" u="1"/>
        <s v="CARVALHO &amp; SOBREIRA COM.VAR DE MED ALOPATICOS" u="1"/>
        <s v="MARIA DE FATIMA VASCONCELOS - FILIAL" u="1"/>
        <s v="ANA HELEN RODRIGUES DE OLIVEIRA-ME" u="1"/>
        <s v="COMERCIAL DE MED TELES BRAGA LTDA" u="1"/>
        <s v="PEDRO RODRIGUES DA SILVA" u="1"/>
        <s v="JANAINA VASCONCELOS OLIVEIRA - ME" u="1"/>
        <s v="RAFAELA FIGUEIREDO BARROS FARMACIA - ME" u="1"/>
        <s v="ANTONIO CRISPIN ALVES DE MORAIS" u="1"/>
        <s v="DROGARIA LUZARDO VIANA LTDA" u="1"/>
        <s v="O ANGELIM VIANA ME" u="1"/>
        <s v="BCR COMERCIO E REPRES.LTDA" u="1"/>
        <s v="JOSE OSIVALDO L.SAMPAIO" u="1"/>
        <s v="M M MEDICAMENTOS- LTDA" u="1"/>
        <s v="J DOS SANTOS RABELO" u="1"/>
        <s v="VALERIA L MAGALHAES MEDICAMENTOS ME" u="1"/>
        <s v="MARIA IVANILDA DE MELO OLIVEIRA" u="1"/>
        <s v="TATYANY FREIRE DA SILVA LUSTOSA - ME" u="1"/>
        <s v="A E FERNANDES SAMPAIO" u="1"/>
        <s v="JOSE ARMANDO SOARES TEIXEIRA" u="1"/>
        <s v="FLADIANA MARIA MOREIRA LIMA - ME" u="1"/>
        <s v="M.M DA CUNHA FILHO" u="1"/>
        <s v="PONTES FARMA LTDA - ME" u="1"/>
        <s v="VILANIA VITAL BARROS - FILIAL" u="1"/>
        <s v="J. V. TOMAZ NORONHA - ME" u="1"/>
        <s v="C S CARVALHO EMPREEND FARM LTDA" u="1"/>
        <s v="GEYMYSSON  HARRYSON FREIRE MAIA" u="1"/>
        <s v="ELAYNE ESTEVES DA SILVA - ME" u="1"/>
        <s v="ANTONIO FERREIRA DE MELO" u="1"/>
        <s v="RAIMUNDO DA COSTA BEZERRA - EPP" u="1"/>
        <s v="NUNES E SAMPAIO FARMACIA LTDA-ME" u="1"/>
        <s v="FRANCISCO RIVAILLDON TELES BRAGA-MZ" u="1"/>
        <s v="M A SANTANA DE OLIVEIRA" u="1"/>
        <s v="E L SPINOSA MEDICAMENTOS ME - MZ" u="1"/>
        <s v="COMERCIAL DE MED RIOS AMORIM LTDA" u="1"/>
        <s v="MARINEIDE CARLOS BEZERRA - ME" u="1"/>
        <s v="M D DE OLIVEIRA FILHO - ME" u="1"/>
        <s v="IVAMAR DAMASCENO MUNIZ-ME" u="1"/>
        <s v="F CLEVES C DOS SANTOS" u="1"/>
        <s v="MEIRE ANE GOMES BEZERRA ALENCAR ME" u="1"/>
        <s v="MARIA HELENA DE CARVALHO MAIA" u="1"/>
        <s v="SANFARMA S.ANTONIO FARMAC. LTDA LJ-20" u="1"/>
        <s v="R L SIMPLICIO DUARTE ME" u="1"/>
        <s v="SANFARMA S.ANTONIO FARMAC. LTDA LJ-26" u="1"/>
        <s v="SANFARMA S.ANTONIO FARMAC. LTDA LJ-28" u="1"/>
        <s v="M J H PEREIRA FARMACIA" u="1"/>
        <s v="J.UELDO DE AZEVEDO - ME" u="1"/>
        <s v="L.M.C. VIEIRA PAULINO MICROEMPRESA" u="1"/>
        <s v="DROGARIA MENINO JESUS LTDA" u="1"/>
        <s v="M ANADALIA DA SILVA SANTOS - ME" u="1"/>
        <s v="MINA SUL FARMA LTDA ME" u="1"/>
        <s v="MANOEL N.COSTA-ME" u="1"/>
        <s v="J D XIMENES DE SOUSA-ME" u="1"/>
        <s v="FARMACIA ECONOMIA LTDA" u="1"/>
        <s v="R F DO NASCIMENTO-ME" u="1"/>
        <s v="CRISTIANE RODRIGUES DE MELO ME" u="1"/>
        <s v="FARM DO TRAB CENTRAL DE PACAJUS LTDA-ME" u="1"/>
        <s v="MEGA PHARMA COM.DE PROD.FARMAC.LTDA-MZ" u="1"/>
        <s v="M.M REGO CIA" u="1"/>
        <s v="SIMONE BARBOSA DA SILVA - ME" u="1"/>
        <s v="LR FARMACIA LTDA" u="1"/>
        <s v="VICENTE BASTO SAMPAIO  02" u="1"/>
        <s v="ELIANIA M.OLIVEIRA TOMAZ ARCANJO-ME" u="1"/>
        <s v="FARMACIA ECO 2 EIRELI -ME" u="1"/>
        <s v="F.F.J.COMERCIO VAREJISTA DE MED.LTDA" u="1"/>
        <s v="M.P.COMERCIO DE MEDICAMENTOS LTDA ME" u="1"/>
        <s v="FARMACIA CARDIOPHARMA COM.DE MED LTDA-ME" u="1"/>
        <s v="FARMACIA VILGNA LTDA ME" u="1"/>
        <s v="THS MEDICAMENTOS LTDA - ME" u="1"/>
        <s v="DROG.SAUDE NOVA COM.VAREJISTA DE MEDIC.LTDA" u="1"/>
        <s v="RET COMERCIO DE MEDICAMENTOS LTDA" u="1"/>
        <s v="F N COMERCIAL DE MEDICAMENTOS LTDA" u="1"/>
        <s v="JULIAO PHARMA COM DE PROD FARM LTDA" u="1"/>
        <s v="RAIMUNDO FERREIRA VASCONCELOS" u="1"/>
        <s v="MARIA DA CONCEICAO RIBEIRO LOPES - ME" u="1"/>
        <s v="MARIA INES DE FREITAS" u="1"/>
        <s v="FARMACIA MAIS SAUDE LTDA" u="1"/>
        <s v="ELIVELTON FONTELES DO NASCIMENTO ME" u="1"/>
        <s v="COMERCIAL GAMA DE MEDICAMENTOS LTDA" u="1"/>
        <s v="LOPES MELO COM DE MEDICAMENTOS LTDA-ME" u="1"/>
        <s v="JAMYLYS FIDELIS DA SILVA - ME" u="1"/>
        <s v="A C DA SILVA LOPES EIRELI" u="1"/>
        <s v="MARTINS E FARIAS COM. DE PROD. FARMAC. LTDA" u="1"/>
        <s v="FARMACIA 21 DE SETEMBRO LTDA" u="1"/>
        <s v="E2 MEDICAMENTOS LTDA - ME" u="1"/>
        <s v="M.R.FROTA MEDICAMENTOS - ME" u="1"/>
        <s v="J.R.T.COM.DE MEDIC. LTDA - FILIAL" u="1"/>
        <s v="ANDRE LUIZ MACHADO TERCEIRO" u="1"/>
        <s v="I B COMERCIO DE PRODUTOS FARMACEUTICOS LTDA" u="1"/>
        <s v="EMPREENDIMENTOS FARM ULTRA LTDA" u="1"/>
        <s v="FARMACIA E DROGARIA BEBERIBE LTDA" u="1"/>
        <s v="R3 PLUS DIST DE MEDICAMENTOS LTDA" u="1"/>
        <s v="JOSE DE ANCHIETA E SILVA FCIA" u="1"/>
        <s v="F L V DA SILVA - ME" u="1"/>
        <s v="ARIFARMA COM DE MED LTDA" u="1"/>
        <s v="EDUARDA TEIXEIRA DE MELO" u="1"/>
        <s v="FARMACIA GOTA MAIS LTDA - MZ 01" u="1"/>
        <s v="FARMACIA D N LTDA" u="1"/>
        <s v="M.C. CARVALHO COM FARMACEUTICO LTDA ME" u="1"/>
        <s v="SAVIO &amp; SILVA FARMACIA LTDA" u="1"/>
        <s v="A.L.DUTRA DE MELO" u="1"/>
        <s v="TAVARES E NUNES LTDA" u="1"/>
        <s v="VICTOR MATHEUS LEAL VELOZO - ME" u="1"/>
        <s v="RODSON JAILSON LIRA SARAIVA - ME" u="1"/>
        <s v="FARMACIA E DROGARIA DROGAFOR LTDA ME" u="1"/>
        <s v="JOYCE LANNE M PINHEIRO" u="1"/>
        <s v="M. MICHELLE SARAIVA MOREIRA-FL" u="1"/>
        <s v="FCIA PLANALTO COM DE PROD FARM. LTDA" u="1"/>
        <s v="AKS COMERCIO DE PROD. NATURAIS LTDA." u="1"/>
        <s v="MIRIAM JORGE TEIXEIRA" u="1"/>
        <s v="JUA FARMA EIRELI" u="1"/>
        <s v="DROGARIA CARNEIRO LTDA-FILIAL-1" u="1"/>
        <s v="POSTO DE MED SAO JOAQUIM LTDA ME" u="1"/>
        <s v="MARIA DE FATIMA ALVES DA SILVA BAZARES" u="1"/>
        <s v="SANDRA MARIA DINIZ BEZERRA" u="1"/>
        <s v="F. ERIVELTON PAULA TOME" u="1"/>
        <s v="ASSUNCAO MEDICAMENTOS LTDA" u="1"/>
        <s v="SARAIVA &amp; OLIVEIRA LTDA MICROEMPRESA" u="1"/>
        <s v="LIDER FARMACIA DE MEDICAMENTOS LTDA" u="1"/>
        <s v="DISTRIBUIDORA FORTALEZA DE PROD FARM LTDA" u="1"/>
        <s v="FARMACIA MAIS SAUDE PARA VOCE LTDA" u="1"/>
        <s v="N A V CORREIA DROGARIAS ME" u="1"/>
        <s v="MARIA BUTRAGO DA SILVA" u="1"/>
        <s v="ANTONIA FERNANDA GUIMARAES BARROS - ME" u="1"/>
        <s v="LARA GEOVANNA LIMA MOURA E SILVA ME" u="1"/>
        <s v="DROGARIA JAFROS LTDA ME" u="1"/>
        <s v="R F SALES PRODUTOS FARMACEUTICOS LTDA - ME" u="1"/>
        <s v="CICERO TEOGINIS BORGES GREGORIO - ME" u="1"/>
        <s v="FARMACLIN DE ANDRADE EIRELI ME" u="1"/>
        <s v="F M DE BRITO" u="1"/>
        <s v="JOSE TEODORO NETO" u="1"/>
        <s v="ELISEU BEZERRA DE SOUSA ME" u="1"/>
        <s v="MEDFARMA DRUGSTORE LTDA - ME" u="1"/>
        <s v="M &amp; R COM DE PROD FARMACEUTICOS LTDA" u="1"/>
        <s v="PADRAO COM DE MEDIC LTDA" u="1"/>
        <s v="PAULO ROBERTO DOS ANJOS MAGALHAES" u="1"/>
        <s v="SOS FARMA LTDA - ME" u="1"/>
        <s v="L N MEDICAMENTOS LTDA - MZ" u="1"/>
        <s v="FARMACIA GOTA MAIS LTDA LJ 09" u="1"/>
        <s v="FRANCISCO AMILTON LOPES DE BRITO-ME" u="1"/>
        <s v="DROGARIA MEDIFARMA LTDA ME" u="1"/>
        <s v="PINTO &amp; MESQUITA FARMACIA LTDA ME" u="1"/>
        <s v="NOVA OURO FARMA COM DE MEDIC LTDA" u="1"/>
        <s v="M L FERNANDES FARMACIA ME- FL 01" u="1"/>
        <s v="FRANCISCO ROGERIO GOMES FERNANDES-ME" u="1"/>
        <s v="PAULO CESAR MELO DOS SANTOS" u="1"/>
        <s v="E PAULINO DA COSTA ME" u="1"/>
        <s v="FARMACIA PENA &amp; OLIVEIRA LTDA ME" u="1"/>
        <s v="F RONALDO DE OLIVEIRA ME" u="1"/>
        <s v="GRANGEIRO &amp; FERREIRA LTDA ME" u="1"/>
        <s v="CHARLES LAMARQUES BORGES TAVARES - ME" u="1"/>
        <s v="FARMACIA UNIVIDAS LTDA-ME" u="1"/>
        <s v="F M DA CUNHA FARMACIA ME" u="1"/>
        <s v="M. A. D. TOSTES PEREIRA ME" u="1"/>
        <s v="FARMACIA GOTA MAIS LTDA LJ 07" u="1"/>
        <s v="DROGARIA SENHORA SANTANA LTDA" u="1"/>
        <s v="PHARMAFACIL DRUGSTORE EIRELI" u="1"/>
        <s v="DROGARIA M&amp;M LTDA-ME" u="1"/>
        <s v="FARMACIA DO BAIRRO LTDA ME" u="1"/>
        <s v="C E SANTIAGO MAIA - ME" u="1"/>
        <s v="FARMACIA ORIGINALFARMA LTDA" u="1"/>
        <s v="BARROS LIRA MEDICAMENTOS LTDA" u="1"/>
        <s v="E L SPINOSA MEDICAMENTOS ME - FL" u="1"/>
        <s v="FARMACIA MYLLA CHRISTIE PONTES LTDA ME" u="1"/>
        <s v="FARMACIA GOTA MAIS LTDA LJ 06" u="1"/>
        <s v="MARIA ELENI L DE OLIVEIRA" u="1"/>
        <s v="LIRA GIRAO COM DE PROD FARM LTDA" u="1"/>
        <s v="P U O VASCONCELOS-ME" u="1"/>
        <s v="EVANARDO BEZERRA COM DE MEDIC LTDA ME" u="1"/>
        <s v="ARON PAIVA M FLORENCIO" u="1"/>
        <s v="ALDACI DE BESSA CAVALCANTE DUARTE-ME" u="1"/>
        <s v="TORRES &amp; SILVA COM DE MEDICAMENTOS LTDA" u="1"/>
        <s v="CT COMERCIAL FARMACEUTICO LTDA-ME" u="1"/>
        <s v="FARMACIA GOTA MAIS LTDA LJ 05" u="1"/>
        <s v="ANTONIO ERIVELTON PASSOS FONTENELE_ME" u="1"/>
        <s v="NOTIELLE ARAUJO ALMEIDA-ME" u="1"/>
        <s v="JOAO ALBERTO FERNANDES AUGUSTO" u="1"/>
        <s v="DROGARIA VITORIA DE TIANGUA LTDA-ME" u="1"/>
        <s v="VIVIANE CORREIA DE CARVALHO SOBREIRA" u="1"/>
        <s v="M. MICHELLE SARAIVA MOREIRA - EPP" u="1"/>
        <s v="FARMACIA GOTA MAIS LTDA LJ 04" u="1"/>
        <s v="FARMACIA MARTINS E MACIEL LTDA - ME" u="1"/>
        <s v="FARMACIA SILVA E OLIVEIRA LTDA - ME" u="1"/>
        <s v="C &amp; C MEDICAMENTOS LTDA" u="1"/>
        <s v="I B COM DE PROD FARMACEUTICOS LTDA ME" u="1"/>
        <s v="NOSSA DROGARIA LTDA EPP" u="1"/>
        <s v="FARMACIA BECAME LTDA-ME" u="1"/>
        <s v="DROGARIA QUEIROGA MEDICAMENTOS LTDA - ME" u="1"/>
        <s v="FARMA FORT LTDA_ME" u="1"/>
        <s v="RAIMUNDO VILMAR MESQUITA MUNIZ ME" u="1"/>
        <s v="FARMACIA E DROGARIA LUMAR LTDA" u="1"/>
        <s v="COMERCIAL DE MED.ITAPERY LTDA-ME" u="1"/>
        <s v="DROGARIA MELGACO ALBUQUERQUE LTDA" u="1"/>
        <s v="LINO &amp; SILVA PROD FARMACEUTICOS LTDA" u="1"/>
        <s v="GLEITON &amp; SABRINA COM DE PROD FARM LTDA" u="1"/>
        <s v="CARLOTA M DIAS O. FALCAO DROG LTDA - ME" u="1"/>
        <s v="J B DE SOUSA FILHO ME" u="1"/>
        <s v="FARMACIA GOTA MAIS LTDA LJ 03" u="1"/>
        <s v="F ABREU SILVA" u="1"/>
        <s v="RAPHAEL GOMES RODRIGUES-ME" u="1"/>
        <s v="DIONES SOMBRA MOREIRA" u="1"/>
        <s v="FARMACIA NOVA VIDA LTDA" u="1"/>
        <s v="ANTONIO DIAS DA SILVA-ME" u="1"/>
        <s v="JOSE EDILSON RODRIGUES PINTO" u="1"/>
        <s v="LAILA MARIA MUNIZ LIMA ME" u="1"/>
        <s v="C &amp; M COMERCIO DE MEDICAMENTOS LTDA" u="1"/>
        <s v="FARMACIA LIMOEIRENSE LTDA" u="1"/>
        <s v="FARMACIA GOTA MAIS LTDA LJ 02" u="1"/>
        <s v="FARMACIA PINHEIRO LTDA" u="1"/>
        <s v="L &amp; V COMERCIO FARMACEUTICO LTDA" u="1"/>
        <s v="D. E. DE ALMEIDA COM DE MEDICAMENTOS - EPP" u="1"/>
        <s v="FARMACIA MAXIMA SAUDE LTDA - M" u="1"/>
        <s v="ISABEL TAVARES RODRIGUES - DROGARIA - ME" u="1"/>
        <s v="SAVIO HELANO RIBEIRO SOBREIRA" u="1"/>
        <s v="DROGARIA MAIS SAUDE LTDA ME" u="1"/>
        <s v="A DE S AZEVEDO - ME" u="1"/>
        <s v="F F BASTOS HOLANDA." u="1"/>
        <s v="IGOR PINTO ALVES- FL 02" u="1"/>
        <s v="THAJA COMERC.DE PROD FARM. LTDA" u="1"/>
        <s v="COMERCIAL DE MED.RAULINO &amp; OLIVEIRA LTDA ME" u="1"/>
        <s v="FARMACIA JOSE RODRIGUES LTDA ME" u="1"/>
        <s v="JOSE AGUIAR NETO-ME" u="1"/>
        <s v="DROGARIA BOA ECONOMIA LTDA ME" u="1"/>
        <s v="CITYFARMA COMERCIO FARMACEUTICO LTDA-ME" u="1"/>
        <s v="FSC MEDICAMENTOS LTDA" u="1"/>
        <s v="CACAU DROGAS LTDA" u="1"/>
        <s v="FARMACIA GOTA MAIS LTDA LJ 11" u="1"/>
        <s v="FCIA DO TRAB REGIONAL DO CARIRI LTDA - MZ" u="1"/>
        <s v="M W FREIRES DE SOUSA ME" u="1"/>
        <s v="FARMACIA CAMELO LTDA-ME" u="1"/>
        <s v="J.R.T.COM.DE MEDIC. LTDA" u="1"/>
        <s v="MARIA GUERRA DE SOUSA" u="1"/>
        <s v="FARMADAMAS COMERCIO FARMACEUTICO LTDA" u="1"/>
        <s v="L C GOMES FARMACIA LTDA - ME" u="1"/>
        <s v="FARMACIA GOTA MAIS LTDA LJ 10" u="1"/>
        <s v="JUVENAL MARTINS DOS SANTOS" u="1"/>
        <s v="J JORGE DE OLIVEIRA ME - MZ" u="1"/>
        <s v="JOSE EFIGENIO BATISTA ME" u="1"/>
        <s v="DROGAMAISFARMA COM DE MED LTDA" u="1"/>
        <s v="SARA JADILENE DE LIMA NOGUEIRA" u="1"/>
        <s v="GOMES FERNANDES PROD FARM LTDA" u="1"/>
        <s v="ARRUDA MORAES MEDICAMENTOS LTDA ME" u="1"/>
        <s v="DROGARIA UNIAO LTDA ME" u="1"/>
        <s v="F RODRIGUES EMPREENDIMENTOS LTDA-ME" u="1"/>
        <s v="L M SILVEIRA-ME" u="1"/>
        <s v="DROGASUL COM VAREJ DE MEDIC LTDA" u="1"/>
        <s v="FARMACIA BARATAO DO BAIRRO LTDA" u="1"/>
        <s v="IMJ COM DE MED E COSM. LTDA- FL" u="1"/>
        <s v="DROGARIA BENJAMIM BRASIL LTDA-ME" u="1"/>
        <s v="FARM TRAB CENTRAL  LIM DO NORTE LTDA" u="1"/>
        <s v="FRANCISCA ELIANE C. LIMA MARTINS - MEI" u="1"/>
        <s v="T NOGUEIRA DE QUEIROZ - ME" u="1"/>
        <s v="ELISABEL PRODUTOS FARMACEUTICOS LTDA ME" u="1"/>
        <s v="FARMACIA VARJOTENSE_EIRELI" u="1"/>
        <s v="A L RODRIGUES DE DEUS LIMA-ME FILIAL" u="1"/>
        <s v="EVANIA SALVIANO LUCENA" u="1"/>
        <s v="HAPPY FARMA LTDA - ME" u="1"/>
        <s v="FRANCISCA LUCILENE RODRIGUES SABINO- ME" u="1"/>
        <s v="HRS COMERCIO DE PRODUTOS FARMACEUTICOS LTDA-M" u="1"/>
        <s v="DINO ARTINES COM.DE PRODUTOS FARMAC.LTDA" u="1"/>
        <s v="FARMACIA MODELO LTDA" u="1"/>
        <s v="M DO CARMO S PONTES" u="1"/>
        <s v="MANUEL RUFINO DE AQUINO NETO ME" u="1"/>
        <s v="FARMACIA SOLONOPOLES LTDA" u="1"/>
        <s v="FARMACIA ARCANJO GABRIEL LTDA-ME" u="1"/>
        <s v="PS EMPREENDIMENTO FARMACEUTICO LTDA ME" u="1"/>
        <s v="L R SOMBRA PONTES ME" u="1"/>
        <s v="D OLIVEIRA MELO FARMACIA EIRELI" u="1"/>
        <s v="FARMACIA SAO JANUARIO-ME" u="1"/>
        <s v="ANTONIA DALVA GOMES DE S. ARRAIS" u="1"/>
        <s v="FARMACIA ALYKAUANY LTDA-ME" u="1"/>
        <s v="COMERCIO DE MEDICAMENTOS R&amp;F LTDA" u="1"/>
        <s v="JOSYLANE CALYNE C. S. MACENO 95026614353" u="1"/>
        <s v="M B LIMA DROGARIA" u="1"/>
        <s v="LOCAL FARMA LTDA - EPP" u="1"/>
        <s v="PAULO DA SILVA ANDRADE-MZ" u="1"/>
        <s v="PAULO DA SILVA ANDRADE-FL" u="1"/>
        <s v="M M DE LIMA ME" u="1"/>
        <s v="KARLA BRUNA N.TORRES BARROS ME" u="1"/>
        <s v="PATRICIA FERNANDES DE ARAUJO MOREIRA" u="1"/>
        <s v="FARMACIA DROGALIFE LTDA" u="1"/>
        <s v="FARMACIA RECEITA POPULAR LTDA ME" u="1"/>
        <s v="P C FARMANEW PROD FARM LTDA - ME" u="1"/>
        <s v="FARMACIA AGUIAR ALBUQUERQUE LTDA - ME" u="1"/>
        <s v="FARMACIA EXATA LTDA-ME" u="1"/>
        <s v="FARMACIA SOUZA LTDA-ME" u="1"/>
        <s v="FRANCISCO CUSTODIO BRAGA JUNIOR ME" u="1"/>
        <s v="EMPREEND.FARMAC. SANTA CECILIA LTDA" u="1"/>
        <s v="FARMACIA ANA FLAVIA &amp; LOPES LTDA" u="1"/>
        <s v="COMERCIAL DE MEDIC COELHO LTDA ME" u="1"/>
        <s v="IGOR MARQUES BARBOSA - ME" u="1"/>
        <s v="JOSE MARIA FONTELES -ME" u="1"/>
        <s v="ANDERSON DE OLIVEIRA MACIEL - ME" u="1"/>
        <s v="A ANDRADE BONFIM JUNIOR-ME" u="1"/>
        <s v="ORGANIZACAO FARM ALVES E LIMA LTDA" u="1"/>
        <s v="JOSE ROSENDO FILHO" u="1"/>
        <s v="HIPER FARMA SANTA LUZIA LTDA ME" u="1"/>
        <s v="FARMACIA BARATAO EIRELI" u="1"/>
        <s v="SAMARA C.DE MELO SA" u="1"/>
        <s v="MOURA &amp; CORREIA COM DE PROD FARM LTDA" u="1"/>
        <s v="FARMACIA SAO CARLOS LTDA" u="1"/>
        <s v="FRANCISCA AURINEIDE DE LIMA" u="1"/>
        <s v="CLICERIO SARAIVA GUERRA" u="1"/>
        <s v="R LIRA DE SOUSA POSTO DE MED LTDA" u="1"/>
        <s v="M. DOS SANTOS CARDOSO DROGARIA" u="1"/>
        <s v="MARIA ELIETE BATISTA DOS SANTOS LTDA" u="1"/>
        <s v="FACUNDO JUNIOR PROD FARMAC LTDA -MZ" u="1"/>
        <s v="FCIA DO TRAB DE REDENCAO LTDA ME" u="1"/>
        <s v="L N N DIST DE PRODUTOS NATURAIS LTDA ME" u="1"/>
        <s v="DROGARIA SANTA ISABEL LTDA -ME" u="1"/>
        <s v="FARMACIA DROGA MAR LTDA" u="1"/>
        <s v="RISOELIO DO NASCIMENTO ARAUJO" u="1"/>
        <s v="FRANCISCO STERFFSON ARAUJO JOTA" u="1"/>
        <s v="FRANCISCA ALVES DOS SANTOS MENDES -ME" u="1"/>
        <s v="JOSE VANDEILSON U. VIANA MEDICAMENTOS" u="1"/>
        <s v="FARMACIA NOVA JATOBA LTDA-ME" u="1"/>
        <s v="FARMACIA FARMAPAZ LTDA" u="1"/>
        <s v="DROGARIA MELGACO NUNES LTDA" u="1"/>
        <s v="GF COMERCIO DE MEDICAMENTOS" u="1"/>
        <s v="DROGARIA JALLES LTDA-MATRIZ" u="1"/>
        <s v="Z BEZERRA NETO DROGARIA ME" u="1"/>
        <s v="MARIA S H S BARBOSA ME" u="1"/>
        <s v="N Y COMERCIO DE PROD FARMAC LTDA" u="1"/>
        <s v="I J FARMA LTDA ME" u="1"/>
        <s v="FARMACIA EUFRAZINA LTDA" u="1"/>
        <s v="DROGARIA COMERCIAL JALES LTDA" u="1"/>
        <s v="F DO N CARVALHO ME" u="1"/>
        <s v="FARMAS NILO COMERCIAL LTDA-MZ" u="1"/>
        <s v="EDYFARMA MEDICAMENTOS LTDA -ME" u="1"/>
        <s v="LEONETE FERREIRA GUIMARAES XIMENES ME" u="1"/>
        <s v="R.P. COM DE MEDIC. LTDA - MATRIZ" u="1"/>
        <s v="FARMACIA NOVAIS LTDA" u="1"/>
        <s v="DROGARIA SOARES &amp; PINHO LTDA  - ME" u="1"/>
        <s v="MARIANA ALBUQUERQUE DE ARAUJO - ME" u="1"/>
        <s v="HOSPMEDICA DIST DE MEDICAMENTOS LTDA-ME" u="1"/>
        <s v="THYAGO NOGUEIRA LUCENA - ME" u="1"/>
        <s v="FARMACIA DA ECONOMIA NACIONAL LTDA LOJA 14" u="1"/>
        <s v="MEDIC E PHARMA COMER. E SERV.FARMAC LTDA-ME" u="1"/>
        <s v="DANIELLE MARTINS DE OLIVEIRA BALBINO - ME" u="1"/>
        <s v="FRANCISCO DA SILVA ROCHA-ME" u="1"/>
        <s v="W F &amp; K EMPREED FARMACEUTICOS LTDA" u="1"/>
        <s v="DROGARIA PRAIA DO FUTURO LTDA" u="1"/>
        <s v="R.P. COM DE MEDIC. LTDA - FILIAL" u="1"/>
        <s v="ADRIANO LINS DA COSTA 00814114300" u="1"/>
        <s v="FARMACIA SIQUEIRA LTDA ME" u="1"/>
        <s v="SUPERFARMA COM VAREJ DE MED LTDA" u="1"/>
        <s v="E GOMES REGO MED.ME" u="1"/>
        <s v="FARMACIA FERREIRA LTDA" u="1"/>
        <s v="FARMACIA PIONEIRA LTDA" u="1"/>
        <s v="M.V MARQUES CASSIANO-EPP" u="1"/>
        <s v="M V COMERCIO DE MEDICAMENTOS LTDA - ME" u="1"/>
        <s v="FARMACIA DEOCLECIANO F. PACHECO LTDA" u="1"/>
        <s v="GOMES &amp; VIANA COMERCIAL LTDA-ME" u="1"/>
        <s v="MARIA DANIELE VAZ AGUIAR &amp; CIA LTDA ME" u="1"/>
        <s v="FRANCISCO ELTON APOLONIO MENDES-MZ" u="1"/>
        <s v="DROGARIA MOTA MARANGUAPE LTDA" u="1"/>
        <s v="ORG FARMACEUTICA CAMILA &amp; SHIRLENE LTDA-ME" u="1"/>
        <s v="E M C DE OLIVEIRA SAUNDERS E CIA LTDA ME" u="1"/>
        <s v="FARMA PAZ COM.DE MEDICAMENTOS LTDA" u="1"/>
        <s v="ANTONIA COELHO SAMPAIO" u="1"/>
        <s v="A C R ALMEIDA MEDICAMENTOS" u="1"/>
        <s v="IVONE MARIA DE OLIVEIRA ME FILIAL" u="1"/>
        <s v="FARM SAO FRANCISCO DE VICOSA DO CEARA LTD" u="1"/>
        <s v="FARMACIA DO TRAB DE ARACOIABA LTDA ME" u="1"/>
        <s v="KM COMERCIO DE MEDICAMENTOS LTDA ­ ME" u="1"/>
        <s v="MARIA IASMY FARMACIA EIRELI - ME" u="1"/>
        <s v="FRANCISCO RIVAILLDON TELES BRAGA-FL3" u="1"/>
        <s v="M DAS GRACAS ALEXANDRE MORAIS FILHA-ME" u="1"/>
        <s v="GUEDES COM DE MEDICAMENTOS LTDA ME" u="1"/>
        <s v="J L DE QUEIROZ EIRELI" u="1"/>
        <s v="FCIA DO TRAB REGIONAL DO CARIRI LTDA - FL" u="1"/>
        <s v="COMERCIAL COSTA SANTOS LTDA" u="1"/>
        <s v="CASA ESPIRITA DR. ADOLFH FRITZ" u="1"/>
        <s v="FRANCISCA ANTONIA KEILANE P. DE LIMA - ME" u="1"/>
        <s v="FARMACIA MOREIRA LTDA" u="1"/>
        <s v="A M PRODUTOS FARMACEUTICO LTDA" u="1"/>
        <s v=" FARMACIA DEOCLECIANO F. PACHECO LTDA" u="1"/>
        <s v="MARIA DA CONCEICAO FIRMINO ME" u="1"/>
        <s v="FARMACIA MAZINHA LTDA" u="1"/>
        <s v="FARMACIA CAVALCANTE ARRUDA ME" u="1"/>
        <s v="DROGARIAS MOANNA LTDA ME" u="1"/>
        <s v="F H VIANA SILVA-MS" u="1"/>
        <s v="JOAO BATISTA ARAUJO CARNEIRO" u="1"/>
        <s v="SAMARA DE CASTRO BARBOSA PINHEIRO-ME" u="1"/>
        <s v="I S. MARCELINO" u="1"/>
        <s v="LUCIMAR ROCHA DE OLIVEIRA" u="1"/>
        <s v="K MARTINS GONCALVES ME" u="1"/>
        <s v="J.V.MARQUES-ME" u="1"/>
        <s v="DROGARIA CRUZ COM.VAJ.DE MED LTDA" u="1"/>
        <s v="LUCIANA BARROS MACEDO" u="1"/>
        <s v="EUGENIA MARIA DE ALMEIDA CASTRO" u="1"/>
        <s v="FARMACIA 7 DE SETEMBRO LTDA ME" u="1"/>
        <s v="WLADIA MARIA CAVALCANTE DA CUNHA-ME" u="1"/>
        <s v="FARMACIA NORONHA LTDA - ME" u="1"/>
        <s v="DROGARIA FARNAMBI LTDA" u="1"/>
        <s v="CP MEDICAMENTOS LTDA" u="1"/>
        <s v="ANA KARLA RODRIGUES DE FARIAS ME" u="1"/>
        <s v="GERARDO DE FREITAS RIOS &amp; CIA LTDA" u="1"/>
        <s v="ANTONIA SINHA DIAS BENEVIDES EPP" u="1"/>
        <s v="J J ARAUJO COM VAREJ DE MEDICAMENTOS - ME" u="1"/>
        <s v="FERREIRA &amp; COUTINHO LTDA ME" u="1"/>
        <s v="FARMACIA SARAIVA LTDA ME" u="1"/>
        <s v="AMERICO NUNES FERREIRA FARMACIA-ME" u="1"/>
        <s v="R.FERNANDES DA SILVA FARMACIA" u="1"/>
        <s v="ELTON &amp; MARCIA COM DE PROD FARM LTDA" u="1"/>
        <s v="FARMACIA N.C.L.B. LTDA-ME" u="1"/>
        <s v="RC COMERCIO DE MEDICAMENTOS LTDA" u="1"/>
        <s v="JOSE WILTON RODRIGUES BEZERRA - ME" u="1"/>
        <s v="E J FARMACIA LTDA ME" u="1"/>
        <s v="DROGARIA S2 LTDA-ME" u="1"/>
        <s v="SOLANGE MARIA DANTAS-EPP" u="1"/>
        <s v="FARMACIA VITORIA LTDA-ME" u="1"/>
        <s v="DROGARIA S3 LTDA-ME" u="1"/>
        <s v="FABIANA SILVA DA ROCHA" u="1"/>
        <s v="AURICELIO L RODRIGUES" u="1"/>
        <s v="FARMACIA VIVIANE LTDA ME" u="1"/>
        <s v="FARMACIA REALCE LTDA" u="1"/>
        <s v="MARIA RITA DE PAULA ALVES" u="1"/>
        <s v="ANA JESSIKA MONTEIRO MACEDO-ME" u="1"/>
        <s v="K C M DA SILVA FARMACIA" u="1"/>
        <s v="LIMA COM DE PROD FARMACEUTICOS LTDA -ME" u="1"/>
        <s v="FARMACIA POPULAR DE VICOSA DO CEARA LTDA-ME" u="1"/>
        <s v="FARMACIA CURA ATIVA LTDA-ME" u="1"/>
        <s v="J &amp; P COMERCIO DE MEDICAMENTOS LTDA ME" u="1"/>
        <s v="F DAS CHAGAS CANDIDO COSTA" u="1"/>
        <s v="LAILA MARIA MUNIZ LIMA- ME FL" u="1"/>
        <s v="ALMEIDA &amp; RODRIGUES COM DE MED LTDA-ME" u="1"/>
        <s v="FARMACIA SAO JOAQUIM LTDA" u="1"/>
        <s v="FARMACIA BOA VISTA LTDA" u="1"/>
        <s v="W &amp; A COM DE PRODUTOS FARMAC LTDA ME" u="1"/>
        <s v="N.W. SOARES XIMENES" u="1"/>
        <s v="JONAS P DE S SATIS COM  MEDICAMENTOS" u="1"/>
        <s v="PREMIUM COM VAREJ DE MEDIC LTDA ME" u="1"/>
        <s v="MARIA IASMY SILVA ME" u="1"/>
        <s v="POSTO DE MEDIC REAL VITORIA" u="1"/>
        <s v="COMERCIAL DE MED F F LTDA ME" u="1"/>
        <s v="DROGARIA ULTRAPOPULAR ITAPIPOCA LTDA ME" u="1"/>
        <s v="LIVIA DOS SANTOS GONCALVES 83600892568" u="1"/>
        <s v="BARATAO DOS COMPRIMIDOS COMERCIAL LTDA-ME" u="1"/>
        <s v="JOSEFA DE OLIVEIRA - ME" u="1"/>
        <s v="IGOR LEMOS FARIAS ME" u="1"/>
        <s v="M L DE SOUSA CARVALHO" u="1"/>
        <s v="N. T. DE QUEIROZ ORG FARMACEUTICA - ME" u="1"/>
        <s v="FARMACIA MARANATA MAIS VIDA LTDA ME" u="1"/>
        <s v="E C S BENEVIDES" u="1"/>
        <s v="J M J COMERCIO DE MEDICAMENTOS LTDA ME" u="1"/>
        <s v="ANTONIO JOSE CARNEIRO ME" u="1"/>
        <s v="UNIFARMA COM DE MEDICAMENTOS LTDA ME" u="1"/>
        <s v="A R DE OLIVEIRA - ME" u="1"/>
        <s v="FARMACIA CENTER MED LTDA-ME" u="1"/>
        <s v="R P DOS SANTOS FARMACIA ME" u="1"/>
        <s v="VITAL BRAZIL PROD FARMACEUTICOS LTDA ME" u="1"/>
        <s v="N P COMERCIO DE MED.LTDA ME -MZ" u="1"/>
        <s v="FARMACIA DA ECONOMIA NACIONAL LTDA - 10" u="1"/>
        <s v="CURA CERTA COM VAREJ. DE PROD. FARM.LTDA" u="1"/>
        <s v="VICTOR ERICK DE HOLANDA FACANHA ME" u="1"/>
        <s v="FARMACIA NSC LTDA" u="1"/>
      </sharedItems>
    </cacheField>
    <cacheField name="EMISSÃO" numFmtId="0">
      <sharedItems containsNonDate="0" containsDate="1" containsString="0" containsBlank="1" minDate="2011-04-14T00:00:00" maxDate="2021-07-22T00:00:00"/>
    </cacheField>
    <cacheField name="PRAZO" numFmtId="0">
      <sharedItems containsString="0" containsBlank="1" containsNumber="1" containsInteger="1" minValue="0" maxValue="717"/>
    </cacheField>
    <cacheField name="VALOR" numFmtId="0">
      <sharedItems containsString="0" containsBlank="1" containsNumber="1" minValue="12.36" maxValue="8061.74"/>
    </cacheField>
    <cacheField name="N.F" numFmtId="0">
      <sharedItems containsBlank="1"/>
    </cacheField>
    <cacheField name="AG. COB." numFmtId="0">
      <sharedItems containsString="0" containsBlank="1" containsNumber="1" containsInteger="1" minValue="1" maxValue="900"/>
    </cacheField>
    <cacheField name="SIT." numFmtId="0">
      <sharedItems containsBlank="1"/>
    </cacheField>
    <cacheField name="Vendedor" numFmtId="0">
      <sharedItems containsBlank="1" count="45">
        <s v="JOÃO BATISTA FERNANDES PIMENTEL"/>
        <m/>
        <s v="JARDEL MONTEIRO"/>
        <s v="EDILBERTO XAVIER DOS SANTOS"/>
        <s v="JOSELITO FERNANDES DE ARAUJO"/>
        <s v="FRANCISCO JOSE DA SILVA FERREIRA"/>
        <s v="MARIA DO SOCORRO FERREIRA"/>
        <s v="WELLINGTON MARTINS DOS SANTOS"/>
        <s v="ANTONIO SILVANOR DOS SANTOS"/>
        <s v="MATHEUS TEIXEIRA ALVES GASPAR"/>
        <s v="JOSE NILO GERONIMO DA SILVA"/>
        <s v="JOSE LUIS"/>
        <s v="ARNALDO RAMOS DE AGUIAR"/>
        <s v="LUCIANA MARIA LEMOS IDALGO"/>
        <s v="MICHEL TIBURCIO DE MELO"/>
        <s v="JOELIA PINTO CORREIA LOPES"/>
        <s v="ANGELA MARIA FARIAS LIMA"/>
        <s v="ANTONIA VALDENES MOREIRA"/>
        <s v="JOAO BATISTA SANTOS DE ARAUJO"/>
        <s v="SYVIA CRISTINA DE ANDRADE ABRANTES"/>
        <s v="ESIO GOMES NOGUEIRA"/>
        <s v="RAFAEL MENDES"/>
        <s v="CLEONARDO CAMPOS TEIXEIRA"/>
        <s v="LEDILSON SOUSA DA SILVA"/>
        <s v="ALEXANDRE FARIAS GOMES"/>
        <s v="INGRID LORRANY DO NASCIMENTO GADELHA"/>
        <s v="VALDENILSON RIBEIRO BATISTA"/>
        <s v="JANYBELDE RODRIGUES MACIEL" u="1"/>
        <s v="VENDEDOR VAGO" u="1"/>
        <s v="HERBESON DE QUEIROZ GRANGEIRO" u="1"/>
        <s v="MARCELO DE OLIVEIRA SILVA" u="1"/>
        <s v="RUBENS MOURA MARINHO" u="1"/>
        <s v="FRANCISCO CLEBER PEREIRA SANTANA" u="1"/>
        <s v="SELMO DE ABREU SIDNEY" u="1"/>
        <s v="MAURO ALVES MOURA" u="1"/>
        <s v="CINTHYA FERNANDES PINHEIRO" u="1"/>
        <s v="JOSE NILDOMAR RODRIGUES DA SILVA" u="1"/>
        <s v="PEDRO VIANA NUNES JUNIOR" u="1"/>
        <s v="EDSON CHARLES DA SILVA ALMEIDA" u="1"/>
        <s v="ANA CAROLINA MELO" u="1"/>
        <s v="JOSE VALDECI DA PONTE JUNIOR" u="1"/>
        <s v="JULIO CESAR MAGALHÃES ARRUDA" u="1"/>
        <s v="CRISTIANE MARIA SALES" u="1"/>
        <s v="LUIZ JOSE BARBOSA DA SILVA" u="1"/>
        <s v="FRANCISCO DUCIVALDO AZEVEDO DE PAUL" u="1"/>
      </sharedItems>
    </cacheField>
    <cacheField name="Cidade" numFmtId="0">
      <sharedItems containsBlank="1"/>
    </cacheField>
    <cacheField name="Trimestres" numFmtId="0" databaseField="0">
      <fieldGroup base="0">
        <rangePr groupBy="quarters" startDate="2012-03-15T00:00:00" endDate="2021-07-31T00:00:00"/>
        <groupItems count="6">
          <s v="&lt;15/03/2012"/>
          <s v="Trim1"/>
          <s v="Trim2"/>
          <s v="Trim3"/>
          <s v="Trim4"/>
          <s v="&gt;31/07/2021"/>
        </groupItems>
      </fieldGroup>
    </cacheField>
    <cacheField name="Anos" numFmtId="0" databaseField="0">
      <fieldGroup base="0">
        <rangePr groupBy="years" startDate="2012-03-15T00:00:00" endDate="2021-07-31T00:00:00"/>
        <groupItems count="12">
          <s v="&lt;15/03/2012"/>
          <s v="2012"/>
          <s v="2013"/>
          <s v="2014"/>
          <s v="2015"/>
          <s v="2016"/>
          <s v="2017"/>
          <s v="2018"/>
          <s v="2019"/>
          <s v="2020"/>
          <s v="2021"/>
          <s v="&gt;31/07/2021"/>
        </groupItems>
      </fieldGroup>
    </cacheField>
  </cacheFields>
  <extLst>
    <ext xmlns:x14="http://schemas.microsoft.com/office/spreadsheetml/2009/9/main" uri="{725AE2AE-9491-48be-B2B4-4EB974FC3084}">
      <x14:pivotCacheDefinition pivotCacheId="24952542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39">
  <r>
    <x v="0"/>
    <n v="0"/>
    <x v="0"/>
    <s v="02768292000132"/>
    <x v="0"/>
    <d v="2012-01-02T00:00:00"/>
    <n v="73"/>
    <n v="2777.77"/>
    <m/>
    <n v="900"/>
    <s v="A"/>
    <x v="0"/>
    <s v="ITAPAJE"/>
  </r>
  <r>
    <x v="1"/>
    <n v="0"/>
    <x v="1"/>
    <s v="02768292000132"/>
    <x v="0"/>
    <d v="2011-07-20T00:00:00"/>
    <n v="244"/>
    <n v="1750"/>
    <m/>
    <n v="900"/>
    <s v="A"/>
    <x v="0"/>
    <s v="ITAPAJE"/>
  </r>
  <r>
    <x v="2"/>
    <n v="0"/>
    <x v="2"/>
    <s v="02768292000132"/>
    <x v="0"/>
    <d v="2011-07-20T00:00:00"/>
    <n v="260"/>
    <n v="6075"/>
    <m/>
    <n v="900"/>
    <s v="A"/>
    <x v="0"/>
    <s v="ITAPAJE"/>
  </r>
  <r>
    <x v="3"/>
    <n v="0"/>
    <x v="3"/>
    <s v="02768292000132"/>
    <x v="0"/>
    <d v="2011-04-14T00:00:00"/>
    <n v="361"/>
    <n v="1926.93"/>
    <m/>
    <n v="900"/>
    <s v="A"/>
    <x v="0"/>
    <s v="ITAPAJE"/>
  </r>
  <r>
    <x v="4"/>
    <n v="0"/>
    <x v="4"/>
    <s v="02768292000132"/>
    <x v="0"/>
    <d v="2012-01-02T00:00:00"/>
    <n v="105"/>
    <n v="2777.77"/>
    <m/>
    <n v="900"/>
    <s v="A"/>
    <x v="0"/>
    <s v="ITAPAJE"/>
  </r>
  <r>
    <x v="5"/>
    <n v="0"/>
    <x v="5"/>
    <s v="02768292000132"/>
    <x v="0"/>
    <d v="2011-07-20T00:00:00"/>
    <n v="275"/>
    <n v="6075"/>
    <m/>
    <n v="900"/>
    <s v="A"/>
    <x v="0"/>
    <s v="ITAPAJE"/>
  </r>
  <r>
    <x v="6"/>
    <n v="0"/>
    <x v="6"/>
    <s v="02768292000132"/>
    <x v="0"/>
    <d v="2011-07-20T00:00:00"/>
    <n v="292"/>
    <n v="6075"/>
    <m/>
    <n v="900"/>
    <s v="A"/>
    <x v="0"/>
    <s v="ITAPAJE"/>
  </r>
  <r>
    <x v="6"/>
    <n v="0"/>
    <x v="7"/>
    <s v="02768292000132"/>
    <x v="0"/>
    <d v="2011-04-14T00:00:00"/>
    <n v="389"/>
    <n v="1926.93"/>
    <m/>
    <n v="900"/>
    <s v="A"/>
    <x v="0"/>
    <s v="ITAPAJE"/>
  </r>
  <r>
    <x v="7"/>
    <n v="0"/>
    <x v="8"/>
    <s v="02768292000132"/>
    <x v="0"/>
    <d v="2012-01-02T00:00:00"/>
    <n v="134"/>
    <n v="2777.77"/>
    <m/>
    <n v="900"/>
    <s v="A"/>
    <x v="0"/>
    <s v="ITAPAJE"/>
  </r>
  <r>
    <x v="8"/>
    <n v="0"/>
    <x v="9"/>
    <s v="02768292000132"/>
    <x v="0"/>
    <d v="2011-07-20T00:00:00"/>
    <n v="306"/>
    <n v="6075"/>
    <m/>
    <n v="900"/>
    <s v="A"/>
    <x v="0"/>
    <s v="ITAPAJE"/>
  </r>
  <r>
    <x v="9"/>
    <n v="0"/>
    <x v="10"/>
    <s v="02768292000132"/>
    <x v="0"/>
    <d v="2011-04-14T00:00:00"/>
    <n v="420"/>
    <n v="1926.93"/>
    <m/>
    <n v="900"/>
    <s v="A"/>
    <x v="0"/>
    <s v="ITAPAJE"/>
  </r>
  <r>
    <x v="10"/>
    <n v="0"/>
    <x v="11"/>
    <s v="02768292000132"/>
    <x v="0"/>
    <d v="2012-01-02T00:00:00"/>
    <n v="165"/>
    <n v="2777.77"/>
    <m/>
    <n v="900"/>
    <s v="A"/>
    <x v="0"/>
    <s v="ITAPAJE"/>
  </r>
  <r>
    <x v="11"/>
    <n v="0"/>
    <x v="12"/>
    <s v="02768292000132"/>
    <x v="0"/>
    <d v="2011-04-14T00:00:00"/>
    <n v="452"/>
    <n v="1926.93"/>
    <m/>
    <n v="900"/>
    <s v="A"/>
    <x v="0"/>
    <s v="ITAPAJE"/>
  </r>
  <r>
    <x v="12"/>
    <n v="0"/>
    <x v="13"/>
    <s v="02768292000132"/>
    <x v="0"/>
    <d v="2012-01-02T00:00:00"/>
    <n v="196"/>
    <n v="2777.77"/>
    <m/>
    <n v="900"/>
    <s v="A"/>
    <x v="0"/>
    <s v="ITAPAJE"/>
  </r>
  <r>
    <x v="13"/>
    <n v="0"/>
    <x v="14"/>
    <s v="02768292000132"/>
    <x v="0"/>
    <d v="2011-04-14T00:00:00"/>
    <n v="481"/>
    <n v="1926.93"/>
    <m/>
    <n v="900"/>
    <s v="A"/>
    <x v="0"/>
    <s v="ITAPAJE"/>
  </r>
  <r>
    <x v="14"/>
    <n v="0"/>
    <x v="15"/>
    <s v="02768292000132"/>
    <x v="0"/>
    <d v="2012-01-02T00:00:00"/>
    <n v="226"/>
    <n v="2777.77"/>
    <m/>
    <n v="900"/>
    <s v="A"/>
    <x v="0"/>
    <s v="ITAPAJE"/>
  </r>
  <r>
    <x v="15"/>
    <n v="0"/>
    <x v="16"/>
    <s v="02768292000132"/>
    <x v="0"/>
    <d v="2011-04-14T00:00:00"/>
    <n v="512"/>
    <n v="1926.93"/>
    <m/>
    <n v="900"/>
    <s v="A"/>
    <x v="0"/>
    <s v="ITAPAJE"/>
  </r>
  <r>
    <x v="16"/>
    <n v="0"/>
    <x v="17"/>
    <s v="73412058000116"/>
    <x v="1"/>
    <d v="2012-04-20T00:00:00"/>
    <n v="146"/>
    <n v="3596.21"/>
    <s v="1/56832"/>
    <n v="1"/>
    <s v="A"/>
    <x v="1"/>
    <s v="OCARA"/>
  </r>
  <r>
    <x v="17"/>
    <n v="0"/>
    <x v="18"/>
    <s v="02768292000132"/>
    <x v="0"/>
    <d v="2012-01-02T00:00:00"/>
    <n v="259"/>
    <n v="2777.77"/>
    <m/>
    <n v="900"/>
    <s v="A"/>
    <x v="0"/>
    <s v="ITAPAJE"/>
  </r>
  <r>
    <x v="18"/>
    <n v="0"/>
    <x v="19"/>
    <s v="02768292000132"/>
    <x v="0"/>
    <d v="2011-04-14T00:00:00"/>
    <n v="543"/>
    <n v="1926.93"/>
    <m/>
    <n v="900"/>
    <s v="A"/>
    <x v="0"/>
    <s v="ITAPAJE"/>
  </r>
  <r>
    <x v="19"/>
    <n v="0"/>
    <x v="20"/>
    <s v="02768292000132"/>
    <x v="0"/>
    <d v="2012-01-02T00:00:00"/>
    <n v="287"/>
    <n v="2777.77"/>
    <m/>
    <n v="900"/>
    <s v="A"/>
    <x v="0"/>
    <s v="ITAPAJE"/>
  </r>
  <r>
    <x v="20"/>
    <n v="0"/>
    <x v="21"/>
    <s v="02768292000132"/>
    <x v="0"/>
    <d v="2012-01-02T00:00:00"/>
    <n v="318"/>
    <n v="2777.77"/>
    <m/>
    <n v="900"/>
    <s v="A"/>
    <x v="0"/>
    <s v="ITAPAJE"/>
  </r>
  <r>
    <x v="21"/>
    <n v="0"/>
    <x v="22"/>
    <s v="23598576000106"/>
    <x v="2"/>
    <d v="2012-08-31T00:00:00"/>
    <n v="95"/>
    <n v="628.15"/>
    <s v="1/62009"/>
    <n v="1"/>
    <s v="A"/>
    <x v="1"/>
    <s v="CHOROZINHO"/>
  </r>
  <r>
    <x v="22"/>
    <n v="0"/>
    <x v="23"/>
    <s v="73412058000116"/>
    <x v="1"/>
    <d v="2012-09-11T00:00:00"/>
    <n v="87"/>
    <n v="1138.74"/>
    <s v="1/62387"/>
    <n v="1"/>
    <s v="A"/>
    <x v="2"/>
    <s v="OCARA"/>
  </r>
  <r>
    <x v="23"/>
    <n v="0"/>
    <x v="24"/>
    <s v="02768292000132"/>
    <x v="0"/>
    <d v="2012-01-02T00:00:00"/>
    <n v="350"/>
    <n v="2777.77"/>
    <m/>
    <n v="900"/>
    <s v="A"/>
    <x v="0"/>
    <s v="ITAPAJE"/>
  </r>
  <r>
    <x v="24"/>
    <n v="0"/>
    <x v="25"/>
    <s v="02768292000132"/>
    <x v="0"/>
    <d v="2012-01-02T00:00:00"/>
    <n v="379"/>
    <n v="2777.77"/>
    <m/>
    <n v="900"/>
    <s v="A"/>
    <x v="0"/>
    <s v="ITAPAJE"/>
  </r>
  <r>
    <x v="25"/>
    <n v="0"/>
    <x v="26"/>
    <s v="02768292000132"/>
    <x v="0"/>
    <d v="2012-01-02T00:00:00"/>
    <n v="410"/>
    <n v="2777.77"/>
    <m/>
    <n v="900"/>
    <s v="A"/>
    <x v="0"/>
    <s v="ITAPAJE"/>
  </r>
  <r>
    <x v="26"/>
    <n v="0"/>
    <x v="27"/>
    <s v="02768292000132"/>
    <x v="0"/>
    <d v="2012-01-02T00:00:00"/>
    <n v="438"/>
    <n v="8061.74"/>
    <m/>
    <n v="900"/>
    <s v="A"/>
    <x v="0"/>
    <s v="ITAPAJE"/>
  </r>
  <r>
    <x v="27"/>
    <n v="0"/>
    <x v="28"/>
    <s v="02768292000132"/>
    <x v="0"/>
    <d v="2012-01-02T00:00:00"/>
    <n v="499"/>
    <n v="8061.74"/>
    <m/>
    <n v="900"/>
    <s v="A"/>
    <x v="0"/>
    <s v="ITAPAJE"/>
  </r>
  <r>
    <x v="28"/>
    <n v="0"/>
    <x v="29"/>
    <s v="02768292000132"/>
    <x v="0"/>
    <d v="2012-01-02T00:00:00"/>
    <n v="560"/>
    <n v="8061.74"/>
    <m/>
    <n v="900"/>
    <s v="A"/>
    <x v="0"/>
    <s v="ITAPAJE"/>
  </r>
  <r>
    <x v="29"/>
    <n v="0"/>
    <x v="30"/>
    <s v="02768292000132"/>
    <x v="0"/>
    <d v="2012-01-02T00:00:00"/>
    <n v="623"/>
    <n v="8061.74"/>
    <m/>
    <n v="900"/>
    <s v="A"/>
    <x v="0"/>
    <s v="ITAPAJE"/>
  </r>
  <r>
    <x v="30"/>
    <n v="0"/>
    <x v="31"/>
    <s v="02768292000132"/>
    <x v="0"/>
    <d v="2012-01-02T00:00:00"/>
    <n v="652"/>
    <n v="8061.74"/>
    <m/>
    <n v="900"/>
    <s v="A"/>
    <x v="0"/>
    <s v="ITAPAJE"/>
  </r>
  <r>
    <x v="31"/>
    <n v="0"/>
    <x v="32"/>
    <s v="02768292000132"/>
    <x v="0"/>
    <d v="2012-01-02T00:00:00"/>
    <n v="683"/>
    <n v="8061.74"/>
    <m/>
    <n v="900"/>
    <s v="A"/>
    <x v="0"/>
    <s v="ITAPAJE"/>
  </r>
  <r>
    <x v="32"/>
    <n v="0"/>
    <x v="33"/>
    <s v="02768292000132"/>
    <x v="0"/>
    <d v="2012-01-02T00:00:00"/>
    <n v="714"/>
    <n v="8061.74"/>
    <m/>
    <n v="900"/>
    <s v="A"/>
    <x v="0"/>
    <s v="ITAPAJE"/>
  </r>
  <r>
    <x v="33"/>
    <n v="0"/>
    <x v="34"/>
    <s v="02768292000132"/>
    <x v="0"/>
    <d v="2014-01-15T00:00:00"/>
    <n v="0"/>
    <n v="8061.74"/>
    <m/>
    <n v="900"/>
    <s v="A"/>
    <x v="0"/>
    <s v="ITAPAJE"/>
  </r>
  <r>
    <x v="34"/>
    <n v="0"/>
    <x v="35"/>
    <s v="02768292000132"/>
    <x v="0"/>
    <d v="2014-02-15T00:00:00"/>
    <n v="2"/>
    <n v="8061.74"/>
    <m/>
    <n v="900"/>
    <s v="A"/>
    <x v="0"/>
    <s v="ITAPAJE"/>
  </r>
  <r>
    <x v="35"/>
    <n v="0"/>
    <x v="36"/>
    <s v="02768292000132"/>
    <x v="0"/>
    <d v="2014-03-15T00:00:00"/>
    <n v="2"/>
    <n v="8061.74"/>
    <m/>
    <n v="900"/>
    <s v="A"/>
    <x v="0"/>
    <s v="ITAPAJE"/>
  </r>
  <r>
    <x v="36"/>
    <n v="0"/>
    <x v="37"/>
    <s v="73412058000116"/>
    <x v="1"/>
    <d v="2014-08-19T00:00:00"/>
    <n v="62"/>
    <n v="351.16"/>
    <s v="1/95721"/>
    <n v="1"/>
    <s v="A"/>
    <x v="1"/>
    <s v="OCARA"/>
  </r>
  <r>
    <x v="37"/>
    <n v="0"/>
    <x v="38"/>
    <s v="73412058000116"/>
    <x v="1"/>
    <d v="2015-02-20T00:00:00"/>
    <n v="66"/>
    <n v="361.38"/>
    <s v="1/106295"/>
    <n v="1"/>
    <s v="A"/>
    <x v="1"/>
    <s v="OCARA"/>
  </r>
  <r>
    <x v="38"/>
    <n v="0"/>
    <x v="39"/>
    <s v="20273313000120"/>
    <x v="3"/>
    <d v="2015-08-03T00:00:00"/>
    <n v="0"/>
    <n v="2138"/>
    <m/>
    <n v="900"/>
    <s v="A"/>
    <x v="3"/>
    <s v="EUSEBIO"/>
  </r>
  <r>
    <x v="39"/>
    <n v="0"/>
    <x v="40"/>
    <s v="20273313000120"/>
    <x v="3"/>
    <d v="2015-08-04T00:00:00"/>
    <n v="6"/>
    <n v="531.92999999999995"/>
    <s v="1/117310"/>
    <n v="1"/>
    <s v="A"/>
    <x v="3"/>
    <s v="EUSEBIO"/>
  </r>
  <r>
    <x v="40"/>
    <n v="0"/>
    <x v="41"/>
    <s v="20273313000120"/>
    <x v="3"/>
    <d v="2015-08-04T00:00:00"/>
    <n v="7"/>
    <n v="552.51"/>
    <s v="1/117313"/>
    <n v="1"/>
    <s v="A"/>
    <x v="3"/>
    <s v="EUSEBIO"/>
  </r>
  <r>
    <x v="41"/>
    <n v="0"/>
    <x v="42"/>
    <s v="20273313000120"/>
    <x v="3"/>
    <d v="2015-08-05T00:00:00"/>
    <n v="7"/>
    <n v="375.39"/>
    <s v="1/117406"/>
    <n v="1"/>
    <s v="A"/>
    <x v="3"/>
    <s v="EUSEBIO"/>
  </r>
  <r>
    <x v="41"/>
    <n v="0"/>
    <x v="43"/>
    <s v="20273313000120"/>
    <x v="3"/>
    <d v="2015-08-05T00:00:00"/>
    <n v="7"/>
    <n v="338.58"/>
    <s v="1/117407"/>
    <n v="1"/>
    <s v="A"/>
    <x v="3"/>
    <s v="EUSEBIO"/>
  </r>
  <r>
    <x v="42"/>
    <n v="0"/>
    <x v="44"/>
    <s v="20273313000120"/>
    <x v="3"/>
    <d v="2015-08-21T00:00:00"/>
    <n v="0"/>
    <n v="2138"/>
    <m/>
    <n v="900"/>
    <s v="A"/>
    <x v="3"/>
    <s v="EUSEBIO"/>
  </r>
  <r>
    <x v="43"/>
    <n v="0"/>
    <x v="45"/>
    <s v="02596309000111"/>
    <x v="4"/>
    <d v="2016-01-12T00:00:00"/>
    <n v="6"/>
    <n v="3525.88"/>
    <s v="1/127601"/>
    <n v="1"/>
    <s v="A"/>
    <x v="4"/>
    <s v="FORTALEZA"/>
  </r>
  <r>
    <x v="44"/>
    <n v="0"/>
    <x v="46"/>
    <s v="16614403000160"/>
    <x v="5"/>
    <d v="2015-12-11T00:00:00"/>
    <n v="60"/>
    <n v="268.48"/>
    <s v="1/126061"/>
    <n v="1"/>
    <s v="A"/>
    <x v="5"/>
    <s v="ITAPIUNA"/>
  </r>
  <r>
    <x v="45"/>
    <n v="0"/>
    <x v="47"/>
    <s v="16614403000160"/>
    <x v="5"/>
    <d v="2015-11-30T00:00:00"/>
    <n v="78"/>
    <n v="266.61"/>
    <s v="1/125243"/>
    <n v="1"/>
    <s v="A"/>
    <x v="5"/>
    <s v="ITAPIUNA"/>
  </r>
  <r>
    <x v="46"/>
    <n v="0"/>
    <x v="48"/>
    <s v="16614403000160"/>
    <x v="5"/>
    <d v="2015-12-11T00:00:00"/>
    <n v="80"/>
    <n v="235.75"/>
    <s v="1/126061"/>
    <n v="1"/>
    <s v="A"/>
    <x v="5"/>
    <s v="ITAPIUNA"/>
  </r>
  <r>
    <x v="47"/>
    <n v="0"/>
    <x v="49"/>
    <s v="16614403000160"/>
    <x v="5"/>
    <d v="2016-01-05T00:00:00"/>
    <n v="59"/>
    <n v="358.28"/>
    <s v="1/127180"/>
    <n v="1"/>
    <s v="A"/>
    <x v="5"/>
    <s v="ITAPIUNA"/>
  </r>
  <r>
    <x v="48"/>
    <n v="0"/>
    <x v="50"/>
    <s v="16614403000160"/>
    <x v="5"/>
    <d v="2016-01-05T00:00:00"/>
    <n v="69"/>
    <n v="299.83"/>
    <s v="1/127180"/>
    <n v="1"/>
    <s v="A"/>
    <x v="5"/>
    <s v="ITAPIUNA"/>
  </r>
  <r>
    <x v="49"/>
    <n v="0"/>
    <x v="51"/>
    <s v="21165136000121"/>
    <x v="6"/>
    <d v="2016-03-03T00:00:00"/>
    <n v="20"/>
    <n v="580.51"/>
    <s v="1/131329"/>
    <n v="1"/>
    <s v="A"/>
    <x v="5"/>
    <s v="MULUNGU"/>
  </r>
  <r>
    <x v="50"/>
    <n v="0"/>
    <x v="52"/>
    <s v="16614403000160"/>
    <x v="5"/>
    <d v="2016-01-05T00:00:00"/>
    <n v="79"/>
    <n v="299.83"/>
    <s v="1/127180"/>
    <n v="1"/>
    <s v="A"/>
    <x v="5"/>
    <s v="ITAPIUNA"/>
  </r>
  <r>
    <x v="51"/>
    <n v="0"/>
    <x v="53"/>
    <s v="16753223000160"/>
    <x v="7"/>
    <d v="2016-02-11T00:00:00"/>
    <n v="46"/>
    <n v="609.16999999999996"/>
    <s v="1/129570"/>
    <n v="1"/>
    <s v="A"/>
    <x v="5"/>
    <s v="QUIXERAMOBIM"/>
  </r>
  <r>
    <x v="52"/>
    <n v="0"/>
    <x v="54"/>
    <s v="16753223000160"/>
    <x v="7"/>
    <d v="2016-02-03T00:00:00"/>
    <n v="55"/>
    <n v="537.34"/>
    <s v="1/129136"/>
    <n v="1"/>
    <s v="A"/>
    <x v="5"/>
    <s v="QUIXERAMOBIM"/>
  </r>
  <r>
    <x v="53"/>
    <n v="0"/>
    <x v="55"/>
    <s v="16614403000160"/>
    <x v="5"/>
    <d v="2016-01-27T00:00:00"/>
    <n v="70"/>
    <n v="258.08999999999997"/>
    <s v="1/128584"/>
    <n v="1"/>
    <s v="A"/>
    <x v="5"/>
    <s v="ITAPIUNA"/>
  </r>
  <r>
    <x v="54"/>
    <n v="0"/>
    <x v="56"/>
    <s v="21165136000121"/>
    <x v="6"/>
    <d v="2016-03-22T00:00:00"/>
    <n v="20"/>
    <n v="431.18"/>
    <s v="1/132646"/>
    <n v="1"/>
    <s v="A"/>
    <x v="5"/>
    <s v="MULUNGU"/>
  </r>
  <r>
    <x v="55"/>
    <n v="0"/>
    <x v="57"/>
    <s v="21165136000121"/>
    <x v="6"/>
    <d v="2016-03-03T00:00:00"/>
    <n v="40"/>
    <n v="580.52"/>
    <s v="1/131329"/>
    <n v="1"/>
    <s v="A"/>
    <x v="5"/>
    <s v="MULUNGU"/>
  </r>
  <r>
    <x v="56"/>
    <n v="0"/>
    <x v="58"/>
    <s v="21165136000121"/>
    <x v="6"/>
    <d v="2016-03-22T00:00:00"/>
    <n v="41"/>
    <n v="431.17"/>
    <s v="1/132646"/>
    <n v="1"/>
    <s v="A"/>
    <x v="5"/>
    <s v="MULUNGU"/>
  </r>
  <r>
    <x v="57"/>
    <n v="0"/>
    <x v="59"/>
    <s v="19926442000191"/>
    <x v="8"/>
    <d v="2016-03-18T00:00:00"/>
    <n v="59"/>
    <n v="360.43"/>
    <s v="1/132431"/>
    <n v="1"/>
    <s v="A"/>
    <x v="6"/>
    <s v="SANTANA DO ACARAÚ"/>
  </r>
  <r>
    <x v="58"/>
    <n v="0"/>
    <x v="60"/>
    <s v="19926442000191"/>
    <x v="8"/>
    <d v="2016-03-31T00:00:00"/>
    <n v="50"/>
    <n v="270.14"/>
    <s v="1/133278"/>
    <n v="1"/>
    <s v="A"/>
    <x v="6"/>
    <s v="SANTANA DO ACARAÚ"/>
  </r>
  <r>
    <x v="59"/>
    <n v="0"/>
    <x v="61"/>
    <s v="19926442000191"/>
    <x v="8"/>
    <d v="2016-03-04T00:00:00"/>
    <n v="80"/>
    <n v="227.15"/>
    <s v="1/131471"/>
    <n v="1"/>
    <s v="A"/>
    <x v="6"/>
    <s v="SANTANA DO ACARAÚ"/>
  </r>
  <r>
    <x v="60"/>
    <n v="0"/>
    <x v="62"/>
    <s v="19926442000191"/>
    <x v="8"/>
    <d v="2016-03-31T00:00:00"/>
    <n v="60"/>
    <n v="270.14"/>
    <s v="1/133278"/>
    <n v="1"/>
    <s v="A"/>
    <x v="6"/>
    <s v="SANTANA DO ACARAÚ"/>
  </r>
  <r>
    <x v="61"/>
    <n v="0"/>
    <x v="63"/>
    <s v="19926442000191"/>
    <x v="8"/>
    <d v="2016-03-18T00:00:00"/>
    <n v="80"/>
    <n v="316.42"/>
    <s v="1/132431"/>
    <n v="1"/>
    <s v="A"/>
    <x v="6"/>
    <s v="SANTANA DO ACARAÚ"/>
  </r>
  <r>
    <x v="62"/>
    <n v="0"/>
    <x v="64"/>
    <s v="19926442000191"/>
    <x v="8"/>
    <d v="2016-03-31T00:00:00"/>
    <n v="70"/>
    <n v="200.53"/>
    <s v="1/133237"/>
    <n v="1"/>
    <s v="A"/>
    <x v="6"/>
    <s v="SANTANA DO ACARAÚ"/>
  </r>
  <r>
    <x v="62"/>
    <n v="0"/>
    <x v="65"/>
    <s v="19926442000191"/>
    <x v="8"/>
    <d v="2016-03-31T00:00:00"/>
    <n v="70"/>
    <n v="270.13"/>
    <s v="1/133278"/>
    <n v="1"/>
    <s v="A"/>
    <x v="6"/>
    <s v="SANTANA DO ACARAÚ"/>
  </r>
  <r>
    <x v="63"/>
    <n v="0"/>
    <x v="66"/>
    <s v="19926442000191"/>
    <x v="8"/>
    <d v="2016-05-06T00:00:00"/>
    <n v="40"/>
    <n v="127.31"/>
    <s v="1/135711"/>
    <n v="1"/>
    <s v="A"/>
    <x v="6"/>
    <s v="SANTANA DO ACARAÚ"/>
  </r>
  <r>
    <x v="63"/>
    <n v="0"/>
    <x v="67"/>
    <s v="19926442000191"/>
    <x v="8"/>
    <d v="2016-05-06T00:00:00"/>
    <n v="40"/>
    <n v="284.07"/>
    <s v="1/135716"/>
    <n v="1"/>
    <s v="A"/>
    <x v="6"/>
    <s v="SANTANA DO ACARAÚ"/>
  </r>
  <r>
    <x v="64"/>
    <n v="0"/>
    <x v="68"/>
    <s v="20273313000120"/>
    <x v="3"/>
    <d v="2016-05-19T00:00:00"/>
    <n v="32"/>
    <n v="369.66"/>
    <s v="1/136543"/>
    <n v="1"/>
    <s v="A"/>
    <x v="3"/>
    <s v="EUSEBIO"/>
  </r>
  <r>
    <x v="65"/>
    <n v="0"/>
    <x v="69"/>
    <s v="16753223000160"/>
    <x v="7"/>
    <d v="2016-06-01T00:00:00"/>
    <n v="20"/>
    <n v="481.03"/>
    <s v="1/137297"/>
    <n v="1"/>
    <s v="A"/>
    <x v="5"/>
    <s v="QUIXERAMOBIM"/>
  </r>
  <r>
    <x v="66"/>
    <n v="0"/>
    <x v="70"/>
    <s v="20273313000120"/>
    <x v="3"/>
    <d v="2016-05-27T00:00:00"/>
    <n v="31"/>
    <n v="473.46"/>
    <s v="1/137022"/>
    <n v="1"/>
    <s v="A"/>
    <x v="3"/>
    <s v="EUSEBIO"/>
  </r>
  <r>
    <x v="67"/>
    <n v="0"/>
    <x v="71"/>
    <s v="19926442000191"/>
    <x v="8"/>
    <d v="2016-04-13T00:00:00"/>
    <n v="82"/>
    <n v="208.38"/>
    <s v="1/134068"/>
    <n v="1"/>
    <s v="A"/>
    <x v="6"/>
    <s v="SANTANA DO ACARAÚ"/>
  </r>
  <r>
    <x v="68"/>
    <n v="0"/>
    <x v="72"/>
    <s v="19926442000191"/>
    <x v="8"/>
    <d v="2016-05-06T00:00:00"/>
    <n v="60"/>
    <n v="127.32"/>
    <s v="1/135711"/>
    <n v="1"/>
    <s v="A"/>
    <x v="6"/>
    <s v="SANTANA DO ACARAÚ"/>
  </r>
  <r>
    <x v="68"/>
    <n v="0"/>
    <x v="73"/>
    <s v="19926442000191"/>
    <x v="8"/>
    <d v="2016-05-06T00:00:00"/>
    <n v="60"/>
    <n v="284.07"/>
    <s v="1/135716"/>
    <n v="1"/>
    <s v="A"/>
    <x v="6"/>
    <s v="SANTANA DO ACARAÚ"/>
  </r>
  <r>
    <x v="69"/>
    <n v="0"/>
    <x v="74"/>
    <s v="05807880000126"/>
    <x v="9"/>
    <d v="2016-05-16T00:00:00"/>
    <n v="70"/>
    <n v="365.19"/>
    <s v="1/136277"/>
    <n v="1"/>
    <s v="A"/>
    <x v="6"/>
    <s v="SOBRAL"/>
  </r>
  <r>
    <x v="70"/>
    <n v="0"/>
    <x v="75"/>
    <s v="05807880000126"/>
    <x v="9"/>
    <d v="2016-05-16T00:00:00"/>
    <n v="80"/>
    <n v="365.19"/>
    <s v="1/136277"/>
    <n v="1"/>
    <s v="A"/>
    <x v="6"/>
    <s v="SOBRAL"/>
  </r>
  <r>
    <x v="71"/>
    <n v="0"/>
    <x v="76"/>
    <s v="09545511000163"/>
    <x v="10"/>
    <d v="2016-06-24T00:00:00"/>
    <n v="48"/>
    <n v="633.72"/>
    <s v="1/138846"/>
    <n v="1"/>
    <s v="A"/>
    <x v="7"/>
    <s v="FORTALEZA"/>
  </r>
  <r>
    <x v="72"/>
    <n v="0"/>
    <x v="77"/>
    <s v="09545511000163"/>
    <x v="10"/>
    <d v="2016-06-24T00:00:00"/>
    <n v="59"/>
    <n v="447.03"/>
    <s v="1/138846"/>
    <n v="1"/>
    <s v="A"/>
    <x v="7"/>
    <s v="FORTALEZA"/>
  </r>
  <r>
    <x v="72"/>
    <n v="0"/>
    <x v="78"/>
    <s v="09545511000163"/>
    <x v="10"/>
    <d v="2016-07-08T00:00:00"/>
    <n v="45"/>
    <n v="617.58000000000004"/>
    <s v="1/139864"/>
    <n v="1"/>
    <s v="A"/>
    <x v="7"/>
    <s v="FORTALEZA"/>
  </r>
  <r>
    <x v="73"/>
    <n v="0"/>
    <x v="79"/>
    <s v="05807880000126"/>
    <x v="9"/>
    <d v="2016-06-30T00:00:00"/>
    <n v="60"/>
    <n v="373.3"/>
    <s v="1/139194"/>
    <n v="1"/>
    <s v="A"/>
    <x v="6"/>
    <s v="SOBRAL"/>
  </r>
  <r>
    <x v="74"/>
    <n v="0"/>
    <x v="80"/>
    <s v="09545511000163"/>
    <x v="10"/>
    <d v="2016-06-24T00:00:00"/>
    <n v="68"/>
    <n v="447.03"/>
    <s v="1/138846"/>
    <n v="1"/>
    <s v="A"/>
    <x v="7"/>
    <s v="FORTALEZA"/>
  </r>
  <r>
    <x v="74"/>
    <n v="0"/>
    <x v="81"/>
    <s v="09545511000163"/>
    <x v="10"/>
    <d v="2016-06-28T00:00:00"/>
    <n v="64"/>
    <n v="268.08"/>
    <s v="1/139014"/>
    <n v="1"/>
    <s v="A"/>
    <x v="7"/>
    <s v="FORTALEZA"/>
  </r>
  <r>
    <x v="75"/>
    <n v="0"/>
    <x v="82"/>
    <s v="05807880000126"/>
    <x v="9"/>
    <d v="2016-07-14T00:00:00"/>
    <n v="60"/>
    <n v="405.32"/>
    <s v="1/140263"/>
    <n v="1"/>
    <s v="A"/>
    <x v="6"/>
    <s v="SOBRAL"/>
  </r>
  <r>
    <x v="75"/>
    <n v="0"/>
    <x v="83"/>
    <s v="09545511000163"/>
    <x v="10"/>
    <d v="2016-06-24T00:00:00"/>
    <n v="80"/>
    <n v="447.03"/>
    <s v="1/138846"/>
    <n v="1"/>
    <s v="A"/>
    <x v="7"/>
    <s v="FORTALEZA"/>
  </r>
  <r>
    <x v="75"/>
    <n v="0"/>
    <x v="84"/>
    <s v="09545511000163"/>
    <x v="10"/>
    <d v="2016-06-28T00:00:00"/>
    <n v="76"/>
    <n v="209.99"/>
    <s v="1/139014"/>
    <n v="1"/>
    <s v="A"/>
    <x v="7"/>
    <s v="FORTALEZA"/>
  </r>
  <r>
    <x v="75"/>
    <n v="0"/>
    <x v="85"/>
    <s v="09545511000163"/>
    <x v="10"/>
    <d v="2016-07-08T00:00:00"/>
    <n v="66"/>
    <n v="436.46"/>
    <s v="1/139864"/>
    <n v="1"/>
    <s v="A"/>
    <x v="7"/>
    <s v="FORTALEZA"/>
  </r>
  <r>
    <x v="76"/>
    <n v="0"/>
    <x v="86"/>
    <s v="05807880000126"/>
    <x v="9"/>
    <d v="2016-06-30T00:00:00"/>
    <n v="81"/>
    <n v="327.76"/>
    <s v="1/139194"/>
    <n v="1"/>
    <s v="A"/>
    <x v="6"/>
    <s v="SOBRAL"/>
  </r>
  <r>
    <x v="76"/>
    <n v="0"/>
    <x v="87"/>
    <s v="05807880000126"/>
    <x v="9"/>
    <d v="2016-07-25T00:00:00"/>
    <n v="56"/>
    <n v="492.45"/>
    <s v="1/140927"/>
    <n v="1"/>
    <s v="A"/>
    <x v="6"/>
    <s v="SOBRAL"/>
  </r>
  <r>
    <x v="77"/>
    <n v="0"/>
    <x v="88"/>
    <s v="09545511000163"/>
    <x v="10"/>
    <d v="2016-06-24T00:00:00"/>
    <n v="88"/>
    <n v="447.03"/>
    <s v="1/138846"/>
    <n v="1"/>
    <s v="A"/>
    <x v="7"/>
    <s v="FORTALEZA"/>
  </r>
  <r>
    <x v="77"/>
    <n v="0"/>
    <x v="89"/>
    <s v="09545511000163"/>
    <x v="10"/>
    <d v="2016-06-28T00:00:00"/>
    <n v="84"/>
    <n v="209.99"/>
    <s v="1/139014"/>
    <n v="1"/>
    <s v="A"/>
    <x v="7"/>
    <s v="FORTALEZA"/>
  </r>
  <r>
    <x v="78"/>
    <n v="0"/>
    <x v="90"/>
    <s v="09545511000163"/>
    <x v="10"/>
    <d v="2016-07-08T00:00:00"/>
    <n v="75"/>
    <n v="436.46"/>
    <s v="1/139864"/>
    <n v="1"/>
    <s v="A"/>
    <x v="7"/>
    <s v="FORTALEZA"/>
  </r>
  <r>
    <x v="79"/>
    <n v="0"/>
    <x v="91"/>
    <s v="11810850000171"/>
    <x v="11"/>
    <d v="2016-06-21T00:00:00"/>
    <n v="97"/>
    <n v="223.32"/>
    <s v="1/138614"/>
    <n v="1"/>
    <s v="A"/>
    <x v="8"/>
    <s v="FORTALEZA"/>
  </r>
  <r>
    <x v="80"/>
    <n v="0"/>
    <x v="92"/>
    <s v="11810850000171"/>
    <x v="11"/>
    <d v="2016-07-22T00:00:00"/>
    <n v="70"/>
    <n v="262.7"/>
    <s v="1/140765"/>
    <n v="1"/>
    <s v="A"/>
    <x v="8"/>
    <s v="FORTALEZA"/>
  </r>
  <r>
    <x v="80"/>
    <n v="0"/>
    <x v="93"/>
    <s v="09545511000163"/>
    <x v="10"/>
    <d v="2016-06-24T00:00:00"/>
    <n v="98"/>
    <n v="447.03"/>
    <s v="1/138846"/>
    <n v="1"/>
    <s v="A"/>
    <x v="7"/>
    <s v="FORTALEZA"/>
  </r>
  <r>
    <x v="80"/>
    <n v="0"/>
    <x v="94"/>
    <s v="09545511000163"/>
    <x v="10"/>
    <d v="2016-06-28T00:00:00"/>
    <n v="94"/>
    <n v="209.99"/>
    <s v="1/139014"/>
    <n v="1"/>
    <s v="A"/>
    <x v="7"/>
    <s v="FORTALEZA"/>
  </r>
  <r>
    <x v="81"/>
    <n v="0"/>
    <x v="95"/>
    <s v="05807880000126"/>
    <x v="9"/>
    <d v="2016-07-14T00:00:00"/>
    <n v="81"/>
    <n v="355.85"/>
    <s v="1/140263"/>
    <n v="1"/>
    <s v="A"/>
    <x v="6"/>
    <s v="SOBRAL"/>
  </r>
  <r>
    <x v="81"/>
    <n v="0"/>
    <x v="96"/>
    <s v="09545511000163"/>
    <x v="10"/>
    <d v="2016-07-08T00:00:00"/>
    <n v="87"/>
    <n v="436.46"/>
    <s v="1/139864"/>
    <n v="1"/>
    <s v="A"/>
    <x v="7"/>
    <s v="FORTALEZA"/>
  </r>
  <r>
    <x v="82"/>
    <n v="0"/>
    <x v="97"/>
    <s v="05807880000126"/>
    <x v="9"/>
    <d v="2016-07-25T00:00:00"/>
    <n v="77"/>
    <n v="437.94"/>
    <s v="1/140927"/>
    <n v="1"/>
    <s v="A"/>
    <x v="6"/>
    <s v="SOBRAL"/>
  </r>
  <r>
    <x v="83"/>
    <n v="0"/>
    <x v="98"/>
    <s v="11810850000171"/>
    <x v="11"/>
    <d v="2016-07-13T00:00:00"/>
    <n v="90"/>
    <n v="275.64999999999998"/>
    <s v="1/140157"/>
    <n v="1"/>
    <s v="A"/>
    <x v="8"/>
    <s v="FORTALEZA"/>
  </r>
  <r>
    <x v="83"/>
    <n v="0"/>
    <x v="99"/>
    <s v="11810850000171"/>
    <x v="11"/>
    <d v="2016-08-22T00:00:00"/>
    <n v="50"/>
    <n v="257.98"/>
    <s v="1/142788"/>
    <n v="1"/>
    <s v="A"/>
    <x v="8"/>
    <s v="FORTALEZA"/>
  </r>
  <r>
    <x v="83"/>
    <n v="0"/>
    <x v="100"/>
    <s v="09545511000163"/>
    <x v="10"/>
    <d v="2016-07-08T00:00:00"/>
    <n v="95"/>
    <n v="436.46"/>
    <s v="1/139864"/>
    <n v="1"/>
    <s v="A"/>
    <x v="7"/>
    <s v="FORTALEZA"/>
  </r>
  <r>
    <x v="84"/>
    <n v="0"/>
    <x v="101"/>
    <s v="11810850000171"/>
    <x v="11"/>
    <d v="2016-07-04T00:00:00"/>
    <n v="100"/>
    <n v="265.39"/>
    <s v="1/139315"/>
    <n v="1"/>
    <s v="A"/>
    <x v="8"/>
    <s v="FORTALEZA"/>
  </r>
  <r>
    <x v="84"/>
    <n v="0"/>
    <x v="102"/>
    <s v="24855088000191"/>
    <x v="12"/>
    <d v="2016-09-28T00:00:00"/>
    <n v="14"/>
    <n v="527.24"/>
    <s v="1/145351"/>
    <n v="1"/>
    <s v="A"/>
    <x v="7"/>
    <s v="FORTALEZA"/>
  </r>
  <r>
    <x v="85"/>
    <n v="0"/>
    <x v="103"/>
    <s v="11810850000171"/>
    <x v="11"/>
    <d v="2016-08-19T00:00:00"/>
    <n v="55"/>
    <n v="278.89"/>
    <s v="1/142670"/>
    <n v="1"/>
    <s v="A"/>
    <x v="8"/>
    <s v="FORTALEZA"/>
  </r>
  <r>
    <x v="86"/>
    <n v="0"/>
    <x v="104"/>
    <s v="11810850000171"/>
    <x v="11"/>
    <d v="2016-08-05T00:00:00"/>
    <n v="70"/>
    <n v="275.52999999999997"/>
    <s v="1/141756"/>
    <n v="1"/>
    <s v="A"/>
    <x v="8"/>
    <s v="FORTALEZA"/>
  </r>
  <r>
    <x v="87"/>
    <n v="0"/>
    <x v="105"/>
    <s v="11810850000171"/>
    <x v="11"/>
    <d v="2016-07-22T00:00:00"/>
    <n v="90"/>
    <n v="262.72000000000003"/>
    <s v="1/140765"/>
    <n v="1"/>
    <s v="A"/>
    <x v="8"/>
    <s v="FORTALEZA"/>
  </r>
  <r>
    <x v="88"/>
    <n v="0"/>
    <x v="106"/>
    <s v="11810850000171"/>
    <x v="11"/>
    <d v="2016-08-22T00:00:00"/>
    <n v="60"/>
    <n v="257.98"/>
    <s v="1/142788"/>
    <n v="1"/>
    <s v="A"/>
    <x v="8"/>
    <s v="FORTALEZA"/>
  </r>
  <r>
    <x v="89"/>
    <n v="0"/>
    <x v="107"/>
    <s v="11810850000171"/>
    <x v="11"/>
    <d v="2016-07-04T00:00:00"/>
    <n v="112"/>
    <n v="265.39"/>
    <s v="1/139315"/>
    <n v="1"/>
    <s v="A"/>
    <x v="8"/>
    <s v="FORTALEZA"/>
  </r>
  <r>
    <x v="89"/>
    <n v="0"/>
    <x v="108"/>
    <s v="11810850000171"/>
    <x v="11"/>
    <d v="2016-08-19T00:00:00"/>
    <n v="66"/>
    <n v="219.48"/>
    <s v="1/142719"/>
    <n v="1"/>
    <s v="A"/>
    <x v="8"/>
    <s v="FORTALEZA"/>
  </r>
  <r>
    <x v="89"/>
    <n v="0"/>
    <x v="109"/>
    <s v="11810850000171"/>
    <x v="11"/>
    <d v="2016-08-19T00:00:00"/>
    <n v="66"/>
    <n v="278.89"/>
    <s v="1/142670"/>
    <n v="1"/>
    <s v="A"/>
    <x v="8"/>
    <s v="FORTALEZA"/>
  </r>
  <r>
    <x v="89"/>
    <n v="0"/>
    <x v="110"/>
    <s v="11810850000171"/>
    <x v="11"/>
    <d v="2016-08-30T00:00:00"/>
    <n v="55"/>
    <n v="266.27999999999997"/>
    <s v="1/143366"/>
    <n v="1"/>
    <s v="A"/>
    <x v="8"/>
    <s v="FORTALEZA"/>
  </r>
  <r>
    <x v="90"/>
    <n v="0"/>
    <x v="111"/>
    <s v="24855088000191"/>
    <x v="12"/>
    <d v="2016-09-28T00:00:00"/>
    <n v="28"/>
    <n v="527.24"/>
    <s v="1/145351"/>
    <n v="1"/>
    <s v="A"/>
    <x v="7"/>
    <s v="FORTALEZA"/>
  </r>
  <r>
    <x v="91"/>
    <n v="0"/>
    <x v="112"/>
    <s v="11810850000171"/>
    <x v="11"/>
    <d v="2016-08-22T00:00:00"/>
    <n v="70"/>
    <n v="257.98"/>
    <s v="1/142788"/>
    <n v="1"/>
    <s v="A"/>
    <x v="8"/>
    <s v="FORTALEZA"/>
  </r>
  <r>
    <x v="91"/>
    <n v="0"/>
    <x v="113"/>
    <s v="11810850000171"/>
    <x v="11"/>
    <d v="2016-09-21T00:00:00"/>
    <n v="40"/>
    <n v="223"/>
    <s v="1/144886"/>
    <n v="1"/>
    <s v="A"/>
    <x v="8"/>
    <s v="FORTALEZA"/>
  </r>
  <r>
    <x v="92"/>
    <n v="0"/>
    <x v="114"/>
    <s v="11810850000171"/>
    <x v="11"/>
    <d v="2016-08-19T00:00:00"/>
    <n v="75"/>
    <n v="192.83"/>
    <s v="1/142719"/>
    <n v="1"/>
    <s v="A"/>
    <x v="8"/>
    <s v="FORTALEZA"/>
  </r>
  <r>
    <x v="92"/>
    <n v="0"/>
    <x v="115"/>
    <s v="11810850000171"/>
    <x v="11"/>
    <d v="2016-08-19T00:00:00"/>
    <n v="75"/>
    <n v="278.89"/>
    <s v="1/142670"/>
    <n v="1"/>
    <s v="A"/>
    <x v="8"/>
    <s v="FORTALEZA"/>
  </r>
  <r>
    <x v="92"/>
    <n v="0"/>
    <x v="116"/>
    <s v="24855088000191"/>
    <x v="12"/>
    <d v="2016-09-28T00:00:00"/>
    <n v="35"/>
    <n v="527.24"/>
    <s v="1/145351"/>
    <n v="1"/>
    <s v="A"/>
    <x v="7"/>
    <s v="FORTALEZA"/>
  </r>
  <r>
    <x v="93"/>
    <n v="0"/>
    <x v="117"/>
    <s v="11810850000171"/>
    <x v="11"/>
    <d v="2016-08-30T00:00:00"/>
    <n v="65"/>
    <n v="266.27999999999997"/>
    <s v="1/143366"/>
    <n v="1"/>
    <s v="A"/>
    <x v="8"/>
    <s v="FORTALEZA"/>
  </r>
  <r>
    <x v="93"/>
    <n v="0"/>
    <x v="118"/>
    <s v="11810850000171"/>
    <x v="11"/>
    <d v="2016-09-09T00:00:00"/>
    <n v="55"/>
    <n v="253.11"/>
    <s v="1/144079"/>
    <n v="1"/>
    <s v="A"/>
    <x v="8"/>
    <s v="FORTALEZA"/>
  </r>
  <r>
    <x v="94"/>
    <n v="0"/>
    <x v="119"/>
    <s v="23881005000176"/>
    <x v="13"/>
    <d v="2016-10-07T00:00:00"/>
    <n v="31"/>
    <n v="313.06"/>
    <s v="1/145914"/>
    <n v="1"/>
    <s v="A"/>
    <x v="5"/>
    <s v="IBARETAMA"/>
  </r>
  <r>
    <x v="95"/>
    <n v="0"/>
    <x v="120"/>
    <s v="11810850000171"/>
    <x v="11"/>
    <d v="2016-09-30T00:00:00"/>
    <n v="40"/>
    <n v="258.91000000000003"/>
    <s v="1/145599"/>
    <n v="1"/>
    <s v="A"/>
    <x v="8"/>
    <s v="FORTALEZA"/>
  </r>
  <r>
    <x v="96"/>
    <n v="0"/>
    <x v="121"/>
    <s v="11810850000171"/>
    <x v="11"/>
    <d v="2016-08-22T00:00:00"/>
    <n v="80"/>
    <n v="257.98"/>
    <s v="1/142788"/>
    <n v="1"/>
    <s v="A"/>
    <x v="8"/>
    <s v="FORTALEZA"/>
  </r>
  <r>
    <x v="96"/>
    <n v="0"/>
    <x v="122"/>
    <s v="11810850000171"/>
    <x v="11"/>
    <d v="2016-09-21T00:00:00"/>
    <n v="50"/>
    <n v="223"/>
    <s v="1/144886"/>
    <n v="1"/>
    <s v="A"/>
    <x v="8"/>
    <s v="FORTALEZA"/>
  </r>
  <r>
    <x v="96"/>
    <n v="0"/>
    <x v="123"/>
    <s v="24855088000191"/>
    <x v="12"/>
    <d v="2016-09-28T00:00:00"/>
    <n v="43"/>
    <n v="527.22"/>
    <s v="1/145351"/>
    <n v="1"/>
    <s v="A"/>
    <x v="7"/>
    <s v="FORTALEZA"/>
  </r>
  <r>
    <x v="97"/>
    <n v="0"/>
    <x v="124"/>
    <s v="11810850000171"/>
    <x v="11"/>
    <d v="2016-08-19T00:00:00"/>
    <n v="87"/>
    <n v="278.89"/>
    <s v="1/142670"/>
    <n v="1"/>
    <s v="A"/>
    <x v="8"/>
    <s v="FORTALEZA"/>
  </r>
  <r>
    <x v="97"/>
    <n v="0"/>
    <x v="125"/>
    <s v="11810850000171"/>
    <x v="11"/>
    <d v="2016-08-30T00:00:00"/>
    <n v="76"/>
    <n v="266.27"/>
    <s v="1/143366"/>
    <n v="1"/>
    <s v="A"/>
    <x v="8"/>
    <s v="FORTALEZA"/>
  </r>
  <r>
    <x v="97"/>
    <n v="0"/>
    <x v="126"/>
    <s v="11810850000171"/>
    <x v="11"/>
    <d v="2016-09-09T00:00:00"/>
    <n v="66"/>
    <n v="253.11"/>
    <s v="1/144079"/>
    <n v="1"/>
    <s v="A"/>
    <x v="8"/>
    <s v="FORTALEZA"/>
  </r>
  <r>
    <x v="98"/>
    <n v="0"/>
    <x v="127"/>
    <s v="11810850000171"/>
    <x v="11"/>
    <d v="2016-08-22T00:00:00"/>
    <n v="91"/>
    <n v="257.97000000000003"/>
    <s v="1/142788"/>
    <n v="1"/>
    <s v="A"/>
    <x v="8"/>
    <s v="FORTALEZA"/>
  </r>
  <r>
    <x v="98"/>
    <n v="0"/>
    <x v="128"/>
    <s v="11810850000171"/>
    <x v="11"/>
    <d v="2016-09-21T00:00:00"/>
    <n v="61"/>
    <n v="223"/>
    <s v="1/144886"/>
    <n v="1"/>
    <s v="A"/>
    <x v="8"/>
    <s v="FORTALEZA"/>
  </r>
  <r>
    <x v="98"/>
    <n v="0"/>
    <x v="129"/>
    <s v="11810850000171"/>
    <x v="11"/>
    <d v="2016-09-30T00:00:00"/>
    <n v="52"/>
    <n v="258.91000000000003"/>
    <s v="1/145599"/>
    <n v="1"/>
    <s v="A"/>
    <x v="8"/>
    <s v="FORTALEZA"/>
  </r>
  <r>
    <x v="98"/>
    <n v="0"/>
    <x v="130"/>
    <s v="16842196000100"/>
    <x v="14"/>
    <d v="2016-11-04T00:00:00"/>
    <n v="17"/>
    <n v="445.85"/>
    <s v="1/147688"/>
    <n v="1"/>
    <s v="A"/>
    <x v="7"/>
    <s v="FORTALEZA"/>
  </r>
  <r>
    <x v="98"/>
    <n v="0"/>
    <x v="131"/>
    <s v="23881005000176"/>
    <x v="13"/>
    <d v="2016-10-26T00:00:00"/>
    <n v="26"/>
    <n v="334.06"/>
    <s v="1/147180"/>
    <n v="1"/>
    <s v="A"/>
    <x v="5"/>
    <s v="IBARETAMA"/>
  </r>
  <r>
    <x v="99"/>
    <n v="0"/>
    <x v="132"/>
    <s v="07678919000188"/>
    <x v="15"/>
    <d v="2016-09-23T00:00:00"/>
    <n v="60"/>
    <n v="361.97"/>
    <s v="1/145146"/>
    <n v="1"/>
    <s v="A"/>
    <x v="5"/>
    <s v="PALMÁCIA"/>
  </r>
  <r>
    <x v="99"/>
    <n v="0"/>
    <x v="133"/>
    <s v="11810850000171"/>
    <x v="11"/>
    <d v="2016-08-19T00:00:00"/>
    <n v="95"/>
    <n v="278.89"/>
    <s v="1/142670"/>
    <n v="1"/>
    <s v="A"/>
    <x v="8"/>
    <s v="FORTALEZA"/>
  </r>
  <r>
    <x v="100"/>
    <n v="0"/>
    <x v="134"/>
    <s v="11810850000171"/>
    <x v="11"/>
    <d v="2016-09-09T00:00:00"/>
    <n v="75"/>
    <n v="253.12"/>
    <s v="1/144079"/>
    <n v="1"/>
    <s v="A"/>
    <x v="8"/>
    <s v="FORTALEZA"/>
  </r>
  <r>
    <x v="101"/>
    <n v="0"/>
    <x v="135"/>
    <s v="16842196000100"/>
    <x v="14"/>
    <d v="2016-10-28T00:00:00"/>
    <n v="28"/>
    <n v="385.68"/>
    <s v="1/147275"/>
    <n v="1"/>
    <s v="A"/>
    <x v="7"/>
    <s v="FORTALEZA"/>
  </r>
  <r>
    <x v="101"/>
    <n v="0"/>
    <x v="136"/>
    <s v="16842196000100"/>
    <x v="14"/>
    <d v="2016-11-04T00:00:00"/>
    <n v="21"/>
    <n v="445.85"/>
    <s v="1/147688"/>
    <n v="1"/>
    <s v="A"/>
    <x v="7"/>
    <s v="FORTALEZA"/>
  </r>
  <r>
    <x v="101"/>
    <n v="0"/>
    <x v="137"/>
    <s v="16842196000100"/>
    <x v="14"/>
    <d v="2016-11-11T00:00:00"/>
    <n v="14"/>
    <n v="379.23"/>
    <s v="1/148307"/>
    <n v="1"/>
    <s v="A"/>
    <x v="7"/>
    <s v="FORTALEZA"/>
  </r>
  <r>
    <x v="102"/>
    <n v="0"/>
    <x v="138"/>
    <s v="07678919000188"/>
    <x v="15"/>
    <d v="2016-10-07T00:00:00"/>
    <n v="52"/>
    <n v="335.3"/>
    <s v="1/145985"/>
    <n v="1"/>
    <s v="A"/>
    <x v="5"/>
    <s v="PALMÁCIA"/>
  </r>
  <r>
    <x v="102"/>
    <n v="0"/>
    <x v="139"/>
    <s v="23881005000176"/>
    <x v="13"/>
    <d v="2016-10-07T00:00:00"/>
    <n v="52"/>
    <n v="313.05"/>
    <s v="1/145914"/>
    <n v="1"/>
    <s v="A"/>
    <x v="5"/>
    <s v="IBARETAMA"/>
  </r>
  <r>
    <x v="103"/>
    <n v="0"/>
    <x v="140"/>
    <s v="11810850000171"/>
    <x v="11"/>
    <d v="2016-09-30T00:00:00"/>
    <n v="60"/>
    <n v="258.91000000000003"/>
    <s v="1/145599"/>
    <n v="1"/>
    <s v="A"/>
    <x v="8"/>
    <s v="FORTALEZA"/>
  </r>
  <r>
    <x v="104"/>
    <n v="0"/>
    <x v="141"/>
    <s v="11810850000171"/>
    <x v="11"/>
    <d v="2016-09-21T00:00:00"/>
    <n v="70"/>
    <n v="223"/>
    <s v="1/144886"/>
    <n v="1"/>
    <s v="A"/>
    <x v="8"/>
    <s v="FORTALEZA"/>
  </r>
  <r>
    <x v="104"/>
    <n v="0"/>
    <x v="142"/>
    <s v="23881005000176"/>
    <x v="13"/>
    <d v="2016-10-26T00:00:00"/>
    <n v="35"/>
    <n v="334.06"/>
    <s v="1/147180"/>
    <n v="1"/>
    <s v="A"/>
    <x v="5"/>
    <s v="IBARETAMA"/>
  </r>
  <r>
    <x v="105"/>
    <n v="0"/>
    <x v="143"/>
    <s v="07678919000188"/>
    <x v="15"/>
    <d v="2016-09-23T00:00:00"/>
    <n v="70"/>
    <n v="361.96"/>
    <s v="1/145146"/>
    <n v="1"/>
    <s v="A"/>
    <x v="5"/>
    <s v="PALMÁCIA"/>
  </r>
  <r>
    <x v="105"/>
    <n v="0"/>
    <x v="144"/>
    <s v="11810850000171"/>
    <x v="11"/>
    <d v="2016-08-19T00:00:00"/>
    <n v="105"/>
    <n v="278.89"/>
    <s v="1/142670"/>
    <n v="1"/>
    <s v="A"/>
    <x v="8"/>
    <s v="FORTALEZA"/>
  </r>
  <r>
    <x v="105"/>
    <n v="0"/>
    <x v="145"/>
    <s v="16842196000100"/>
    <x v="14"/>
    <d v="2016-11-11T00:00:00"/>
    <n v="21"/>
    <n v="379.23"/>
    <s v="1/148307"/>
    <n v="1"/>
    <s v="A"/>
    <x v="7"/>
    <s v="FORTALEZA"/>
  </r>
  <r>
    <x v="106"/>
    <n v="0"/>
    <x v="146"/>
    <s v="11810850000171"/>
    <x v="11"/>
    <d v="2016-09-30T00:00:00"/>
    <n v="70"/>
    <n v="258.91000000000003"/>
    <s v="1/145599"/>
    <n v="1"/>
    <s v="A"/>
    <x v="8"/>
    <s v="FORTALEZA"/>
  </r>
  <r>
    <x v="106"/>
    <n v="0"/>
    <x v="147"/>
    <s v="16842196000100"/>
    <x v="14"/>
    <d v="2016-11-11T00:00:00"/>
    <n v="28"/>
    <n v="379.23"/>
    <s v="1/148307"/>
    <n v="1"/>
    <s v="A"/>
    <x v="7"/>
    <s v="FORTALEZA"/>
  </r>
  <r>
    <x v="107"/>
    <n v="0"/>
    <x v="148"/>
    <s v="11810850000171"/>
    <x v="11"/>
    <d v="2016-08-19T00:00:00"/>
    <n v="115"/>
    <n v="278.89"/>
    <s v="1/142670"/>
    <n v="1"/>
    <s v="A"/>
    <x v="8"/>
    <s v="FORTALEZA"/>
  </r>
  <r>
    <x v="107"/>
    <n v="0"/>
    <x v="149"/>
    <s v="11810850000171"/>
    <x v="11"/>
    <d v="2016-09-21T00:00:00"/>
    <n v="82"/>
    <n v="222.98"/>
    <s v="1/144886"/>
    <n v="1"/>
    <s v="A"/>
    <x v="8"/>
    <s v="FORTALEZA"/>
  </r>
  <r>
    <x v="107"/>
    <n v="0"/>
    <x v="150"/>
    <s v="23881005000176"/>
    <x v="13"/>
    <d v="2016-10-26T00:00:00"/>
    <n v="47"/>
    <n v="334.07"/>
    <s v="1/147180"/>
    <n v="1"/>
    <s v="A"/>
    <x v="5"/>
    <s v="IBARETAMA"/>
  </r>
  <r>
    <x v="108"/>
    <n v="0"/>
    <x v="151"/>
    <s v="16842196000100"/>
    <x v="14"/>
    <d v="2016-11-11T00:00:00"/>
    <n v="35"/>
    <n v="379.22"/>
    <s v="1/148307"/>
    <n v="1"/>
    <s v="A"/>
    <x v="7"/>
    <s v="FORTALEZA"/>
  </r>
  <r>
    <x v="109"/>
    <n v="0"/>
    <x v="152"/>
    <s v="11810850000171"/>
    <x v="11"/>
    <d v="2016-09-30T00:00:00"/>
    <n v="80"/>
    <n v="258.91000000000003"/>
    <s v="1/145599"/>
    <n v="1"/>
    <s v="A"/>
    <x v="8"/>
    <s v="FORTALEZA"/>
  </r>
  <r>
    <x v="110"/>
    <n v="0"/>
    <x v="153"/>
    <s v="11810850000171"/>
    <x v="11"/>
    <d v="2016-09-30T00:00:00"/>
    <n v="90"/>
    <n v="258.91000000000003"/>
    <s v="1/145599"/>
    <n v="1"/>
    <s v="A"/>
    <x v="8"/>
    <s v="FORTALEZA"/>
  </r>
  <r>
    <x v="111"/>
    <n v="0"/>
    <x v="154"/>
    <s v="11810850000171"/>
    <x v="11"/>
    <d v="2016-09-30T00:00:00"/>
    <n v="101"/>
    <n v="258.91000000000003"/>
    <s v="1/145599"/>
    <n v="1"/>
    <s v="A"/>
    <x v="8"/>
    <s v="FORTALEZA"/>
  </r>
  <r>
    <x v="112"/>
    <n v="0"/>
    <x v="155"/>
    <s v="10474871000109"/>
    <x v="16"/>
    <d v="2016-11-28T00:00:00"/>
    <n v="70"/>
    <n v="229.95"/>
    <s v="1/149250"/>
    <n v="1"/>
    <s v="A"/>
    <x v="9"/>
    <s v="IRAUCUBA"/>
  </r>
  <r>
    <x v="112"/>
    <n v="0"/>
    <x v="156"/>
    <s v="10474871000109"/>
    <x v="16"/>
    <d v="2016-11-28T00:00:00"/>
    <n v="70"/>
    <n v="147.21"/>
    <s v="1/149251"/>
    <n v="1"/>
    <s v="A"/>
    <x v="9"/>
    <s v="IRAUCUBA"/>
  </r>
  <r>
    <x v="113"/>
    <n v="0"/>
    <x v="157"/>
    <s v="10474871000109"/>
    <x v="16"/>
    <d v="2016-11-28T00:00:00"/>
    <n v="80"/>
    <n v="229.95"/>
    <s v="1/149250"/>
    <n v="1"/>
    <s v="A"/>
    <x v="9"/>
    <s v="IRAUCUBA"/>
  </r>
  <r>
    <x v="114"/>
    <n v="0"/>
    <x v="158"/>
    <s v="13306483000107"/>
    <x v="17"/>
    <d v="2017-03-10T00:00:00"/>
    <n v="40"/>
    <n v="538.02"/>
    <s v="1/155866"/>
    <n v="1"/>
    <s v="A"/>
    <x v="3"/>
    <s v="FORTALEZA"/>
  </r>
  <r>
    <x v="115"/>
    <n v="0"/>
    <x v="159"/>
    <s v="10700167000119"/>
    <x v="18"/>
    <d v="2017-02-24T00:00:00"/>
    <n v="55"/>
    <n v="594.76"/>
    <s v="1/154891"/>
    <n v="1"/>
    <s v="A"/>
    <x v="10"/>
    <s v="ARACATI"/>
  </r>
  <r>
    <x v="116"/>
    <n v="0"/>
    <x v="160"/>
    <s v="23322822000194"/>
    <x v="19"/>
    <d v="2017-03-02T00:00:00"/>
    <n v="54"/>
    <n v="420.16"/>
    <s v="1/155114"/>
    <n v="1"/>
    <s v="A"/>
    <x v="3"/>
    <s v="FORTALEZA"/>
  </r>
  <r>
    <x v="117"/>
    <n v="0"/>
    <x v="161"/>
    <s v="10700167000380"/>
    <x v="20"/>
    <d v="2017-02-24T00:00:00"/>
    <n v="62"/>
    <n v="417.88"/>
    <s v="1/154963"/>
    <n v="1"/>
    <s v="A"/>
    <x v="10"/>
    <s v="ICAPUI"/>
  </r>
  <r>
    <x v="118"/>
    <n v="0"/>
    <x v="162"/>
    <s v="13306483000107"/>
    <x v="17"/>
    <d v="2017-03-22T00:00:00"/>
    <n v="40"/>
    <n v="266.08999999999997"/>
    <s v="1/156751"/>
    <n v="1"/>
    <s v="A"/>
    <x v="3"/>
    <s v="FORTALEZA"/>
  </r>
  <r>
    <x v="118"/>
    <n v="0"/>
    <x v="163"/>
    <s v="10700167000119"/>
    <x v="18"/>
    <d v="2017-02-24T00:00:00"/>
    <n v="66"/>
    <n v="594.76"/>
    <s v="1/154891"/>
    <n v="1"/>
    <s v="A"/>
    <x v="10"/>
    <s v="ARACATI"/>
  </r>
  <r>
    <x v="118"/>
    <n v="0"/>
    <x v="164"/>
    <s v="10700167000119"/>
    <x v="18"/>
    <d v="2017-03-02T00:00:00"/>
    <n v="60"/>
    <n v="364.82"/>
    <s v="1/155134"/>
    <n v="1"/>
    <s v="A"/>
    <x v="10"/>
    <s v="ARACATI"/>
  </r>
  <r>
    <x v="119"/>
    <n v="0"/>
    <x v="165"/>
    <s v="23322822000194"/>
    <x v="19"/>
    <d v="2017-03-03T00:00:00"/>
    <n v="60"/>
    <n v="305.43"/>
    <s v="1/155193"/>
    <n v="1"/>
    <s v="A"/>
    <x v="3"/>
    <s v="FORTALEZA"/>
  </r>
  <r>
    <x v="120"/>
    <n v="0"/>
    <x v="166"/>
    <s v="10700167000380"/>
    <x v="20"/>
    <d v="2017-03-09T00:00:00"/>
    <n v="55"/>
    <n v="324.75"/>
    <s v="1/155722"/>
    <n v="1"/>
    <s v="A"/>
    <x v="11"/>
    <s v="ICAPUI"/>
  </r>
  <r>
    <x v="120"/>
    <n v="0"/>
    <x v="167"/>
    <s v="10700167000119"/>
    <x v="18"/>
    <d v="2017-03-09T00:00:00"/>
    <n v="55"/>
    <n v="364.73"/>
    <s v="1/155720"/>
    <n v="1"/>
    <s v="A"/>
    <x v="11"/>
    <s v="ARACATI"/>
  </r>
  <r>
    <x v="121"/>
    <n v="0"/>
    <x v="168"/>
    <s v="23322822000194"/>
    <x v="19"/>
    <d v="2017-03-02T00:00:00"/>
    <n v="64"/>
    <n v="328.8"/>
    <s v="1/155114"/>
    <n v="1"/>
    <s v="A"/>
    <x v="3"/>
    <s v="FORTALEZA"/>
  </r>
  <r>
    <x v="122"/>
    <n v="0"/>
    <x v="169"/>
    <s v="10700167000119"/>
    <x v="18"/>
    <d v="2017-02-24T00:00:00"/>
    <n v="75"/>
    <n v="594.76"/>
    <s v="1/154891"/>
    <n v="1"/>
    <s v="A"/>
    <x v="10"/>
    <s v="ARACATI"/>
  </r>
  <r>
    <x v="123"/>
    <n v="0"/>
    <x v="170"/>
    <s v="10700167000380"/>
    <x v="20"/>
    <d v="2017-03-02T00:00:00"/>
    <n v="70"/>
    <n v="111.49"/>
    <s v="1/155138"/>
    <n v="1"/>
    <s v="A"/>
    <x v="10"/>
    <s v="ICAPUI"/>
  </r>
  <r>
    <x v="123"/>
    <n v="0"/>
    <x v="171"/>
    <s v="10700167000119"/>
    <x v="18"/>
    <d v="2017-03-02T00:00:00"/>
    <n v="70"/>
    <n v="111.49"/>
    <s v="1/155132"/>
    <n v="1"/>
    <s v="A"/>
    <x v="10"/>
    <s v="ARACATI"/>
  </r>
  <r>
    <x v="123"/>
    <n v="0"/>
    <x v="172"/>
    <s v="10700167000119"/>
    <x v="18"/>
    <d v="2017-03-17T00:00:00"/>
    <n v="55"/>
    <n v="616.72"/>
    <s v="1/156488"/>
    <n v="1"/>
    <s v="A"/>
    <x v="10"/>
    <s v="ARACATI"/>
  </r>
  <r>
    <x v="124"/>
    <n v="0"/>
    <x v="173"/>
    <s v="23322822000194"/>
    <x v="19"/>
    <d v="2017-03-02T00:00:00"/>
    <n v="74"/>
    <n v="328.8"/>
    <s v="1/155114"/>
    <n v="1"/>
    <s v="A"/>
    <x v="3"/>
    <s v="FORTALEZA"/>
  </r>
  <r>
    <x v="124"/>
    <n v="0"/>
    <x v="174"/>
    <s v="10700167000380"/>
    <x v="20"/>
    <d v="2017-02-24T00:00:00"/>
    <n v="80"/>
    <n v="417.88"/>
    <s v="1/154963"/>
    <n v="1"/>
    <s v="A"/>
    <x v="10"/>
    <s v="ICAPUI"/>
  </r>
  <r>
    <x v="124"/>
    <n v="0"/>
    <x v="175"/>
    <s v="10700167000380"/>
    <x v="20"/>
    <d v="2017-03-17T00:00:00"/>
    <n v="59"/>
    <n v="904.88"/>
    <s v="1/156465"/>
    <n v="1"/>
    <s v="A"/>
    <x v="10"/>
    <s v="ICAPUI"/>
  </r>
  <r>
    <x v="124"/>
    <n v="0"/>
    <x v="176"/>
    <s v="10700167000380"/>
    <x v="20"/>
    <d v="2017-03-22T00:00:00"/>
    <n v="54"/>
    <n v="430.04"/>
    <s v="1/156852"/>
    <n v="1"/>
    <s v="A"/>
    <x v="10"/>
    <s v="ICAPUI"/>
  </r>
  <r>
    <x v="125"/>
    <n v="0"/>
    <x v="177"/>
    <s v="10700167000119"/>
    <x v="18"/>
    <d v="2017-03-22T00:00:00"/>
    <n v="55"/>
    <n v="444.91"/>
    <s v="1/156803"/>
    <n v="1"/>
    <s v="A"/>
    <x v="10"/>
    <s v="ARACATI"/>
  </r>
  <r>
    <x v="126"/>
    <n v="0"/>
    <x v="178"/>
    <s v="10848096000104"/>
    <x v="21"/>
    <d v="2017-02-17T00:00:00"/>
    <n v="90"/>
    <n v="385.18"/>
    <s v="1/154355"/>
    <n v="1"/>
    <s v="A"/>
    <x v="12"/>
    <s v="SÃO BENEDITO"/>
  </r>
  <r>
    <x v="127"/>
    <n v="0"/>
    <x v="179"/>
    <s v="23322822000194"/>
    <x v="19"/>
    <d v="2017-03-03T00:00:00"/>
    <n v="80"/>
    <n v="268.24"/>
    <s v="1/155193"/>
    <n v="1"/>
    <s v="A"/>
    <x v="3"/>
    <s v="FORTALEZA"/>
  </r>
  <r>
    <x v="127"/>
    <n v="0"/>
    <x v="180"/>
    <s v="10700167000380"/>
    <x v="20"/>
    <d v="2017-03-17T00:00:00"/>
    <n v="66"/>
    <n v="904.88"/>
    <s v="1/156465"/>
    <n v="1"/>
    <s v="A"/>
    <x v="10"/>
    <s v="ICAPUI"/>
  </r>
  <r>
    <x v="127"/>
    <n v="0"/>
    <x v="181"/>
    <s v="10700167000119"/>
    <x v="18"/>
    <d v="2017-02-24T00:00:00"/>
    <n v="87"/>
    <n v="594.77"/>
    <s v="1/154891"/>
    <n v="1"/>
    <s v="A"/>
    <x v="10"/>
    <s v="ARACATI"/>
  </r>
  <r>
    <x v="127"/>
    <n v="0"/>
    <x v="182"/>
    <s v="10700167000119"/>
    <x v="18"/>
    <d v="2017-03-02T00:00:00"/>
    <n v="81"/>
    <n v="320.32"/>
    <s v="1/155134"/>
    <n v="1"/>
    <s v="A"/>
    <x v="10"/>
    <s v="ARACATI"/>
  </r>
  <r>
    <x v="127"/>
    <n v="0"/>
    <x v="183"/>
    <s v="10700167000119"/>
    <x v="18"/>
    <d v="2017-03-17T00:00:00"/>
    <n v="66"/>
    <n v="616.72"/>
    <s v="1/156488"/>
    <n v="1"/>
    <s v="A"/>
    <x v="10"/>
    <s v="ARACATI"/>
  </r>
  <r>
    <x v="128"/>
    <n v="0"/>
    <x v="184"/>
    <s v="23322822000194"/>
    <x v="19"/>
    <d v="2017-03-02T00:00:00"/>
    <n v="84"/>
    <n v="328.8"/>
    <s v="1/155114"/>
    <n v="1"/>
    <s v="A"/>
    <x v="3"/>
    <s v="FORTALEZA"/>
  </r>
  <r>
    <x v="128"/>
    <n v="0"/>
    <x v="185"/>
    <s v="10700167000380"/>
    <x v="20"/>
    <d v="2017-03-22T00:00:00"/>
    <n v="64"/>
    <n v="336.53"/>
    <s v="1/156852"/>
    <n v="1"/>
    <s v="A"/>
    <x v="10"/>
    <s v="ICAPUI"/>
  </r>
  <r>
    <x v="129"/>
    <n v="0"/>
    <x v="186"/>
    <s v="10700167000119"/>
    <x v="18"/>
    <d v="2017-03-22T00:00:00"/>
    <n v="65"/>
    <n v="348.15"/>
    <s v="1/156803"/>
    <n v="1"/>
    <s v="A"/>
    <x v="10"/>
    <s v="ARACATI"/>
  </r>
  <r>
    <x v="130"/>
    <n v="0"/>
    <x v="187"/>
    <s v="04488124000119"/>
    <x v="22"/>
    <d v="2017-02-17T00:00:00"/>
    <n v="101"/>
    <n v="936.86"/>
    <s v="1/154341"/>
    <n v="1"/>
    <s v="A"/>
    <x v="10"/>
    <s v="ARACATI"/>
  </r>
  <r>
    <x v="130"/>
    <n v="0"/>
    <x v="188"/>
    <s v="04488124000119"/>
    <x v="22"/>
    <d v="2017-02-22T00:00:00"/>
    <n v="96"/>
    <n v="1074.57"/>
    <s v="1/154554"/>
    <n v="1"/>
    <s v="A"/>
    <x v="10"/>
    <s v="ARACATI"/>
  </r>
  <r>
    <x v="130"/>
    <n v="0"/>
    <x v="189"/>
    <s v="10700167000380"/>
    <x v="20"/>
    <d v="2017-02-24T00:00:00"/>
    <n v="94"/>
    <n v="417.88"/>
    <s v="1/154963"/>
    <n v="1"/>
    <s v="A"/>
    <x v="10"/>
    <s v="ICAPUI"/>
  </r>
  <r>
    <x v="131"/>
    <n v="0"/>
    <x v="190"/>
    <s v="10700167000380"/>
    <x v="20"/>
    <d v="2017-03-17T00:00:00"/>
    <n v="74"/>
    <n v="904.88"/>
    <s v="1/156465"/>
    <n v="1"/>
    <s v="A"/>
    <x v="10"/>
    <s v="ICAPUI"/>
  </r>
  <r>
    <x v="132"/>
    <n v="0"/>
    <x v="191"/>
    <s v="10700167000119"/>
    <x v="18"/>
    <d v="2017-03-17T00:00:00"/>
    <n v="75"/>
    <n v="616.72"/>
    <s v="1/156488"/>
    <n v="1"/>
    <s v="A"/>
    <x v="10"/>
    <s v="ARACATI"/>
  </r>
  <r>
    <x v="133"/>
    <n v="0"/>
    <x v="192"/>
    <s v="10700167000208"/>
    <x v="23"/>
    <d v="2017-03-13T00:00:00"/>
    <n v="80"/>
    <n v="360.92"/>
    <s v="1/156030"/>
    <n v="1"/>
    <s v="A"/>
    <x v="10"/>
    <s v="FORTIM"/>
  </r>
  <r>
    <x v="134"/>
    <n v="0"/>
    <x v="193"/>
    <s v="04488124000119"/>
    <x v="22"/>
    <d v="2017-02-22T00:00:00"/>
    <n v="100"/>
    <n v="1130.22"/>
    <s v="1/154622"/>
    <n v="1"/>
    <s v="A"/>
    <x v="10"/>
    <s v="ARACATI"/>
  </r>
  <r>
    <x v="134"/>
    <n v="0"/>
    <x v="194"/>
    <s v="10700167000208"/>
    <x v="23"/>
    <d v="2017-03-09T00:00:00"/>
    <n v="85"/>
    <n v="195.97"/>
    <s v="1/155742"/>
    <n v="1"/>
    <s v="A"/>
    <x v="11"/>
    <s v="FORTIM"/>
  </r>
  <r>
    <x v="134"/>
    <n v="0"/>
    <x v="195"/>
    <s v="10700167000380"/>
    <x v="20"/>
    <d v="2017-03-09T00:00:00"/>
    <n v="85"/>
    <n v="285.18"/>
    <s v="1/155722"/>
    <n v="1"/>
    <s v="A"/>
    <x v="11"/>
    <s v="ICAPUI"/>
  </r>
  <r>
    <x v="134"/>
    <n v="0"/>
    <x v="196"/>
    <s v="10700167000119"/>
    <x v="18"/>
    <d v="2017-03-09T00:00:00"/>
    <n v="85"/>
    <n v="320.25"/>
    <s v="1/155720"/>
    <n v="1"/>
    <s v="A"/>
    <x v="11"/>
    <s v="ARACATI"/>
  </r>
  <r>
    <x v="135"/>
    <n v="0"/>
    <x v="197"/>
    <s v="04488124000119"/>
    <x v="22"/>
    <d v="2017-02-23T00:00:00"/>
    <n v="102"/>
    <n v="1111.51"/>
    <s v="1/154739"/>
    <n v="1"/>
    <s v="A"/>
    <x v="10"/>
    <s v="ARACATI"/>
  </r>
  <r>
    <x v="135"/>
    <n v="0"/>
    <x v="198"/>
    <s v="04488124000119"/>
    <x v="22"/>
    <d v="2017-02-24T00:00:00"/>
    <n v="101"/>
    <n v="1375.72"/>
    <s v="1/154923"/>
    <n v="1"/>
    <s v="A"/>
    <x v="10"/>
    <s v="ARACATI"/>
  </r>
  <r>
    <x v="135"/>
    <n v="0"/>
    <x v="199"/>
    <s v="04488124000119"/>
    <x v="22"/>
    <d v="2017-03-02T00:00:00"/>
    <n v="95"/>
    <n v="1127.2"/>
    <s v="1/155172"/>
    <n v="1"/>
    <s v="A"/>
    <x v="10"/>
    <s v="ARACATI"/>
  </r>
  <r>
    <x v="135"/>
    <n v="0"/>
    <x v="200"/>
    <s v="04488124000119"/>
    <x v="22"/>
    <d v="2017-03-07T00:00:00"/>
    <n v="90"/>
    <n v="908.02"/>
    <s v="1/155463"/>
    <n v="1"/>
    <s v="A"/>
    <x v="10"/>
    <s v="ARACATI"/>
  </r>
  <r>
    <x v="135"/>
    <n v="0"/>
    <x v="201"/>
    <s v="10700167000208"/>
    <x v="23"/>
    <d v="2017-03-17T00:00:00"/>
    <n v="80"/>
    <n v="745.56"/>
    <s v="1/156484"/>
    <n v="1"/>
    <s v="A"/>
    <x v="10"/>
    <s v="FORTIM"/>
  </r>
  <r>
    <x v="135"/>
    <n v="0"/>
    <x v="202"/>
    <s v="10700167000119"/>
    <x v="18"/>
    <d v="2017-03-22T00:00:00"/>
    <n v="75"/>
    <n v="348.15"/>
    <s v="1/156803"/>
    <n v="1"/>
    <s v="A"/>
    <x v="10"/>
    <s v="ARACATI"/>
  </r>
  <r>
    <x v="135"/>
    <n v="0"/>
    <x v="203"/>
    <s v="10848096000104"/>
    <x v="21"/>
    <d v="2017-04-06T00:00:00"/>
    <n v="60"/>
    <n v="320.63"/>
    <s v="1/158051"/>
    <n v="1"/>
    <s v="A"/>
    <x v="12"/>
    <s v="SÃO BENEDITO"/>
  </r>
  <r>
    <x v="136"/>
    <n v="0"/>
    <x v="204"/>
    <s v="13306483000107"/>
    <x v="17"/>
    <d v="2017-04-07T00:00:00"/>
    <n v="60"/>
    <n v="326.07"/>
    <s v="1/158082"/>
    <n v="1"/>
    <s v="A"/>
    <x v="3"/>
    <s v="FORTALEZA"/>
  </r>
  <r>
    <x v="136"/>
    <n v="0"/>
    <x v="205"/>
    <s v="04488124000119"/>
    <x v="22"/>
    <d v="2017-03-03T00:00:00"/>
    <n v="95"/>
    <n v="1240.02"/>
    <s v="1/155244"/>
    <n v="1"/>
    <s v="A"/>
    <x v="10"/>
    <s v="ARACATI"/>
  </r>
  <r>
    <x v="136"/>
    <n v="0"/>
    <x v="206"/>
    <s v="04488124000119"/>
    <x v="22"/>
    <d v="2017-03-08T00:00:00"/>
    <n v="90"/>
    <n v="720.71"/>
    <s v="1/155685"/>
    <n v="1"/>
    <s v="A"/>
    <x v="10"/>
    <s v="ARACATI"/>
  </r>
  <r>
    <x v="136"/>
    <n v="0"/>
    <x v="207"/>
    <s v="10700167000380"/>
    <x v="20"/>
    <d v="2017-03-22T00:00:00"/>
    <n v="76"/>
    <n v="336.53"/>
    <s v="1/156852"/>
    <n v="1"/>
    <s v="A"/>
    <x v="10"/>
    <s v="ICAPUI"/>
  </r>
  <r>
    <x v="137"/>
    <n v="0"/>
    <x v="208"/>
    <s v="10700167000380"/>
    <x v="20"/>
    <d v="2017-03-17T00:00:00"/>
    <n v="82"/>
    <n v="904.87"/>
    <s v="1/156465"/>
    <n v="1"/>
    <s v="A"/>
    <x v="10"/>
    <s v="ICAPUI"/>
  </r>
  <r>
    <x v="138"/>
    <n v="0"/>
    <x v="209"/>
    <s v="04488124000119"/>
    <x v="22"/>
    <d v="2017-03-10T00:00:00"/>
    <n v="90"/>
    <n v="1020.63"/>
    <s v="1/155951"/>
    <n v="1"/>
    <s v="A"/>
    <x v="10"/>
    <s v="ARACATI"/>
  </r>
  <r>
    <x v="139"/>
    <n v="0"/>
    <x v="210"/>
    <s v="04488124000119"/>
    <x v="22"/>
    <d v="2017-03-14T00:00:00"/>
    <n v="90"/>
    <n v="1061.8399999999999"/>
    <s v="1/156165"/>
    <n v="1"/>
    <s v="A"/>
    <x v="10"/>
    <s v="ARACATI"/>
  </r>
  <r>
    <x v="139"/>
    <n v="0"/>
    <x v="211"/>
    <s v="04488124000119"/>
    <x v="22"/>
    <d v="2017-03-23T00:00:00"/>
    <n v="81"/>
    <n v="532.89"/>
    <s v="1/156913"/>
    <n v="1"/>
    <s v="A"/>
    <x v="10"/>
    <s v="ARACATI"/>
  </r>
  <r>
    <x v="139"/>
    <n v="0"/>
    <x v="212"/>
    <s v="10700167000208"/>
    <x v="23"/>
    <d v="2017-03-22T00:00:00"/>
    <n v="82"/>
    <n v="264.51"/>
    <s v="1/156818"/>
    <n v="1"/>
    <s v="A"/>
    <x v="10"/>
    <s v="FORTIM"/>
  </r>
  <r>
    <x v="139"/>
    <n v="0"/>
    <x v="213"/>
    <s v="10700167000119"/>
    <x v="18"/>
    <d v="2017-03-17T00:00:00"/>
    <n v="87"/>
    <n v="616.73"/>
    <s v="1/156488"/>
    <n v="1"/>
    <s v="A"/>
    <x v="10"/>
    <s v="ARACATI"/>
  </r>
  <r>
    <x v="140"/>
    <n v="0"/>
    <x v="214"/>
    <s v="04488124000119"/>
    <x v="22"/>
    <d v="2017-03-17T00:00:00"/>
    <n v="90"/>
    <n v="1150.0899999999999"/>
    <s v="1/156516"/>
    <n v="1"/>
    <s v="A"/>
    <x v="10"/>
    <s v="ARACATI"/>
  </r>
  <r>
    <x v="140"/>
    <n v="0"/>
    <x v="215"/>
    <s v="10700167000119"/>
    <x v="18"/>
    <d v="2017-03-22T00:00:00"/>
    <n v="85"/>
    <n v="348.15"/>
    <s v="1/156803"/>
    <n v="1"/>
    <s v="A"/>
    <x v="10"/>
    <s v="ARACATI"/>
  </r>
  <r>
    <x v="141"/>
    <n v="0"/>
    <x v="216"/>
    <s v="04488124000119"/>
    <x v="22"/>
    <d v="2017-03-21T00:00:00"/>
    <n v="90"/>
    <n v="543.62"/>
    <s v="1/156686"/>
    <n v="1"/>
    <s v="A"/>
    <x v="10"/>
    <s v="ARACATI"/>
  </r>
  <r>
    <x v="141"/>
    <n v="0"/>
    <x v="217"/>
    <s v="10700167000380"/>
    <x v="20"/>
    <d v="2017-03-22T00:00:00"/>
    <n v="89"/>
    <n v="336.53"/>
    <s v="1/156852"/>
    <n v="1"/>
    <s v="A"/>
    <x v="10"/>
    <s v="ICAPUI"/>
  </r>
  <r>
    <x v="142"/>
    <n v="0"/>
    <x v="218"/>
    <s v="04488124000119"/>
    <x v="22"/>
    <d v="2017-03-23T00:00:00"/>
    <n v="90"/>
    <n v="878.05"/>
    <s v="1/156912"/>
    <n v="1"/>
    <s v="A"/>
    <x v="10"/>
    <s v="ARACATI"/>
  </r>
  <r>
    <x v="143"/>
    <n v="0"/>
    <x v="219"/>
    <s v="04488124000119"/>
    <x v="22"/>
    <d v="2017-03-24T00:00:00"/>
    <n v="90"/>
    <n v="467.19"/>
    <s v="1/157018"/>
    <n v="1"/>
    <s v="A"/>
    <x v="10"/>
    <s v="ARACATI"/>
  </r>
  <r>
    <x v="144"/>
    <n v="0"/>
    <x v="220"/>
    <s v="13306483000107"/>
    <x v="17"/>
    <d v="2017-04-07T00:00:00"/>
    <n v="80"/>
    <n v="286.33999999999997"/>
    <s v="1/158082"/>
    <n v="1"/>
    <s v="A"/>
    <x v="3"/>
    <s v="FORTALEZA"/>
  </r>
  <r>
    <x v="144"/>
    <n v="0"/>
    <x v="221"/>
    <s v="04488124000119"/>
    <x v="22"/>
    <d v="2017-03-28T00:00:00"/>
    <n v="90"/>
    <n v="669.45"/>
    <s v="1/157201"/>
    <n v="1"/>
    <s v="A"/>
    <x v="10"/>
    <s v="ARACATI"/>
  </r>
  <r>
    <x v="144"/>
    <n v="0"/>
    <x v="222"/>
    <s v="04488124000119"/>
    <x v="22"/>
    <d v="2017-04-06T00:00:00"/>
    <n v="81"/>
    <n v="895.39"/>
    <s v="1/158042"/>
    <n v="1"/>
    <s v="A"/>
    <x v="10"/>
    <s v="ARACATI"/>
  </r>
  <r>
    <x v="144"/>
    <n v="0"/>
    <x v="223"/>
    <s v="73412058000116"/>
    <x v="1"/>
    <d v="2017-04-18T00:00:00"/>
    <n v="69"/>
    <n v="442.24"/>
    <s v="1/158738"/>
    <n v="1"/>
    <s v="A"/>
    <x v="4"/>
    <s v="OCARA"/>
  </r>
  <r>
    <x v="145"/>
    <n v="0"/>
    <x v="224"/>
    <s v="04488124000119"/>
    <x v="22"/>
    <d v="2017-03-29T00:00:00"/>
    <n v="90"/>
    <n v="648.33000000000004"/>
    <s v="1/157370"/>
    <n v="1"/>
    <s v="A"/>
    <x v="10"/>
    <s v="ARACATI"/>
  </r>
  <r>
    <x v="145"/>
    <n v="0"/>
    <x v="225"/>
    <s v="23598576000106"/>
    <x v="2"/>
    <d v="2017-04-18T00:00:00"/>
    <n v="70"/>
    <n v="451.44"/>
    <s v="1/158737"/>
    <n v="1"/>
    <s v="A"/>
    <x v="4"/>
    <s v="CHOROZINHO"/>
  </r>
  <r>
    <x v="146"/>
    <n v="0"/>
    <x v="226"/>
    <s v="23598576000106"/>
    <x v="2"/>
    <d v="2017-04-07T00:00:00"/>
    <n v="83"/>
    <n v="380.29"/>
    <s v="1/158130"/>
    <n v="1"/>
    <s v="A"/>
    <x v="4"/>
    <s v="CHOROZINHO"/>
  </r>
  <r>
    <x v="147"/>
    <n v="0"/>
    <x v="227"/>
    <s v="04488124000119"/>
    <x v="22"/>
    <d v="2017-04-04T00:00:00"/>
    <n v="90"/>
    <n v="868.31"/>
    <s v="1/157873"/>
    <n v="1"/>
    <s v="A"/>
    <x v="10"/>
    <s v="ARACATI"/>
  </r>
  <r>
    <x v="147"/>
    <n v="0"/>
    <x v="228"/>
    <s v="04488124000119"/>
    <x v="22"/>
    <d v="2017-04-12T00:00:00"/>
    <n v="82"/>
    <n v="1081.22"/>
    <s v="1/158535"/>
    <n v="1"/>
    <s v="A"/>
    <x v="10"/>
    <s v="ARACATI"/>
  </r>
  <r>
    <x v="147"/>
    <n v="0"/>
    <x v="229"/>
    <s v="23598576000106"/>
    <x v="2"/>
    <d v="2017-04-12T00:00:00"/>
    <n v="82"/>
    <n v="243.38"/>
    <s v="1/158485"/>
    <n v="1"/>
    <s v="A"/>
    <x v="4"/>
    <s v="CHOROZINHO"/>
  </r>
  <r>
    <x v="148"/>
    <n v="0"/>
    <x v="230"/>
    <s v="04488124000119"/>
    <x v="22"/>
    <d v="2017-04-11T00:00:00"/>
    <n v="85"/>
    <n v="690.95"/>
    <s v="1/158402"/>
    <n v="1"/>
    <s v="A"/>
    <x v="10"/>
    <s v="ARACATI"/>
  </r>
  <r>
    <x v="149"/>
    <n v="0"/>
    <x v="231"/>
    <s v="04488124000119"/>
    <x v="22"/>
    <d v="2017-04-18T00:00:00"/>
    <n v="80"/>
    <n v="600.27"/>
    <s v="1/158772"/>
    <n v="1"/>
    <s v="A"/>
    <x v="10"/>
    <s v="ARACATI"/>
  </r>
  <r>
    <x v="149"/>
    <n v="0"/>
    <x v="232"/>
    <s v="23598576000106"/>
    <x v="2"/>
    <d v="2017-05-08T00:00:00"/>
    <n v="60"/>
    <n v="369.65"/>
    <s v="1/160128"/>
    <n v="1"/>
    <s v="A"/>
    <x v="4"/>
    <s v="CHOROZINHO"/>
  </r>
  <r>
    <x v="150"/>
    <n v="0"/>
    <x v="233"/>
    <s v="04488124000119"/>
    <x v="22"/>
    <d v="2017-04-20T00:00:00"/>
    <n v="81"/>
    <n v="423.14"/>
    <s v="1/159016"/>
    <n v="1"/>
    <s v="A"/>
    <x v="10"/>
    <s v="ARACATI"/>
  </r>
  <r>
    <x v="151"/>
    <n v="0"/>
    <x v="234"/>
    <s v="73412058000116"/>
    <x v="1"/>
    <d v="2017-05-15T00:00:00"/>
    <n v="58"/>
    <n v="371.73"/>
    <s v="1/160639"/>
    <n v="1"/>
    <s v="A"/>
    <x v="4"/>
    <s v="OCARA"/>
  </r>
  <r>
    <x v="152"/>
    <n v="0"/>
    <x v="235"/>
    <s v="04488124000119"/>
    <x v="22"/>
    <d v="2017-04-25T00:00:00"/>
    <n v="80"/>
    <n v="917.08"/>
    <s v="1/159201"/>
    <n v="1"/>
    <s v="A"/>
    <x v="10"/>
    <s v="ARACATI"/>
  </r>
  <r>
    <x v="152"/>
    <n v="0"/>
    <x v="236"/>
    <s v="23598576000106"/>
    <x v="2"/>
    <d v="2017-05-15T00:00:00"/>
    <n v="60"/>
    <n v="342.78"/>
    <s v="1/160632"/>
    <n v="1"/>
    <s v="A"/>
    <x v="4"/>
    <s v="CHOROZINHO"/>
  </r>
  <r>
    <x v="153"/>
    <n v="0"/>
    <x v="237"/>
    <s v="04488124000119"/>
    <x v="22"/>
    <d v="2017-04-11T00:00:00"/>
    <n v="97"/>
    <n v="736.02"/>
    <s v="1/158401"/>
    <n v="1"/>
    <s v="A"/>
    <x v="10"/>
    <s v="ARACATI"/>
  </r>
  <r>
    <x v="153"/>
    <n v="0"/>
    <x v="238"/>
    <s v="23598576000106"/>
    <x v="2"/>
    <d v="2017-04-28T00:00:00"/>
    <n v="80"/>
    <n v="333.15"/>
    <s v="1/159497"/>
    <n v="1"/>
    <s v="A"/>
    <x v="4"/>
    <s v="CHOROZINHO"/>
  </r>
  <r>
    <x v="153"/>
    <n v="0"/>
    <x v="239"/>
    <s v="23598576000106"/>
    <x v="2"/>
    <d v="2017-05-08T00:00:00"/>
    <n v="70"/>
    <n v="300.02"/>
    <s v="1/160128"/>
    <n v="1"/>
    <s v="A"/>
    <x v="4"/>
    <s v="CHOROZINHO"/>
  </r>
  <r>
    <x v="153"/>
    <n v="0"/>
    <x v="240"/>
    <s v="41422528000136"/>
    <x v="24"/>
    <d v="2017-04-06T00:00:00"/>
    <n v="102"/>
    <n v="1090.1600000000001"/>
    <s v="1/158059"/>
    <n v="1"/>
    <s v="A"/>
    <x v="10"/>
    <s v="ARACATI"/>
  </r>
  <r>
    <x v="153"/>
    <n v="0"/>
    <x v="241"/>
    <s v="41422528000136"/>
    <x v="24"/>
    <d v="2017-04-18T00:00:00"/>
    <n v="90"/>
    <n v="983.6"/>
    <s v="1/158773"/>
    <n v="1"/>
    <s v="A"/>
    <x v="10"/>
    <s v="ARACATI"/>
  </r>
  <r>
    <x v="153"/>
    <n v="0"/>
    <x v="242"/>
    <s v="41422528000136"/>
    <x v="24"/>
    <d v="2017-04-27T00:00:00"/>
    <n v="81"/>
    <n v="960.14"/>
    <s v="1/159442"/>
    <n v="1"/>
    <s v="A"/>
    <x v="10"/>
    <s v="ARACATI"/>
  </r>
  <r>
    <x v="153"/>
    <n v="0"/>
    <x v="243"/>
    <s v="24180274000178"/>
    <x v="25"/>
    <d v="2017-06-27T00:00:00"/>
    <n v="20"/>
    <n v="553.98"/>
    <s v="1/163482"/>
    <n v="1"/>
    <s v="A"/>
    <x v="8"/>
    <s v="FORTALEZA"/>
  </r>
  <r>
    <x v="153"/>
    <n v="0"/>
    <x v="244"/>
    <s v="73412058000116"/>
    <x v="1"/>
    <d v="2017-04-28T00:00:00"/>
    <n v="80"/>
    <n v="284.89"/>
    <s v="1/159498"/>
    <n v="1"/>
    <s v="A"/>
    <x v="4"/>
    <s v="OCARA"/>
  </r>
  <r>
    <x v="154"/>
    <n v="0"/>
    <x v="245"/>
    <s v="04488124000119"/>
    <x v="22"/>
    <d v="2017-04-19T00:00:00"/>
    <n v="90"/>
    <n v="999.22"/>
    <s v="1/158894"/>
    <n v="1"/>
    <s v="A"/>
    <x v="10"/>
    <s v="ARACATI"/>
  </r>
  <r>
    <x v="154"/>
    <n v="0"/>
    <x v="246"/>
    <s v="23598576000106"/>
    <x v="2"/>
    <d v="2017-05-19T00:00:00"/>
    <n v="60"/>
    <n v="376.6"/>
    <s v="1/161120"/>
    <n v="1"/>
    <s v="A"/>
    <x v="4"/>
    <s v="CHOROZINHO"/>
  </r>
  <r>
    <x v="155"/>
    <n v="0"/>
    <x v="247"/>
    <s v="41422528000136"/>
    <x v="24"/>
    <d v="2017-04-20T00:00:00"/>
    <n v="90"/>
    <n v="706.67"/>
    <s v="1/159033"/>
    <n v="1"/>
    <s v="A"/>
    <x v="10"/>
    <s v="ARACATI"/>
  </r>
  <r>
    <x v="156"/>
    <n v="0"/>
    <x v="248"/>
    <s v="04488124000119"/>
    <x v="22"/>
    <d v="2017-04-27T00:00:00"/>
    <n v="85"/>
    <n v="752.39"/>
    <s v="1/159444"/>
    <n v="1"/>
    <s v="A"/>
    <x v="10"/>
    <s v="ARACATI"/>
  </r>
  <r>
    <x v="156"/>
    <n v="0"/>
    <x v="249"/>
    <s v="41422528000136"/>
    <x v="24"/>
    <d v="2017-04-12T00:00:00"/>
    <n v="100"/>
    <n v="1282.26"/>
    <s v="1/158426"/>
    <n v="1"/>
    <s v="A"/>
    <x v="10"/>
    <s v="ARACATI"/>
  </r>
  <r>
    <x v="157"/>
    <n v="0"/>
    <x v="250"/>
    <s v="41422528000136"/>
    <x v="24"/>
    <d v="2017-04-18T00:00:00"/>
    <n v="97"/>
    <n v="938.97"/>
    <s v="1/158796"/>
    <n v="1"/>
    <s v="A"/>
    <x v="10"/>
    <s v="ARACATI"/>
  </r>
  <r>
    <x v="157"/>
    <n v="0"/>
    <x v="251"/>
    <s v="41422528000136"/>
    <x v="24"/>
    <d v="2017-04-25T00:00:00"/>
    <n v="90"/>
    <n v="1142.8599999999999"/>
    <s v="1/159200"/>
    <n v="1"/>
    <s v="A"/>
    <x v="10"/>
    <s v="ARACATI"/>
  </r>
  <r>
    <x v="158"/>
    <n v="0"/>
    <x v="252"/>
    <s v="04488124000119"/>
    <x v="22"/>
    <d v="2017-04-18T00:00:00"/>
    <n v="100"/>
    <n v="1284.03"/>
    <s v="1/158775"/>
    <n v="1"/>
    <s v="A"/>
    <x v="10"/>
    <s v="ARACATI"/>
  </r>
  <r>
    <x v="158"/>
    <n v="0"/>
    <x v="253"/>
    <s v="41422528000136"/>
    <x v="24"/>
    <d v="2017-04-28T00:00:00"/>
    <n v="90"/>
    <n v="976.93"/>
    <s v="1/159479"/>
    <n v="1"/>
    <s v="A"/>
    <x v="10"/>
    <s v="ARACATI"/>
  </r>
  <r>
    <x v="158"/>
    <n v="0"/>
    <x v="254"/>
    <s v="24180274000178"/>
    <x v="25"/>
    <d v="2017-06-27T00:00:00"/>
    <n v="30"/>
    <n v="553.97"/>
    <s v="1/163482"/>
    <n v="1"/>
    <s v="A"/>
    <x v="8"/>
    <s v="FORTALEZA"/>
  </r>
  <r>
    <x v="159"/>
    <n v="0"/>
    <x v="255"/>
    <s v="04488124000119"/>
    <x v="22"/>
    <d v="2017-05-12T00:00:00"/>
    <n v="80"/>
    <n v="1055.6199999999999"/>
    <s v="1/160591"/>
    <n v="1"/>
    <s v="A"/>
    <x v="10"/>
    <s v="ARACATI"/>
  </r>
  <r>
    <x v="160"/>
    <n v="0"/>
    <x v="256"/>
    <s v="04488124000119"/>
    <x v="22"/>
    <d v="2017-04-28T00:00:00"/>
    <n v="95"/>
    <n v="973.48"/>
    <s v="1/159480"/>
    <n v="1"/>
    <s v="A"/>
    <x v="10"/>
    <s v="ARACATI"/>
  </r>
  <r>
    <x v="161"/>
    <n v="0"/>
    <x v="257"/>
    <s v="04488124000119"/>
    <x v="22"/>
    <d v="2017-05-15T00:00:00"/>
    <n v="80"/>
    <n v="500.93"/>
    <s v="1/160697"/>
    <n v="1"/>
    <s v="A"/>
    <x v="10"/>
    <s v="ARACATI"/>
  </r>
  <r>
    <x v="161"/>
    <n v="0"/>
    <x v="258"/>
    <s v="41422528000136"/>
    <x v="24"/>
    <d v="2017-04-25T00:00:00"/>
    <n v="100"/>
    <n v="1337.03"/>
    <s v="1/159202"/>
    <n v="1"/>
    <s v="A"/>
    <x v="10"/>
    <s v="ARACATI"/>
  </r>
  <r>
    <x v="162"/>
    <n v="0"/>
    <x v="259"/>
    <s v="04488124000119"/>
    <x v="22"/>
    <d v="2017-05-18T00:00:00"/>
    <n v="81"/>
    <n v="1086.56"/>
    <s v="1/161050"/>
    <n v="1"/>
    <s v="A"/>
    <x v="10"/>
    <s v="ARACATI"/>
  </r>
  <r>
    <x v="162"/>
    <n v="0"/>
    <x v="260"/>
    <s v="41422528000136"/>
    <x v="24"/>
    <d v="2017-04-27T00:00:00"/>
    <n v="102"/>
    <n v="1137.03"/>
    <s v="1/159451"/>
    <n v="1"/>
    <s v="A"/>
    <x v="10"/>
    <s v="ARACATI"/>
  </r>
  <r>
    <x v="163"/>
    <n v="0"/>
    <x v="261"/>
    <s v="10474871000109"/>
    <x v="16"/>
    <d v="2017-07-10T00:00:00"/>
    <n v="30"/>
    <n v="550.25"/>
    <s v="1/164275"/>
    <n v="1"/>
    <s v="A"/>
    <x v="9"/>
    <s v="IRAUCUBA"/>
  </r>
  <r>
    <x v="164"/>
    <n v="0"/>
    <x v="262"/>
    <s v="04488124000119"/>
    <x v="22"/>
    <d v="2017-05-12T00:00:00"/>
    <n v="90"/>
    <n v="636.08000000000004"/>
    <s v="1/160599"/>
    <n v="1"/>
    <s v="A"/>
    <x v="10"/>
    <s v="ARACATI"/>
  </r>
  <r>
    <x v="164"/>
    <n v="0"/>
    <x v="263"/>
    <s v="41422528000136"/>
    <x v="24"/>
    <d v="2017-05-12T00:00:00"/>
    <n v="90"/>
    <n v="1494.5"/>
    <s v="1/160602"/>
    <n v="1"/>
    <s v="A"/>
    <x v="10"/>
    <s v="ARACATI"/>
  </r>
  <r>
    <x v="165"/>
    <n v="0"/>
    <x v="264"/>
    <s v="04488124000119"/>
    <x v="22"/>
    <d v="2017-05-04T00:00:00"/>
    <n v="102"/>
    <n v="695.96"/>
    <s v="1/159787"/>
    <n v="1"/>
    <s v="A"/>
    <x v="10"/>
    <s v="ARACATI"/>
  </r>
  <r>
    <x v="165"/>
    <n v="0"/>
    <x v="265"/>
    <s v="04488124000119"/>
    <x v="22"/>
    <d v="2017-05-04T00:00:00"/>
    <n v="102"/>
    <n v="478.71"/>
    <s v="1/159821"/>
    <n v="1"/>
    <s v="A"/>
    <x v="10"/>
    <s v="ARACATI"/>
  </r>
  <r>
    <x v="165"/>
    <n v="0"/>
    <x v="266"/>
    <s v="04488124000119"/>
    <x v="22"/>
    <d v="2017-05-15T00:00:00"/>
    <n v="91"/>
    <n v="285.89"/>
    <s v="1/160682"/>
    <n v="1"/>
    <s v="A"/>
    <x v="10"/>
    <s v="ARACATI"/>
  </r>
  <r>
    <x v="165"/>
    <n v="0"/>
    <x v="267"/>
    <s v="41422528000136"/>
    <x v="24"/>
    <d v="2017-05-04T00:00:00"/>
    <n v="102"/>
    <n v="376.17"/>
    <s v="1/159820"/>
    <n v="1"/>
    <s v="A"/>
    <x v="10"/>
    <s v="ARACATI"/>
  </r>
  <r>
    <x v="165"/>
    <n v="0"/>
    <x v="268"/>
    <s v="41422528000136"/>
    <x v="24"/>
    <d v="2017-05-04T00:00:00"/>
    <n v="102"/>
    <n v="1506.13"/>
    <s v="1/159826"/>
    <n v="1"/>
    <s v="A"/>
    <x v="10"/>
    <s v="ARACATI"/>
  </r>
  <r>
    <x v="165"/>
    <n v="0"/>
    <x v="269"/>
    <s v="41422528000136"/>
    <x v="24"/>
    <d v="2017-05-05T00:00:00"/>
    <n v="101"/>
    <n v="1330.66"/>
    <s v="1/159890"/>
    <n v="1"/>
    <s v="A"/>
    <x v="10"/>
    <s v="ARACATI"/>
  </r>
  <r>
    <x v="165"/>
    <n v="0"/>
    <x v="270"/>
    <s v="41422528000136"/>
    <x v="24"/>
    <d v="2017-05-15T00:00:00"/>
    <n v="91"/>
    <n v="723.54"/>
    <s v="1/160718"/>
    <n v="1"/>
    <s v="A"/>
    <x v="10"/>
    <s v="ARACATI"/>
  </r>
  <r>
    <x v="165"/>
    <n v="0"/>
    <x v="271"/>
    <s v="41422528000136"/>
    <x v="24"/>
    <d v="2017-05-24T00:00:00"/>
    <n v="82"/>
    <n v="167.65"/>
    <s v="1/161432"/>
    <n v="1"/>
    <s v="A"/>
    <x v="11"/>
    <s v="ARACATI"/>
  </r>
  <r>
    <x v="166"/>
    <n v="0"/>
    <x v="272"/>
    <s v="04488124000119"/>
    <x v="22"/>
    <d v="2017-05-08T00:00:00"/>
    <n v="100"/>
    <n v="860.14"/>
    <s v="1/160185"/>
    <n v="1"/>
    <s v="A"/>
    <x v="10"/>
    <s v="ARACATI"/>
  </r>
  <r>
    <x v="166"/>
    <n v="0"/>
    <x v="273"/>
    <s v="41422528000136"/>
    <x v="24"/>
    <d v="2017-05-08T00:00:00"/>
    <n v="100"/>
    <n v="836.14"/>
    <s v="1/160183"/>
    <n v="1"/>
    <s v="A"/>
    <x v="10"/>
    <s v="ARACATI"/>
  </r>
  <r>
    <x v="166"/>
    <n v="0"/>
    <x v="274"/>
    <s v="41422528000136"/>
    <x v="24"/>
    <d v="2017-05-18T00:00:00"/>
    <n v="90"/>
    <n v="922.24"/>
    <s v="1/161052"/>
    <n v="1"/>
    <s v="A"/>
    <x v="10"/>
    <s v="ARACATI"/>
  </r>
  <r>
    <x v="167"/>
    <n v="0"/>
    <x v="275"/>
    <s v="04488124000119"/>
    <x v="22"/>
    <d v="2017-05-10T00:00:00"/>
    <n v="100"/>
    <n v="532.21"/>
    <s v="1/160370"/>
    <n v="1"/>
    <s v="A"/>
    <x v="10"/>
    <s v="ARACATI"/>
  </r>
  <r>
    <x v="167"/>
    <n v="0"/>
    <x v="276"/>
    <s v="41422528000136"/>
    <x v="24"/>
    <d v="2017-05-10T00:00:00"/>
    <n v="100"/>
    <n v="1014.44"/>
    <s v="1/160386"/>
    <n v="1"/>
    <s v="A"/>
    <x v="10"/>
    <s v="ARACATI"/>
  </r>
  <r>
    <x v="168"/>
    <n v="0"/>
    <x v="277"/>
    <s v="41422528000136"/>
    <x v="24"/>
    <d v="2017-05-12T00:00:00"/>
    <n v="101"/>
    <n v="1421.26"/>
    <s v="1/160590"/>
    <n v="1"/>
    <s v="A"/>
    <x v="10"/>
    <s v="ARACATI"/>
  </r>
  <r>
    <x v="169"/>
    <n v="0"/>
    <x v="278"/>
    <s v="04488124000119"/>
    <x v="22"/>
    <d v="2017-05-24T00:00:00"/>
    <n v="90"/>
    <n v="953.29"/>
    <s v="1/161443"/>
    <n v="1"/>
    <s v="A"/>
    <x v="10"/>
    <s v="ARACATI"/>
  </r>
  <r>
    <x v="170"/>
    <n v="0"/>
    <x v="279"/>
    <s v="41422528000136"/>
    <x v="24"/>
    <d v="2017-05-15T00:00:00"/>
    <n v="100"/>
    <n v="285.89"/>
    <s v="1/160681"/>
    <n v="1"/>
    <s v="A"/>
    <x v="10"/>
    <s v="ARACATI"/>
  </r>
  <r>
    <x v="170"/>
    <n v="0"/>
    <x v="280"/>
    <s v="41422528000136"/>
    <x v="24"/>
    <d v="2017-05-15T00:00:00"/>
    <n v="100"/>
    <n v="1036.8"/>
    <s v="1/160704"/>
    <n v="1"/>
    <s v="A"/>
    <x v="10"/>
    <s v="ARACATI"/>
  </r>
  <r>
    <x v="171"/>
    <n v="0"/>
    <x v="281"/>
    <s v="04488124000119"/>
    <x v="22"/>
    <d v="2017-05-26T00:00:00"/>
    <n v="90"/>
    <n v="498"/>
    <s v="1/161665"/>
    <n v="1"/>
    <s v="A"/>
    <x v="10"/>
    <s v="ARACATI"/>
  </r>
  <r>
    <x v="172"/>
    <n v="0"/>
    <x v="282"/>
    <s v="41422528000136"/>
    <x v="24"/>
    <d v="2017-05-18T00:00:00"/>
    <n v="102"/>
    <n v="1297.95"/>
    <s v="1/161045"/>
    <n v="1"/>
    <s v="A"/>
    <x v="10"/>
    <s v="ARACATI"/>
  </r>
  <r>
    <x v="173"/>
    <n v="0"/>
    <x v="283"/>
    <s v="41422528000136"/>
    <x v="24"/>
    <d v="2017-05-24T00:00:00"/>
    <n v="100"/>
    <n v="1239.47"/>
    <s v="1/161447"/>
    <n v="1"/>
    <s v="A"/>
    <x v="10"/>
    <s v="ARACATI"/>
  </r>
  <r>
    <x v="174"/>
    <n v="0"/>
    <x v="284"/>
    <s v="41422528000136"/>
    <x v="24"/>
    <d v="2017-05-26T00:00:00"/>
    <n v="101"/>
    <n v="1709.09"/>
    <s v="1/161666"/>
    <n v="1"/>
    <s v="A"/>
    <x v="10"/>
    <s v="ARACATI"/>
  </r>
  <r>
    <x v="175"/>
    <n v="0"/>
    <x v="285"/>
    <s v="19448548000127"/>
    <x v="26"/>
    <d v="2017-09-08T00:00:00"/>
    <n v="14"/>
    <n v="668.85"/>
    <s v="1/168384"/>
    <n v="1"/>
    <s v="A"/>
    <x v="3"/>
    <s v="FORTALEZA"/>
  </r>
  <r>
    <x v="176"/>
    <n v="0"/>
    <x v="286"/>
    <s v="19448548000127"/>
    <x v="26"/>
    <d v="2017-09-08T00:00:00"/>
    <n v="21"/>
    <n v="668.84"/>
    <s v="1/168384"/>
    <n v="1"/>
    <s v="A"/>
    <x v="3"/>
    <s v="FORTALEZA"/>
  </r>
  <r>
    <x v="177"/>
    <n v="0"/>
    <x v="287"/>
    <s v="07645740000124"/>
    <x v="27"/>
    <d v="2017-08-14T00:00:00"/>
    <n v="50"/>
    <n v="461.46"/>
    <s v="1/166682"/>
    <n v="1"/>
    <s v="A"/>
    <x v="7"/>
    <s v="FORTALEZA"/>
  </r>
  <r>
    <x v="177"/>
    <n v="0"/>
    <x v="288"/>
    <s v="07645740000124"/>
    <x v="27"/>
    <d v="2017-08-24T00:00:00"/>
    <n v="40"/>
    <n v="415.14"/>
    <s v="1/167436"/>
    <n v="1"/>
    <s v="A"/>
    <x v="7"/>
    <s v="FORTALEZA"/>
  </r>
  <r>
    <x v="178"/>
    <n v="0"/>
    <x v="289"/>
    <s v="07645740000124"/>
    <x v="27"/>
    <d v="2017-08-31T00:00:00"/>
    <n v="34"/>
    <n v="919.15"/>
    <s v="1/167995"/>
    <n v="1"/>
    <s v="A"/>
    <x v="7"/>
    <s v="FORTALEZA"/>
  </r>
  <r>
    <x v="179"/>
    <n v="0"/>
    <x v="290"/>
    <s v="07645740000124"/>
    <x v="27"/>
    <d v="2017-07-19T00:00:00"/>
    <n v="82"/>
    <n v="503.7"/>
    <s v="1/164995"/>
    <n v="1"/>
    <s v="A"/>
    <x v="7"/>
    <s v="FORTALEZA"/>
  </r>
  <r>
    <x v="180"/>
    <n v="0"/>
    <x v="291"/>
    <s v="07645740000124"/>
    <x v="27"/>
    <d v="2017-08-11T00:00:00"/>
    <n v="60"/>
    <n v="589.24"/>
    <s v="1/166629"/>
    <n v="1"/>
    <s v="A"/>
    <x v="7"/>
    <s v="FORTALEZA"/>
  </r>
  <r>
    <x v="181"/>
    <n v="0"/>
    <x v="292"/>
    <s v="07147804000167"/>
    <x v="28"/>
    <d v="2017-09-06T00:00:00"/>
    <n v="35"/>
    <n v="454.78"/>
    <s v="1/168268"/>
    <n v="1"/>
    <s v="A"/>
    <x v="12"/>
    <s v="COREAU"/>
  </r>
  <r>
    <x v="181"/>
    <n v="0"/>
    <x v="293"/>
    <s v="07645740000124"/>
    <x v="27"/>
    <d v="2017-07-28T00:00:00"/>
    <n v="75"/>
    <n v="698.63"/>
    <s v="1/165601"/>
    <n v="1"/>
    <s v="A"/>
    <x v="7"/>
    <s v="FORTALEZA"/>
  </r>
  <r>
    <x v="182"/>
    <n v="0"/>
    <x v="294"/>
    <s v="07645740000124"/>
    <x v="27"/>
    <d v="2017-08-14T00:00:00"/>
    <n v="60"/>
    <n v="461.46"/>
    <s v="1/166682"/>
    <n v="1"/>
    <s v="A"/>
    <x v="7"/>
    <s v="FORTALEZA"/>
  </r>
  <r>
    <x v="182"/>
    <n v="0"/>
    <x v="295"/>
    <s v="07645740000124"/>
    <x v="27"/>
    <d v="2017-08-24T00:00:00"/>
    <n v="50"/>
    <n v="415.14"/>
    <s v="1/167436"/>
    <n v="1"/>
    <s v="A"/>
    <x v="7"/>
    <s v="FORTALEZA"/>
  </r>
  <r>
    <x v="183"/>
    <n v="0"/>
    <x v="296"/>
    <s v="07645740000124"/>
    <x v="27"/>
    <d v="2017-08-31T00:00:00"/>
    <n v="46"/>
    <n v="573.52"/>
    <s v="1/167995"/>
    <n v="1"/>
    <s v="A"/>
    <x v="7"/>
    <s v="FORTALEZA"/>
  </r>
  <r>
    <x v="184"/>
    <n v="0"/>
    <x v="297"/>
    <s v="07645740000124"/>
    <x v="27"/>
    <d v="2017-08-11T00:00:00"/>
    <n v="70"/>
    <n v="589.24"/>
    <s v="1/166629"/>
    <n v="1"/>
    <s v="A"/>
    <x v="7"/>
    <s v="FORTALEZA"/>
  </r>
  <r>
    <x v="185"/>
    <n v="0"/>
    <x v="298"/>
    <s v="23455710000101"/>
    <x v="29"/>
    <d v="2017-08-22T00:00:00"/>
    <n v="62"/>
    <n v="302.72000000000003"/>
    <s v="1/167207"/>
    <n v="1"/>
    <s v="A"/>
    <x v="13"/>
    <s v="FORTALEZA"/>
  </r>
  <r>
    <x v="185"/>
    <n v="0"/>
    <x v="299"/>
    <s v="07645740000124"/>
    <x v="27"/>
    <d v="2017-07-28T00:00:00"/>
    <n v="87"/>
    <n v="698.61"/>
    <s v="1/165601"/>
    <n v="1"/>
    <s v="A"/>
    <x v="7"/>
    <s v="FORTALEZA"/>
  </r>
  <r>
    <x v="185"/>
    <n v="0"/>
    <x v="300"/>
    <s v="07645740000124"/>
    <x v="27"/>
    <d v="2017-08-14T00:00:00"/>
    <n v="70"/>
    <n v="461.46"/>
    <s v="1/166682"/>
    <n v="1"/>
    <s v="A"/>
    <x v="7"/>
    <s v="FORTALEZA"/>
  </r>
  <r>
    <x v="185"/>
    <n v="0"/>
    <x v="301"/>
    <s v="07645740000124"/>
    <x v="27"/>
    <d v="2017-08-24T00:00:00"/>
    <n v="60"/>
    <n v="415.14"/>
    <s v="1/167436"/>
    <n v="1"/>
    <s v="A"/>
    <x v="7"/>
    <s v="FORTALEZA"/>
  </r>
  <r>
    <x v="186"/>
    <n v="0"/>
    <x v="302"/>
    <s v="07645740000124"/>
    <x v="27"/>
    <d v="2017-08-31T00:00:00"/>
    <n v="54"/>
    <n v="573.52"/>
    <s v="1/167995"/>
    <n v="1"/>
    <s v="A"/>
    <x v="7"/>
    <s v="FORTALEZA"/>
  </r>
  <r>
    <x v="187"/>
    <n v="0"/>
    <x v="303"/>
    <s v="26205042000152"/>
    <x v="30"/>
    <d v="2017-10-05T00:00:00"/>
    <n v="20"/>
    <n v="531.95000000000005"/>
    <s v="1/169978"/>
    <n v="1"/>
    <s v="A"/>
    <x v="10"/>
    <s v="PEREIRO"/>
  </r>
  <r>
    <x v="188"/>
    <n v="0"/>
    <x v="304"/>
    <s v="23455710000101"/>
    <x v="29"/>
    <d v="2017-08-18T00:00:00"/>
    <n v="70"/>
    <n v="320.8"/>
    <s v="1/167007"/>
    <n v="1"/>
    <s v="A"/>
    <x v="13"/>
    <s v="FORTALEZA"/>
  </r>
  <r>
    <x v="189"/>
    <n v="0"/>
    <x v="305"/>
    <s v="23455710000101"/>
    <x v="29"/>
    <d v="2017-08-29T00:00:00"/>
    <n v="62"/>
    <n v="307.23"/>
    <s v="1/167743"/>
    <n v="1"/>
    <s v="A"/>
    <x v="13"/>
    <s v="FORTALEZA"/>
  </r>
  <r>
    <x v="190"/>
    <n v="0"/>
    <x v="306"/>
    <s v="23455710000101"/>
    <x v="29"/>
    <d v="2017-09-01T00:00:00"/>
    <n v="60"/>
    <n v="313.29000000000002"/>
    <s v="1/168028"/>
    <n v="1"/>
    <s v="A"/>
    <x v="13"/>
    <s v="FORTALEZA"/>
  </r>
  <r>
    <x v="191"/>
    <n v="0"/>
    <x v="307"/>
    <s v="23455710000101"/>
    <x v="29"/>
    <d v="2017-08-23T00:00:00"/>
    <n v="70"/>
    <n v="276.12"/>
    <s v="1/167369"/>
    <n v="1"/>
    <s v="A"/>
    <x v="13"/>
    <s v="FORTALEZA"/>
  </r>
  <r>
    <x v="192"/>
    <n v="0"/>
    <x v="308"/>
    <s v="07645740000124"/>
    <x v="27"/>
    <d v="2017-08-14T00:00:00"/>
    <n v="80"/>
    <n v="461.48"/>
    <s v="1/166682"/>
    <n v="1"/>
    <s v="A"/>
    <x v="7"/>
    <s v="FORTALEZA"/>
  </r>
  <r>
    <x v="192"/>
    <n v="0"/>
    <x v="309"/>
    <s v="07645740000124"/>
    <x v="27"/>
    <d v="2017-08-24T00:00:00"/>
    <n v="70"/>
    <n v="415.14"/>
    <s v="1/167436"/>
    <n v="1"/>
    <s v="A"/>
    <x v="7"/>
    <s v="FORTALEZA"/>
  </r>
  <r>
    <x v="193"/>
    <n v="0"/>
    <x v="310"/>
    <s v="07645740000124"/>
    <x v="27"/>
    <d v="2017-08-31T00:00:00"/>
    <n v="64"/>
    <n v="573.52"/>
    <s v="1/167995"/>
    <n v="1"/>
    <s v="A"/>
    <x v="7"/>
    <s v="FORTALEZA"/>
  </r>
  <r>
    <x v="194"/>
    <n v="0"/>
    <x v="311"/>
    <s v="23455710000101"/>
    <x v="29"/>
    <d v="2017-08-18T00:00:00"/>
    <n v="80"/>
    <n v="320.81"/>
    <s v="1/167007"/>
    <n v="1"/>
    <s v="A"/>
    <x v="13"/>
    <s v="FORTALEZA"/>
  </r>
  <r>
    <x v="194"/>
    <n v="0"/>
    <x v="312"/>
    <s v="26205042000152"/>
    <x v="30"/>
    <d v="2017-10-05T00:00:00"/>
    <n v="32"/>
    <n v="531.94000000000005"/>
    <s v="1/169978"/>
    <n v="1"/>
    <s v="A"/>
    <x v="10"/>
    <s v="PEREIRO"/>
  </r>
  <r>
    <x v="195"/>
    <n v="0"/>
    <x v="313"/>
    <s v="23455710000101"/>
    <x v="29"/>
    <d v="2017-08-29T00:00:00"/>
    <n v="70"/>
    <n v="307.23"/>
    <s v="1/167743"/>
    <n v="1"/>
    <s v="A"/>
    <x v="13"/>
    <s v="FORTALEZA"/>
  </r>
  <r>
    <x v="195"/>
    <n v="0"/>
    <x v="314"/>
    <s v="23455710000101"/>
    <x v="29"/>
    <d v="2017-08-29T00:00:00"/>
    <n v="70"/>
    <n v="158.46"/>
    <s v="1/167775"/>
    <n v="1"/>
    <s v="A"/>
    <x v="13"/>
    <s v="FORTALEZA"/>
  </r>
  <r>
    <x v="196"/>
    <n v="0"/>
    <x v="315"/>
    <s v="07645740000124"/>
    <x v="27"/>
    <d v="2017-09-19T00:00:00"/>
    <n v="50"/>
    <n v="460.79"/>
    <s v="1/169014"/>
    <n v="1"/>
    <s v="A"/>
    <x v="7"/>
    <s v="FORTALEZA"/>
  </r>
  <r>
    <x v="197"/>
    <n v="0"/>
    <x v="316"/>
    <s v="23455710000101"/>
    <x v="29"/>
    <d v="2017-08-21T00:00:00"/>
    <n v="80"/>
    <n v="251.35"/>
    <s v="1/167154"/>
    <n v="1"/>
    <s v="A"/>
    <x v="13"/>
    <s v="FORTALEZA"/>
  </r>
  <r>
    <x v="198"/>
    <n v="0"/>
    <x v="317"/>
    <s v="23455710000101"/>
    <x v="29"/>
    <d v="2017-08-22T00:00:00"/>
    <n v="80"/>
    <n v="262.20999999999998"/>
    <s v="1/167207"/>
    <n v="1"/>
    <s v="A"/>
    <x v="13"/>
    <s v="FORTALEZA"/>
  </r>
  <r>
    <x v="198"/>
    <n v="0"/>
    <x v="318"/>
    <s v="23455710000101"/>
    <x v="29"/>
    <d v="2017-09-11T00:00:00"/>
    <n v="60"/>
    <n v="318.44"/>
    <s v="1/168433"/>
    <n v="1"/>
    <s v="A"/>
    <x v="13"/>
    <s v="FORTALEZA"/>
  </r>
  <r>
    <x v="199"/>
    <n v="0"/>
    <x v="319"/>
    <s v="07645740000124"/>
    <x v="27"/>
    <d v="2017-08-24T00:00:00"/>
    <n v="81"/>
    <n v="415.16"/>
    <s v="1/167436"/>
    <n v="1"/>
    <s v="A"/>
    <x v="7"/>
    <s v="FORTALEZA"/>
  </r>
  <r>
    <x v="199"/>
    <n v="0"/>
    <x v="320"/>
    <s v="07645740000124"/>
    <x v="27"/>
    <d v="2017-08-31T00:00:00"/>
    <n v="74"/>
    <n v="573.52"/>
    <s v="1/167995"/>
    <n v="1"/>
    <s v="A"/>
    <x v="7"/>
    <s v="FORTALEZA"/>
  </r>
  <r>
    <x v="200"/>
    <n v="0"/>
    <x v="321"/>
    <s v="23455710000101"/>
    <x v="29"/>
    <d v="2017-08-29T00:00:00"/>
    <n v="80"/>
    <n v="307.22000000000003"/>
    <s v="1/167743"/>
    <n v="1"/>
    <s v="A"/>
    <x v="13"/>
    <s v="FORTALEZA"/>
  </r>
  <r>
    <x v="201"/>
    <n v="0"/>
    <x v="322"/>
    <s v="23455710000101"/>
    <x v="29"/>
    <d v="2017-09-01T00:00:00"/>
    <n v="80"/>
    <n v="313.29000000000002"/>
    <s v="1/168028"/>
    <n v="1"/>
    <s v="A"/>
    <x v="13"/>
    <s v="FORTALEZA"/>
  </r>
  <r>
    <x v="201"/>
    <n v="0"/>
    <x v="323"/>
    <s v="23455710000101"/>
    <x v="29"/>
    <d v="2017-09-11T00:00:00"/>
    <n v="70"/>
    <n v="346.89"/>
    <s v="1/168503"/>
    <n v="1"/>
    <s v="A"/>
    <x v="13"/>
    <s v="FORTALEZA"/>
  </r>
  <r>
    <x v="201"/>
    <n v="0"/>
    <x v="324"/>
    <s v="23455710000101"/>
    <x v="29"/>
    <d v="2017-09-21T00:00:00"/>
    <n v="60"/>
    <n v="428.69"/>
    <s v="1/169144"/>
    <n v="1"/>
    <s v="A"/>
    <x v="13"/>
    <s v="FORTALEZA"/>
  </r>
  <r>
    <x v="201"/>
    <n v="0"/>
    <x v="325"/>
    <s v="07645740000124"/>
    <x v="27"/>
    <d v="2017-09-19T00:00:00"/>
    <n v="62"/>
    <n v="460.79"/>
    <s v="1/169014"/>
    <n v="1"/>
    <s v="A"/>
    <x v="7"/>
    <s v="FORTALEZA"/>
  </r>
  <r>
    <x v="202"/>
    <n v="0"/>
    <x v="326"/>
    <s v="23455710000101"/>
    <x v="29"/>
    <d v="2017-09-12T00:00:00"/>
    <n v="70"/>
    <n v="352.23"/>
    <s v="1/168536"/>
    <n v="1"/>
    <s v="A"/>
    <x v="13"/>
    <s v="FORTALEZA"/>
  </r>
  <r>
    <x v="203"/>
    <n v="0"/>
    <x v="327"/>
    <s v="07645740000124"/>
    <x v="27"/>
    <d v="2017-08-31T00:00:00"/>
    <n v="84"/>
    <n v="573.52"/>
    <s v="1/167995"/>
    <n v="1"/>
    <s v="A"/>
    <x v="7"/>
    <s v="FORTALEZA"/>
  </r>
  <r>
    <x v="204"/>
    <n v="0"/>
    <x v="328"/>
    <s v="07147804000167"/>
    <x v="28"/>
    <d v="2017-09-29T00:00:00"/>
    <n v="60"/>
    <n v="539.01"/>
    <s v="1/169628"/>
    <n v="1"/>
    <s v="A"/>
    <x v="12"/>
    <s v="COREAU"/>
  </r>
  <r>
    <x v="204"/>
    <n v="0"/>
    <x v="329"/>
    <s v="23455710000101"/>
    <x v="29"/>
    <d v="2017-09-21T00:00:00"/>
    <n v="68"/>
    <n v="347.88"/>
    <s v="1/169144"/>
    <n v="1"/>
    <s v="A"/>
    <x v="13"/>
    <s v="FORTALEZA"/>
  </r>
  <r>
    <x v="204"/>
    <n v="0"/>
    <x v="330"/>
    <s v="07645740000124"/>
    <x v="27"/>
    <d v="2017-09-19T00:00:00"/>
    <n v="70"/>
    <n v="156.57"/>
    <s v="1/168998"/>
    <n v="1"/>
    <s v="A"/>
    <x v="7"/>
    <s v="FORTALEZA"/>
  </r>
  <r>
    <x v="204"/>
    <n v="0"/>
    <x v="331"/>
    <s v="07645740000124"/>
    <x v="27"/>
    <d v="2017-09-19T00:00:00"/>
    <n v="70"/>
    <n v="460.79"/>
    <s v="1/169014"/>
    <n v="1"/>
    <s v="A"/>
    <x v="7"/>
    <s v="FORTALEZA"/>
  </r>
  <r>
    <x v="204"/>
    <n v="0"/>
    <x v="332"/>
    <s v="13004910000194"/>
    <x v="31"/>
    <d v="2017-11-13T00:00:00"/>
    <n v="15"/>
    <n v="386.65"/>
    <s v="1/172153"/>
    <n v="1"/>
    <s v="A"/>
    <x v="5"/>
    <s v="PARAIPABA"/>
  </r>
  <r>
    <x v="205"/>
    <n v="0"/>
    <x v="333"/>
    <s v="23455710000101"/>
    <x v="29"/>
    <d v="2017-09-11T00:00:00"/>
    <n v="80"/>
    <n v="318.45"/>
    <s v="1/168433"/>
    <n v="1"/>
    <s v="A"/>
    <x v="13"/>
    <s v="FORTALEZA"/>
  </r>
  <r>
    <x v="205"/>
    <n v="0"/>
    <x v="334"/>
    <s v="23455710000101"/>
    <x v="29"/>
    <d v="2017-09-21T00:00:00"/>
    <n v="70"/>
    <n v="101.74"/>
    <s v="1/169150"/>
    <n v="1"/>
    <s v="A"/>
    <x v="13"/>
    <s v="FORTALEZA"/>
  </r>
  <r>
    <x v="206"/>
    <n v="0"/>
    <x v="335"/>
    <s v="07147804000167"/>
    <x v="28"/>
    <d v="2017-09-12T00:00:00"/>
    <n v="80"/>
    <n v="444.36"/>
    <s v="1/168543"/>
    <n v="1"/>
    <s v="A"/>
    <x v="12"/>
    <s v="COREAU"/>
  </r>
  <r>
    <x v="207"/>
    <n v="0"/>
    <x v="336"/>
    <s v="07147804000167"/>
    <x v="28"/>
    <d v="2017-09-14T00:00:00"/>
    <n v="81"/>
    <n v="336.8"/>
    <s v="1/168793"/>
    <n v="1"/>
    <s v="A"/>
    <x v="12"/>
    <s v="COREAU"/>
  </r>
  <r>
    <x v="207"/>
    <n v="0"/>
    <x v="337"/>
    <s v="07645740000124"/>
    <x v="27"/>
    <d v="2017-08-31T00:00:00"/>
    <n v="95"/>
    <n v="573.52"/>
    <s v="1/167995"/>
    <n v="1"/>
    <s v="A"/>
    <x v="7"/>
    <s v="FORTALEZA"/>
  </r>
  <r>
    <x v="208"/>
    <n v="0"/>
    <x v="338"/>
    <s v="07147804000167"/>
    <x v="28"/>
    <d v="2017-10-06T00:00:00"/>
    <n v="60"/>
    <n v="608.29999999999995"/>
    <s v="1/170018"/>
    <n v="1"/>
    <s v="A"/>
    <x v="12"/>
    <s v="COREAU"/>
  </r>
  <r>
    <x v="209"/>
    <n v="0"/>
    <x v="339"/>
    <s v="07147804000167"/>
    <x v="28"/>
    <d v="2017-09-19T00:00:00"/>
    <n v="80"/>
    <n v="348"/>
    <s v="1/168979"/>
    <n v="1"/>
    <s v="A"/>
    <x v="12"/>
    <s v="COREAU"/>
  </r>
  <r>
    <x v="209"/>
    <n v="0"/>
    <x v="340"/>
    <s v="07147804000167"/>
    <x v="28"/>
    <d v="2017-09-29T00:00:00"/>
    <n v="70"/>
    <n v="437.28"/>
    <s v="1/169628"/>
    <n v="1"/>
    <s v="A"/>
    <x v="12"/>
    <s v="COREAU"/>
  </r>
  <r>
    <x v="209"/>
    <n v="0"/>
    <x v="341"/>
    <s v="23455710000101"/>
    <x v="29"/>
    <d v="2017-09-21T00:00:00"/>
    <n v="78"/>
    <n v="347.88"/>
    <s v="1/169144"/>
    <n v="1"/>
    <s v="A"/>
    <x v="13"/>
    <s v="FORTALEZA"/>
  </r>
  <r>
    <x v="210"/>
    <n v="0"/>
    <x v="342"/>
    <s v="07645740000124"/>
    <x v="27"/>
    <d v="2017-08-31T00:00:00"/>
    <n v="104"/>
    <n v="573.52"/>
    <s v="1/167995"/>
    <n v="1"/>
    <s v="A"/>
    <x v="7"/>
    <s v="FORTALEZA"/>
  </r>
  <r>
    <x v="211"/>
    <n v="0"/>
    <x v="343"/>
    <s v="13004910000194"/>
    <x v="31"/>
    <d v="2017-10-25T00:00:00"/>
    <n v="50"/>
    <n v="307.87"/>
    <s v="1/171034"/>
    <n v="1"/>
    <s v="A"/>
    <x v="5"/>
    <s v="PARAIPABA"/>
  </r>
  <r>
    <x v="212"/>
    <n v="0"/>
    <x v="344"/>
    <s v="07147804000167"/>
    <x v="28"/>
    <d v="2017-10-06T00:00:00"/>
    <n v="70"/>
    <n v="493.43"/>
    <s v="1/170018"/>
    <n v="1"/>
    <s v="A"/>
    <x v="12"/>
    <s v="COREAU"/>
  </r>
  <r>
    <x v="213"/>
    <n v="0"/>
    <x v="345"/>
    <s v="07147804000167"/>
    <x v="28"/>
    <d v="2017-09-29T00:00:00"/>
    <n v="80"/>
    <n v="437.28"/>
    <s v="1/169628"/>
    <n v="1"/>
    <s v="A"/>
    <x v="12"/>
    <s v="COREAU"/>
  </r>
  <r>
    <x v="214"/>
    <n v="0"/>
    <x v="346"/>
    <s v="07147804000167"/>
    <x v="28"/>
    <d v="2017-10-06T00:00:00"/>
    <n v="80"/>
    <n v="493.43"/>
    <s v="1/170018"/>
    <n v="1"/>
    <s v="A"/>
    <x v="12"/>
    <s v="COREAU"/>
  </r>
  <r>
    <x v="214"/>
    <n v="0"/>
    <x v="347"/>
    <s v="23455710000101"/>
    <x v="29"/>
    <d v="2017-10-17T00:00:00"/>
    <n v="69"/>
    <n v="330.34"/>
    <s v="1/170554"/>
    <n v="1"/>
    <s v="A"/>
    <x v="14"/>
    <s v="FORTALEZA"/>
  </r>
  <r>
    <x v="214"/>
    <n v="0"/>
    <x v="348"/>
    <s v="13004910000194"/>
    <x v="31"/>
    <d v="2017-10-25T00:00:00"/>
    <n v="61"/>
    <n v="307.87"/>
    <s v="1/171034"/>
    <n v="1"/>
    <s v="A"/>
    <x v="5"/>
    <s v="PARAIPABA"/>
  </r>
  <r>
    <x v="215"/>
    <n v="0"/>
    <x v="349"/>
    <s v="13004910000194"/>
    <x v="31"/>
    <d v="2017-11-13T00:00:00"/>
    <n v="45"/>
    <n v="386.65"/>
    <s v="1/172153"/>
    <n v="1"/>
    <s v="A"/>
    <x v="5"/>
    <s v="PARAIPABA"/>
  </r>
  <r>
    <x v="216"/>
    <n v="0"/>
    <x v="350"/>
    <s v="13004910000194"/>
    <x v="31"/>
    <d v="2017-10-25T00:00:00"/>
    <n v="70"/>
    <n v="307.87"/>
    <s v="1/171034"/>
    <n v="1"/>
    <s v="A"/>
    <x v="5"/>
    <s v="PARAIPABA"/>
  </r>
  <r>
    <x v="217"/>
    <n v="0"/>
    <x v="351"/>
    <s v="07147804000167"/>
    <x v="28"/>
    <d v="2017-11-10T00:00:00"/>
    <n v="60"/>
    <n v="612.61"/>
    <s v="1/172096"/>
    <n v="1"/>
    <s v="A"/>
    <x v="12"/>
    <s v="COREAU"/>
  </r>
  <r>
    <x v="218"/>
    <n v="0"/>
    <x v="352"/>
    <s v="07147804000167"/>
    <x v="28"/>
    <d v="2017-11-10T00:00:00"/>
    <n v="70"/>
    <n v="496.92"/>
    <s v="1/172096"/>
    <n v="1"/>
    <s v="A"/>
    <x v="12"/>
    <s v="COREAU"/>
  </r>
  <r>
    <x v="219"/>
    <n v="0"/>
    <x v="353"/>
    <s v="04591828000112"/>
    <x v="32"/>
    <d v="2017-11-17T00:00:00"/>
    <n v="70"/>
    <n v="972.28"/>
    <s v="1/172480"/>
    <n v="1"/>
    <s v="A"/>
    <x v="15"/>
    <s v="EUSEBIO"/>
  </r>
  <r>
    <x v="220"/>
    <n v="0"/>
    <x v="354"/>
    <s v="07147804000167"/>
    <x v="28"/>
    <d v="2017-11-10T00:00:00"/>
    <n v="80"/>
    <n v="496.92"/>
    <s v="1/172096"/>
    <n v="1"/>
    <s v="A"/>
    <x v="12"/>
    <s v="COREAU"/>
  </r>
  <r>
    <x v="221"/>
    <n v="0"/>
    <x v="355"/>
    <s v="04591828000112"/>
    <x v="32"/>
    <d v="2017-11-21T00:00:00"/>
    <n v="70"/>
    <n v="279.93"/>
    <s v="1/172620"/>
    <n v="1"/>
    <s v="A"/>
    <x v="15"/>
    <s v="EUSEBIO"/>
  </r>
  <r>
    <x v="222"/>
    <n v="0"/>
    <x v="356"/>
    <s v="04591828000112"/>
    <x v="32"/>
    <d v="2017-11-24T00:00:00"/>
    <n v="70"/>
    <n v="294.33"/>
    <s v="1/172960"/>
    <n v="1"/>
    <s v="A"/>
    <x v="15"/>
    <s v="EUSEBIO"/>
  </r>
  <r>
    <x v="223"/>
    <n v="0"/>
    <x v="357"/>
    <s v="04591828000112"/>
    <x v="32"/>
    <d v="2017-11-28T00:00:00"/>
    <n v="70"/>
    <n v="480.88"/>
    <s v="1/173115"/>
    <n v="1"/>
    <s v="A"/>
    <x v="15"/>
    <s v="EUSEBIO"/>
  </r>
  <r>
    <x v="223"/>
    <n v="0"/>
    <x v="358"/>
    <s v="04591828000112"/>
    <x v="32"/>
    <d v="2017-11-28T00:00:00"/>
    <n v="70"/>
    <n v="951.39"/>
    <s v="1/173179"/>
    <n v="1"/>
    <s v="A"/>
    <x v="15"/>
    <s v="EUSEBIO"/>
  </r>
  <r>
    <x v="224"/>
    <n v="0"/>
    <x v="359"/>
    <s v="04591828000112"/>
    <x v="32"/>
    <d v="2017-11-30T00:00:00"/>
    <n v="70"/>
    <n v="179.12"/>
    <s v="1/173433"/>
    <n v="1"/>
    <s v="A"/>
    <x v="15"/>
    <s v="EUSEBIO"/>
  </r>
  <r>
    <x v="224"/>
    <n v="0"/>
    <x v="360"/>
    <s v="04591828000112"/>
    <x v="32"/>
    <d v="2017-11-30T00:00:00"/>
    <n v="70"/>
    <n v="721.49"/>
    <s v="1/173434"/>
    <n v="1"/>
    <s v="A"/>
    <x v="15"/>
    <s v="EUSEBIO"/>
  </r>
  <r>
    <x v="225"/>
    <n v="0"/>
    <x v="361"/>
    <s v="05471955000221"/>
    <x v="33"/>
    <d v="2017-12-06T00:00:00"/>
    <n v="70"/>
    <n v="363.09"/>
    <s v="1/173840"/>
    <n v="1"/>
    <s v="A"/>
    <x v="15"/>
    <s v="FORTALEZA"/>
  </r>
  <r>
    <x v="226"/>
    <n v="0"/>
    <x v="362"/>
    <s v="04591828000112"/>
    <x v="32"/>
    <d v="2017-12-07T00:00:00"/>
    <n v="70"/>
    <n v="334.99"/>
    <s v="1/173886"/>
    <n v="1"/>
    <s v="A"/>
    <x v="15"/>
    <s v="EUSEBIO"/>
  </r>
  <r>
    <x v="227"/>
    <n v="0"/>
    <x v="363"/>
    <s v="05471955000221"/>
    <x v="33"/>
    <d v="2017-12-13T00:00:00"/>
    <n v="70"/>
    <n v="1202.17"/>
    <s v="1/174460"/>
    <n v="1"/>
    <s v="A"/>
    <x v="15"/>
    <s v="FORTALEZA"/>
  </r>
  <r>
    <x v="228"/>
    <n v="0"/>
    <x v="364"/>
    <s v="04591828000112"/>
    <x v="32"/>
    <d v="2017-12-23T00:00:00"/>
    <n v="72"/>
    <n v="291.64"/>
    <s v="1/175346"/>
    <n v="1"/>
    <s v="A"/>
    <x v="15"/>
    <s v="EUSEBIO"/>
  </r>
  <r>
    <x v="229"/>
    <n v="0"/>
    <x v="365"/>
    <s v="08587058000195"/>
    <x v="34"/>
    <d v="2018-02-14T00:00:00"/>
    <n v="30"/>
    <n v="538.72"/>
    <s v="1/178088"/>
    <n v="1"/>
    <s v="A"/>
    <x v="16"/>
    <s v="JUAZEIRO DO NORTE"/>
  </r>
  <r>
    <x v="230"/>
    <n v="0"/>
    <x v="366"/>
    <s v="05471955000221"/>
    <x v="33"/>
    <d v="2018-01-09T00:00:00"/>
    <n v="70"/>
    <n v="1049.7"/>
    <s v="1/175775"/>
    <n v="1"/>
    <s v="A"/>
    <x v="15"/>
    <s v="FORTALEZA"/>
  </r>
  <r>
    <x v="230"/>
    <n v="0"/>
    <x v="367"/>
    <s v="04591828000112"/>
    <x v="32"/>
    <d v="2018-01-09T00:00:00"/>
    <n v="70"/>
    <n v="869.78"/>
    <s v="1/175781"/>
    <n v="1"/>
    <s v="A"/>
    <x v="15"/>
    <s v="EUSEBIO"/>
  </r>
  <r>
    <x v="231"/>
    <n v="0"/>
    <x v="368"/>
    <s v="05471955000221"/>
    <x v="33"/>
    <d v="2018-01-10T00:00:00"/>
    <n v="70"/>
    <n v="537.58000000000004"/>
    <s v="1/175849"/>
    <n v="1"/>
    <s v="A"/>
    <x v="15"/>
    <s v="FORTALEZA"/>
  </r>
  <r>
    <x v="232"/>
    <n v="0"/>
    <x v="369"/>
    <s v="08587058000195"/>
    <x v="34"/>
    <d v="2018-02-26T00:00:00"/>
    <n v="30"/>
    <n v="420.93"/>
    <s v="1/178930"/>
    <n v="1"/>
    <s v="A"/>
    <x v="16"/>
    <s v="JUAZEIRO DO NORTE"/>
  </r>
  <r>
    <x v="233"/>
    <n v="0"/>
    <x v="370"/>
    <s v="05471955000221"/>
    <x v="33"/>
    <d v="2018-01-19T00:00:00"/>
    <n v="70"/>
    <n v="1387.63"/>
    <s v="1/176490"/>
    <n v="1"/>
    <s v="A"/>
    <x v="15"/>
    <s v="FORTALEZA"/>
  </r>
  <r>
    <x v="234"/>
    <n v="0"/>
    <x v="371"/>
    <s v="08587058000195"/>
    <x v="34"/>
    <d v="2018-03-08T00:00:00"/>
    <n v="32"/>
    <n v="525.58000000000004"/>
    <s v="1/179723"/>
    <n v="1"/>
    <s v="A"/>
    <x v="16"/>
    <s v="JUAZEIRO DO NORTE"/>
  </r>
  <r>
    <x v="235"/>
    <n v="0"/>
    <x v="372"/>
    <s v="14620253000172"/>
    <x v="35"/>
    <d v="2018-01-25T00:00:00"/>
    <n v="78"/>
    <n v="311.42"/>
    <s v="1/176867"/>
    <n v="1"/>
    <s v="A"/>
    <x v="14"/>
    <s v="FORTALEZA"/>
  </r>
  <r>
    <x v="235"/>
    <n v="0"/>
    <x v="373"/>
    <s v="14620253000172"/>
    <x v="35"/>
    <d v="2018-02-08T00:00:00"/>
    <n v="64"/>
    <n v="253.66"/>
    <s v="1/177852"/>
    <n v="1"/>
    <s v="A"/>
    <x v="14"/>
    <s v="FORTALEZA"/>
  </r>
  <r>
    <x v="236"/>
    <n v="0"/>
    <x v="374"/>
    <s v="17138061000201"/>
    <x v="36"/>
    <d v="2018-03-16T00:00:00"/>
    <n v="59"/>
    <n v="332.15"/>
    <s v="1/180226"/>
    <n v="1"/>
    <s v="A"/>
    <x v="14"/>
    <s v="FORTALEZA"/>
  </r>
  <r>
    <x v="237"/>
    <n v="0"/>
    <x v="375"/>
    <s v="17138061000201"/>
    <x v="36"/>
    <d v="2018-03-23T00:00:00"/>
    <n v="59"/>
    <n v="345.16"/>
    <s v="1/180716"/>
    <n v="1"/>
    <s v="A"/>
    <x v="14"/>
    <s v="FORTALEZA"/>
  </r>
  <r>
    <x v="238"/>
    <n v="0"/>
    <x v="376"/>
    <s v="17138061000201"/>
    <x v="36"/>
    <d v="2018-03-16T00:00:00"/>
    <n v="69"/>
    <n v="332.15"/>
    <s v="1/180226"/>
    <n v="1"/>
    <s v="A"/>
    <x v="14"/>
    <s v="FORTALEZA"/>
  </r>
  <r>
    <x v="239"/>
    <n v="0"/>
    <x v="377"/>
    <s v="17138061000201"/>
    <x v="36"/>
    <d v="2018-03-09T00:00:00"/>
    <n v="80"/>
    <n v="385.6"/>
    <s v="1/179780"/>
    <n v="1"/>
    <s v="A"/>
    <x v="14"/>
    <s v="FORTALEZA"/>
  </r>
  <r>
    <x v="240"/>
    <n v="0"/>
    <x v="378"/>
    <s v="17138061000201"/>
    <x v="36"/>
    <d v="2018-04-19T00:00:00"/>
    <n v="40"/>
    <n v="404.07"/>
    <s v="1/182508"/>
    <n v="1"/>
    <s v="A"/>
    <x v="14"/>
    <s v="FORTALEZA"/>
  </r>
  <r>
    <x v="241"/>
    <n v="0"/>
    <x v="379"/>
    <s v="17138061000201"/>
    <x v="36"/>
    <d v="2018-03-23T00:00:00"/>
    <n v="69"/>
    <n v="345.16"/>
    <s v="1/180716"/>
    <n v="1"/>
    <s v="A"/>
    <x v="14"/>
    <s v="FORTALEZA"/>
  </r>
  <r>
    <x v="242"/>
    <n v="0"/>
    <x v="380"/>
    <s v="17138061000201"/>
    <x v="36"/>
    <d v="2018-03-09T00:00:00"/>
    <n v="89"/>
    <n v="385.6"/>
    <s v="1/179780"/>
    <n v="1"/>
    <s v="A"/>
    <x v="14"/>
    <s v="FORTALEZA"/>
  </r>
  <r>
    <x v="243"/>
    <n v="0"/>
    <x v="381"/>
    <s v="11811338000140"/>
    <x v="37"/>
    <d v="2018-04-09T00:00:00"/>
    <n v="60"/>
    <n v="467.52"/>
    <s v="1/181672"/>
    <n v="1"/>
    <s v="A"/>
    <x v="17"/>
    <s v="CAUCAIA"/>
  </r>
  <r>
    <x v="244"/>
    <n v="0"/>
    <x v="382"/>
    <s v="05582590000121"/>
    <x v="38"/>
    <d v="2018-06-04T00:00:00"/>
    <n v="7"/>
    <n v="1402.77"/>
    <s v="1/185712"/>
    <n v="1"/>
    <s v="A"/>
    <x v="4"/>
    <s v="FORTALEZA"/>
  </r>
  <r>
    <x v="245"/>
    <n v="0"/>
    <x v="383"/>
    <s v="11811338000140"/>
    <x v="37"/>
    <d v="2018-04-09T00:00:00"/>
    <n v="70"/>
    <n v="379.34"/>
    <s v="1/181672"/>
    <n v="1"/>
    <s v="A"/>
    <x v="17"/>
    <s v="CAUCAIA"/>
  </r>
  <r>
    <x v="246"/>
    <n v="0"/>
    <x v="384"/>
    <s v="11811338000140"/>
    <x v="37"/>
    <d v="2018-04-12T00:00:00"/>
    <n v="68"/>
    <n v="507.06"/>
    <s v="1/182040"/>
    <n v="1"/>
    <s v="A"/>
    <x v="17"/>
    <s v="CAUCAIA"/>
  </r>
  <r>
    <x v="247"/>
    <n v="0"/>
    <x v="385"/>
    <s v="11811338000140"/>
    <x v="37"/>
    <d v="2018-04-13T00:00:00"/>
    <n v="70"/>
    <n v="379.19"/>
    <s v="1/182182"/>
    <n v="1"/>
    <s v="A"/>
    <x v="17"/>
    <s v="CAUCAIA"/>
  </r>
  <r>
    <x v="248"/>
    <n v="0"/>
    <x v="386"/>
    <s v="11811338000140"/>
    <x v="37"/>
    <d v="2018-05-08T00:00:00"/>
    <n v="62"/>
    <n v="400.69"/>
    <s v="1/183875"/>
    <n v="1"/>
    <s v="A"/>
    <x v="17"/>
    <s v="CAUCAIA"/>
  </r>
  <r>
    <x v="249"/>
    <n v="0"/>
    <x v="387"/>
    <s v="28362555000100"/>
    <x v="39"/>
    <d v="2018-05-11T00:00:00"/>
    <n v="60"/>
    <n v="264.47000000000003"/>
    <s v="1/184095"/>
    <n v="1"/>
    <s v="A"/>
    <x v="17"/>
    <s v="FORTALEZA"/>
  </r>
  <r>
    <x v="250"/>
    <n v="0"/>
    <x v="388"/>
    <s v="17138061000201"/>
    <x v="36"/>
    <d v="2018-05-17T00:00:00"/>
    <n v="55"/>
    <n v="390.37"/>
    <s v="1/184550"/>
    <n v="1"/>
    <s v="A"/>
    <x v="14"/>
    <s v="FORTALEZA"/>
  </r>
  <r>
    <x v="251"/>
    <n v="0"/>
    <x v="389"/>
    <s v="17138061000201"/>
    <x v="36"/>
    <d v="2018-05-09T00:00:00"/>
    <n v="68"/>
    <n v="290.04000000000002"/>
    <s v="1/183915"/>
    <n v="1"/>
    <s v="A"/>
    <x v="14"/>
    <s v="FORTALEZA"/>
  </r>
  <r>
    <x v="251"/>
    <n v="0"/>
    <x v="390"/>
    <s v="17138061000201"/>
    <x v="36"/>
    <d v="2018-05-11T00:00:00"/>
    <n v="66"/>
    <n v="303.75"/>
    <s v="1/184213"/>
    <n v="1"/>
    <s v="A"/>
    <x v="14"/>
    <s v="FORTALEZA"/>
  </r>
  <r>
    <x v="251"/>
    <n v="0"/>
    <x v="391"/>
    <s v="17138061000201"/>
    <x v="36"/>
    <d v="2018-05-17T00:00:00"/>
    <n v="60"/>
    <n v="390.37"/>
    <s v="1/184550"/>
    <n v="1"/>
    <s v="A"/>
    <x v="14"/>
    <s v="FORTALEZA"/>
  </r>
  <r>
    <x v="251"/>
    <n v="0"/>
    <x v="392"/>
    <s v="17138061000201"/>
    <x v="36"/>
    <d v="2018-05-25T00:00:00"/>
    <n v="52"/>
    <n v="335.88"/>
    <s v="1/185098"/>
    <n v="1"/>
    <s v="A"/>
    <x v="14"/>
    <s v="FORTALEZA"/>
  </r>
  <r>
    <x v="252"/>
    <n v="0"/>
    <x v="393"/>
    <s v="11811338000140"/>
    <x v="37"/>
    <d v="2018-05-08T00:00:00"/>
    <n v="70"/>
    <n v="325.17"/>
    <s v="1/183875"/>
    <n v="1"/>
    <s v="A"/>
    <x v="17"/>
    <s v="CAUCAIA"/>
  </r>
  <r>
    <x v="252"/>
    <n v="0"/>
    <x v="394"/>
    <s v="17138061000201"/>
    <x v="36"/>
    <d v="2018-05-28T00:00:00"/>
    <n v="50"/>
    <n v="345.24"/>
    <s v="1/185196"/>
    <n v="1"/>
    <s v="A"/>
    <x v="14"/>
    <s v="FORTALEZA"/>
  </r>
  <r>
    <x v="253"/>
    <n v="0"/>
    <x v="395"/>
    <s v="17138061000201"/>
    <x v="36"/>
    <d v="2018-05-22T00:00:00"/>
    <n v="58"/>
    <n v="440.57"/>
    <s v="1/184835"/>
    <n v="1"/>
    <s v="A"/>
    <x v="14"/>
    <s v="FORTALEZA"/>
  </r>
  <r>
    <x v="254"/>
    <n v="0"/>
    <x v="396"/>
    <s v="17138061000201"/>
    <x v="36"/>
    <d v="2018-04-27T00:00:00"/>
    <n v="84"/>
    <n v="382.8"/>
    <s v="1/183227"/>
    <n v="1"/>
    <s v="A"/>
    <x v="14"/>
    <s v="FORTALEZA"/>
  </r>
  <r>
    <x v="255"/>
    <n v="0"/>
    <x v="397"/>
    <s v="17138061000201"/>
    <x v="36"/>
    <d v="2018-05-22T00:00:00"/>
    <n v="62"/>
    <n v="354.96"/>
    <s v="1/184829"/>
    <n v="1"/>
    <s v="A"/>
    <x v="14"/>
    <s v="FORTALEZA"/>
  </r>
  <r>
    <x v="256"/>
    <n v="0"/>
    <x v="398"/>
    <s v="17138061000201"/>
    <x v="36"/>
    <d v="2018-05-11T00:00:00"/>
    <n v="74"/>
    <n v="303.75"/>
    <s v="1/184213"/>
    <n v="1"/>
    <s v="A"/>
    <x v="14"/>
    <s v="FORTALEZA"/>
  </r>
  <r>
    <x v="256"/>
    <n v="0"/>
    <x v="399"/>
    <s v="17138061000201"/>
    <x v="36"/>
    <d v="2018-05-25T00:00:00"/>
    <n v="60"/>
    <n v="335.88"/>
    <s v="1/185098"/>
    <n v="1"/>
    <s v="A"/>
    <x v="14"/>
    <s v="FORTALEZA"/>
  </r>
  <r>
    <x v="257"/>
    <n v="0"/>
    <x v="400"/>
    <s v="17138061000201"/>
    <x v="36"/>
    <d v="2018-05-09T00:00:00"/>
    <n v="78"/>
    <n v="290.04000000000002"/>
    <s v="1/183915"/>
    <n v="1"/>
    <s v="A"/>
    <x v="14"/>
    <s v="FORTALEZA"/>
  </r>
  <r>
    <x v="258"/>
    <n v="0"/>
    <x v="401"/>
    <s v="11811338000140"/>
    <x v="37"/>
    <d v="2018-05-08T00:00:00"/>
    <n v="80"/>
    <n v="325.17"/>
    <s v="1/183875"/>
    <n v="1"/>
    <s v="A"/>
    <x v="17"/>
    <s v="CAUCAIA"/>
  </r>
  <r>
    <x v="258"/>
    <n v="0"/>
    <x v="402"/>
    <s v="17138061000201"/>
    <x v="36"/>
    <d v="2018-05-28T00:00:00"/>
    <n v="60"/>
    <n v="345.24"/>
    <s v="1/185196"/>
    <n v="1"/>
    <s v="A"/>
    <x v="14"/>
    <s v="FORTALEZA"/>
  </r>
  <r>
    <x v="259"/>
    <n v="0"/>
    <x v="403"/>
    <s v="17138061000201"/>
    <x v="36"/>
    <d v="2018-04-27T00:00:00"/>
    <n v="94"/>
    <n v="382.8"/>
    <s v="1/183227"/>
    <n v="1"/>
    <s v="A"/>
    <x v="14"/>
    <s v="FORTALEZA"/>
  </r>
  <r>
    <x v="259"/>
    <n v="0"/>
    <x v="404"/>
    <s v="17138061000201"/>
    <x v="36"/>
    <d v="2018-05-09T00:00:00"/>
    <n v="82"/>
    <n v="365.2"/>
    <s v="1/183917"/>
    <n v="1"/>
    <s v="A"/>
    <x v="14"/>
    <s v="FORTALEZA"/>
  </r>
  <r>
    <x v="259"/>
    <n v="0"/>
    <x v="405"/>
    <s v="17138061000201"/>
    <x v="36"/>
    <d v="2018-05-22T00:00:00"/>
    <n v="69"/>
    <n v="357.49"/>
    <s v="1/184835"/>
    <n v="1"/>
    <s v="A"/>
    <x v="14"/>
    <s v="FORTALEZA"/>
  </r>
  <r>
    <x v="259"/>
    <n v="0"/>
    <x v="406"/>
    <s v="17138061000201"/>
    <x v="36"/>
    <d v="2018-06-04T00:00:00"/>
    <n v="56"/>
    <n v="283.39999999999998"/>
    <s v="1/185649"/>
    <n v="1"/>
    <s v="A"/>
    <x v="14"/>
    <s v="FORTALEZA"/>
  </r>
  <r>
    <x v="259"/>
    <n v="0"/>
    <x v="407"/>
    <s v="04906082000199"/>
    <x v="40"/>
    <d v="2018-05-24T00:00:00"/>
    <n v="67"/>
    <n v="402.26"/>
    <s v="1/184992"/>
    <n v="1"/>
    <s v="A"/>
    <x v="17"/>
    <s v="CAUCAIA"/>
  </r>
  <r>
    <x v="260"/>
    <n v="0"/>
    <x v="408"/>
    <s v="04906082000199"/>
    <x v="40"/>
    <d v="2018-06-12T00:00:00"/>
    <n v="51"/>
    <n v="342.71"/>
    <s v="1/186409"/>
    <n v="1"/>
    <s v="A"/>
    <x v="17"/>
    <s v="CAUCAIA"/>
  </r>
  <r>
    <x v="261"/>
    <n v="0"/>
    <x v="409"/>
    <s v="11811338000140"/>
    <x v="37"/>
    <d v="2018-06-04T00:00:00"/>
    <n v="60"/>
    <n v="387.57"/>
    <s v="1/185654"/>
    <n v="1"/>
    <s v="A"/>
    <x v="17"/>
    <s v="CAUCAIA"/>
  </r>
  <r>
    <x v="261"/>
    <n v="0"/>
    <x v="410"/>
    <s v="17138061000201"/>
    <x v="36"/>
    <d v="2018-05-11T00:00:00"/>
    <n v="84"/>
    <n v="303.75"/>
    <s v="1/184213"/>
    <n v="1"/>
    <s v="A"/>
    <x v="14"/>
    <s v="FORTALEZA"/>
  </r>
  <r>
    <x v="261"/>
    <n v="0"/>
    <x v="411"/>
    <s v="17138061000201"/>
    <x v="36"/>
    <d v="2018-05-25T00:00:00"/>
    <n v="70"/>
    <n v="335.89"/>
    <s v="1/185098"/>
    <n v="1"/>
    <s v="A"/>
    <x v="14"/>
    <s v="FORTALEZA"/>
  </r>
  <r>
    <x v="262"/>
    <n v="0"/>
    <x v="412"/>
    <s v="17138061000201"/>
    <x v="36"/>
    <d v="2018-06-08T00:00:00"/>
    <n v="59"/>
    <n v="262.57"/>
    <s v="1/186229"/>
    <n v="1"/>
    <s v="A"/>
    <x v="14"/>
    <s v="FORTALEZA"/>
  </r>
  <r>
    <x v="263"/>
    <n v="0"/>
    <x v="413"/>
    <s v="17138061000201"/>
    <x v="36"/>
    <d v="2018-06-08T00:00:00"/>
    <n v="60"/>
    <n v="484.81"/>
    <s v="1/186137"/>
    <n v="1"/>
    <s v="A"/>
    <x v="14"/>
    <s v="FORTALEZA"/>
  </r>
  <r>
    <x v="264"/>
    <n v="0"/>
    <x v="414"/>
    <s v="17138061000201"/>
    <x v="36"/>
    <d v="2018-05-22T00:00:00"/>
    <n v="78"/>
    <n v="357.49"/>
    <s v="1/184835"/>
    <n v="1"/>
    <s v="A"/>
    <x v="14"/>
    <s v="FORTALEZA"/>
  </r>
  <r>
    <x v="264"/>
    <n v="0"/>
    <x v="415"/>
    <s v="17138061000201"/>
    <x v="36"/>
    <d v="2018-06-04T00:00:00"/>
    <n v="65"/>
    <n v="216.59"/>
    <s v="1/185649"/>
    <n v="1"/>
    <s v="A"/>
    <x v="14"/>
    <s v="FORTALEZA"/>
  </r>
  <r>
    <x v="265"/>
    <n v="0"/>
    <x v="416"/>
    <s v="17138061000201"/>
    <x v="36"/>
    <d v="2018-06-15T00:00:00"/>
    <n v="55"/>
    <n v="450.68"/>
    <s v="1/186865"/>
    <n v="1"/>
    <s v="A"/>
    <x v="14"/>
    <s v="FORTALEZA"/>
  </r>
  <r>
    <x v="266"/>
    <n v="0"/>
    <x v="417"/>
    <s v="11811338000140"/>
    <x v="37"/>
    <d v="2018-06-04T00:00:00"/>
    <n v="70"/>
    <n v="317.27"/>
    <s v="1/185654"/>
    <n v="1"/>
    <s v="A"/>
    <x v="17"/>
    <s v="CAUCAIA"/>
  </r>
  <r>
    <x v="266"/>
    <n v="0"/>
    <x v="418"/>
    <s v="17138061000201"/>
    <x v="36"/>
    <d v="2018-06-04T00:00:00"/>
    <n v="70"/>
    <n v="141.01"/>
    <s v="1/185651"/>
    <n v="1"/>
    <s v="A"/>
    <x v="14"/>
    <s v="FORTALEZA"/>
  </r>
  <r>
    <x v="266"/>
    <n v="0"/>
    <x v="419"/>
    <s v="17138061000201"/>
    <x v="36"/>
    <d v="2018-06-12T00:00:00"/>
    <n v="62"/>
    <n v="297.91000000000003"/>
    <s v="1/186406"/>
    <n v="1"/>
    <s v="A"/>
    <x v="14"/>
    <s v="FORTALEZA"/>
  </r>
  <r>
    <x v="267"/>
    <n v="0"/>
    <x v="420"/>
    <s v="17138061000201"/>
    <x v="36"/>
    <d v="2018-06-21T00:00:00"/>
    <n v="55"/>
    <n v="352.33"/>
    <s v="1/187194"/>
    <n v="1"/>
    <s v="A"/>
    <x v="14"/>
    <s v="FORTALEZA"/>
  </r>
  <r>
    <x v="268"/>
    <n v="0"/>
    <x v="421"/>
    <s v="17138061000201"/>
    <x v="36"/>
    <d v="2018-06-08T00:00:00"/>
    <n v="70"/>
    <n v="393.35"/>
    <s v="1/186137"/>
    <n v="1"/>
    <s v="A"/>
    <x v="14"/>
    <s v="FORTALEZA"/>
  </r>
  <r>
    <x v="269"/>
    <n v="0"/>
    <x v="422"/>
    <s v="17138061000201"/>
    <x v="36"/>
    <d v="2018-06-04T00:00:00"/>
    <n v="77"/>
    <n v="216.59"/>
    <s v="1/185649"/>
    <n v="1"/>
    <s v="A"/>
    <x v="14"/>
    <s v="FORTALEZA"/>
  </r>
  <r>
    <x v="269"/>
    <n v="0"/>
    <x v="423"/>
    <s v="17138061000201"/>
    <x v="36"/>
    <d v="2018-06-15T00:00:00"/>
    <n v="66"/>
    <n v="349.41"/>
    <s v="1/186865"/>
    <n v="1"/>
    <s v="A"/>
    <x v="14"/>
    <s v="FORTALEZA"/>
  </r>
  <r>
    <x v="269"/>
    <n v="0"/>
    <x v="424"/>
    <s v="17138061000201"/>
    <x v="36"/>
    <d v="2018-06-21T00:00:00"/>
    <n v="60"/>
    <n v="274.8"/>
    <s v="1/187191"/>
    <n v="1"/>
    <s v="A"/>
    <x v="14"/>
    <s v="FORTALEZA"/>
  </r>
  <r>
    <x v="269"/>
    <n v="0"/>
    <x v="425"/>
    <s v="17138061000201"/>
    <x v="36"/>
    <d v="2018-06-26T00:00:00"/>
    <n v="55"/>
    <n v="344.15"/>
    <s v="1/187525"/>
    <n v="1"/>
    <s v="A"/>
    <x v="14"/>
    <s v="FORTALEZA"/>
  </r>
  <r>
    <x v="270"/>
    <n v="0"/>
    <x v="426"/>
    <s v="17138061000201"/>
    <x v="36"/>
    <d v="2018-06-12T00:00:00"/>
    <n v="70"/>
    <n v="242.65"/>
    <s v="1/186406"/>
    <n v="1"/>
    <s v="A"/>
    <x v="14"/>
    <s v="FORTALEZA"/>
  </r>
  <r>
    <x v="271"/>
    <n v="0"/>
    <x v="427"/>
    <s v="04906082000199"/>
    <x v="40"/>
    <d v="2018-06-08T00:00:00"/>
    <n v="75"/>
    <n v="206.3"/>
    <s v="1/186114"/>
    <n v="1"/>
    <s v="A"/>
    <x v="17"/>
    <s v="CAUCAIA"/>
  </r>
  <r>
    <x v="271"/>
    <n v="0"/>
    <x v="428"/>
    <s v="04906082000199"/>
    <x v="40"/>
    <d v="2018-06-12T00:00:00"/>
    <n v="71"/>
    <n v="278.2"/>
    <s v="1/186409"/>
    <n v="1"/>
    <s v="A"/>
    <x v="17"/>
    <s v="CAUCAIA"/>
  </r>
  <r>
    <x v="272"/>
    <n v="0"/>
    <x v="429"/>
    <s v="11811338000140"/>
    <x v="37"/>
    <d v="2018-06-04T00:00:00"/>
    <n v="80"/>
    <n v="317.27"/>
    <s v="1/185654"/>
    <n v="1"/>
    <s v="A"/>
    <x v="17"/>
    <s v="CAUCAIA"/>
  </r>
  <r>
    <x v="273"/>
    <n v="0"/>
    <x v="430"/>
    <s v="17138061000201"/>
    <x v="36"/>
    <d v="2018-06-15T00:00:00"/>
    <n v="70"/>
    <n v="114.72"/>
    <s v="1/186846"/>
    <n v="1"/>
    <s v="A"/>
    <x v="14"/>
    <s v="FORTALEZA"/>
  </r>
  <r>
    <x v="274"/>
    <n v="0"/>
    <x v="431"/>
    <s v="17138061000201"/>
    <x v="36"/>
    <d v="2018-06-08T00:00:00"/>
    <n v="80"/>
    <n v="393.35"/>
    <s v="1/186137"/>
    <n v="1"/>
    <s v="A"/>
    <x v="14"/>
    <s v="FORTALEZA"/>
  </r>
  <r>
    <x v="274"/>
    <n v="0"/>
    <x v="432"/>
    <s v="17138061000201"/>
    <x v="36"/>
    <d v="2018-06-08T00:00:00"/>
    <n v="80"/>
    <n v="227.48"/>
    <s v="1/186229"/>
    <n v="1"/>
    <s v="A"/>
    <x v="14"/>
    <s v="FORTALEZA"/>
  </r>
  <r>
    <x v="274"/>
    <n v="0"/>
    <x v="433"/>
    <s v="17138061000201"/>
    <x v="36"/>
    <d v="2018-06-21T00:00:00"/>
    <n v="67"/>
    <n v="269.14999999999998"/>
    <s v="1/187194"/>
    <n v="1"/>
    <s v="A"/>
    <x v="14"/>
    <s v="FORTALEZA"/>
  </r>
  <r>
    <x v="274"/>
    <n v="0"/>
    <x v="434"/>
    <s v="17138061000201"/>
    <x v="36"/>
    <d v="2018-06-29T00:00:00"/>
    <n v="59"/>
    <n v="332.92"/>
    <s v="1/187874"/>
    <n v="1"/>
    <s v="A"/>
    <x v="14"/>
    <s v="FORTALEZA"/>
  </r>
  <r>
    <x v="274"/>
    <n v="0"/>
    <x v="435"/>
    <s v="17138061000201"/>
    <x v="36"/>
    <d v="2018-07-09T00:00:00"/>
    <n v="49"/>
    <n v="367.67"/>
    <s v="1/188399"/>
    <n v="1"/>
    <s v="A"/>
    <x v="14"/>
    <s v="FORTALEZA"/>
  </r>
  <r>
    <x v="275"/>
    <n v="0"/>
    <x v="436"/>
    <s v="17138061000201"/>
    <x v="36"/>
    <d v="2018-06-04T00:00:00"/>
    <n v="85"/>
    <n v="216.59"/>
    <s v="1/185649"/>
    <n v="1"/>
    <s v="A"/>
    <x v="14"/>
    <s v="FORTALEZA"/>
  </r>
  <r>
    <x v="276"/>
    <n v="0"/>
    <x v="437"/>
    <s v="17138061000201"/>
    <x v="36"/>
    <d v="2018-06-15T00:00:00"/>
    <n v="75"/>
    <n v="349.41"/>
    <s v="1/186865"/>
    <n v="1"/>
    <s v="A"/>
    <x v="14"/>
    <s v="FORTALEZA"/>
  </r>
  <r>
    <x v="277"/>
    <n v="0"/>
    <x v="438"/>
    <s v="17138061000201"/>
    <x v="36"/>
    <d v="2018-06-26T00:00:00"/>
    <n v="65"/>
    <n v="262.91000000000003"/>
    <s v="1/187525"/>
    <n v="1"/>
    <s v="A"/>
    <x v="14"/>
    <s v="FORTALEZA"/>
  </r>
  <r>
    <x v="278"/>
    <n v="0"/>
    <x v="439"/>
    <s v="17138061000201"/>
    <x v="36"/>
    <d v="2018-06-12T00:00:00"/>
    <n v="80"/>
    <n v="242.65"/>
    <s v="1/186406"/>
    <n v="1"/>
    <s v="A"/>
    <x v="14"/>
    <s v="FORTALEZA"/>
  </r>
  <r>
    <x v="279"/>
    <n v="0"/>
    <x v="440"/>
    <s v="10474871000109"/>
    <x v="16"/>
    <d v="2018-09-11T00:00:00"/>
    <n v="20"/>
    <n v="376.72"/>
    <s v="1/193272"/>
    <n v="1"/>
    <s v="A"/>
    <x v="18"/>
    <s v="IRAUCUBA"/>
  </r>
  <r>
    <x v="280"/>
    <n v="0"/>
    <x v="441"/>
    <s v="28721113000103"/>
    <x v="41"/>
    <d v="2018-08-14T00:00:00"/>
    <n v="55"/>
    <n v="343.57"/>
    <s v="1/191193"/>
    <n v="1"/>
    <s v="A"/>
    <x v="14"/>
    <s v="FORTALEZA"/>
  </r>
  <r>
    <x v="281"/>
    <n v="0"/>
    <x v="442"/>
    <s v="28721113000103"/>
    <x v="41"/>
    <d v="2018-07-27T00:00:00"/>
    <n v="80"/>
    <n v="201.14"/>
    <s v="1/189781"/>
    <n v="1"/>
    <s v="A"/>
    <x v="14"/>
    <s v="FORTALEZA"/>
  </r>
  <r>
    <x v="282"/>
    <n v="0"/>
    <x v="443"/>
    <s v="07141427000159"/>
    <x v="42"/>
    <d v="2018-09-20T00:00:00"/>
    <n v="32"/>
    <n v="476.83"/>
    <s v="1/194328"/>
    <n v="1"/>
    <s v="A"/>
    <x v="16"/>
    <s v="CEDRO"/>
  </r>
  <r>
    <x v="283"/>
    <n v="0"/>
    <x v="444"/>
    <s v="28721113000103"/>
    <x v="41"/>
    <d v="2018-08-14T00:00:00"/>
    <n v="70"/>
    <n v="383.9"/>
    <s v="1/191194"/>
    <n v="1"/>
    <s v="A"/>
    <x v="14"/>
    <s v="FORTALEZA"/>
  </r>
  <r>
    <x v="284"/>
    <n v="0"/>
    <x v="445"/>
    <s v="07141427000159"/>
    <x v="42"/>
    <d v="2018-09-20T00:00:00"/>
    <n v="40"/>
    <n v="476.84"/>
    <s v="1/194328"/>
    <n v="1"/>
    <s v="A"/>
    <x v="16"/>
    <s v="CEDRO"/>
  </r>
  <r>
    <x v="285"/>
    <n v="0"/>
    <x v="446"/>
    <s v="28721113000103"/>
    <x v="41"/>
    <d v="2018-08-14T00:00:00"/>
    <n v="85"/>
    <n v="297.57"/>
    <s v="1/191193"/>
    <n v="1"/>
    <s v="A"/>
    <x v="14"/>
    <s v="FORTALEZA"/>
  </r>
  <r>
    <x v="286"/>
    <n v="0"/>
    <x v="447"/>
    <s v="10474871000109"/>
    <x v="16"/>
    <d v="2018-09-18T00:00:00"/>
    <n v="62"/>
    <n v="362.02"/>
    <s v="1/193937"/>
    <n v="1"/>
    <s v="A"/>
    <x v="18"/>
    <s v="IRAUCUBA"/>
  </r>
  <r>
    <x v="287"/>
    <n v="0"/>
    <x v="448"/>
    <s v="05582590000121"/>
    <x v="38"/>
    <d v="2018-09-21T00:00:00"/>
    <n v="60"/>
    <n v="1923.95"/>
    <s v="1/194394"/>
    <n v="1"/>
    <s v="A"/>
    <x v="4"/>
    <s v="FORTALEZA"/>
  </r>
  <r>
    <x v="287"/>
    <n v="0"/>
    <x v="449"/>
    <s v="05582590000121"/>
    <x v="38"/>
    <d v="2018-09-21T00:00:00"/>
    <n v="60"/>
    <n v="5405.72"/>
    <s v="1/194446"/>
    <n v="1"/>
    <s v="A"/>
    <x v="4"/>
    <s v="FORTALEZA"/>
  </r>
  <r>
    <x v="288"/>
    <n v="0"/>
    <x v="450"/>
    <s v="10474871000109"/>
    <x v="16"/>
    <d v="2018-09-18T00:00:00"/>
    <n v="70"/>
    <n v="295.01"/>
    <s v="1/193937"/>
    <n v="1"/>
    <s v="A"/>
    <x v="18"/>
    <s v="IRAUCUBA"/>
  </r>
  <r>
    <x v="289"/>
    <n v="0"/>
    <x v="451"/>
    <s v="28056866000133"/>
    <x v="43"/>
    <d v="2018-09-20T00:00:00"/>
    <n v="70"/>
    <n v="208.67"/>
    <s v="1/194350"/>
    <n v="1"/>
    <s v="A"/>
    <x v="17"/>
    <s v="FORTALEZA"/>
  </r>
  <r>
    <x v="289"/>
    <n v="0"/>
    <x v="452"/>
    <s v="28056866000133"/>
    <x v="43"/>
    <d v="2018-10-10T00:00:00"/>
    <n v="50"/>
    <n v="233.54"/>
    <s v="1/195848"/>
    <n v="1"/>
    <s v="A"/>
    <x v="17"/>
    <s v="FORTALEZA"/>
  </r>
  <r>
    <x v="290"/>
    <n v="0"/>
    <x v="453"/>
    <s v="10474871000109"/>
    <x v="16"/>
    <d v="2018-09-18T00:00:00"/>
    <n v="80"/>
    <n v="295.01"/>
    <s v="1/193937"/>
    <n v="1"/>
    <s v="A"/>
    <x v="18"/>
    <s v="IRAUCUBA"/>
  </r>
  <r>
    <x v="291"/>
    <n v="0"/>
    <x v="454"/>
    <s v="30527918000154"/>
    <x v="44"/>
    <d v="2018-10-23T00:00:00"/>
    <n v="50"/>
    <n v="1320.96"/>
    <s v="1/196872"/>
    <n v="1"/>
    <s v="A"/>
    <x v="17"/>
    <s v="FORTALEZA"/>
  </r>
  <r>
    <x v="292"/>
    <n v="0"/>
    <x v="455"/>
    <s v="05438731000137"/>
    <x v="45"/>
    <d v="2018-10-16T00:00:00"/>
    <n v="70"/>
    <n v="593.65"/>
    <s v="1/196245"/>
    <n v="1"/>
    <s v="A"/>
    <x v="15"/>
    <s v="FORTALEZA"/>
  </r>
  <r>
    <x v="292"/>
    <n v="0"/>
    <x v="456"/>
    <s v="02787831000423"/>
    <x v="46"/>
    <d v="2018-10-16T00:00:00"/>
    <n v="70"/>
    <n v="629.88"/>
    <s v="1/196315"/>
    <n v="1"/>
    <s v="A"/>
    <x v="15"/>
    <s v="FORTALEZA"/>
  </r>
  <r>
    <x v="292"/>
    <n v="0"/>
    <x v="457"/>
    <s v="02787831000504"/>
    <x v="47"/>
    <d v="2018-10-16T00:00:00"/>
    <n v="70"/>
    <n v="507.51"/>
    <s v="1/196320"/>
    <n v="1"/>
    <s v="A"/>
    <x v="15"/>
    <s v="FORTALEZA"/>
  </r>
  <r>
    <x v="292"/>
    <n v="0"/>
    <x v="458"/>
    <s v="02787831000180"/>
    <x v="48"/>
    <d v="2018-10-16T00:00:00"/>
    <n v="70"/>
    <n v="1534.48"/>
    <s v="1/196247"/>
    <n v="1"/>
    <s v="A"/>
    <x v="15"/>
    <s v="FORTALEZA"/>
  </r>
  <r>
    <x v="293"/>
    <n v="0"/>
    <x v="459"/>
    <s v="05438731000218"/>
    <x v="45"/>
    <d v="2018-10-17T00:00:00"/>
    <n v="70"/>
    <n v="352.25"/>
    <s v="1/196324"/>
    <n v="1"/>
    <s v="A"/>
    <x v="15"/>
    <s v="FORTALEZA"/>
  </r>
  <r>
    <x v="293"/>
    <n v="0"/>
    <x v="460"/>
    <s v="05438731000307"/>
    <x v="45"/>
    <d v="2018-10-17T00:00:00"/>
    <n v="70"/>
    <n v="305.58999999999997"/>
    <s v="1/196360"/>
    <n v="1"/>
    <s v="A"/>
    <x v="15"/>
    <s v="FORTALEZA"/>
  </r>
  <r>
    <x v="293"/>
    <n v="0"/>
    <x v="461"/>
    <s v="02787831000938"/>
    <x v="49"/>
    <d v="2018-10-17T00:00:00"/>
    <n v="70"/>
    <n v="439.4"/>
    <s v="1/196334"/>
    <n v="1"/>
    <s v="A"/>
    <x v="15"/>
    <s v="FORTALEZA"/>
  </r>
  <r>
    <x v="293"/>
    <n v="0"/>
    <x v="462"/>
    <s v="02787831000261"/>
    <x v="50"/>
    <d v="2018-10-17T00:00:00"/>
    <n v="70"/>
    <n v="1036.0999999999999"/>
    <s v="1/196326"/>
    <n v="1"/>
    <s v="A"/>
    <x v="15"/>
    <s v="FORTALEZA"/>
  </r>
  <r>
    <x v="293"/>
    <n v="0"/>
    <x v="463"/>
    <s v="02787831000695"/>
    <x v="51"/>
    <d v="2018-10-17T00:00:00"/>
    <n v="70"/>
    <n v="530.57000000000005"/>
    <s v="1/196321"/>
    <n v="1"/>
    <s v="A"/>
    <x v="15"/>
    <s v="FORTALEZA"/>
  </r>
  <r>
    <x v="293"/>
    <n v="0"/>
    <x v="464"/>
    <s v="02787831000776"/>
    <x v="52"/>
    <d v="2018-10-17T00:00:00"/>
    <n v="70"/>
    <n v="389.57"/>
    <s v="1/196325"/>
    <n v="1"/>
    <s v="A"/>
    <x v="15"/>
    <s v="FORTALEZA"/>
  </r>
  <r>
    <x v="293"/>
    <n v="0"/>
    <x v="465"/>
    <s v="02787831000857"/>
    <x v="53"/>
    <d v="2018-10-17T00:00:00"/>
    <n v="70"/>
    <n v="361.23"/>
    <s v="1/196323"/>
    <n v="1"/>
    <s v="A"/>
    <x v="15"/>
    <s v="FORTALEZA"/>
  </r>
  <r>
    <x v="294"/>
    <n v="0"/>
    <x v="466"/>
    <s v="05438731000307"/>
    <x v="45"/>
    <d v="2018-10-18T00:00:00"/>
    <n v="70"/>
    <n v="330.36"/>
    <s v="1/196441"/>
    <n v="1"/>
    <s v="A"/>
    <x v="15"/>
    <s v="FORTALEZA"/>
  </r>
  <r>
    <x v="294"/>
    <n v="0"/>
    <x v="467"/>
    <s v="02787831000504"/>
    <x v="47"/>
    <d v="2018-10-18T00:00:00"/>
    <n v="70"/>
    <n v="294.76"/>
    <s v="1/196433"/>
    <n v="1"/>
    <s v="A"/>
    <x v="15"/>
    <s v="FORTALEZA"/>
  </r>
  <r>
    <x v="294"/>
    <n v="0"/>
    <x v="468"/>
    <s v="02787831000695"/>
    <x v="51"/>
    <d v="2018-10-18T00:00:00"/>
    <n v="70"/>
    <n v="169.93"/>
    <s v="1/196438"/>
    <n v="1"/>
    <s v="A"/>
    <x v="15"/>
    <s v="FORTALEZA"/>
  </r>
  <r>
    <x v="294"/>
    <n v="0"/>
    <x v="469"/>
    <s v="02787831000180"/>
    <x v="48"/>
    <d v="2018-10-18T00:00:00"/>
    <n v="70"/>
    <n v="691.49"/>
    <s v="1/196437"/>
    <n v="1"/>
    <s v="A"/>
    <x v="15"/>
    <s v="FORTALEZA"/>
  </r>
  <r>
    <x v="295"/>
    <n v="0"/>
    <x v="470"/>
    <s v="02787831000180"/>
    <x v="48"/>
    <d v="2018-10-19T00:00:00"/>
    <n v="70"/>
    <n v="1165.02"/>
    <s v="1/196583"/>
    <n v="1"/>
    <s v="A"/>
    <x v="15"/>
    <s v="FORTALEZA"/>
  </r>
  <r>
    <x v="296"/>
    <n v="0"/>
    <x v="471"/>
    <s v="08760937000177"/>
    <x v="54"/>
    <d v="2018-12-10T00:00:00"/>
    <n v="21"/>
    <n v="613.23"/>
    <s v="1/201053"/>
    <n v="1"/>
    <s v="A"/>
    <x v="18"/>
    <s v="PENTECOSTE"/>
  </r>
  <r>
    <x v="296"/>
    <n v="0"/>
    <x v="472"/>
    <s v="05438731000218"/>
    <x v="45"/>
    <d v="2018-10-22T00:00:00"/>
    <n v="70"/>
    <n v="398.84"/>
    <s v="1/196762"/>
    <n v="1"/>
    <s v="A"/>
    <x v="15"/>
    <s v="FORTALEZA"/>
  </r>
  <r>
    <x v="297"/>
    <n v="0"/>
    <x v="473"/>
    <s v="05438731000137"/>
    <x v="45"/>
    <d v="2018-10-23T00:00:00"/>
    <n v="70"/>
    <n v="107.9"/>
    <s v="1/196839"/>
    <n v="1"/>
    <s v="A"/>
    <x v="15"/>
    <s v="FORTALEZA"/>
  </r>
  <r>
    <x v="297"/>
    <n v="0"/>
    <x v="474"/>
    <s v="05438731000307"/>
    <x v="45"/>
    <d v="2018-10-23T00:00:00"/>
    <n v="70"/>
    <n v="194.17"/>
    <s v="1/196799"/>
    <n v="1"/>
    <s v="A"/>
    <x v="15"/>
    <s v="FORTALEZA"/>
  </r>
  <r>
    <x v="297"/>
    <n v="0"/>
    <x v="475"/>
    <s v="02787831000261"/>
    <x v="50"/>
    <d v="2018-10-23T00:00:00"/>
    <n v="70"/>
    <n v="250.64"/>
    <s v="1/196804"/>
    <n v="1"/>
    <s v="A"/>
    <x v="15"/>
    <s v="FORTALEZA"/>
  </r>
  <r>
    <x v="297"/>
    <n v="0"/>
    <x v="476"/>
    <s v="02787831000342"/>
    <x v="55"/>
    <d v="2018-10-23T00:00:00"/>
    <n v="70"/>
    <n v="195.84"/>
    <s v="1/196838"/>
    <n v="1"/>
    <s v="A"/>
    <x v="15"/>
    <s v="FORTALEZA"/>
  </r>
  <r>
    <x v="297"/>
    <n v="0"/>
    <x v="477"/>
    <s v="02787831000504"/>
    <x v="47"/>
    <d v="2018-10-23T00:00:00"/>
    <n v="70"/>
    <n v="482.46"/>
    <s v="1/196800"/>
    <n v="1"/>
    <s v="A"/>
    <x v="15"/>
    <s v="FORTALEZA"/>
  </r>
  <r>
    <x v="297"/>
    <n v="0"/>
    <x v="478"/>
    <s v="02787831000695"/>
    <x v="51"/>
    <d v="2018-10-23T00:00:00"/>
    <n v="70"/>
    <n v="136.81"/>
    <s v="1/196805"/>
    <n v="1"/>
    <s v="A"/>
    <x v="15"/>
    <s v="FORTALEZA"/>
  </r>
  <r>
    <x v="297"/>
    <n v="0"/>
    <x v="479"/>
    <s v="02787831000857"/>
    <x v="53"/>
    <d v="2018-10-23T00:00:00"/>
    <n v="70"/>
    <n v="116.92"/>
    <s v="1/196798"/>
    <n v="1"/>
    <s v="A"/>
    <x v="15"/>
    <s v="FORTALEZA"/>
  </r>
  <r>
    <x v="297"/>
    <n v="0"/>
    <x v="480"/>
    <s v="02787831000180"/>
    <x v="48"/>
    <d v="2018-10-23T00:00:00"/>
    <n v="70"/>
    <n v="422.82"/>
    <s v="1/196837"/>
    <n v="1"/>
    <s v="A"/>
    <x v="15"/>
    <s v="FORTALEZA"/>
  </r>
  <r>
    <x v="298"/>
    <n v="0"/>
    <x v="481"/>
    <s v="05582590000121"/>
    <x v="38"/>
    <d v="2018-10-24T00:00:00"/>
    <n v="70"/>
    <n v="356.46"/>
    <s v="1/197006"/>
    <n v="1"/>
    <s v="A"/>
    <x v="4"/>
    <s v="FORTALEZA"/>
  </r>
  <r>
    <x v="299"/>
    <n v="0"/>
    <x v="482"/>
    <s v="05438731000307"/>
    <x v="45"/>
    <d v="2018-10-26T00:00:00"/>
    <n v="70"/>
    <n v="274.19"/>
    <s v="1/197237"/>
    <n v="1"/>
    <s v="A"/>
    <x v="15"/>
    <s v="FORTALEZA"/>
  </r>
  <r>
    <x v="299"/>
    <n v="0"/>
    <x v="483"/>
    <s v="02787831000180"/>
    <x v="48"/>
    <d v="2018-10-26T00:00:00"/>
    <n v="70"/>
    <n v="699.62"/>
    <s v="1/197236"/>
    <n v="1"/>
    <s v="A"/>
    <x v="15"/>
    <s v="FORTALEZA"/>
  </r>
  <r>
    <x v="300"/>
    <n v="0"/>
    <x v="484"/>
    <s v="05438731000307"/>
    <x v="45"/>
    <d v="2018-10-29T00:00:00"/>
    <n v="70"/>
    <n v="1026.58"/>
    <s v="1/197302"/>
    <n v="1"/>
    <s v="A"/>
    <x v="15"/>
    <s v="FORTALEZA"/>
  </r>
  <r>
    <x v="300"/>
    <n v="0"/>
    <x v="485"/>
    <s v="02787831000180"/>
    <x v="48"/>
    <d v="2018-10-29T00:00:00"/>
    <n v="70"/>
    <n v="2562.42"/>
    <s v="1/197287"/>
    <n v="1"/>
    <s v="A"/>
    <x v="15"/>
    <s v="FORTALEZA"/>
  </r>
  <r>
    <x v="300"/>
    <n v="0"/>
    <x v="486"/>
    <s v="02787831000180"/>
    <x v="48"/>
    <d v="2018-10-29T00:00:00"/>
    <n v="70"/>
    <n v="732.35"/>
    <s v="1/197306"/>
    <n v="1"/>
    <s v="A"/>
    <x v="15"/>
    <s v="FORTALEZA"/>
  </r>
  <r>
    <x v="300"/>
    <n v="0"/>
    <x v="487"/>
    <s v="30527918000154"/>
    <x v="44"/>
    <d v="2018-11-21T00:00:00"/>
    <n v="47"/>
    <n v="390.99"/>
    <s v="1/199321"/>
    <n v="1"/>
    <s v="A"/>
    <x v="17"/>
    <s v="FORTALEZA"/>
  </r>
  <r>
    <x v="301"/>
    <n v="0"/>
    <x v="488"/>
    <s v="08760937000177"/>
    <x v="54"/>
    <d v="2018-12-10T00:00:00"/>
    <n v="30"/>
    <n v="613.23"/>
    <s v="1/201053"/>
    <n v="1"/>
    <s v="A"/>
    <x v="18"/>
    <s v="PENTECOSTE"/>
  </r>
  <r>
    <x v="301"/>
    <n v="0"/>
    <x v="489"/>
    <s v="05438731000137"/>
    <x v="45"/>
    <d v="2018-10-31T00:00:00"/>
    <n v="70"/>
    <n v="355.21"/>
    <s v="1/197710"/>
    <n v="1"/>
    <s v="A"/>
    <x v="15"/>
    <s v="FORTALEZA"/>
  </r>
  <r>
    <x v="301"/>
    <n v="0"/>
    <x v="490"/>
    <s v="05438731000218"/>
    <x v="45"/>
    <d v="2018-10-31T00:00:00"/>
    <n v="70"/>
    <n v="374.14"/>
    <s v="1/197712"/>
    <n v="1"/>
    <s v="A"/>
    <x v="15"/>
    <s v="FORTALEZA"/>
  </r>
  <r>
    <x v="301"/>
    <n v="0"/>
    <x v="491"/>
    <s v="05438731000307"/>
    <x v="45"/>
    <d v="2018-10-31T00:00:00"/>
    <n v="70"/>
    <n v="621.34"/>
    <s v="1/197705"/>
    <n v="1"/>
    <s v="A"/>
    <x v="15"/>
    <s v="FORTALEZA"/>
  </r>
  <r>
    <x v="301"/>
    <n v="0"/>
    <x v="492"/>
    <s v="02787831000261"/>
    <x v="50"/>
    <d v="2018-10-31T00:00:00"/>
    <n v="70"/>
    <n v="459.3"/>
    <s v="1/197708"/>
    <n v="1"/>
    <s v="A"/>
    <x v="15"/>
    <s v="FORTALEZA"/>
  </r>
  <r>
    <x v="301"/>
    <n v="0"/>
    <x v="493"/>
    <s v="02787831000342"/>
    <x v="55"/>
    <d v="2018-10-31T00:00:00"/>
    <n v="70"/>
    <n v="703.39"/>
    <s v="1/197713"/>
    <n v="1"/>
    <s v="A"/>
    <x v="15"/>
    <s v="FORTALEZA"/>
  </r>
  <r>
    <x v="301"/>
    <n v="0"/>
    <x v="494"/>
    <s v="02787831000504"/>
    <x v="47"/>
    <d v="2018-10-31T00:00:00"/>
    <n v="70"/>
    <n v="594.65"/>
    <s v="1/197683"/>
    <n v="1"/>
    <s v="A"/>
    <x v="15"/>
    <s v="FORTALEZA"/>
  </r>
  <r>
    <x v="301"/>
    <n v="0"/>
    <x v="495"/>
    <s v="02787831000695"/>
    <x v="51"/>
    <d v="2018-10-31T00:00:00"/>
    <n v="70"/>
    <n v="544.88"/>
    <s v="1/197704"/>
    <n v="1"/>
    <s v="A"/>
    <x v="15"/>
    <s v="FORTALEZA"/>
  </r>
  <r>
    <x v="301"/>
    <n v="0"/>
    <x v="496"/>
    <s v="02787831000857"/>
    <x v="53"/>
    <d v="2018-10-31T00:00:00"/>
    <n v="70"/>
    <n v="737.68"/>
    <s v="1/197702"/>
    <n v="1"/>
    <s v="A"/>
    <x v="15"/>
    <s v="FORTALEZA"/>
  </r>
  <r>
    <x v="301"/>
    <n v="0"/>
    <x v="497"/>
    <s v="02787831000180"/>
    <x v="48"/>
    <d v="2018-10-31T00:00:00"/>
    <n v="70"/>
    <n v="525.49"/>
    <s v="1/197718"/>
    <n v="1"/>
    <s v="A"/>
    <x v="15"/>
    <s v="FORTALEZA"/>
  </r>
  <r>
    <x v="302"/>
    <n v="0"/>
    <x v="498"/>
    <s v="05582590000121"/>
    <x v="38"/>
    <d v="2018-10-24T00:00:00"/>
    <n v="82"/>
    <n v="356.46"/>
    <s v="1/197006"/>
    <n v="1"/>
    <s v="A"/>
    <x v="4"/>
    <s v="FORTALEZA"/>
  </r>
  <r>
    <x v="302"/>
    <n v="0"/>
    <x v="499"/>
    <s v="02787831000261"/>
    <x v="50"/>
    <d v="2018-11-05T00:00:00"/>
    <n v="70"/>
    <n v="84.49"/>
    <s v="1/197825"/>
    <n v="1"/>
    <s v="A"/>
    <x v="15"/>
    <s v="FORTALEZA"/>
  </r>
  <r>
    <x v="302"/>
    <n v="0"/>
    <x v="500"/>
    <s v="02787831000342"/>
    <x v="55"/>
    <d v="2018-11-05T00:00:00"/>
    <n v="70"/>
    <n v="99.25"/>
    <s v="1/197834"/>
    <n v="1"/>
    <s v="A"/>
    <x v="15"/>
    <s v="FORTALEZA"/>
  </r>
  <r>
    <x v="302"/>
    <n v="0"/>
    <x v="501"/>
    <s v="02787831000504"/>
    <x v="47"/>
    <d v="2018-11-05T00:00:00"/>
    <n v="70"/>
    <n v="631.51"/>
    <s v="1/197824"/>
    <n v="1"/>
    <s v="A"/>
    <x v="15"/>
    <s v="FORTALEZA"/>
  </r>
  <r>
    <x v="302"/>
    <n v="0"/>
    <x v="502"/>
    <s v="02787831000776"/>
    <x v="52"/>
    <d v="2018-11-05T00:00:00"/>
    <n v="70"/>
    <n v="189.61"/>
    <s v="1/197830"/>
    <n v="1"/>
    <s v="A"/>
    <x v="15"/>
    <s v="FORTALEZA"/>
  </r>
  <r>
    <x v="302"/>
    <n v="0"/>
    <x v="503"/>
    <s v="02787831000857"/>
    <x v="53"/>
    <d v="2018-11-05T00:00:00"/>
    <n v="70"/>
    <n v="81.09"/>
    <s v="1/197831"/>
    <n v="1"/>
    <s v="A"/>
    <x v="15"/>
    <s v="FORTALEZA"/>
  </r>
  <r>
    <x v="302"/>
    <n v="0"/>
    <x v="504"/>
    <s v="02787831000180"/>
    <x v="48"/>
    <d v="2018-11-05T00:00:00"/>
    <n v="70"/>
    <n v="1103.28"/>
    <s v="1/197845"/>
    <n v="1"/>
    <s v="A"/>
    <x v="15"/>
    <s v="FORTALEZA"/>
  </r>
  <r>
    <x v="303"/>
    <n v="0"/>
    <x v="505"/>
    <s v="05438731000307"/>
    <x v="45"/>
    <d v="2018-11-06T00:00:00"/>
    <n v="70"/>
    <n v="74.510000000000005"/>
    <s v="1/197952"/>
    <n v="1"/>
    <s v="A"/>
    <x v="15"/>
    <s v="FORTALEZA"/>
  </r>
  <r>
    <x v="304"/>
    <n v="0"/>
    <x v="506"/>
    <s v="02787831000938"/>
    <x v="49"/>
    <d v="2018-11-09T00:00:00"/>
    <n v="70"/>
    <n v="301.74"/>
    <s v="1/198417"/>
    <n v="1"/>
    <s v="A"/>
    <x v="15"/>
    <s v="FORTALEZA"/>
  </r>
  <r>
    <x v="304"/>
    <n v="0"/>
    <x v="507"/>
    <s v="02787831000261"/>
    <x v="50"/>
    <d v="2018-11-09T00:00:00"/>
    <n v="70"/>
    <n v="339.42"/>
    <s v="1/198439"/>
    <n v="1"/>
    <s v="A"/>
    <x v="15"/>
    <s v="FORTALEZA"/>
  </r>
  <r>
    <x v="304"/>
    <n v="0"/>
    <x v="508"/>
    <s v="02787831000504"/>
    <x v="47"/>
    <d v="2018-11-09T00:00:00"/>
    <n v="70"/>
    <n v="324.68"/>
    <s v="1/198419"/>
    <n v="1"/>
    <s v="A"/>
    <x v="15"/>
    <s v="FORTALEZA"/>
  </r>
  <r>
    <x v="304"/>
    <n v="0"/>
    <x v="509"/>
    <s v="02787831000695"/>
    <x v="51"/>
    <d v="2018-11-09T00:00:00"/>
    <n v="70"/>
    <n v="303.48"/>
    <s v="1/198436"/>
    <n v="1"/>
    <s v="A"/>
    <x v="15"/>
    <s v="FORTALEZA"/>
  </r>
  <r>
    <x v="304"/>
    <n v="0"/>
    <x v="510"/>
    <s v="02787831000180"/>
    <x v="48"/>
    <d v="2018-11-09T00:00:00"/>
    <n v="70"/>
    <n v="747.86"/>
    <s v="1/198422"/>
    <n v="1"/>
    <s v="A"/>
    <x v="15"/>
    <s v="FORTALEZA"/>
  </r>
  <r>
    <x v="305"/>
    <n v="0"/>
    <x v="511"/>
    <s v="08760937000177"/>
    <x v="54"/>
    <d v="2018-12-10T00:00:00"/>
    <n v="42"/>
    <n v="613.23"/>
    <s v="1/201053"/>
    <n v="1"/>
    <s v="A"/>
    <x v="18"/>
    <s v="PENTECOSTE"/>
  </r>
  <r>
    <x v="305"/>
    <n v="0"/>
    <x v="512"/>
    <s v="05438731000218"/>
    <x v="45"/>
    <d v="2018-11-12T00:00:00"/>
    <n v="70"/>
    <n v="84.33"/>
    <s v="1/198579"/>
    <n v="1"/>
    <s v="A"/>
    <x v="15"/>
    <s v="FORTALEZA"/>
  </r>
  <r>
    <x v="305"/>
    <n v="0"/>
    <x v="513"/>
    <s v="05438731000307"/>
    <x v="45"/>
    <d v="2018-11-12T00:00:00"/>
    <n v="70"/>
    <n v="209.37"/>
    <s v="1/198590"/>
    <n v="1"/>
    <s v="A"/>
    <x v="15"/>
    <s v="FORTALEZA"/>
  </r>
  <r>
    <x v="305"/>
    <n v="0"/>
    <x v="514"/>
    <s v="02787831000261"/>
    <x v="50"/>
    <d v="2018-11-12T00:00:00"/>
    <n v="70"/>
    <n v="174.27"/>
    <s v="1/198587"/>
    <n v="1"/>
    <s v="A"/>
    <x v="15"/>
    <s v="FORTALEZA"/>
  </r>
  <r>
    <x v="305"/>
    <n v="0"/>
    <x v="515"/>
    <s v="02787831000342"/>
    <x v="55"/>
    <d v="2018-11-12T00:00:00"/>
    <n v="70"/>
    <n v="65.19"/>
    <s v="1/198578"/>
    <n v="1"/>
    <s v="A"/>
    <x v="15"/>
    <s v="FORTALEZA"/>
  </r>
  <r>
    <x v="305"/>
    <n v="0"/>
    <x v="516"/>
    <s v="02787831000423"/>
    <x v="46"/>
    <d v="2018-11-12T00:00:00"/>
    <n v="70"/>
    <n v="158.79"/>
    <s v="1/198602"/>
    <n v="1"/>
    <s v="A"/>
    <x v="15"/>
    <s v="FORTALEZA"/>
  </r>
  <r>
    <x v="305"/>
    <n v="0"/>
    <x v="517"/>
    <s v="02787831000504"/>
    <x v="47"/>
    <d v="2018-11-12T00:00:00"/>
    <n v="70"/>
    <n v="431.48"/>
    <s v="1/198601"/>
    <n v="1"/>
    <s v="A"/>
    <x v="15"/>
    <s v="FORTALEZA"/>
  </r>
  <r>
    <x v="305"/>
    <n v="0"/>
    <x v="518"/>
    <s v="02787831000695"/>
    <x v="51"/>
    <d v="2018-11-12T00:00:00"/>
    <n v="70"/>
    <n v="26.54"/>
    <s v="1/198591"/>
    <n v="1"/>
    <s v="A"/>
    <x v="15"/>
    <s v="FORTALEZA"/>
  </r>
  <r>
    <x v="305"/>
    <n v="0"/>
    <x v="519"/>
    <s v="02787831000857"/>
    <x v="53"/>
    <d v="2018-11-12T00:00:00"/>
    <n v="70"/>
    <n v="106.08"/>
    <s v="1/198589"/>
    <n v="1"/>
    <s v="A"/>
    <x v="15"/>
    <s v="FORTALEZA"/>
  </r>
  <r>
    <x v="305"/>
    <n v="0"/>
    <x v="520"/>
    <s v="02787831000180"/>
    <x v="48"/>
    <d v="2018-11-12T00:00:00"/>
    <n v="70"/>
    <n v="2638.69"/>
    <s v="1/198598"/>
    <n v="1"/>
    <s v="A"/>
    <x v="15"/>
    <s v="FORTALEZA"/>
  </r>
  <r>
    <x v="306"/>
    <n v="0"/>
    <x v="521"/>
    <s v="05582590000121"/>
    <x v="38"/>
    <d v="2018-10-24T00:00:00"/>
    <n v="90"/>
    <n v="356.46"/>
    <s v="1/197006"/>
    <n v="1"/>
    <s v="A"/>
    <x v="4"/>
    <s v="FORTALEZA"/>
  </r>
  <r>
    <x v="307"/>
    <n v="0"/>
    <x v="522"/>
    <s v="08760937000177"/>
    <x v="54"/>
    <d v="2018-12-10T00:00:00"/>
    <n v="50"/>
    <n v="613.21"/>
    <s v="1/201053"/>
    <n v="1"/>
    <s v="A"/>
    <x v="18"/>
    <s v="PENTECOSTE"/>
  </r>
  <r>
    <x v="307"/>
    <n v="0"/>
    <x v="523"/>
    <s v="05438731000137"/>
    <x v="45"/>
    <d v="2018-11-20T00:00:00"/>
    <n v="70"/>
    <n v="445.85"/>
    <s v="1/199252"/>
    <n v="1"/>
    <s v="A"/>
    <x v="15"/>
    <s v="FORTALEZA"/>
  </r>
  <r>
    <x v="307"/>
    <n v="0"/>
    <x v="524"/>
    <s v="05438731000218"/>
    <x v="45"/>
    <d v="2018-11-20T00:00:00"/>
    <n v="70"/>
    <n v="422.79"/>
    <s v="1/199229"/>
    <n v="1"/>
    <s v="A"/>
    <x v="15"/>
    <s v="FORTALEZA"/>
  </r>
  <r>
    <x v="307"/>
    <n v="0"/>
    <x v="525"/>
    <s v="05438731000307"/>
    <x v="45"/>
    <d v="2018-11-20T00:00:00"/>
    <n v="70"/>
    <n v="386.48"/>
    <s v="1/199174"/>
    <n v="1"/>
    <s v="A"/>
    <x v="15"/>
    <s v="FORTALEZA"/>
  </r>
  <r>
    <x v="307"/>
    <n v="0"/>
    <x v="526"/>
    <s v="05438731000307"/>
    <x v="45"/>
    <d v="2018-11-20T00:00:00"/>
    <n v="70"/>
    <n v="993.76"/>
    <s v="1/199248"/>
    <n v="1"/>
    <s v="A"/>
    <x v="15"/>
    <s v="FORTALEZA"/>
  </r>
  <r>
    <x v="307"/>
    <n v="0"/>
    <x v="527"/>
    <s v="02787831000938"/>
    <x v="49"/>
    <d v="2018-11-20T00:00:00"/>
    <n v="70"/>
    <n v="223.3"/>
    <s v="1/199251"/>
    <n v="1"/>
    <s v="A"/>
    <x v="15"/>
    <s v="FORTALEZA"/>
  </r>
  <r>
    <x v="307"/>
    <n v="0"/>
    <x v="528"/>
    <s v="02787831000261"/>
    <x v="50"/>
    <d v="2018-11-20T00:00:00"/>
    <n v="70"/>
    <n v="753.46"/>
    <s v="1/199162"/>
    <n v="1"/>
    <s v="A"/>
    <x v="15"/>
    <s v="FORTALEZA"/>
  </r>
  <r>
    <x v="307"/>
    <n v="0"/>
    <x v="529"/>
    <s v="02787831000261"/>
    <x v="50"/>
    <d v="2018-11-20T00:00:00"/>
    <n v="70"/>
    <n v="1193.0999999999999"/>
    <s v="1/199208"/>
    <n v="1"/>
    <s v="A"/>
    <x v="15"/>
    <s v="FORTALEZA"/>
  </r>
  <r>
    <x v="307"/>
    <n v="0"/>
    <x v="530"/>
    <s v="02787831000342"/>
    <x v="55"/>
    <d v="2018-11-20T00:00:00"/>
    <n v="70"/>
    <n v="203.91"/>
    <s v="1/199155"/>
    <n v="1"/>
    <s v="A"/>
    <x v="15"/>
    <s v="FORTALEZA"/>
  </r>
  <r>
    <x v="307"/>
    <n v="0"/>
    <x v="531"/>
    <s v="02787831000342"/>
    <x v="55"/>
    <d v="2018-11-20T00:00:00"/>
    <n v="70"/>
    <n v="419.46"/>
    <s v="1/199207"/>
    <n v="1"/>
    <s v="A"/>
    <x v="15"/>
    <s v="FORTALEZA"/>
  </r>
  <r>
    <x v="307"/>
    <n v="0"/>
    <x v="532"/>
    <s v="02787831000423"/>
    <x v="46"/>
    <d v="2018-11-20T00:00:00"/>
    <n v="70"/>
    <n v="221.31"/>
    <s v="1/199166"/>
    <n v="1"/>
    <s v="A"/>
    <x v="15"/>
    <s v="FORTALEZA"/>
  </r>
  <r>
    <x v="307"/>
    <n v="0"/>
    <x v="533"/>
    <s v="02787831000423"/>
    <x v="46"/>
    <d v="2018-11-20T00:00:00"/>
    <n v="70"/>
    <n v="323.63"/>
    <s v="1/199232"/>
    <n v="1"/>
    <s v="A"/>
    <x v="15"/>
    <s v="FORTALEZA"/>
  </r>
  <r>
    <x v="307"/>
    <n v="0"/>
    <x v="534"/>
    <s v="02787831000504"/>
    <x v="47"/>
    <d v="2018-11-20T00:00:00"/>
    <n v="70"/>
    <n v="57.23"/>
    <s v="1/199171"/>
    <n v="1"/>
    <s v="A"/>
    <x v="15"/>
    <s v="FORTALEZA"/>
  </r>
  <r>
    <x v="307"/>
    <n v="0"/>
    <x v="535"/>
    <s v="02787831000504"/>
    <x v="47"/>
    <d v="2018-11-20T00:00:00"/>
    <n v="70"/>
    <n v="746.84"/>
    <s v="1/199247"/>
    <n v="1"/>
    <s v="A"/>
    <x v="15"/>
    <s v="FORTALEZA"/>
  </r>
  <r>
    <x v="307"/>
    <n v="0"/>
    <x v="536"/>
    <s v="02787831000695"/>
    <x v="51"/>
    <d v="2018-11-20T00:00:00"/>
    <n v="70"/>
    <n v="354.12"/>
    <s v="1/199168"/>
    <n v="1"/>
    <s v="A"/>
    <x v="15"/>
    <s v="FORTALEZA"/>
  </r>
  <r>
    <x v="307"/>
    <n v="0"/>
    <x v="537"/>
    <s v="02787831000695"/>
    <x v="51"/>
    <d v="2018-11-20T00:00:00"/>
    <n v="70"/>
    <n v="46.55"/>
    <s v="1/199172"/>
    <n v="1"/>
    <s v="A"/>
    <x v="15"/>
    <s v="FORTALEZA"/>
  </r>
  <r>
    <x v="307"/>
    <n v="0"/>
    <x v="538"/>
    <s v="02787831000695"/>
    <x v="51"/>
    <d v="2018-11-20T00:00:00"/>
    <n v="70"/>
    <n v="703.17"/>
    <s v="1/199236"/>
    <n v="1"/>
    <s v="A"/>
    <x v="15"/>
    <s v="FORTALEZA"/>
  </r>
  <r>
    <x v="307"/>
    <n v="0"/>
    <x v="539"/>
    <s v="02787831000776"/>
    <x v="52"/>
    <d v="2018-11-20T00:00:00"/>
    <n v="70"/>
    <n v="216.86"/>
    <s v="1/199216"/>
    <n v="1"/>
    <s v="A"/>
    <x v="15"/>
    <s v="FORTALEZA"/>
  </r>
  <r>
    <x v="307"/>
    <n v="0"/>
    <x v="540"/>
    <s v="02787831000857"/>
    <x v="53"/>
    <d v="2018-11-20T00:00:00"/>
    <n v="70"/>
    <n v="391.86"/>
    <s v="1/199249"/>
    <n v="1"/>
    <s v="A"/>
    <x v="15"/>
    <s v="FORTALEZA"/>
  </r>
  <r>
    <x v="307"/>
    <n v="0"/>
    <x v="541"/>
    <s v="02787831000180"/>
    <x v="48"/>
    <d v="2018-11-20T00:00:00"/>
    <n v="70"/>
    <n v="390.18"/>
    <s v="1/199167"/>
    <n v="1"/>
    <s v="A"/>
    <x v="15"/>
    <s v="FORTALEZA"/>
  </r>
  <r>
    <x v="307"/>
    <n v="0"/>
    <x v="542"/>
    <s v="02787831000180"/>
    <x v="48"/>
    <d v="2018-11-20T00:00:00"/>
    <n v="70"/>
    <n v="2216.38"/>
    <s v="1/199204"/>
    <n v="1"/>
    <s v="A"/>
    <x v="15"/>
    <s v="FORTALEZA"/>
  </r>
  <r>
    <x v="308"/>
    <n v="0"/>
    <x v="543"/>
    <s v="02787831000857"/>
    <x v="53"/>
    <d v="2018-11-21T00:00:00"/>
    <n v="70"/>
    <n v="24.89"/>
    <s v="1/199319"/>
    <n v="1"/>
    <s v="A"/>
    <x v="15"/>
    <s v="FORTALEZA"/>
  </r>
  <r>
    <x v="309"/>
    <n v="0"/>
    <x v="544"/>
    <s v="05438731000218"/>
    <x v="45"/>
    <d v="2018-11-28T00:00:00"/>
    <n v="70"/>
    <n v="98.16"/>
    <s v="1/199939"/>
    <n v="1"/>
    <s v="A"/>
    <x v="15"/>
    <s v="FORTALEZA"/>
  </r>
  <r>
    <x v="309"/>
    <n v="0"/>
    <x v="545"/>
    <s v="05438731000307"/>
    <x v="45"/>
    <d v="2018-11-28T00:00:00"/>
    <n v="70"/>
    <n v="176.66"/>
    <s v="1/199961"/>
    <n v="1"/>
    <s v="A"/>
    <x v="15"/>
    <s v="FORTALEZA"/>
  </r>
  <r>
    <x v="309"/>
    <n v="0"/>
    <x v="546"/>
    <s v="02787831000261"/>
    <x v="50"/>
    <d v="2018-11-28T00:00:00"/>
    <n v="70"/>
    <n v="31.93"/>
    <s v="1/199945"/>
    <n v="1"/>
    <s v="A"/>
    <x v="15"/>
    <s v="FORTALEZA"/>
  </r>
  <r>
    <x v="309"/>
    <n v="0"/>
    <x v="547"/>
    <s v="02787831000261"/>
    <x v="50"/>
    <d v="2018-11-28T00:00:00"/>
    <n v="70"/>
    <n v="206.5"/>
    <s v="1/199957"/>
    <n v="1"/>
    <s v="A"/>
    <x v="15"/>
    <s v="FORTALEZA"/>
  </r>
  <r>
    <x v="309"/>
    <n v="0"/>
    <x v="548"/>
    <s v="02787831000342"/>
    <x v="55"/>
    <d v="2018-11-28T00:00:00"/>
    <n v="70"/>
    <n v="24.62"/>
    <s v="1/199944"/>
    <n v="1"/>
    <s v="A"/>
    <x v="15"/>
    <s v="FORTALEZA"/>
  </r>
  <r>
    <x v="309"/>
    <n v="0"/>
    <x v="549"/>
    <s v="02787831000342"/>
    <x v="55"/>
    <d v="2018-11-28T00:00:00"/>
    <n v="70"/>
    <n v="141.09"/>
    <s v="1/199962"/>
    <n v="1"/>
    <s v="A"/>
    <x v="15"/>
    <s v="FORTALEZA"/>
  </r>
  <r>
    <x v="309"/>
    <n v="0"/>
    <x v="550"/>
    <s v="02787831000695"/>
    <x v="51"/>
    <d v="2018-11-28T00:00:00"/>
    <n v="70"/>
    <n v="90.96"/>
    <s v="1/199960"/>
    <n v="1"/>
    <s v="A"/>
    <x v="15"/>
    <s v="FORTALEZA"/>
  </r>
  <r>
    <x v="309"/>
    <n v="0"/>
    <x v="551"/>
    <s v="02787831000857"/>
    <x v="53"/>
    <d v="2018-11-28T00:00:00"/>
    <n v="70"/>
    <n v="88.47"/>
    <s v="1/199959"/>
    <n v="1"/>
    <s v="A"/>
    <x v="15"/>
    <s v="FORTALEZA"/>
  </r>
  <r>
    <x v="309"/>
    <n v="0"/>
    <x v="552"/>
    <s v="02787831000180"/>
    <x v="48"/>
    <d v="2018-11-28T00:00:00"/>
    <n v="70"/>
    <n v="17.3"/>
    <s v="1/199947"/>
    <n v="1"/>
    <s v="A"/>
    <x v="15"/>
    <s v="FORTALEZA"/>
  </r>
  <r>
    <x v="309"/>
    <n v="0"/>
    <x v="553"/>
    <s v="02787831000180"/>
    <x v="48"/>
    <d v="2018-11-28T00:00:00"/>
    <n v="70"/>
    <n v="408.15"/>
    <s v="1/199963"/>
    <n v="1"/>
    <s v="A"/>
    <x v="15"/>
    <s v="FORTALEZA"/>
  </r>
  <r>
    <x v="310"/>
    <n v="0"/>
    <x v="554"/>
    <s v="05438731000307"/>
    <x v="45"/>
    <d v="2018-11-30T00:00:00"/>
    <n v="70"/>
    <n v="970.93"/>
    <s v="1/200220"/>
    <n v="1"/>
    <s v="A"/>
    <x v="15"/>
    <s v="FORTALEZA"/>
  </r>
  <r>
    <x v="310"/>
    <n v="0"/>
    <x v="555"/>
    <s v="02787831000261"/>
    <x v="50"/>
    <d v="2018-11-30T00:00:00"/>
    <n v="70"/>
    <n v="479.06"/>
    <s v="1/200226"/>
    <n v="1"/>
    <s v="A"/>
    <x v="15"/>
    <s v="FORTALEZA"/>
  </r>
  <r>
    <x v="310"/>
    <n v="0"/>
    <x v="556"/>
    <s v="02787831000423"/>
    <x v="46"/>
    <d v="2018-11-30T00:00:00"/>
    <n v="70"/>
    <n v="678.26"/>
    <s v="1/200237"/>
    <n v="1"/>
    <s v="A"/>
    <x v="15"/>
    <s v="FORTALEZA"/>
  </r>
  <r>
    <x v="310"/>
    <n v="0"/>
    <x v="557"/>
    <s v="02787831000504"/>
    <x v="47"/>
    <d v="2018-11-30T00:00:00"/>
    <n v="70"/>
    <n v="387.31"/>
    <s v="1/200228"/>
    <n v="1"/>
    <s v="A"/>
    <x v="15"/>
    <s v="FORTALEZA"/>
  </r>
  <r>
    <x v="310"/>
    <n v="0"/>
    <x v="558"/>
    <s v="02787831000695"/>
    <x v="51"/>
    <d v="2018-11-30T00:00:00"/>
    <n v="70"/>
    <n v="696.69"/>
    <s v="1/200236"/>
    <n v="1"/>
    <s v="A"/>
    <x v="15"/>
    <s v="FORTALEZA"/>
  </r>
  <r>
    <x v="310"/>
    <n v="0"/>
    <x v="559"/>
    <s v="02787831000776"/>
    <x v="52"/>
    <d v="2018-11-30T00:00:00"/>
    <n v="70"/>
    <n v="277.99"/>
    <s v="1/200235"/>
    <n v="1"/>
    <s v="A"/>
    <x v="15"/>
    <s v="FORTALEZA"/>
  </r>
  <r>
    <x v="310"/>
    <n v="0"/>
    <x v="560"/>
    <s v="02787831000857"/>
    <x v="53"/>
    <d v="2018-11-30T00:00:00"/>
    <n v="70"/>
    <n v="520.22"/>
    <s v="1/200227"/>
    <n v="1"/>
    <s v="A"/>
    <x v="15"/>
    <s v="FORTALEZA"/>
  </r>
  <r>
    <x v="310"/>
    <n v="0"/>
    <x v="561"/>
    <s v="02787831000180"/>
    <x v="48"/>
    <d v="2018-11-30T00:00:00"/>
    <n v="70"/>
    <n v="885.97"/>
    <s v="1/200217"/>
    <n v="1"/>
    <s v="A"/>
    <x v="15"/>
    <s v="FORTALEZA"/>
  </r>
  <r>
    <x v="311"/>
    <n v="0"/>
    <x v="562"/>
    <s v="30527918000154"/>
    <x v="44"/>
    <d v="2018-12-10T00:00:00"/>
    <n v="65"/>
    <n v="379.01"/>
    <s v="1/201010"/>
    <n v="1"/>
    <s v="A"/>
    <x v="17"/>
    <s v="FORTALEZA"/>
  </r>
  <r>
    <x v="312"/>
    <n v="0"/>
    <x v="563"/>
    <s v="02787831000938"/>
    <x v="49"/>
    <d v="2018-12-06T00:00:00"/>
    <n v="70"/>
    <n v="57.23"/>
    <s v="1/200682"/>
    <n v="1"/>
    <s v="A"/>
    <x v="15"/>
    <s v="FORTALEZA"/>
  </r>
  <r>
    <x v="312"/>
    <n v="0"/>
    <x v="564"/>
    <s v="02787831000261"/>
    <x v="50"/>
    <d v="2018-12-06T00:00:00"/>
    <n v="70"/>
    <n v="236.79"/>
    <s v="1/200655"/>
    <n v="1"/>
    <s v="A"/>
    <x v="15"/>
    <s v="FORTALEZA"/>
  </r>
  <r>
    <x v="312"/>
    <n v="0"/>
    <x v="565"/>
    <s v="02787831000342"/>
    <x v="55"/>
    <d v="2018-12-06T00:00:00"/>
    <n v="70"/>
    <n v="362.36"/>
    <s v="1/200657"/>
    <n v="1"/>
    <s v="A"/>
    <x v="15"/>
    <s v="FORTALEZA"/>
  </r>
  <r>
    <x v="312"/>
    <n v="0"/>
    <x v="566"/>
    <s v="02787831000504"/>
    <x v="47"/>
    <d v="2018-12-06T00:00:00"/>
    <n v="70"/>
    <n v="372.7"/>
    <s v="1/200650"/>
    <n v="1"/>
    <s v="A"/>
    <x v="15"/>
    <s v="FORTALEZA"/>
  </r>
  <r>
    <x v="312"/>
    <n v="0"/>
    <x v="567"/>
    <s v="02787831000695"/>
    <x v="51"/>
    <d v="2018-12-06T00:00:00"/>
    <n v="70"/>
    <n v="105.07"/>
    <s v="1/200654"/>
    <n v="1"/>
    <s v="A"/>
    <x v="15"/>
    <s v="FORTALEZA"/>
  </r>
  <r>
    <x v="312"/>
    <n v="0"/>
    <x v="568"/>
    <s v="02787831000857"/>
    <x v="53"/>
    <d v="2018-12-06T00:00:00"/>
    <n v="70"/>
    <n v="86.73"/>
    <s v="1/200694"/>
    <n v="1"/>
    <s v="A"/>
    <x v="15"/>
    <s v="FORTALEZA"/>
  </r>
  <r>
    <x v="312"/>
    <n v="0"/>
    <x v="569"/>
    <s v="02787831000180"/>
    <x v="48"/>
    <d v="2018-12-06T00:00:00"/>
    <n v="70"/>
    <n v="964.56"/>
    <s v="1/200656"/>
    <n v="1"/>
    <s v="A"/>
    <x v="15"/>
    <s v="FORTALEZA"/>
  </r>
  <r>
    <x v="313"/>
    <n v="0"/>
    <x v="570"/>
    <s v="30527918000154"/>
    <x v="44"/>
    <d v="2018-12-10T00:00:00"/>
    <n v="77"/>
    <n v="328.22"/>
    <s v="1/201010"/>
    <n v="1"/>
    <s v="A"/>
    <x v="17"/>
    <s v="FORTALEZA"/>
  </r>
  <r>
    <x v="314"/>
    <n v="0"/>
    <x v="571"/>
    <s v="08760937000177"/>
    <x v="54"/>
    <d v="2019-02-01T00:00:00"/>
    <n v="31"/>
    <n v="2052.35"/>
    <s v="1/204837"/>
    <n v="1"/>
    <s v="A"/>
    <x v="19"/>
    <s v="PENTECOSTE"/>
  </r>
  <r>
    <x v="315"/>
    <n v="0"/>
    <x v="572"/>
    <s v="05457203000125"/>
    <x v="56"/>
    <d v="2019-02-07T00:00:00"/>
    <n v="46"/>
    <n v="1489.43"/>
    <s v="1/205198"/>
    <n v="1"/>
    <s v="A"/>
    <x v="15"/>
    <s v="FORTALEZA"/>
  </r>
  <r>
    <x v="316"/>
    <n v="0"/>
    <x v="573"/>
    <s v="17138061000201"/>
    <x v="36"/>
    <d v="2019-01-24T00:00:00"/>
    <n v="70"/>
    <n v="434.9"/>
    <s v="1/203917"/>
    <n v="1"/>
    <s v="A"/>
    <x v="20"/>
    <s v="FORTALEZA"/>
  </r>
  <r>
    <x v="316"/>
    <n v="0"/>
    <x v="574"/>
    <s v="08587058000195"/>
    <x v="34"/>
    <d v="2019-03-28T00:00:00"/>
    <n v="7"/>
    <n v="399.02"/>
    <s v="1/209523"/>
    <n v="700"/>
    <s v="A"/>
    <x v="16"/>
    <s v="JUAZEIRO DO NORTE"/>
  </r>
  <r>
    <x v="317"/>
    <n v="0"/>
    <x v="575"/>
    <s v="17138061000201"/>
    <x v="36"/>
    <d v="2019-03-11T00:00:00"/>
    <n v="60"/>
    <n v="459.01"/>
    <s v="1/207857"/>
    <n v="1"/>
    <s v="A"/>
    <x v="21"/>
    <s v="FORTALEZA"/>
  </r>
  <r>
    <x v="318"/>
    <n v="0"/>
    <x v="576"/>
    <s v="05438731000307"/>
    <x v="45"/>
    <d v="2019-03-07T00:00:00"/>
    <n v="68"/>
    <n v="403.11"/>
    <s v="1/207561"/>
    <n v="1"/>
    <s v="A"/>
    <x v="15"/>
    <s v="FORTALEZA"/>
  </r>
  <r>
    <x v="318"/>
    <n v="0"/>
    <x v="577"/>
    <s v="02787831000261"/>
    <x v="50"/>
    <d v="2019-03-15T00:00:00"/>
    <n v="60"/>
    <n v="399.82"/>
    <s v="1/208368"/>
    <n v="1"/>
    <s v="A"/>
    <x v="15"/>
    <s v="FORTALEZA"/>
  </r>
  <r>
    <x v="318"/>
    <n v="0"/>
    <x v="578"/>
    <s v="02787831000261"/>
    <x v="50"/>
    <d v="2019-03-15T00:00:00"/>
    <n v="60"/>
    <n v="301.27999999999997"/>
    <s v="1/208405"/>
    <n v="1"/>
    <s v="A"/>
    <x v="15"/>
    <s v="FORTALEZA"/>
  </r>
  <r>
    <x v="318"/>
    <n v="0"/>
    <x v="579"/>
    <s v="02787831000342"/>
    <x v="55"/>
    <d v="2019-03-15T00:00:00"/>
    <n v="60"/>
    <n v="583.21"/>
    <s v="1/208370"/>
    <n v="1"/>
    <s v="A"/>
    <x v="15"/>
    <s v="FORTALEZA"/>
  </r>
  <r>
    <x v="318"/>
    <n v="0"/>
    <x v="580"/>
    <s v="02787831000504"/>
    <x v="47"/>
    <d v="2019-03-15T00:00:00"/>
    <n v="60"/>
    <n v="837.75"/>
    <s v="1/208387"/>
    <n v="1"/>
    <s v="A"/>
    <x v="15"/>
    <s v="FORTALEZA"/>
  </r>
  <r>
    <x v="318"/>
    <n v="0"/>
    <x v="581"/>
    <s v="02787831000504"/>
    <x v="47"/>
    <d v="2019-03-15T00:00:00"/>
    <n v="60"/>
    <n v="301.27999999999997"/>
    <s v="1/208408"/>
    <n v="1"/>
    <s v="A"/>
    <x v="15"/>
    <s v="FORTALEZA"/>
  </r>
  <r>
    <x v="318"/>
    <n v="0"/>
    <x v="582"/>
    <s v="02787831000695"/>
    <x v="51"/>
    <d v="2019-03-15T00:00:00"/>
    <n v="60"/>
    <n v="405.19"/>
    <s v="1/208357"/>
    <n v="1"/>
    <s v="A"/>
    <x v="15"/>
    <s v="FORTALEZA"/>
  </r>
  <r>
    <x v="318"/>
    <n v="0"/>
    <x v="583"/>
    <s v="02787831000857"/>
    <x v="53"/>
    <d v="2019-03-15T00:00:00"/>
    <n v="60"/>
    <n v="688.81"/>
    <s v="1/208366"/>
    <n v="1"/>
    <s v="A"/>
    <x v="15"/>
    <s v="FORTALEZA"/>
  </r>
  <r>
    <x v="318"/>
    <n v="0"/>
    <x v="584"/>
    <s v="02787831000857"/>
    <x v="53"/>
    <d v="2019-03-15T00:00:00"/>
    <n v="60"/>
    <n v="301.27999999999997"/>
    <s v="1/208415"/>
    <n v="1"/>
    <s v="A"/>
    <x v="15"/>
    <s v="FORTALEZA"/>
  </r>
  <r>
    <x v="318"/>
    <n v="0"/>
    <x v="585"/>
    <s v="02787831000180"/>
    <x v="48"/>
    <d v="2019-03-15T00:00:00"/>
    <n v="60"/>
    <n v="710.15"/>
    <s v="1/208373"/>
    <n v="1"/>
    <s v="A"/>
    <x v="15"/>
    <s v="FORTALEZA"/>
  </r>
  <r>
    <x v="319"/>
    <n v="0"/>
    <x v="586"/>
    <s v="02787831000180"/>
    <x v="48"/>
    <d v="2019-03-07T00:00:00"/>
    <n v="69"/>
    <n v="584.49"/>
    <s v="1/207569"/>
    <n v="1"/>
    <s v="A"/>
    <x v="15"/>
    <s v="FORTALEZA"/>
  </r>
  <r>
    <x v="320"/>
    <n v="0"/>
    <x v="587"/>
    <s v="05438731000218"/>
    <x v="45"/>
    <d v="2019-03-07T00:00:00"/>
    <n v="70"/>
    <n v="345.33"/>
    <s v="1/207555"/>
    <n v="1"/>
    <s v="A"/>
    <x v="15"/>
    <s v="FORTALEZA"/>
  </r>
  <r>
    <x v="320"/>
    <n v="0"/>
    <x v="588"/>
    <s v="02787831000695"/>
    <x v="51"/>
    <d v="2019-03-07T00:00:00"/>
    <n v="70"/>
    <n v="426.52"/>
    <s v="1/207562"/>
    <n v="1"/>
    <s v="A"/>
    <x v="15"/>
    <s v="FORTALEZA"/>
  </r>
  <r>
    <x v="320"/>
    <n v="0"/>
    <x v="589"/>
    <s v="02787831000180"/>
    <x v="48"/>
    <d v="2019-03-07T00:00:00"/>
    <n v="70"/>
    <n v="426.5"/>
    <s v="1/207570"/>
    <n v="1"/>
    <s v="A"/>
    <x v="15"/>
    <s v="FORTALEZA"/>
  </r>
  <r>
    <x v="321"/>
    <n v="0"/>
    <x v="590"/>
    <s v="05438731000307"/>
    <x v="45"/>
    <d v="2019-03-08T00:00:00"/>
    <n v="70"/>
    <n v="548.47"/>
    <s v="1/207669"/>
    <n v="1"/>
    <s v="A"/>
    <x v="15"/>
    <s v="FORTALEZA"/>
  </r>
  <r>
    <x v="321"/>
    <n v="0"/>
    <x v="591"/>
    <s v="02787831000261"/>
    <x v="50"/>
    <d v="2019-03-08T00:00:00"/>
    <n v="70"/>
    <n v="466.6"/>
    <s v="1/207633"/>
    <n v="1"/>
    <s v="A"/>
    <x v="15"/>
    <s v="FORTALEZA"/>
  </r>
  <r>
    <x v="321"/>
    <n v="0"/>
    <x v="592"/>
    <s v="02787831000695"/>
    <x v="51"/>
    <d v="2019-03-08T00:00:00"/>
    <n v="70"/>
    <n v="361.62"/>
    <s v="1/207650"/>
    <n v="1"/>
    <s v="A"/>
    <x v="15"/>
    <s v="FORTALEZA"/>
  </r>
  <r>
    <x v="321"/>
    <n v="0"/>
    <x v="593"/>
    <s v="02787831000180"/>
    <x v="48"/>
    <d v="2019-03-08T00:00:00"/>
    <n v="70"/>
    <n v="386.78"/>
    <s v="1/207635"/>
    <n v="1"/>
    <s v="A"/>
    <x v="15"/>
    <s v="FORTALEZA"/>
  </r>
  <r>
    <x v="322"/>
    <n v="0"/>
    <x v="594"/>
    <s v="02787831000261"/>
    <x v="50"/>
    <d v="2019-03-22T00:00:00"/>
    <n v="60"/>
    <n v="459.85"/>
    <s v="1/209010"/>
    <n v="1"/>
    <s v="A"/>
    <x v="15"/>
    <s v="FORTALEZA"/>
  </r>
  <r>
    <x v="322"/>
    <n v="0"/>
    <x v="595"/>
    <s v="02787831000342"/>
    <x v="55"/>
    <d v="2019-03-22T00:00:00"/>
    <n v="60"/>
    <n v="380.17"/>
    <s v="1/209006"/>
    <n v="1"/>
    <s v="A"/>
    <x v="15"/>
    <s v="FORTALEZA"/>
  </r>
  <r>
    <x v="322"/>
    <n v="0"/>
    <x v="596"/>
    <s v="02787831000695"/>
    <x v="51"/>
    <d v="2019-03-22T00:00:00"/>
    <n v="60"/>
    <n v="675.87"/>
    <s v="1/208946"/>
    <n v="1"/>
    <s v="A"/>
    <x v="15"/>
    <s v="FORTALEZA"/>
  </r>
  <r>
    <x v="323"/>
    <n v="0"/>
    <x v="597"/>
    <s v="05438731000218"/>
    <x v="45"/>
    <d v="2019-03-15T00:00:00"/>
    <n v="70"/>
    <n v="339.6"/>
    <s v="1/208369"/>
    <n v="1"/>
    <s v="A"/>
    <x v="15"/>
    <s v="FORTALEZA"/>
  </r>
  <r>
    <x v="323"/>
    <n v="0"/>
    <x v="598"/>
    <s v="17138061000201"/>
    <x v="36"/>
    <d v="2019-03-30T00:00:00"/>
    <n v="55"/>
    <n v="508.65"/>
    <s v="1/209814"/>
    <n v="1"/>
    <s v="A"/>
    <x v="21"/>
    <s v="FORTALEZA"/>
  </r>
  <r>
    <x v="323"/>
    <n v="0"/>
    <x v="599"/>
    <s v="02787831000504"/>
    <x v="47"/>
    <d v="2019-03-26T00:00:00"/>
    <n v="59"/>
    <n v="482.45"/>
    <s v="1/209107"/>
    <n v="1"/>
    <s v="A"/>
    <x v="15"/>
    <s v="FORTALEZA"/>
  </r>
  <r>
    <x v="323"/>
    <n v="0"/>
    <x v="600"/>
    <s v="02787831000180"/>
    <x v="48"/>
    <d v="2019-03-15T00:00:00"/>
    <n v="70"/>
    <n v="710.16"/>
    <s v="1/208373"/>
    <n v="1"/>
    <s v="A"/>
    <x v="15"/>
    <s v="FORTALEZA"/>
  </r>
  <r>
    <x v="324"/>
    <n v="0"/>
    <x v="601"/>
    <s v="05438731000218"/>
    <x v="45"/>
    <d v="2019-03-26T00:00:00"/>
    <n v="62"/>
    <n v="160.38"/>
    <s v="1/209099"/>
    <n v="1"/>
    <s v="A"/>
    <x v="15"/>
    <s v="FORTALEZA"/>
  </r>
  <r>
    <x v="324"/>
    <n v="0"/>
    <x v="602"/>
    <s v="05438731000307"/>
    <x v="45"/>
    <d v="2019-03-26T00:00:00"/>
    <n v="62"/>
    <n v="522.32000000000005"/>
    <s v="1/209097"/>
    <n v="1"/>
    <s v="A"/>
    <x v="15"/>
    <s v="FORTALEZA"/>
  </r>
  <r>
    <x v="324"/>
    <n v="0"/>
    <x v="603"/>
    <s v="02787831000857"/>
    <x v="53"/>
    <d v="2019-03-26T00:00:00"/>
    <n v="62"/>
    <n v="289.07"/>
    <s v="1/209096"/>
    <n v="1"/>
    <s v="A"/>
    <x v="15"/>
    <s v="FORTALEZA"/>
  </r>
  <r>
    <x v="324"/>
    <n v="0"/>
    <x v="604"/>
    <s v="02787831000180"/>
    <x v="48"/>
    <d v="2019-03-28T00:00:00"/>
    <n v="60"/>
    <n v="641.79999999999995"/>
    <s v="1/209469"/>
    <n v="1"/>
    <s v="A"/>
    <x v="15"/>
    <s v="FORTALEZA"/>
  </r>
  <r>
    <x v="325"/>
    <n v="0"/>
    <x v="605"/>
    <s v="05438731000307"/>
    <x v="45"/>
    <d v="2019-03-29T00:00:00"/>
    <n v="60"/>
    <n v="293.86"/>
    <s v="1/209565"/>
    <n v="1"/>
    <s v="A"/>
    <x v="15"/>
    <s v="FORTALEZA"/>
  </r>
  <r>
    <x v="325"/>
    <n v="0"/>
    <x v="606"/>
    <s v="05438731000307"/>
    <x v="45"/>
    <d v="2019-03-29T00:00:00"/>
    <n v="60"/>
    <n v="692.25"/>
    <s v="1/209568"/>
    <n v="1"/>
    <s v="A"/>
    <x v="15"/>
    <s v="FORTALEZA"/>
  </r>
  <r>
    <x v="325"/>
    <n v="0"/>
    <x v="607"/>
    <s v="02787831000261"/>
    <x v="50"/>
    <d v="2019-03-29T00:00:00"/>
    <n v="60"/>
    <n v="269.04000000000002"/>
    <s v="1/209566"/>
    <n v="1"/>
    <s v="A"/>
    <x v="15"/>
    <s v="FORTALEZA"/>
  </r>
  <r>
    <x v="325"/>
    <n v="0"/>
    <x v="608"/>
    <s v="02787831000261"/>
    <x v="50"/>
    <d v="2019-03-29T00:00:00"/>
    <n v="60"/>
    <n v="347.55"/>
    <s v="1/209578"/>
    <n v="1"/>
    <s v="A"/>
    <x v="15"/>
    <s v="FORTALEZA"/>
  </r>
  <r>
    <x v="325"/>
    <n v="0"/>
    <x v="609"/>
    <s v="02787831000342"/>
    <x v="55"/>
    <d v="2019-03-29T00:00:00"/>
    <n v="60"/>
    <n v="254.79"/>
    <s v="1/209576"/>
    <n v="1"/>
    <s v="A"/>
    <x v="15"/>
    <s v="FORTALEZA"/>
  </r>
  <r>
    <x v="325"/>
    <n v="0"/>
    <x v="610"/>
    <s v="02787831000342"/>
    <x v="55"/>
    <d v="2019-03-29T00:00:00"/>
    <n v="60"/>
    <n v="67.16"/>
    <s v="1/209594"/>
    <n v="1"/>
    <s v="A"/>
    <x v="15"/>
    <s v="FORTALEZA"/>
  </r>
  <r>
    <x v="325"/>
    <n v="0"/>
    <x v="611"/>
    <s v="02787831000504"/>
    <x v="47"/>
    <d v="2019-03-29T00:00:00"/>
    <n v="60"/>
    <n v="184.35"/>
    <s v="1/209569"/>
    <n v="1"/>
    <s v="A"/>
    <x v="15"/>
    <s v="FORTALEZA"/>
  </r>
  <r>
    <x v="325"/>
    <n v="0"/>
    <x v="612"/>
    <s v="02787831000504"/>
    <x v="47"/>
    <d v="2019-03-29T00:00:00"/>
    <n v="60"/>
    <n v="137.52000000000001"/>
    <s v="1/209586"/>
    <n v="1"/>
    <s v="A"/>
    <x v="15"/>
    <s v="FORTALEZA"/>
  </r>
  <r>
    <x v="325"/>
    <n v="0"/>
    <x v="613"/>
    <s v="02787831000695"/>
    <x v="51"/>
    <d v="2019-03-29T00:00:00"/>
    <n v="60"/>
    <n v="200.76"/>
    <s v="1/209583"/>
    <n v="1"/>
    <s v="A"/>
    <x v="15"/>
    <s v="FORTALEZA"/>
  </r>
  <r>
    <x v="325"/>
    <n v="0"/>
    <x v="614"/>
    <s v="02787831000857"/>
    <x v="53"/>
    <d v="2019-03-29T00:00:00"/>
    <n v="60"/>
    <n v="195.7"/>
    <s v="1/209581"/>
    <n v="1"/>
    <s v="A"/>
    <x v="15"/>
    <s v="FORTALEZA"/>
  </r>
  <r>
    <x v="325"/>
    <n v="0"/>
    <x v="615"/>
    <s v="02787831000857"/>
    <x v="53"/>
    <d v="2019-03-29T00:00:00"/>
    <n v="60"/>
    <n v="264.81"/>
    <s v="1/209590"/>
    <n v="1"/>
    <s v="A"/>
    <x v="15"/>
    <s v="FORTALEZA"/>
  </r>
  <r>
    <x v="325"/>
    <n v="0"/>
    <x v="616"/>
    <s v="02787831000180"/>
    <x v="48"/>
    <d v="2019-03-29T00:00:00"/>
    <n v="60"/>
    <n v="691.5"/>
    <s v="1/209587"/>
    <n v="1"/>
    <s v="A"/>
    <x v="15"/>
    <s v="FORTALEZA"/>
  </r>
  <r>
    <x v="325"/>
    <n v="0"/>
    <x v="617"/>
    <s v="02787831000180"/>
    <x v="48"/>
    <d v="2019-03-29T00:00:00"/>
    <n v="60"/>
    <n v="206.92"/>
    <s v="1/209592"/>
    <n v="1"/>
    <s v="A"/>
    <x v="15"/>
    <s v="FORTALEZA"/>
  </r>
  <r>
    <x v="326"/>
    <n v="0"/>
    <x v="618"/>
    <s v="02787831000180"/>
    <x v="48"/>
    <d v="2019-03-22T00:00:00"/>
    <n v="70"/>
    <n v="508.19"/>
    <s v="1/208937"/>
    <n v="1"/>
    <s v="A"/>
    <x v="15"/>
    <s v="FORTALEZA"/>
  </r>
  <r>
    <x v="326"/>
    <n v="0"/>
    <x v="619"/>
    <s v="16672967000400"/>
    <x v="57"/>
    <d v="2019-03-27T00:00:00"/>
    <n v="65"/>
    <n v="691.38"/>
    <s v="1/209248"/>
    <n v="1"/>
    <s v="A"/>
    <x v="15"/>
    <s v="FORTALEZA"/>
  </r>
  <r>
    <x v="327"/>
    <n v="0"/>
    <x v="620"/>
    <s v="02787831000261"/>
    <x v="50"/>
    <d v="2019-04-18T00:00:00"/>
    <n v="46"/>
    <n v="1371.62"/>
    <s v="1/211560"/>
    <n v="1"/>
    <s v="A"/>
    <x v="15"/>
    <s v="FORTALEZA"/>
  </r>
  <r>
    <x v="328"/>
    <n v="0"/>
    <x v="621"/>
    <s v="02787831000261"/>
    <x v="50"/>
    <d v="2019-04-18T00:00:00"/>
    <n v="50"/>
    <n v="494.41"/>
    <s v="1/211495"/>
    <n v="1"/>
    <s v="A"/>
    <x v="15"/>
    <s v="FORTALEZA"/>
  </r>
  <r>
    <x v="328"/>
    <n v="0"/>
    <x v="622"/>
    <s v="02787831000261"/>
    <x v="50"/>
    <d v="2019-04-18T00:00:00"/>
    <n v="50"/>
    <n v="500.59"/>
    <s v="1/211534"/>
    <n v="1"/>
    <s v="A"/>
    <x v="15"/>
    <s v="FORTALEZA"/>
  </r>
  <r>
    <x v="328"/>
    <n v="0"/>
    <x v="623"/>
    <s v="02787831000261"/>
    <x v="50"/>
    <d v="2019-04-18T00:00:00"/>
    <n v="50"/>
    <n v="501.97"/>
    <s v="1/211535"/>
    <n v="1"/>
    <s v="A"/>
    <x v="15"/>
    <s v="FORTALEZA"/>
  </r>
  <r>
    <x v="328"/>
    <n v="0"/>
    <x v="624"/>
    <s v="02787831000261"/>
    <x v="50"/>
    <d v="2019-04-18T00:00:00"/>
    <n v="50"/>
    <n v="439.73"/>
    <s v="1/211538"/>
    <n v="1"/>
    <s v="A"/>
    <x v="15"/>
    <s v="FORTALEZA"/>
  </r>
  <r>
    <x v="328"/>
    <n v="0"/>
    <x v="625"/>
    <s v="02787831000261"/>
    <x v="50"/>
    <d v="2019-04-18T00:00:00"/>
    <n v="50"/>
    <n v="433.4"/>
    <s v="1/211541"/>
    <n v="1"/>
    <s v="A"/>
    <x v="15"/>
    <s v="FORTALEZA"/>
  </r>
  <r>
    <x v="328"/>
    <n v="0"/>
    <x v="626"/>
    <s v="02787831000261"/>
    <x v="50"/>
    <d v="2019-04-18T00:00:00"/>
    <n v="50"/>
    <n v="379.86"/>
    <s v="1/211542"/>
    <n v="1"/>
    <s v="A"/>
    <x v="15"/>
    <s v="FORTALEZA"/>
  </r>
  <r>
    <x v="328"/>
    <n v="0"/>
    <x v="627"/>
    <s v="02787831000261"/>
    <x v="50"/>
    <d v="2019-04-18T00:00:00"/>
    <n v="50"/>
    <n v="412.38"/>
    <s v="1/211558"/>
    <n v="1"/>
    <s v="A"/>
    <x v="15"/>
    <s v="FORTALEZA"/>
  </r>
  <r>
    <x v="328"/>
    <n v="0"/>
    <x v="628"/>
    <s v="02787831000261"/>
    <x v="50"/>
    <d v="2019-04-18T00:00:00"/>
    <n v="50"/>
    <n v="365.4"/>
    <s v="1/211559"/>
    <n v="1"/>
    <s v="A"/>
    <x v="15"/>
    <s v="FORTALEZA"/>
  </r>
  <r>
    <x v="328"/>
    <n v="0"/>
    <x v="629"/>
    <s v="02787831000261"/>
    <x v="50"/>
    <d v="2019-04-18T00:00:00"/>
    <n v="50"/>
    <n v="392.54"/>
    <s v="1/211570"/>
    <n v="1"/>
    <s v="A"/>
    <x v="15"/>
    <s v="FORTALEZA"/>
  </r>
  <r>
    <x v="328"/>
    <n v="0"/>
    <x v="630"/>
    <s v="02787831000261"/>
    <x v="50"/>
    <d v="2019-04-18T00:00:00"/>
    <n v="50"/>
    <n v="421.7"/>
    <s v="1/211571"/>
    <n v="1"/>
    <s v="A"/>
    <x v="15"/>
    <s v="FORTALEZA"/>
  </r>
  <r>
    <x v="328"/>
    <n v="0"/>
    <x v="631"/>
    <s v="02787831000261"/>
    <x v="50"/>
    <d v="2019-04-18T00:00:00"/>
    <n v="50"/>
    <n v="376.22"/>
    <s v="1/211572"/>
    <n v="1"/>
    <s v="A"/>
    <x v="15"/>
    <s v="FORTALEZA"/>
  </r>
  <r>
    <x v="328"/>
    <n v="0"/>
    <x v="632"/>
    <s v="02787831000261"/>
    <x v="50"/>
    <d v="2019-04-18T00:00:00"/>
    <n v="50"/>
    <n v="470.91"/>
    <s v="1/211575"/>
    <n v="1"/>
    <s v="A"/>
    <x v="15"/>
    <s v="FORTALEZA"/>
  </r>
  <r>
    <x v="329"/>
    <n v="0"/>
    <x v="633"/>
    <s v="02787831000261"/>
    <x v="50"/>
    <d v="2019-04-18T00:00:00"/>
    <n v="55"/>
    <n v="1046.0999999999999"/>
    <s v="1/211560"/>
    <n v="1"/>
    <s v="A"/>
    <x v="15"/>
    <s v="FORTALEZA"/>
  </r>
  <r>
    <x v="330"/>
    <n v="0"/>
    <x v="634"/>
    <s v="02787831000261"/>
    <x v="50"/>
    <d v="2019-04-18T00:00:00"/>
    <n v="60"/>
    <n v="401.17"/>
    <s v="1/211495"/>
    <n v="1"/>
    <s v="A"/>
    <x v="15"/>
    <s v="FORTALEZA"/>
  </r>
  <r>
    <x v="330"/>
    <n v="0"/>
    <x v="635"/>
    <s v="02787831000261"/>
    <x v="50"/>
    <d v="2019-04-18T00:00:00"/>
    <n v="60"/>
    <n v="406.16"/>
    <s v="1/211534"/>
    <n v="1"/>
    <s v="A"/>
    <x v="15"/>
    <s v="FORTALEZA"/>
  </r>
  <r>
    <x v="330"/>
    <n v="0"/>
    <x v="636"/>
    <s v="02787831000261"/>
    <x v="50"/>
    <d v="2019-04-18T00:00:00"/>
    <n v="60"/>
    <n v="407.28"/>
    <s v="1/211535"/>
    <n v="1"/>
    <s v="A"/>
    <x v="15"/>
    <s v="FORTALEZA"/>
  </r>
  <r>
    <x v="330"/>
    <n v="0"/>
    <x v="637"/>
    <s v="02787831000261"/>
    <x v="50"/>
    <d v="2019-04-18T00:00:00"/>
    <n v="60"/>
    <n v="351.72"/>
    <s v="1/211541"/>
    <n v="1"/>
    <s v="A"/>
    <x v="15"/>
    <s v="FORTALEZA"/>
  </r>
  <r>
    <x v="330"/>
    <n v="0"/>
    <x v="638"/>
    <s v="02787831000261"/>
    <x v="50"/>
    <d v="2019-04-18T00:00:00"/>
    <n v="60"/>
    <n v="587.82000000000005"/>
    <s v="1/211552"/>
    <n v="1"/>
    <s v="A"/>
    <x v="15"/>
    <s v="FORTALEZA"/>
  </r>
  <r>
    <x v="330"/>
    <n v="0"/>
    <x v="639"/>
    <s v="02787831000261"/>
    <x v="50"/>
    <d v="2019-04-18T00:00:00"/>
    <n v="60"/>
    <n v="575.13"/>
    <s v="1/211568"/>
    <n v="1"/>
    <s v="A"/>
    <x v="15"/>
    <s v="FORTALEZA"/>
  </r>
  <r>
    <x v="330"/>
    <n v="0"/>
    <x v="640"/>
    <s v="02787831000261"/>
    <x v="50"/>
    <d v="2019-04-18T00:00:00"/>
    <n v="60"/>
    <n v="396.93"/>
    <s v="1/211569"/>
    <n v="1"/>
    <s v="A"/>
    <x v="15"/>
    <s v="FORTALEZA"/>
  </r>
  <r>
    <x v="330"/>
    <n v="0"/>
    <x v="641"/>
    <s v="02787831000261"/>
    <x v="50"/>
    <d v="2019-04-18T00:00:00"/>
    <n v="60"/>
    <n v="342.24"/>
    <s v="1/211571"/>
    <n v="1"/>
    <s v="A"/>
    <x v="15"/>
    <s v="FORTALEZA"/>
  </r>
  <r>
    <x v="331"/>
    <n v="0"/>
    <x v="642"/>
    <s v="17138061000201"/>
    <x v="36"/>
    <d v="2019-04-26T00:00:00"/>
    <n v="55"/>
    <n v="403.77"/>
    <s v="1/212176"/>
    <n v="1"/>
    <s v="A"/>
    <x v="21"/>
    <s v="FORTALEZA"/>
  </r>
  <r>
    <x v="332"/>
    <n v="0"/>
    <x v="643"/>
    <s v="02787831000261"/>
    <x v="50"/>
    <d v="2019-04-18T00:00:00"/>
    <n v="67"/>
    <n v="1046.0999999999999"/>
    <s v="1/211560"/>
    <n v="1"/>
    <s v="A"/>
    <x v="15"/>
    <s v="FORTALEZA"/>
  </r>
  <r>
    <x v="333"/>
    <n v="0"/>
    <x v="644"/>
    <s v="02787831000261"/>
    <x v="50"/>
    <d v="2019-04-18T00:00:00"/>
    <n v="70"/>
    <n v="401.16"/>
    <s v="1/211495"/>
    <n v="1"/>
    <s v="A"/>
    <x v="15"/>
    <s v="FORTALEZA"/>
  </r>
  <r>
    <x v="333"/>
    <n v="0"/>
    <x v="645"/>
    <s v="02787831000261"/>
    <x v="50"/>
    <d v="2019-04-18T00:00:00"/>
    <n v="70"/>
    <n v="406.17"/>
    <s v="1/211534"/>
    <n v="1"/>
    <s v="A"/>
    <x v="15"/>
    <s v="FORTALEZA"/>
  </r>
  <r>
    <x v="333"/>
    <n v="0"/>
    <x v="646"/>
    <s v="02787831000261"/>
    <x v="50"/>
    <d v="2019-04-18T00:00:00"/>
    <n v="70"/>
    <n v="407.29"/>
    <s v="1/211535"/>
    <n v="1"/>
    <s v="A"/>
    <x v="15"/>
    <s v="FORTALEZA"/>
  </r>
  <r>
    <x v="333"/>
    <n v="0"/>
    <x v="647"/>
    <s v="02787831000261"/>
    <x v="50"/>
    <d v="2019-04-18T00:00:00"/>
    <n v="70"/>
    <n v="380.75"/>
    <s v="1/211538"/>
    <n v="1"/>
    <s v="A"/>
    <x v="15"/>
    <s v="FORTALEZA"/>
  </r>
  <r>
    <x v="333"/>
    <n v="0"/>
    <x v="648"/>
    <s v="02787831000261"/>
    <x v="50"/>
    <d v="2019-04-18T00:00:00"/>
    <n v="70"/>
    <n v="351.73"/>
    <s v="1/211541"/>
    <n v="1"/>
    <s v="A"/>
    <x v="15"/>
    <s v="FORTALEZA"/>
  </r>
  <r>
    <x v="333"/>
    <n v="0"/>
    <x v="649"/>
    <s v="02787831000261"/>
    <x v="50"/>
    <d v="2019-04-18T00:00:00"/>
    <n v="70"/>
    <n v="328.96"/>
    <s v="1/211542"/>
    <n v="1"/>
    <s v="A"/>
    <x v="15"/>
    <s v="FORTALEZA"/>
  </r>
  <r>
    <x v="333"/>
    <n v="0"/>
    <x v="650"/>
    <s v="02787831000261"/>
    <x v="50"/>
    <d v="2019-04-18T00:00:00"/>
    <n v="70"/>
    <n v="357.09"/>
    <s v="1/211558"/>
    <n v="1"/>
    <s v="A"/>
    <x v="15"/>
    <s v="FORTALEZA"/>
  </r>
  <r>
    <x v="333"/>
    <n v="0"/>
    <x v="651"/>
    <s v="02787831000261"/>
    <x v="50"/>
    <d v="2019-04-18T00:00:00"/>
    <n v="70"/>
    <n v="316.45"/>
    <s v="1/211559"/>
    <n v="1"/>
    <s v="A"/>
    <x v="15"/>
    <s v="FORTALEZA"/>
  </r>
  <r>
    <x v="333"/>
    <n v="0"/>
    <x v="652"/>
    <s v="02787831000261"/>
    <x v="50"/>
    <d v="2019-04-18T00:00:00"/>
    <n v="70"/>
    <n v="339.93"/>
    <s v="1/211570"/>
    <n v="1"/>
    <s v="A"/>
    <x v="15"/>
    <s v="FORTALEZA"/>
  </r>
  <r>
    <x v="333"/>
    <n v="0"/>
    <x v="653"/>
    <s v="02787831000261"/>
    <x v="50"/>
    <d v="2019-04-18T00:00:00"/>
    <n v="70"/>
    <n v="342.25"/>
    <s v="1/211571"/>
    <n v="1"/>
    <s v="A"/>
    <x v="15"/>
    <s v="FORTALEZA"/>
  </r>
  <r>
    <x v="333"/>
    <n v="0"/>
    <x v="654"/>
    <s v="02787831000261"/>
    <x v="50"/>
    <d v="2019-04-18T00:00:00"/>
    <n v="70"/>
    <n v="325.81"/>
    <s v="1/211572"/>
    <n v="1"/>
    <s v="A"/>
    <x v="15"/>
    <s v="FORTALEZA"/>
  </r>
  <r>
    <x v="333"/>
    <n v="0"/>
    <x v="655"/>
    <s v="02787831000261"/>
    <x v="50"/>
    <d v="2019-04-18T00:00:00"/>
    <n v="70"/>
    <n v="407.72"/>
    <s v="1/211575"/>
    <n v="1"/>
    <s v="A"/>
    <x v="15"/>
    <s v="FORTALEZA"/>
  </r>
  <r>
    <x v="334"/>
    <n v="0"/>
    <x v="656"/>
    <s v="02787831000261"/>
    <x v="50"/>
    <d v="2019-04-18T00:00:00"/>
    <n v="75"/>
    <n v="1046.08"/>
    <s v="1/211560"/>
    <n v="1"/>
    <s v="A"/>
    <x v="15"/>
    <s v="FORTALEZA"/>
  </r>
  <r>
    <x v="335"/>
    <n v="0"/>
    <x v="657"/>
    <s v="16672967001555"/>
    <x v="58"/>
    <d v="2019-04-24T00:00:00"/>
    <n v="70"/>
    <n v="941.96"/>
    <s v="1/211922"/>
    <n v="1"/>
    <s v="A"/>
    <x v="15"/>
    <s v="MARACANAU"/>
  </r>
  <r>
    <x v="336"/>
    <n v="0"/>
    <x v="658"/>
    <s v="02787831000261"/>
    <x v="50"/>
    <d v="2019-05-06T00:00:00"/>
    <n v="60"/>
    <n v="547.79999999999995"/>
    <s v="1/212903"/>
    <n v="1"/>
    <s v="A"/>
    <x v="15"/>
    <s v="FORTALEZA"/>
  </r>
  <r>
    <x v="336"/>
    <n v="0"/>
    <x v="659"/>
    <s v="02787831000261"/>
    <x v="50"/>
    <d v="2019-05-06T00:00:00"/>
    <n v="60"/>
    <n v="791.61"/>
    <s v="1/212904"/>
    <n v="1"/>
    <s v="A"/>
    <x v="15"/>
    <s v="FORTALEZA"/>
  </r>
  <r>
    <x v="336"/>
    <n v="0"/>
    <x v="660"/>
    <s v="02787831000261"/>
    <x v="50"/>
    <d v="2019-05-06T00:00:00"/>
    <n v="60"/>
    <n v="621.64"/>
    <s v="1/212907"/>
    <n v="1"/>
    <s v="A"/>
    <x v="15"/>
    <s v="FORTALEZA"/>
  </r>
  <r>
    <x v="336"/>
    <n v="0"/>
    <x v="661"/>
    <s v="02787831000261"/>
    <x v="50"/>
    <d v="2019-05-06T00:00:00"/>
    <n v="60"/>
    <n v="713.59"/>
    <s v="1/212909"/>
    <n v="1"/>
    <s v="A"/>
    <x v="15"/>
    <s v="FORTALEZA"/>
  </r>
  <r>
    <x v="337"/>
    <n v="0"/>
    <x v="662"/>
    <s v="24156133000110"/>
    <x v="59"/>
    <d v="2019-05-09T00:00:00"/>
    <n v="60"/>
    <n v="308.63"/>
    <s v="1/213415"/>
    <n v="1"/>
    <s v="A"/>
    <x v="19"/>
    <s v="PENTECOSTE"/>
  </r>
  <r>
    <x v="337"/>
    <n v="0"/>
    <x v="663"/>
    <s v="02787831000261"/>
    <x v="50"/>
    <d v="2019-05-07T00:00:00"/>
    <n v="62"/>
    <n v="1021.5"/>
    <s v="1/212965"/>
    <n v="1"/>
    <s v="A"/>
    <x v="15"/>
    <s v="FORTALEZA"/>
  </r>
  <r>
    <x v="337"/>
    <n v="0"/>
    <x v="664"/>
    <s v="02787831000261"/>
    <x v="50"/>
    <d v="2019-05-08T00:00:00"/>
    <n v="61"/>
    <n v="937.45"/>
    <s v="1/213063"/>
    <n v="1"/>
    <s v="A"/>
    <x v="15"/>
    <s v="FORTALEZA"/>
  </r>
  <r>
    <x v="337"/>
    <n v="0"/>
    <x v="665"/>
    <s v="02787831000261"/>
    <x v="50"/>
    <d v="2019-05-08T00:00:00"/>
    <n v="61"/>
    <n v="59.41"/>
    <s v="1/213068"/>
    <n v="1"/>
    <s v="A"/>
    <x v="15"/>
    <s v="FORTALEZA"/>
  </r>
  <r>
    <x v="337"/>
    <n v="0"/>
    <x v="666"/>
    <s v="02787831000261"/>
    <x v="50"/>
    <d v="2019-05-08T00:00:00"/>
    <n v="61"/>
    <n v="1161.56"/>
    <s v="1/213069"/>
    <n v="1"/>
    <s v="A"/>
    <x v="15"/>
    <s v="FORTALEZA"/>
  </r>
  <r>
    <x v="337"/>
    <n v="0"/>
    <x v="667"/>
    <s v="02787831000261"/>
    <x v="50"/>
    <d v="2019-05-08T00:00:00"/>
    <n v="61"/>
    <n v="48.56"/>
    <s v="1/213070"/>
    <n v="1"/>
    <s v="A"/>
    <x v="15"/>
    <s v="FORTALEZA"/>
  </r>
  <r>
    <x v="337"/>
    <n v="0"/>
    <x v="668"/>
    <s v="02787831000261"/>
    <x v="50"/>
    <d v="2019-05-08T00:00:00"/>
    <n v="61"/>
    <n v="43.49"/>
    <s v="1/213071"/>
    <n v="1"/>
    <s v="A"/>
    <x v="15"/>
    <s v="FORTALEZA"/>
  </r>
  <r>
    <x v="337"/>
    <n v="0"/>
    <x v="669"/>
    <s v="02787831000261"/>
    <x v="50"/>
    <d v="2019-05-08T00:00:00"/>
    <n v="61"/>
    <n v="47.92"/>
    <s v="1/213072"/>
    <n v="1"/>
    <s v="A"/>
    <x v="15"/>
    <s v="FORTALEZA"/>
  </r>
  <r>
    <x v="337"/>
    <n v="0"/>
    <x v="670"/>
    <s v="02787831000261"/>
    <x v="50"/>
    <d v="2019-05-08T00:00:00"/>
    <n v="61"/>
    <n v="179.15"/>
    <s v="1/213073"/>
    <n v="1"/>
    <s v="A"/>
    <x v="15"/>
    <s v="FORTALEZA"/>
  </r>
  <r>
    <x v="337"/>
    <n v="0"/>
    <x v="671"/>
    <s v="02787831000261"/>
    <x v="50"/>
    <d v="2019-05-08T00:00:00"/>
    <n v="61"/>
    <n v="1236.18"/>
    <s v="1/213076"/>
    <n v="1"/>
    <s v="A"/>
    <x v="15"/>
    <s v="FORTALEZA"/>
  </r>
  <r>
    <x v="337"/>
    <n v="0"/>
    <x v="672"/>
    <s v="02787831000261"/>
    <x v="50"/>
    <d v="2019-05-08T00:00:00"/>
    <n v="61"/>
    <n v="97.47"/>
    <s v="1/213080"/>
    <n v="1"/>
    <s v="A"/>
    <x v="15"/>
    <s v="FORTALEZA"/>
  </r>
  <r>
    <x v="337"/>
    <n v="0"/>
    <x v="673"/>
    <s v="02787831000261"/>
    <x v="50"/>
    <d v="2019-05-08T00:00:00"/>
    <n v="61"/>
    <n v="3150.92"/>
    <s v="1/213085"/>
    <n v="1"/>
    <s v="A"/>
    <x v="15"/>
    <s v="FORTALEZA"/>
  </r>
  <r>
    <x v="338"/>
    <n v="0"/>
    <x v="674"/>
    <s v="17138061000201"/>
    <x v="36"/>
    <d v="2019-05-31T00:00:00"/>
    <n v="45"/>
    <n v="433.82"/>
    <s v="1/215426"/>
    <n v="1"/>
    <s v="A"/>
    <x v="21"/>
    <s v="FORTALEZA"/>
  </r>
  <r>
    <x v="339"/>
    <n v="0"/>
    <x v="675"/>
    <s v="24156133000110"/>
    <x v="59"/>
    <d v="2019-05-09T00:00:00"/>
    <n v="70"/>
    <n v="308.62"/>
    <s v="1/213415"/>
    <n v="1"/>
    <s v="A"/>
    <x v="19"/>
    <s v="PENTECOSTE"/>
  </r>
  <r>
    <x v="340"/>
    <n v="0"/>
    <x v="676"/>
    <s v="04232481000111"/>
    <x v="60"/>
    <d v="2019-04-30T00:00:00"/>
    <n v="90"/>
    <n v="657.84"/>
    <s v="1/212468"/>
    <n v="1"/>
    <s v="A"/>
    <x v="4"/>
    <s v="EUSEBIO"/>
  </r>
  <r>
    <x v="341"/>
    <n v="0"/>
    <x v="677"/>
    <s v="17138061000201"/>
    <x v="36"/>
    <d v="2019-05-31T00:00:00"/>
    <n v="66"/>
    <n v="347.6"/>
    <s v="1/215426"/>
    <n v="1"/>
    <s v="A"/>
    <x v="21"/>
    <s v="FORTALEZA"/>
  </r>
  <r>
    <x v="341"/>
    <n v="0"/>
    <x v="678"/>
    <s v="09520303000100"/>
    <x v="61"/>
    <d v="2019-05-30T00:00:00"/>
    <n v="67"/>
    <n v="434.04"/>
    <s v="1/215232"/>
    <n v="1"/>
    <s v="A"/>
    <x v="4"/>
    <s v="FORTALEZA"/>
  </r>
  <r>
    <x v="342"/>
    <n v="0"/>
    <x v="679"/>
    <s v="09520303000100"/>
    <x v="61"/>
    <d v="2019-05-30T00:00:00"/>
    <n v="75"/>
    <n v="434.04"/>
    <s v="1/215232"/>
    <n v="1"/>
    <s v="A"/>
    <x v="4"/>
    <s v="FORTALEZA"/>
  </r>
  <r>
    <x v="343"/>
    <n v="0"/>
    <x v="680"/>
    <s v="17138061000201"/>
    <x v="36"/>
    <d v="2019-06-14T00:00:00"/>
    <n v="66"/>
    <n v="338.52"/>
    <s v="1/216965"/>
    <n v="1"/>
    <s v="A"/>
    <x v="21"/>
    <s v="FORTALEZA"/>
  </r>
  <r>
    <x v="344"/>
    <n v="0"/>
    <x v="681"/>
    <s v="17138061000201"/>
    <x v="36"/>
    <d v="2019-06-11T00:00:00"/>
    <n v="70"/>
    <n v="291.05"/>
    <s v="1/216417"/>
    <n v="1"/>
    <s v="A"/>
    <x v="21"/>
    <s v="FORTALEZA"/>
  </r>
  <r>
    <x v="344"/>
    <n v="0"/>
    <x v="682"/>
    <s v="17138061000201"/>
    <x v="36"/>
    <d v="2019-06-21T00:00:00"/>
    <n v="60"/>
    <n v="542.58000000000004"/>
    <s v="1/217439"/>
    <n v="1"/>
    <s v="A"/>
    <x v="21"/>
    <s v="FORTALEZA"/>
  </r>
  <r>
    <x v="344"/>
    <n v="0"/>
    <x v="683"/>
    <s v="17138061000201"/>
    <x v="36"/>
    <d v="2019-06-26T00:00:00"/>
    <n v="55"/>
    <n v="329.92"/>
    <s v="1/217785"/>
    <n v="1"/>
    <s v="A"/>
    <x v="21"/>
    <s v="FORTALEZA"/>
  </r>
  <r>
    <x v="345"/>
    <n v="0"/>
    <x v="684"/>
    <s v="17138061000201"/>
    <x v="36"/>
    <d v="2019-06-07T00:00:00"/>
    <n v="75"/>
    <n v="264.31"/>
    <s v="1/216149"/>
    <n v="1"/>
    <s v="A"/>
    <x v="21"/>
    <s v="FORTALEZA"/>
  </r>
  <r>
    <x v="346"/>
    <n v="0"/>
    <x v="685"/>
    <s v="09520303000100"/>
    <x v="61"/>
    <d v="2019-05-30T00:00:00"/>
    <n v="85"/>
    <n v="434.04"/>
    <s v="1/215232"/>
    <n v="1"/>
    <s v="A"/>
    <x v="4"/>
    <s v="FORTALEZA"/>
  </r>
  <r>
    <x v="347"/>
    <n v="0"/>
    <x v="686"/>
    <s v="17138061000201"/>
    <x v="36"/>
    <d v="2019-06-26T00:00:00"/>
    <n v="61"/>
    <n v="265.41000000000003"/>
    <s v="1/217783"/>
    <n v="1"/>
    <s v="A"/>
    <x v="21"/>
    <s v="FORTALEZA"/>
  </r>
  <r>
    <x v="347"/>
    <n v="0"/>
    <x v="687"/>
    <s v="07467475002770"/>
    <x v="62"/>
    <d v="2019-05-28T00:00:00"/>
    <n v="90"/>
    <n v="364.94"/>
    <s v="1/215051"/>
    <n v="1"/>
    <s v="A"/>
    <x v="15"/>
    <s v="EUSEBIO"/>
  </r>
  <r>
    <x v="348"/>
    <n v="0"/>
    <x v="688"/>
    <s v="17138061000201"/>
    <x v="36"/>
    <d v="2019-07-05T00:00:00"/>
    <n v="55"/>
    <n v="447.12"/>
    <s v="1/218779"/>
    <n v="1"/>
    <s v="A"/>
    <x v="21"/>
    <s v="FORTALEZA"/>
  </r>
  <r>
    <x v="349"/>
    <n v="0"/>
    <x v="689"/>
    <s v="09520303000100"/>
    <x v="61"/>
    <d v="2019-05-30T00:00:00"/>
    <n v="95"/>
    <n v="434.07"/>
    <s v="1/215232"/>
    <n v="1"/>
    <s v="A"/>
    <x v="4"/>
    <s v="FORTALEZA"/>
  </r>
  <r>
    <x v="350"/>
    <n v="0"/>
    <x v="690"/>
    <s v="33328434000174"/>
    <x v="63"/>
    <d v="2019-05-31T00:00:00"/>
    <n v="95"/>
    <n v="443.22"/>
    <s v="1/215554"/>
    <n v="1"/>
    <s v="A"/>
    <x v="4"/>
    <s v="LIMOEIRO DO NORTE"/>
  </r>
  <r>
    <x v="351"/>
    <n v="0"/>
    <x v="691"/>
    <s v="33328434000174"/>
    <x v="63"/>
    <d v="2019-05-27T00:00:00"/>
    <n v="100"/>
    <n v="1583.48"/>
    <s v="1/214905"/>
    <n v="1"/>
    <s v="A"/>
    <x v="4"/>
    <s v="LIMOEIRO DO NORTE"/>
  </r>
  <r>
    <x v="352"/>
    <n v="0"/>
    <x v="692"/>
    <s v="33328434000174"/>
    <x v="63"/>
    <d v="2019-06-18T00:00:00"/>
    <n v="80"/>
    <n v="682.27"/>
    <s v="1/217149"/>
    <n v="1"/>
    <s v="A"/>
    <x v="4"/>
    <s v="LIMOEIRO DO NORTE"/>
  </r>
  <r>
    <x v="353"/>
    <n v="0"/>
    <x v="693"/>
    <s v="33328434000174"/>
    <x v="63"/>
    <d v="2019-05-27T00:00:00"/>
    <n v="105"/>
    <n v="1583.48"/>
    <s v="1/214905"/>
    <n v="1"/>
    <s v="A"/>
    <x v="4"/>
    <s v="LIMOEIRO DO NORTE"/>
  </r>
  <r>
    <x v="353"/>
    <n v="0"/>
    <x v="694"/>
    <s v="33328434000174"/>
    <x v="63"/>
    <d v="2019-05-31T00:00:00"/>
    <n v="101"/>
    <n v="631.01"/>
    <s v="1/215373"/>
    <n v="1"/>
    <s v="A"/>
    <x v="4"/>
    <s v="LIMOEIRO DO NORTE"/>
  </r>
  <r>
    <x v="354"/>
    <n v="0"/>
    <x v="695"/>
    <s v="33328434000174"/>
    <x v="63"/>
    <d v="2019-05-31T00:00:00"/>
    <n v="105"/>
    <n v="631.01"/>
    <s v="1/215373"/>
    <n v="1"/>
    <s v="A"/>
    <x v="4"/>
    <s v="LIMOEIRO DO NORTE"/>
  </r>
  <r>
    <x v="354"/>
    <n v="0"/>
    <x v="696"/>
    <s v="33328434000174"/>
    <x v="63"/>
    <d v="2019-05-31T00:00:00"/>
    <n v="105"/>
    <n v="443.22"/>
    <s v="1/215554"/>
    <n v="1"/>
    <s v="A"/>
    <x v="4"/>
    <s v="LIMOEIRO DO NORTE"/>
  </r>
  <r>
    <x v="355"/>
    <n v="0"/>
    <x v="697"/>
    <s v="33328434000174"/>
    <x v="63"/>
    <d v="2019-05-27T00:00:00"/>
    <n v="112"/>
    <n v="1583.48"/>
    <s v="1/214905"/>
    <n v="1"/>
    <s v="A"/>
    <x v="4"/>
    <s v="LIMOEIRO DO NORTE"/>
  </r>
  <r>
    <x v="355"/>
    <n v="0"/>
    <x v="698"/>
    <s v="33328434000174"/>
    <x v="63"/>
    <d v="2019-06-18T00:00:00"/>
    <n v="90"/>
    <n v="682.27"/>
    <s v="1/217149"/>
    <n v="1"/>
    <s v="A"/>
    <x v="4"/>
    <s v="LIMOEIRO DO NORTE"/>
  </r>
  <r>
    <x v="355"/>
    <n v="0"/>
    <x v="699"/>
    <s v="14091822000130"/>
    <x v="64"/>
    <d v="2019-07-31T00:00:00"/>
    <n v="47"/>
    <n v="532.22"/>
    <s v="1/221370"/>
    <n v="1"/>
    <s v="A"/>
    <x v="4"/>
    <s v="AQUIRAZ"/>
  </r>
  <r>
    <x v="356"/>
    <n v="0"/>
    <x v="700"/>
    <s v="14091822000130"/>
    <x v="64"/>
    <d v="2019-08-14T00:00:00"/>
    <n v="40"/>
    <n v="509.2"/>
    <s v="1/222750"/>
    <n v="1"/>
    <s v="A"/>
    <x v="4"/>
    <s v="AQUIRAZ"/>
  </r>
  <r>
    <x v="357"/>
    <n v="0"/>
    <x v="701"/>
    <s v="14091822000130"/>
    <x v="64"/>
    <d v="2019-07-31T00:00:00"/>
    <n v="55"/>
    <n v="532.23"/>
    <s v="1/221370"/>
    <n v="1"/>
    <s v="A"/>
    <x v="4"/>
    <s v="AQUIRAZ"/>
  </r>
  <r>
    <x v="358"/>
    <n v="0"/>
    <x v="702"/>
    <s v="33328434000174"/>
    <x v="63"/>
    <d v="2019-06-18T00:00:00"/>
    <n v="100"/>
    <n v="682.27"/>
    <s v="1/217149"/>
    <n v="1"/>
    <s v="A"/>
    <x v="4"/>
    <s v="LIMOEIRO DO NORTE"/>
  </r>
  <r>
    <x v="358"/>
    <n v="0"/>
    <x v="703"/>
    <s v="14091822000130"/>
    <x v="64"/>
    <d v="2019-08-02T00:00:00"/>
    <n v="55"/>
    <n v="550.74"/>
    <s v="1/221571"/>
    <n v="1"/>
    <s v="A"/>
    <x v="4"/>
    <s v="AQUIRAZ"/>
  </r>
  <r>
    <x v="359"/>
    <n v="0"/>
    <x v="704"/>
    <s v="04582233000109"/>
    <x v="65"/>
    <d v="2019-07-29T00:00:00"/>
    <n v="60"/>
    <n v="193.29"/>
    <s v="1/220996"/>
    <n v="1"/>
    <s v="A"/>
    <x v="19"/>
    <s v="ITAPIPOCA"/>
  </r>
  <r>
    <x v="360"/>
    <n v="0"/>
    <x v="705"/>
    <s v="14091822000130"/>
    <x v="64"/>
    <d v="2019-08-07T00:00:00"/>
    <n v="55"/>
    <n v="351.66"/>
    <s v="1/222036"/>
    <n v="1"/>
    <s v="A"/>
    <x v="4"/>
    <s v="AQUIRAZ"/>
  </r>
  <r>
    <x v="361"/>
    <n v="0"/>
    <x v="706"/>
    <s v="14091822000130"/>
    <x v="64"/>
    <d v="2019-08-14T00:00:00"/>
    <n v="50"/>
    <n v="509.2"/>
    <s v="1/222750"/>
    <n v="1"/>
    <s v="A"/>
    <x v="4"/>
    <s v="AQUIRAZ"/>
  </r>
  <r>
    <x v="361"/>
    <n v="0"/>
    <x v="707"/>
    <s v="14091822000130"/>
    <x v="64"/>
    <d v="2019-08-29T00:00:00"/>
    <n v="35"/>
    <n v="504.4"/>
    <s v="1/224528"/>
    <n v="1"/>
    <s v="A"/>
    <x v="4"/>
    <s v="AQUIRAZ"/>
  </r>
  <r>
    <x v="362"/>
    <n v="0"/>
    <x v="708"/>
    <s v="17138061000201"/>
    <x v="36"/>
    <d v="2019-08-12T00:00:00"/>
    <n v="56"/>
    <n v="319.10000000000002"/>
    <s v="1/222505"/>
    <n v="1"/>
    <s v="A"/>
    <x v="21"/>
    <s v="FORTALEZA"/>
  </r>
  <r>
    <x v="362"/>
    <n v="0"/>
    <x v="709"/>
    <s v="14669491000172"/>
    <x v="66"/>
    <d v="2019-08-16T00:00:00"/>
    <n v="52"/>
    <n v="355.01"/>
    <s v="1/222997"/>
    <n v="1"/>
    <s v="A"/>
    <x v="19"/>
    <s v="ITAPIPOCA"/>
  </r>
  <r>
    <x v="363"/>
    <n v="0"/>
    <x v="710"/>
    <s v="17138061000201"/>
    <x v="36"/>
    <d v="2019-07-30T00:00:00"/>
    <n v="70"/>
    <n v="321.52"/>
    <s v="1/221138"/>
    <n v="1"/>
    <s v="A"/>
    <x v="21"/>
    <s v="FORTALEZA"/>
  </r>
  <r>
    <x v="364"/>
    <n v="0"/>
    <x v="711"/>
    <s v="14091822000130"/>
    <x v="64"/>
    <d v="2018-12-13T00:00:00"/>
    <n v="300"/>
    <n v="2318.44"/>
    <s v="1/201375"/>
    <n v="1"/>
    <s v="A"/>
    <x v="4"/>
    <s v="AQUIRAZ"/>
  </r>
  <r>
    <x v="365"/>
    <n v="0"/>
    <x v="712"/>
    <s v="17138061000201"/>
    <x v="36"/>
    <d v="2019-08-16T00:00:00"/>
    <n v="55"/>
    <n v="475.92"/>
    <s v="1/223057"/>
    <n v="1"/>
    <s v="A"/>
    <x v="21"/>
    <s v="FORTALEZA"/>
  </r>
  <r>
    <x v="366"/>
    <n v="0"/>
    <x v="713"/>
    <s v="17138061000201"/>
    <x v="36"/>
    <d v="2019-08-02T00:00:00"/>
    <n v="70"/>
    <n v="307.49"/>
    <s v="1/221612"/>
    <n v="1"/>
    <s v="A"/>
    <x v="21"/>
    <s v="FORTALEZA"/>
  </r>
  <r>
    <x v="367"/>
    <n v="0"/>
    <x v="714"/>
    <s v="17138061000201"/>
    <x v="36"/>
    <d v="2019-08-29T00:00:00"/>
    <n v="46"/>
    <n v="400.41"/>
    <s v="1/224545"/>
    <n v="1"/>
    <s v="A"/>
    <x v="21"/>
    <s v="FORTALEZA"/>
  </r>
  <r>
    <x v="367"/>
    <n v="0"/>
    <x v="715"/>
    <s v="09520303000100"/>
    <x v="61"/>
    <d v="2019-08-14T00:00:00"/>
    <n v="61"/>
    <n v="839.72"/>
    <s v="1/222700"/>
    <n v="1"/>
    <s v="A"/>
    <x v="4"/>
    <s v="FORTALEZA"/>
  </r>
  <r>
    <x v="367"/>
    <n v="0"/>
    <x v="716"/>
    <s v="14091822000130"/>
    <x v="64"/>
    <d v="2019-08-29T00:00:00"/>
    <n v="46"/>
    <n v="504.4"/>
    <s v="1/224528"/>
    <n v="1"/>
    <s v="A"/>
    <x v="4"/>
    <s v="AQUIRAZ"/>
  </r>
  <r>
    <x v="368"/>
    <n v="0"/>
    <x v="717"/>
    <s v="17138061000201"/>
    <x v="36"/>
    <d v="2019-08-16T00:00:00"/>
    <n v="60"/>
    <n v="188.76"/>
    <s v="1/223053"/>
    <n v="1"/>
    <s v="A"/>
    <x v="21"/>
    <s v="FORTALEZA"/>
  </r>
  <r>
    <x v="368"/>
    <n v="0"/>
    <x v="718"/>
    <s v="14669491000172"/>
    <x v="66"/>
    <d v="2019-08-16T00:00:00"/>
    <n v="60"/>
    <n v="355.02"/>
    <s v="1/222997"/>
    <n v="1"/>
    <s v="A"/>
    <x v="19"/>
    <s v="ITAPIPOCA"/>
  </r>
  <r>
    <x v="369"/>
    <n v="0"/>
    <x v="719"/>
    <s v="17138061000201"/>
    <x v="36"/>
    <d v="2019-08-07T00:00:00"/>
    <n v="70"/>
    <n v="257.44"/>
    <s v="1/221962"/>
    <n v="1"/>
    <s v="A"/>
    <x v="21"/>
    <s v="FORTALEZA"/>
  </r>
  <r>
    <x v="369"/>
    <n v="0"/>
    <x v="720"/>
    <s v="17138061000201"/>
    <x v="36"/>
    <d v="2019-08-12T00:00:00"/>
    <n v="65"/>
    <n v="278"/>
    <s v="1/222505"/>
    <n v="1"/>
    <s v="A"/>
    <x v="21"/>
    <s v="FORTALEZA"/>
  </r>
  <r>
    <x v="370"/>
    <n v="0"/>
    <x v="721"/>
    <s v="17138061000201"/>
    <x v="36"/>
    <d v="2019-08-23T00:00:00"/>
    <n v="55"/>
    <n v="431.94"/>
    <s v="1/223822"/>
    <n v="1"/>
    <s v="A"/>
    <x v="21"/>
    <s v="FORTALEZA"/>
  </r>
  <r>
    <x v="371"/>
    <n v="0"/>
    <x v="722"/>
    <s v="17138061000201"/>
    <x v="36"/>
    <d v="2019-08-16T00:00:00"/>
    <n v="66"/>
    <n v="414.67"/>
    <s v="1/223057"/>
    <n v="1"/>
    <s v="A"/>
    <x v="21"/>
    <s v="FORTALEZA"/>
  </r>
  <r>
    <x v="372"/>
    <n v="0"/>
    <x v="723"/>
    <s v="17138061000201"/>
    <x v="36"/>
    <d v="2019-08-29T00:00:00"/>
    <n v="55"/>
    <n v="312.08"/>
    <s v="1/224545"/>
    <n v="1"/>
    <s v="A"/>
    <x v="21"/>
    <s v="FORTALEZA"/>
  </r>
  <r>
    <x v="372"/>
    <n v="0"/>
    <x v="724"/>
    <s v="14091822000130"/>
    <x v="64"/>
    <d v="2019-08-29T00:00:00"/>
    <n v="55"/>
    <n v="504.39"/>
    <s v="1/224528"/>
    <n v="1"/>
    <s v="A"/>
    <x v="4"/>
    <s v="AQUIRAZ"/>
  </r>
  <r>
    <x v="373"/>
    <n v="0"/>
    <x v="725"/>
    <s v="17138061000201"/>
    <x v="36"/>
    <d v="2019-09-04T00:00:00"/>
    <n v="50"/>
    <n v="343.14"/>
    <s v="1/225237"/>
    <n v="1"/>
    <s v="A"/>
    <x v="21"/>
    <s v="FORTALEZA"/>
  </r>
  <r>
    <x v="373"/>
    <n v="0"/>
    <x v="726"/>
    <s v="17138061000201"/>
    <x v="36"/>
    <d v="2019-09-09T00:00:00"/>
    <n v="45"/>
    <n v="293.5"/>
    <s v="1/225756"/>
    <n v="1"/>
    <s v="A"/>
    <x v="21"/>
    <s v="FORTALEZA"/>
  </r>
  <r>
    <x v="374"/>
    <n v="0"/>
    <x v="727"/>
    <s v="14669491000172"/>
    <x v="66"/>
    <d v="2019-08-16T00:00:00"/>
    <n v="70"/>
    <n v="355.01"/>
    <s v="1/222997"/>
    <n v="1"/>
    <s v="A"/>
    <x v="19"/>
    <s v="ITAPIPOCA"/>
  </r>
  <r>
    <x v="375"/>
    <n v="0"/>
    <x v="728"/>
    <s v="17138061000201"/>
    <x v="36"/>
    <d v="2019-08-23T00:00:00"/>
    <n v="66"/>
    <n v="431.94"/>
    <s v="1/223822"/>
    <n v="1"/>
    <s v="A"/>
    <x v="21"/>
    <s v="FORTALEZA"/>
  </r>
  <r>
    <x v="375"/>
    <n v="0"/>
    <x v="729"/>
    <s v="17138061000201"/>
    <x v="36"/>
    <d v="2019-08-29T00:00:00"/>
    <n v="60"/>
    <n v="350.46"/>
    <s v="1/224538"/>
    <n v="1"/>
    <s v="A"/>
    <x v="21"/>
    <s v="FORTALEZA"/>
  </r>
  <r>
    <x v="375"/>
    <n v="0"/>
    <x v="730"/>
    <s v="17138061000201"/>
    <x v="36"/>
    <d v="2019-09-13T00:00:00"/>
    <n v="45"/>
    <n v="403.24"/>
    <s v="1/226456"/>
    <n v="1"/>
    <s v="A"/>
    <x v="21"/>
    <s v="FORTALEZA"/>
  </r>
  <r>
    <x v="376"/>
    <n v="0"/>
    <x v="731"/>
    <s v="17138061000201"/>
    <x v="36"/>
    <d v="2019-08-29T00:00:00"/>
    <n v="67"/>
    <n v="312.08"/>
    <s v="1/224545"/>
    <n v="1"/>
    <s v="A"/>
    <x v="21"/>
    <s v="FORTALEZA"/>
  </r>
  <r>
    <x v="376"/>
    <n v="0"/>
    <x v="732"/>
    <s v="17138061000201"/>
    <x v="36"/>
    <d v="2019-09-04T00:00:00"/>
    <n v="61"/>
    <n v="278.57"/>
    <s v="1/225237"/>
    <n v="1"/>
    <s v="A"/>
    <x v="21"/>
    <s v="FORTALEZA"/>
  </r>
  <r>
    <x v="376"/>
    <n v="0"/>
    <x v="733"/>
    <s v="17138061000201"/>
    <x v="36"/>
    <d v="2019-09-05T00:00:00"/>
    <n v="60"/>
    <n v="121.11"/>
    <s v="1/225290"/>
    <n v="1"/>
    <s v="A"/>
    <x v="21"/>
    <s v="FORTALEZA"/>
  </r>
  <r>
    <x v="376"/>
    <n v="0"/>
    <x v="734"/>
    <s v="17138061000201"/>
    <x v="36"/>
    <d v="2019-09-09T00:00:00"/>
    <n v="56"/>
    <n v="225.04"/>
    <s v="1/225756"/>
    <n v="1"/>
    <s v="A"/>
    <x v="21"/>
    <s v="FORTALEZA"/>
  </r>
  <r>
    <x v="377"/>
    <n v="0"/>
    <x v="735"/>
    <s v="17138061000201"/>
    <x v="36"/>
    <d v="2019-08-23T00:00:00"/>
    <n v="75"/>
    <n v="431.94"/>
    <s v="1/223822"/>
    <n v="1"/>
    <s v="A"/>
    <x v="21"/>
    <s v="FORTALEZA"/>
  </r>
  <r>
    <x v="378"/>
    <n v="0"/>
    <x v="736"/>
    <s v="17138061000201"/>
    <x v="36"/>
    <d v="2019-09-13T00:00:00"/>
    <n v="55"/>
    <n v="313.60000000000002"/>
    <s v="1/226456"/>
    <n v="1"/>
    <s v="A"/>
    <x v="21"/>
    <s v="FORTALEZA"/>
  </r>
  <r>
    <x v="379"/>
    <n v="0"/>
    <x v="737"/>
    <s v="17138061000201"/>
    <x v="36"/>
    <d v="2019-09-09T00:00:00"/>
    <n v="60"/>
    <n v="178.37"/>
    <s v="1/225815"/>
    <n v="1"/>
    <s v="A"/>
    <x v="21"/>
    <s v="FORTALEZA"/>
  </r>
  <r>
    <x v="380"/>
    <n v="0"/>
    <x v="738"/>
    <s v="17138061000201"/>
    <x v="36"/>
    <d v="2019-09-16T00:00:00"/>
    <n v="56"/>
    <n v="438.26"/>
    <s v="1/226600"/>
    <n v="1"/>
    <s v="A"/>
    <x v="21"/>
    <s v="FORTALEZA"/>
  </r>
  <r>
    <x v="380"/>
    <n v="0"/>
    <x v="739"/>
    <s v="17138061000201"/>
    <x v="36"/>
    <d v="2019-09-20T00:00:00"/>
    <n v="52"/>
    <n v="407.24"/>
    <s v="1/227355"/>
    <n v="1"/>
    <s v="A"/>
    <x v="21"/>
    <s v="FORTALEZA"/>
  </r>
  <r>
    <x v="380"/>
    <n v="0"/>
    <x v="740"/>
    <s v="31488169000166"/>
    <x v="67"/>
    <d v="2019-11-04T00:00:00"/>
    <n v="7"/>
    <n v="431.76"/>
    <s v="1/232384"/>
    <n v="1"/>
    <s v="A"/>
    <x v="16"/>
    <s v="BARBALHA"/>
  </r>
  <r>
    <x v="381"/>
    <n v="0"/>
    <x v="741"/>
    <s v="17138061000201"/>
    <x v="36"/>
    <d v="2019-08-29T00:00:00"/>
    <n v="75"/>
    <n v="312.06"/>
    <s v="1/224545"/>
    <n v="1"/>
    <s v="A"/>
    <x v="21"/>
    <s v="FORTALEZA"/>
  </r>
  <r>
    <x v="381"/>
    <n v="0"/>
    <x v="742"/>
    <s v="17138061000201"/>
    <x v="36"/>
    <d v="2019-09-13T00:00:00"/>
    <n v="60"/>
    <n v="293.92"/>
    <s v="1/226454"/>
    <n v="1"/>
    <s v="A"/>
    <x v="21"/>
    <s v="FORTALEZA"/>
  </r>
  <r>
    <x v="382"/>
    <n v="0"/>
    <x v="743"/>
    <s v="17138061000201"/>
    <x v="36"/>
    <d v="2019-09-04T00:00:00"/>
    <n v="70"/>
    <n v="278.58"/>
    <s v="1/225237"/>
    <n v="1"/>
    <s v="A"/>
    <x v="21"/>
    <s v="FORTALEZA"/>
  </r>
  <r>
    <x v="382"/>
    <n v="0"/>
    <x v="744"/>
    <s v="17138061000201"/>
    <x v="36"/>
    <d v="2019-09-09T00:00:00"/>
    <n v="65"/>
    <n v="225.04"/>
    <s v="1/225756"/>
    <n v="1"/>
    <s v="A"/>
    <x v="21"/>
    <s v="FORTALEZA"/>
  </r>
  <r>
    <x v="383"/>
    <n v="0"/>
    <x v="745"/>
    <s v="17138061000201"/>
    <x v="36"/>
    <d v="2019-09-16T00:00:00"/>
    <n v="60"/>
    <n v="346.77"/>
    <s v="1/226620"/>
    <n v="1"/>
    <s v="A"/>
    <x v="21"/>
    <s v="FORTALEZA"/>
  </r>
  <r>
    <x v="384"/>
    <n v="0"/>
    <x v="746"/>
    <s v="17138061000201"/>
    <x v="36"/>
    <d v="2019-09-13T00:00:00"/>
    <n v="66"/>
    <n v="313.60000000000002"/>
    <s v="1/226456"/>
    <n v="1"/>
    <s v="A"/>
    <x v="21"/>
    <s v="FORTALEZA"/>
  </r>
  <r>
    <x v="384"/>
    <n v="0"/>
    <x v="747"/>
    <s v="14091822000130"/>
    <x v="64"/>
    <d v="2019-10-17T00:00:00"/>
    <n v="32"/>
    <n v="548.96"/>
    <s v="1/230663"/>
    <n v="1"/>
    <s v="A"/>
    <x v="4"/>
    <s v="AQUIRAZ"/>
  </r>
  <r>
    <x v="384"/>
    <n v="0"/>
    <x v="748"/>
    <s v="31488169000166"/>
    <x v="67"/>
    <d v="2019-11-11T00:00:00"/>
    <n v="7"/>
    <n v="389.49"/>
    <s v="1/233356"/>
    <n v="1"/>
    <s v="A"/>
    <x v="16"/>
    <s v="BARBALHA"/>
  </r>
  <r>
    <x v="385"/>
    <n v="0"/>
    <x v="749"/>
    <s v="17138061000201"/>
    <x v="36"/>
    <d v="2019-09-20T00:00:00"/>
    <n v="60"/>
    <n v="205.67"/>
    <s v="1/227356"/>
    <n v="1"/>
    <s v="A"/>
    <x v="21"/>
    <s v="FORTALEZA"/>
  </r>
  <r>
    <x v="386"/>
    <n v="0"/>
    <x v="750"/>
    <s v="17138061000201"/>
    <x v="36"/>
    <d v="2019-09-16T00:00:00"/>
    <n v="65"/>
    <n v="393.45"/>
    <s v="1/226600"/>
    <n v="1"/>
    <s v="A"/>
    <x v="21"/>
    <s v="FORTALEZA"/>
  </r>
  <r>
    <x v="387"/>
    <n v="0"/>
    <x v="751"/>
    <s v="17138061000201"/>
    <x v="36"/>
    <d v="2019-09-09T00:00:00"/>
    <n v="77"/>
    <n v="225.05"/>
    <s v="1/225756"/>
    <n v="1"/>
    <s v="A"/>
    <x v="21"/>
    <s v="FORTALEZA"/>
  </r>
  <r>
    <x v="387"/>
    <n v="0"/>
    <x v="752"/>
    <s v="17138061000201"/>
    <x v="36"/>
    <d v="2019-10-04T00:00:00"/>
    <n v="52"/>
    <n v="327.9"/>
    <s v="1/229002"/>
    <n v="1"/>
    <s v="A"/>
    <x v="21"/>
    <s v="FORTALEZA"/>
  </r>
  <r>
    <x v="387"/>
    <n v="0"/>
    <x v="753"/>
    <s v="14091822000130"/>
    <x v="64"/>
    <d v="2019-10-01T00:00:00"/>
    <n v="55"/>
    <n v="502.55"/>
    <s v="1/228579"/>
    <n v="1"/>
    <s v="A"/>
    <x v="4"/>
    <s v="AQUIRAZ"/>
  </r>
  <r>
    <x v="388"/>
    <n v="0"/>
    <x v="754"/>
    <s v="17138061000201"/>
    <x v="36"/>
    <d v="2019-09-13T00:00:00"/>
    <n v="75"/>
    <n v="313.58999999999997"/>
    <s v="1/226456"/>
    <n v="1"/>
    <s v="A"/>
    <x v="21"/>
    <s v="FORTALEZA"/>
  </r>
  <r>
    <x v="389"/>
    <n v="0"/>
    <x v="755"/>
    <s v="17138061000201"/>
    <x v="36"/>
    <d v="2019-10-09T00:00:00"/>
    <n v="50"/>
    <n v="345.17"/>
    <s v="1/229425"/>
    <n v="1"/>
    <s v="A"/>
    <x v="21"/>
    <s v="FORTALEZA"/>
  </r>
  <r>
    <x v="390"/>
    <n v="0"/>
    <x v="756"/>
    <s v="17138061000201"/>
    <x v="36"/>
    <d v="2019-09-27T00:00:00"/>
    <n v="66"/>
    <n v="295.58999999999997"/>
    <s v="1/228019"/>
    <n v="1"/>
    <s v="A"/>
    <x v="21"/>
    <s v="FORTALEZA"/>
  </r>
  <r>
    <x v="391"/>
    <n v="0"/>
    <x v="757"/>
    <s v="17138061000201"/>
    <x v="36"/>
    <d v="2019-10-04T00:00:00"/>
    <n v="60"/>
    <n v="457.96"/>
    <s v="1/229000"/>
    <n v="1"/>
    <s v="A"/>
    <x v="21"/>
    <s v="FORTALEZA"/>
  </r>
  <r>
    <x v="391"/>
    <n v="0"/>
    <x v="758"/>
    <s v="17138061000201"/>
    <x v="36"/>
    <d v="2019-10-04T00:00:00"/>
    <n v="60"/>
    <n v="327.9"/>
    <s v="1/229002"/>
    <n v="1"/>
    <s v="A"/>
    <x v="21"/>
    <s v="FORTALEZA"/>
  </r>
  <r>
    <x v="392"/>
    <n v="0"/>
    <x v="759"/>
    <s v="17138061000201"/>
    <x v="36"/>
    <d v="2019-09-27T00:00:00"/>
    <n v="75"/>
    <n v="295.60000000000002"/>
    <s v="1/228019"/>
    <n v="1"/>
    <s v="A"/>
    <x v="21"/>
    <s v="FORTALEZA"/>
  </r>
  <r>
    <x v="392"/>
    <n v="0"/>
    <x v="760"/>
    <s v="08745695000142"/>
    <x v="68"/>
    <d v="2019-10-22T00:00:00"/>
    <n v="50"/>
    <n v="288.63"/>
    <s v="1/231032"/>
    <n v="1"/>
    <s v="A"/>
    <x v="17"/>
    <s v="FORTALEZA"/>
  </r>
  <r>
    <x v="393"/>
    <n v="0"/>
    <x v="761"/>
    <s v="17138061000201"/>
    <x v="36"/>
    <d v="2019-10-29T00:00:00"/>
    <n v="45"/>
    <n v="318.7"/>
    <s v="1/231727"/>
    <n v="1"/>
    <s v="A"/>
    <x v="21"/>
    <s v="FORTALEZA"/>
  </r>
  <r>
    <x v="394"/>
    <n v="0"/>
    <x v="762"/>
    <s v="16672967000745"/>
    <x v="69"/>
    <d v="2019-10-07T00:00:00"/>
    <n v="70"/>
    <n v="1209.8599999999999"/>
    <s v="1/229026"/>
    <n v="1"/>
    <s v="A"/>
    <x v="15"/>
    <s v="CAUCAIA"/>
  </r>
  <r>
    <x v="394"/>
    <n v="0"/>
    <x v="763"/>
    <s v="16672967001202"/>
    <x v="70"/>
    <d v="2019-10-07T00:00:00"/>
    <n v="70"/>
    <n v="701.08"/>
    <s v="1/229010"/>
    <n v="1"/>
    <s v="A"/>
    <x v="15"/>
    <s v="FORTALEZA"/>
  </r>
  <r>
    <x v="394"/>
    <n v="0"/>
    <x v="764"/>
    <s v="14091822000130"/>
    <x v="64"/>
    <d v="2019-10-17T00:00:00"/>
    <n v="60"/>
    <n v="548.96"/>
    <s v="1/230663"/>
    <n v="1"/>
    <s v="A"/>
    <x v="4"/>
    <s v="AQUIRAZ"/>
  </r>
  <r>
    <x v="395"/>
    <n v="0"/>
    <x v="765"/>
    <s v="16672967000826"/>
    <x v="71"/>
    <d v="2019-10-08T00:00:00"/>
    <n v="70"/>
    <n v="321.24"/>
    <s v="1/229325"/>
    <n v="1"/>
    <s v="A"/>
    <x v="15"/>
    <s v="MARANGUAPE"/>
  </r>
  <r>
    <x v="396"/>
    <n v="0"/>
    <x v="766"/>
    <s v="19352870000239"/>
    <x v="72"/>
    <d v="2019-10-10T00:00:00"/>
    <n v="70"/>
    <n v="1004.26"/>
    <s v="1/229559"/>
    <n v="1"/>
    <s v="A"/>
    <x v="15"/>
    <s v="FORTALEZA"/>
  </r>
  <r>
    <x v="397"/>
    <n v="0"/>
    <x v="767"/>
    <s v="32864017000183"/>
    <x v="73"/>
    <d v="2019-10-11T00:00:00"/>
    <n v="70"/>
    <n v="241.72"/>
    <s v="1/229860"/>
    <n v="1"/>
    <s v="A"/>
    <x v="22"/>
    <s v="IBICUITINGA"/>
  </r>
  <r>
    <x v="398"/>
    <n v="0"/>
    <x v="768"/>
    <s v="14091822000130"/>
    <x v="64"/>
    <d v="2019-11-13T00:00:00"/>
    <n v="40"/>
    <n v="351.23"/>
    <s v="1/233698"/>
    <n v="1"/>
    <s v="A"/>
    <x v="4"/>
    <s v="AQUIRAZ"/>
  </r>
  <r>
    <x v="398"/>
    <n v="0"/>
    <x v="769"/>
    <s v="08745695000142"/>
    <x v="68"/>
    <d v="2019-10-24T00:00:00"/>
    <n v="60"/>
    <n v="197.74"/>
    <s v="1/231213"/>
    <n v="1"/>
    <s v="A"/>
    <x v="17"/>
    <s v="FORTALEZA"/>
  </r>
  <r>
    <x v="398"/>
    <n v="0"/>
    <x v="770"/>
    <s v="32864017000183"/>
    <x v="73"/>
    <d v="2019-10-23T00:00:00"/>
    <n v="61"/>
    <n v="173.16"/>
    <s v="1/231113"/>
    <n v="1"/>
    <s v="A"/>
    <x v="22"/>
    <s v="IBICUITINGA"/>
  </r>
  <r>
    <x v="399"/>
    <n v="0"/>
    <x v="771"/>
    <s v="08745695000142"/>
    <x v="68"/>
    <d v="2019-11-26T00:00:00"/>
    <n v="30"/>
    <n v="285.37"/>
    <s v="1/235141"/>
    <n v="1"/>
    <s v="A"/>
    <x v="17"/>
    <s v="FORTALEZA"/>
  </r>
  <r>
    <x v="400"/>
    <n v="0"/>
    <x v="772"/>
    <s v="08745695000142"/>
    <x v="68"/>
    <d v="2019-10-22T00:00:00"/>
    <n v="70"/>
    <n v="264.89999999999998"/>
    <s v="1/231032"/>
    <n v="1"/>
    <s v="A"/>
    <x v="17"/>
    <s v="FORTALEZA"/>
  </r>
  <r>
    <x v="401"/>
    <n v="0"/>
    <x v="773"/>
    <s v="14091822000130"/>
    <x v="64"/>
    <d v="2019-11-13T00:00:00"/>
    <n v="50"/>
    <n v="351.23"/>
    <s v="1/233698"/>
    <n v="1"/>
    <s v="A"/>
    <x v="4"/>
    <s v="AQUIRAZ"/>
  </r>
  <r>
    <x v="402"/>
    <n v="0"/>
    <x v="774"/>
    <s v="08745695000142"/>
    <x v="68"/>
    <d v="2019-11-12T00:00:00"/>
    <n v="62"/>
    <n v="375.97"/>
    <s v="1/233395"/>
    <n v="1"/>
    <s v="A"/>
    <x v="17"/>
    <s v="FORTALEZA"/>
  </r>
  <r>
    <x v="402"/>
    <n v="0"/>
    <x v="775"/>
    <s v="28606372000185"/>
    <x v="74"/>
    <d v="2019-11-14T00:00:00"/>
    <n v="60"/>
    <n v="325.47000000000003"/>
    <s v="1/233885"/>
    <n v="1"/>
    <s v="A"/>
    <x v="16"/>
    <s v="JUAZEIRO DO NORTE"/>
  </r>
  <r>
    <x v="403"/>
    <n v="0"/>
    <x v="776"/>
    <s v="28606372000185"/>
    <x v="74"/>
    <d v="2019-10-29T00:00:00"/>
    <n v="80"/>
    <n v="348.44"/>
    <s v="1/231747"/>
    <n v="1"/>
    <s v="A"/>
    <x v="16"/>
    <s v="JUAZEIRO DO NORTE"/>
  </r>
  <r>
    <x v="404"/>
    <n v="0"/>
    <x v="777"/>
    <s v="28606372000185"/>
    <x v="74"/>
    <d v="2019-10-31T00:00:00"/>
    <n v="81"/>
    <n v="344.45"/>
    <s v="1/232008"/>
    <n v="1"/>
    <s v="A"/>
    <x v="16"/>
    <s v="JUAZEIRO DO NORTE"/>
  </r>
  <r>
    <x v="405"/>
    <n v="0"/>
    <x v="778"/>
    <s v="04582233000109"/>
    <x v="65"/>
    <d v="2019-11-22T00:00:00"/>
    <n v="60"/>
    <n v="273.69"/>
    <s v="1/234799"/>
    <n v="1"/>
    <s v="A"/>
    <x v="23"/>
    <s v="ITAPIPOCA"/>
  </r>
  <r>
    <x v="405"/>
    <n v="0"/>
    <x v="779"/>
    <s v="06325590000109"/>
    <x v="75"/>
    <d v="2019-11-22T00:00:00"/>
    <n v="60"/>
    <n v="273.69"/>
    <s v="1/234800"/>
    <n v="1"/>
    <s v="A"/>
    <x v="23"/>
    <s v="ITAPIPOCA"/>
  </r>
  <r>
    <x v="405"/>
    <n v="0"/>
    <x v="780"/>
    <s v="14669491000172"/>
    <x v="66"/>
    <d v="2019-11-22T00:00:00"/>
    <n v="60"/>
    <n v="273.69"/>
    <s v="1/234803"/>
    <n v="1"/>
    <s v="A"/>
    <x v="23"/>
    <s v="ITAPIPOCA"/>
  </r>
  <r>
    <x v="405"/>
    <n v="0"/>
    <x v="781"/>
    <s v="08101736000168"/>
    <x v="76"/>
    <d v="2019-11-22T00:00:00"/>
    <n v="60"/>
    <n v="273.69"/>
    <s v="1/234801"/>
    <n v="1"/>
    <s v="A"/>
    <x v="23"/>
    <s v="ITAPIPOCA"/>
  </r>
  <r>
    <x v="406"/>
    <n v="0"/>
    <x v="782"/>
    <s v="08745695000142"/>
    <x v="68"/>
    <d v="2019-11-26T00:00:00"/>
    <n v="62"/>
    <n v="285.37"/>
    <s v="1/235141"/>
    <n v="1"/>
    <s v="A"/>
    <x v="17"/>
    <s v="FORTALEZA"/>
  </r>
  <r>
    <x v="406"/>
    <n v="0"/>
    <x v="783"/>
    <s v="08745695000142"/>
    <x v="68"/>
    <d v="2019-11-26T00:00:00"/>
    <n v="62"/>
    <n v="471.4"/>
    <s v="1/235145"/>
    <n v="1"/>
    <s v="A"/>
    <x v="17"/>
    <s v="FORTALEZA"/>
  </r>
  <r>
    <x v="407"/>
    <n v="0"/>
    <x v="784"/>
    <s v="33806961000147"/>
    <x v="77"/>
    <d v="2019-12-09T00:00:00"/>
    <n v="50"/>
    <n v="273.82"/>
    <s v="1/236627"/>
    <n v="1"/>
    <s v="A"/>
    <x v="15"/>
    <s v="MARACANAU"/>
  </r>
  <r>
    <x v="408"/>
    <n v="0"/>
    <x v="785"/>
    <s v="32864017000183"/>
    <x v="73"/>
    <d v="2019-12-18T00:00:00"/>
    <n v="47"/>
    <n v="335.69"/>
    <s v="1/237966"/>
    <n v="1"/>
    <s v="A"/>
    <x v="24"/>
    <s v="IBICUITINGA"/>
  </r>
  <r>
    <x v="408"/>
    <n v="0"/>
    <x v="786"/>
    <s v="28606372000185"/>
    <x v="74"/>
    <d v="2019-11-14T00:00:00"/>
    <n v="81"/>
    <n v="325.48"/>
    <s v="1/233885"/>
    <n v="1"/>
    <s v="A"/>
    <x v="16"/>
    <s v="JUAZEIRO DO NORTE"/>
  </r>
  <r>
    <x v="409"/>
    <n v="0"/>
    <x v="787"/>
    <s v="21707796000197"/>
    <x v="78"/>
    <d v="2019-12-18T00:00:00"/>
    <n v="50"/>
    <n v="414.4"/>
    <s v="1/237944"/>
    <n v="1"/>
    <s v="A"/>
    <x v="16"/>
    <s v="JUAZEIRO DO NORTE"/>
  </r>
  <r>
    <x v="410"/>
    <n v="0"/>
    <x v="788"/>
    <s v="31416588000192"/>
    <x v="79"/>
    <d v="2019-12-09T00:00:00"/>
    <n v="60"/>
    <n v="708.72"/>
    <s v="1/236669"/>
    <n v="1"/>
    <s v="A"/>
    <x v="24"/>
    <s v="TAMBORIL"/>
  </r>
  <r>
    <x v="411"/>
    <n v="0"/>
    <x v="789"/>
    <s v="31416588000192"/>
    <x v="79"/>
    <d v="2019-12-02T00:00:00"/>
    <n v="70"/>
    <n v="895.66"/>
    <s v="1/235783"/>
    <n v="1"/>
    <s v="A"/>
    <x v="24"/>
    <s v="TAMBORIL"/>
  </r>
  <r>
    <x v="412"/>
    <n v="0"/>
    <x v="790"/>
    <s v="32864017000183"/>
    <x v="73"/>
    <d v="2019-12-18T00:00:00"/>
    <n v="55"/>
    <n v="256.51"/>
    <s v="1/237966"/>
    <n v="1"/>
    <s v="A"/>
    <x v="24"/>
    <s v="IBICUITINGA"/>
  </r>
  <r>
    <x v="413"/>
    <n v="0"/>
    <x v="791"/>
    <s v="31416588000192"/>
    <x v="79"/>
    <d v="2019-12-09T00:00:00"/>
    <n v="70"/>
    <n v="708.72"/>
    <s v="1/236669"/>
    <n v="1"/>
    <s v="A"/>
    <x v="24"/>
    <s v="TAMBORIL"/>
  </r>
  <r>
    <x v="413"/>
    <n v="0"/>
    <x v="792"/>
    <s v="08573510000160"/>
    <x v="80"/>
    <d v="2019-12-12T00:00:00"/>
    <n v="67"/>
    <n v="318.47000000000003"/>
    <s v="1/237221"/>
    <n v="1"/>
    <s v="A"/>
    <x v="15"/>
    <s v="FORTALEZA"/>
  </r>
  <r>
    <x v="413"/>
    <n v="0"/>
    <x v="793"/>
    <s v="00217751000164"/>
    <x v="81"/>
    <d v="2019-11-25T00:00:00"/>
    <n v="84"/>
    <n v="480.37"/>
    <s v="1/235164"/>
    <n v="1"/>
    <s v="A"/>
    <x v="4"/>
    <s v="FORTIM"/>
  </r>
  <r>
    <x v="414"/>
    <n v="0"/>
    <x v="794"/>
    <s v="31416588000192"/>
    <x v="79"/>
    <d v="2019-12-02T00:00:00"/>
    <n v="80"/>
    <n v="895.65"/>
    <s v="1/235783"/>
    <n v="1"/>
    <s v="A"/>
    <x v="24"/>
    <s v="TAMBORIL"/>
  </r>
  <r>
    <x v="415"/>
    <n v="0"/>
    <x v="795"/>
    <s v="32864017000183"/>
    <x v="73"/>
    <d v="2019-12-18T00:00:00"/>
    <n v="65"/>
    <n v="256.51"/>
    <s v="1/237966"/>
    <n v="1"/>
    <s v="A"/>
    <x v="24"/>
    <s v="IBICUITINGA"/>
  </r>
  <r>
    <x v="416"/>
    <n v="0"/>
    <x v="796"/>
    <s v="08745695000142"/>
    <x v="68"/>
    <d v="2019-11-26T00:00:00"/>
    <n v="90"/>
    <n v="285.37"/>
    <s v="1/235141"/>
    <n v="1"/>
    <s v="A"/>
    <x v="17"/>
    <s v="FORTALEZA"/>
  </r>
  <r>
    <x v="416"/>
    <n v="0"/>
    <x v="797"/>
    <s v="11658614000181"/>
    <x v="82"/>
    <d v="2019-07-12T00:00:00"/>
    <n v="227"/>
    <n v="657.03"/>
    <s v="1/219358"/>
    <n v="1"/>
    <s v="A"/>
    <x v="21"/>
    <s v="REDENÇÃO"/>
  </r>
  <r>
    <x v="416"/>
    <n v="0"/>
    <x v="798"/>
    <s v="11658614000181"/>
    <x v="82"/>
    <d v="2019-07-22T00:00:00"/>
    <n v="217"/>
    <n v="522.1"/>
    <s v="1/220238"/>
    <n v="1"/>
    <s v="A"/>
    <x v="21"/>
    <s v="REDENÇÃO"/>
  </r>
  <r>
    <x v="416"/>
    <n v="0"/>
    <x v="799"/>
    <s v="11658614000181"/>
    <x v="82"/>
    <d v="2019-08-02T00:00:00"/>
    <n v="206"/>
    <n v="1118.27"/>
    <s v="1/221632"/>
    <n v="1"/>
    <s v="A"/>
    <x v="21"/>
    <s v="REDENÇÃO"/>
  </r>
  <r>
    <x v="417"/>
    <n v="0"/>
    <x v="800"/>
    <s v="00217751000164"/>
    <x v="81"/>
    <d v="2019-11-25T00:00:00"/>
    <n v="92"/>
    <n v="480.37"/>
    <s v="1/235164"/>
    <n v="1"/>
    <s v="A"/>
    <x v="4"/>
    <s v="FORTIM"/>
  </r>
  <r>
    <x v="418"/>
    <n v="0"/>
    <x v="801"/>
    <s v="21707796000197"/>
    <x v="78"/>
    <d v="2019-12-18T00:00:00"/>
    <n v="70"/>
    <n v="358.84"/>
    <s v="1/237944"/>
    <n v="1"/>
    <s v="A"/>
    <x v="16"/>
    <s v="JUAZEIRO DO NORTE"/>
  </r>
  <r>
    <x v="418"/>
    <n v="0"/>
    <x v="802"/>
    <s v="11658614000181"/>
    <x v="82"/>
    <d v="2019-12-23T00:00:00"/>
    <n v="65"/>
    <n v="742.46"/>
    <s v="1/238601"/>
    <n v="1"/>
    <s v="A"/>
    <x v="21"/>
    <s v="REDENÇÃO"/>
  </r>
  <r>
    <x v="419"/>
    <n v="0"/>
    <x v="803"/>
    <s v="31416588000192"/>
    <x v="79"/>
    <d v="2019-12-09T00:00:00"/>
    <n v="80"/>
    <n v="708.72"/>
    <s v="1/236669"/>
    <n v="1"/>
    <s v="A"/>
    <x v="24"/>
    <s v="TAMBORIL"/>
  </r>
  <r>
    <x v="420"/>
    <n v="0"/>
    <x v="804"/>
    <s v="11658614000181"/>
    <x v="82"/>
    <d v="2019-10-16T00:00:00"/>
    <n v="135"/>
    <n v="2079.12"/>
    <s v="1/230373"/>
    <n v="1"/>
    <s v="A"/>
    <x v="21"/>
    <s v="REDENÇÃO"/>
  </r>
  <r>
    <x v="421"/>
    <n v="0"/>
    <x v="805"/>
    <s v="31416588000192"/>
    <x v="79"/>
    <d v="2020-01-07T00:00:00"/>
    <n v="55"/>
    <n v="676.73"/>
    <s v="1/239164"/>
    <n v="1"/>
    <s v="A"/>
    <x v="24"/>
    <s v="TAMBORIL"/>
  </r>
  <r>
    <x v="421"/>
    <n v="0"/>
    <x v="806"/>
    <s v="32864017000183"/>
    <x v="73"/>
    <d v="2019-12-18T00:00:00"/>
    <n v="75"/>
    <n v="256.49"/>
    <s v="1/237966"/>
    <n v="1"/>
    <s v="A"/>
    <x v="24"/>
    <s v="IBICUITINGA"/>
  </r>
  <r>
    <x v="421"/>
    <n v="0"/>
    <x v="807"/>
    <s v="11658614000181"/>
    <x v="82"/>
    <d v="2019-09-17T00:00:00"/>
    <n v="167"/>
    <n v="649.49"/>
    <s v="1/226846"/>
    <n v="1"/>
    <s v="A"/>
    <x v="21"/>
    <s v="REDENÇÃO"/>
  </r>
  <r>
    <x v="422"/>
    <n v="0"/>
    <x v="808"/>
    <s v="11658614000181"/>
    <x v="82"/>
    <d v="2019-07-12T00:00:00"/>
    <n v="235"/>
    <n v="657.03"/>
    <s v="1/219358"/>
    <n v="1"/>
    <s v="A"/>
    <x v="21"/>
    <s v="REDENÇÃO"/>
  </r>
  <r>
    <x v="422"/>
    <n v="0"/>
    <x v="809"/>
    <s v="11658614000181"/>
    <x v="82"/>
    <d v="2019-07-22T00:00:00"/>
    <n v="225"/>
    <n v="522.1"/>
    <s v="1/220238"/>
    <n v="1"/>
    <s v="A"/>
    <x v="21"/>
    <s v="REDENÇÃO"/>
  </r>
  <r>
    <x v="423"/>
    <n v="0"/>
    <x v="810"/>
    <s v="11658614000181"/>
    <x v="82"/>
    <d v="2019-08-02T00:00:00"/>
    <n v="215"/>
    <n v="1118.27"/>
    <s v="1/221632"/>
    <n v="1"/>
    <s v="A"/>
    <x v="21"/>
    <s v="REDENÇÃO"/>
  </r>
  <r>
    <x v="423"/>
    <n v="0"/>
    <x v="811"/>
    <s v="11658614000181"/>
    <x v="82"/>
    <d v="2019-06-13T00:00:00"/>
    <n v="265"/>
    <n v="852.94"/>
    <s v="1/216740"/>
    <n v="1"/>
    <s v="A"/>
    <x v="21"/>
    <s v="REDENÇÃO"/>
  </r>
  <r>
    <x v="424"/>
    <n v="0"/>
    <x v="812"/>
    <s v="33806961000147"/>
    <x v="77"/>
    <d v="2020-01-08T00:00:00"/>
    <n v="57"/>
    <n v="424.82"/>
    <s v="1/239241"/>
    <n v="1"/>
    <s v="A"/>
    <x v="15"/>
    <s v="MARACANAU"/>
  </r>
  <r>
    <x v="424"/>
    <n v="0"/>
    <x v="813"/>
    <s v="11658614000181"/>
    <x v="82"/>
    <d v="2019-06-29T00:00:00"/>
    <n v="250"/>
    <n v="1335.92"/>
    <s v="1/218285"/>
    <n v="1"/>
    <s v="A"/>
    <x v="21"/>
    <s v="REDENÇÃO"/>
  </r>
  <r>
    <x v="425"/>
    <n v="0"/>
    <x v="814"/>
    <s v="08745695000142"/>
    <x v="68"/>
    <d v="2020-01-06T00:00:00"/>
    <n v="60"/>
    <n v="398.75"/>
    <s v="1/238975"/>
    <n v="1"/>
    <s v="A"/>
    <x v="17"/>
    <s v="FORTALEZA"/>
  </r>
  <r>
    <x v="425"/>
    <n v="0"/>
    <x v="815"/>
    <s v="00217751000164"/>
    <x v="81"/>
    <d v="2019-11-25T00:00:00"/>
    <n v="102"/>
    <n v="480.37"/>
    <s v="1/235164"/>
    <n v="1"/>
    <s v="A"/>
    <x v="4"/>
    <s v="FORTIM"/>
  </r>
  <r>
    <x v="426"/>
    <n v="0"/>
    <x v="816"/>
    <s v="11658614000181"/>
    <x v="82"/>
    <d v="2019-10-16T00:00:00"/>
    <n v="145"/>
    <n v="2079.12"/>
    <s v="1/230373"/>
    <n v="1"/>
    <s v="A"/>
    <x v="21"/>
    <s v="REDENÇÃO"/>
  </r>
  <r>
    <x v="426"/>
    <n v="0"/>
    <x v="817"/>
    <s v="11658614000181"/>
    <x v="82"/>
    <d v="2019-12-23T00:00:00"/>
    <n v="77"/>
    <n v="742.46"/>
    <s v="1/238601"/>
    <n v="1"/>
    <s v="A"/>
    <x v="21"/>
    <s v="REDENÇÃO"/>
  </r>
  <r>
    <x v="426"/>
    <n v="0"/>
    <x v="818"/>
    <s v="11658614000181"/>
    <x v="82"/>
    <d v="2019-08-31T00:00:00"/>
    <n v="191"/>
    <n v="1091.8399999999999"/>
    <s v="1/224822"/>
    <n v="1"/>
    <s v="A"/>
    <x v="21"/>
    <s v="REDENÇÃO"/>
  </r>
  <r>
    <x v="427"/>
    <n v="0"/>
    <x v="819"/>
    <s v="11658614000181"/>
    <x v="82"/>
    <d v="2019-09-17T00:00:00"/>
    <n v="175"/>
    <n v="649.49"/>
    <s v="1/226846"/>
    <n v="1"/>
    <s v="A"/>
    <x v="21"/>
    <s v="REDENÇÃO"/>
  </r>
  <r>
    <x v="428"/>
    <n v="0"/>
    <x v="820"/>
    <s v="21707796000197"/>
    <x v="78"/>
    <d v="2020-01-21T00:00:00"/>
    <n v="50"/>
    <n v="266.24"/>
    <s v="1/240610"/>
    <n v="1"/>
    <s v="A"/>
    <x v="16"/>
    <s v="JUAZEIRO DO NORTE"/>
  </r>
  <r>
    <x v="428"/>
    <n v="0"/>
    <x v="821"/>
    <s v="11658614000181"/>
    <x v="82"/>
    <d v="2019-08-09T00:00:00"/>
    <n v="215"/>
    <n v="906.79"/>
    <s v="1/222369"/>
    <n v="1"/>
    <s v="A"/>
    <x v="21"/>
    <s v="REDENÇÃO"/>
  </r>
  <r>
    <x v="429"/>
    <n v="0"/>
    <x v="822"/>
    <s v="31416588000192"/>
    <x v="79"/>
    <d v="2020-01-07T00:00:00"/>
    <n v="65"/>
    <n v="676.73"/>
    <s v="1/239164"/>
    <n v="1"/>
    <s v="A"/>
    <x v="24"/>
    <s v="TAMBORIL"/>
  </r>
  <r>
    <x v="429"/>
    <n v="0"/>
    <x v="823"/>
    <s v="11658614000181"/>
    <x v="82"/>
    <d v="2019-07-31T00:00:00"/>
    <n v="225"/>
    <n v="421.85"/>
    <s v="1/221351"/>
    <n v="1"/>
    <s v="A"/>
    <x v="21"/>
    <s v="REDENÇÃO"/>
  </r>
  <r>
    <x v="430"/>
    <n v="0"/>
    <x v="824"/>
    <s v="11658614000181"/>
    <x v="82"/>
    <d v="2019-07-22T00:00:00"/>
    <n v="235"/>
    <n v="522.1"/>
    <s v="1/220238"/>
    <n v="1"/>
    <s v="A"/>
    <x v="21"/>
    <s v="REDENÇÃO"/>
  </r>
  <r>
    <x v="431"/>
    <n v="0"/>
    <x v="825"/>
    <s v="00217751000164"/>
    <x v="81"/>
    <d v="2019-11-25T00:00:00"/>
    <n v="112"/>
    <n v="480.37"/>
    <s v="1/235164"/>
    <n v="1"/>
    <s v="A"/>
    <x v="4"/>
    <s v="FORTIM"/>
  </r>
  <r>
    <x v="431"/>
    <n v="0"/>
    <x v="826"/>
    <s v="33806961000147"/>
    <x v="77"/>
    <d v="2020-01-08T00:00:00"/>
    <n v="68"/>
    <n v="424.82"/>
    <s v="1/239241"/>
    <n v="1"/>
    <s v="A"/>
    <x v="15"/>
    <s v="MARACANAU"/>
  </r>
  <r>
    <x v="431"/>
    <n v="0"/>
    <x v="827"/>
    <s v="11658614000181"/>
    <x v="82"/>
    <d v="2019-08-02T00:00:00"/>
    <n v="227"/>
    <n v="1118.27"/>
    <s v="1/221632"/>
    <n v="1"/>
    <s v="A"/>
    <x v="21"/>
    <s v="REDENÇÃO"/>
  </r>
  <r>
    <x v="431"/>
    <n v="0"/>
    <x v="828"/>
    <s v="11658614000181"/>
    <x v="82"/>
    <d v="2019-06-13T00:00:00"/>
    <n v="277"/>
    <n v="852.94"/>
    <s v="1/216740"/>
    <n v="1"/>
    <s v="A"/>
    <x v="21"/>
    <s v="REDENÇÃO"/>
  </r>
  <r>
    <x v="432"/>
    <n v="0"/>
    <x v="829"/>
    <s v="11658614000181"/>
    <x v="82"/>
    <d v="2019-12-23T00:00:00"/>
    <n v="85"/>
    <n v="742.46"/>
    <s v="1/238601"/>
    <n v="1"/>
    <s v="A"/>
    <x v="21"/>
    <s v="REDENÇÃO"/>
  </r>
  <r>
    <x v="432"/>
    <n v="0"/>
    <x v="830"/>
    <s v="11658614000181"/>
    <x v="82"/>
    <d v="2019-12-13T00:00:00"/>
    <n v="95"/>
    <n v="476.25"/>
    <s v="1/237340"/>
    <n v="1"/>
    <s v="A"/>
    <x v="21"/>
    <s v="REDENÇÃO"/>
  </r>
  <r>
    <x v="433"/>
    <n v="0"/>
    <x v="831"/>
    <s v="11658614000181"/>
    <x v="82"/>
    <d v="2020-02-07T00:00:00"/>
    <n v="40"/>
    <n v="963.88"/>
    <s v="1/242738"/>
    <n v="1"/>
    <s v="A"/>
    <x v="21"/>
    <s v="REDENÇÃO"/>
  </r>
  <r>
    <x v="433"/>
    <n v="0"/>
    <x v="832"/>
    <s v="11658614000181"/>
    <x v="82"/>
    <d v="2019-08-31T00:00:00"/>
    <n v="200"/>
    <n v="1091.8399999999999"/>
    <s v="1/224822"/>
    <n v="1"/>
    <s v="A"/>
    <x v="21"/>
    <s v="REDENÇÃO"/>
  </r>
  <r>
    <x v="434"/>
    <n v="0"/>
    <x v="833"/>
    <s v="11658614000181"/>
    <x v="82"/>
    <d v="2019-10-16T00:00:00"/>
    <n v="155"/>
    <n v="2079.12"/>
    <s v="1/230373"/>
    <n v="1"/>
    <s v="A"/>
    <x v="21"/>
    <s v="REDENÇÃO"/>
  </r>
  <r>
    <x v="435"/>
    <n v="0"/>
    <x v="834"/>
    <s v="11658614000181"/>
    <x v="82"/>
    <d v="2019-09-17T00:00:00"/>
    <n v="185"/>
    <n v="649.49"/>
    <s v="1/226846"/>
    <n v="1"/>
    <s v="A"/>
    <x v="21"/>
    <s v="REDENÇÃO"/>
  </r>
  <r>
    <x v="436"/>
    <n v="0"/>
    <x v="835"/>
    <s v="31416588000192"/>
    <x v="79"/>
    <d v="2020-01-07T00:00:00"/>
    <n v="76"/>
    <n v="676.73"/>
    <s v="1/239164"/>
    <n v="1"/>
    <s v="A"/>
    <x v="24"/>
    <s v="TAMBORIL"/>
  </r>
  <r>
    <x v="436"/>
    <n v="0"/>
    <x v="836"/>
    <s v="11658614000181"/>
    <x v="82"/>
    <d v="2019-07-22T00:00:00"/>
    <n v="245"/>
    <n v="522.08000000000004"/>
    <s v="1/220238"/>
    <n v="1"/>
    <s v="A"/>
    <x v="21"/>
    <s v="REDENÇÃO"/>
  </r>
  <r>
    <x v="436"/>
    <n v="0"/>
    <x v="837"/>
    <s v="11658614000181"/>
    <x v="82"/>
    <d v="2019-08-09T00:00:00"/>
    <n v="227"/>
    <n v="906.79"/>
    <s v="1/222369"/>
    <n v="1"/>
    <s v="A"/>
    <x v="21"/>
    <s v="REDENÇÃO"/>
  </r>
  <r>
    <x v="436"/>
    <n v="0"/>
    <x v="838"/>
    <s v="11658614000181"/>
    <x v="82"/>
    <d v="2019-07-31T00:00:00"/>
    <n v="236"/>
    <n v="421.85"/>
    <s v="1/221351"/>
    <n v="1"/>
    <s v="A"/>
    <x v="21"/>
    <s v="REDENÇÃO"/>
  </r>
  <r>
    <x v="437"/>
    <n v="0"/>
    <x v="839"/>
    <s v="31416588000192"/>
    <x v="79"/>
    <d v="2020-02-03T00:00:00"/>
    <n v="50"/>
    <n v="283.8"/>
    <s v="1/242099"/>
    <n v="1"/>
    <s v="A"/>
    <x v="24"/>
    <s v="TAMBORIL"/>
  </r>
  <r>
    <x v="437"/>
    <n v="0"/>
    <x v="840"/>
    <s v="11658614000181"/>
    <x v="82"/>
    <d v="2019-08-02T00:00:00"/>
    <n v="235"/>
    <n v="1118.27"/>
    <s v="1/221632"/>
    <n v="1"/>
    <s v="A"/>
    <x v="21"/>
    <s v="REDENÇÃO"/>
  </r>
  <r>
    <x v="437"/>
    <n v="0"/>
    <x v="841"/>
    <s v="11658614000181"/>
    <x v="82"/>
    <d v="2019-06-13T00:00:00"/>
    <n v="285"/>
    <n v="852.94"/>
    <s v="1/216740"/>
    <n v="1"/>
    <s v="A"/>
    <x v="21"/>
    <s v="REDENÇÃO"/>
  </r>
  <r>
    <x v="438"/>
    <n v="0"/>
    <x v="842"/>
    <s v="08745695000142"/>
    <x v="68"/>
    <d v="2019-11-26T00:00:00"/>
    <n v="120"/>
    <n v="285.37"/>
    <s v="1/235141"/>
    <n v="1"/>
    <s v="A"/>
    <x v="17"/>
    <s v="FORTALEZA"/>
  </r>
  <r>
    <x v="439"/>
    <n v="0"/>
    <x v="843"/>
    <s v="00217751000164"/>
    <x v="81"/>
    <d v="2019-11-25T00:00:00"/>
    <n v="122"/>
    <n v="480.37"/>
    <s v="1/235164"/>
    <n v="1"/>
    <s v="A"/>
    <x v="4"/>
    <s v="FORTIM"/>
  </r>
  <r>
    <x v="440"/>
    <n v="0"/>
    <x v="844"/>
    <s v="11658614000181"/>
    <x v="82"/>
    <d v="2019-12-23T00:00:00"/>
    <n v="95"/>
    <n v="742.45"/>
    <s v="1/238601"/>
    <n v="1"/>
    <s v="A"/>
    <x v="21"/>
    <s v="REDENÇÃO"/>
  </r>
  <r>
    <x v="441"/>
    <n v="0"/>
    <x v="845"/>
    <s v="31416588000354"/>
    <x v="83"/>
    <d v="2020-01-29T00:00:00"/>
    <n v="61"/>
    <n v="522"/>
    <s v="1/241544"/>
    <n v="1"/>
    <s v="A"/>
    <x v="24"/>
    <s v="TAMBORIL"/>
  </r>
  <r>
    <x v="441"/>
    <n v="0"/>
    <x v="846"/>
    <s v="31416588000354"/>
    <x v="83"/>
    <d v="2020-01-30T00:00:00"/>
    <n v="60"/>
    <n v="450.97"/>
    <s v="1/241696"/>
    <n v="1"/>
    <s v="A"/>
    <x v="24"/>
    <s v="TAMBORIL"/>
  </r>
  <r>
    <x v="441"/>
    <n v="0"/>
    <x v="847"/>
    <s v="11658614000181"/>
    <x v="82"/>
    <d v="2019-10-16T00:00:00"/>
    <n v="166"/>
    <n v="2079.12"/>
    <s v="1/230373"/>
    <n v="1"/>
    <s v="A"/>
    <x v="21"/>
    <s v="REDENÇÃO"/>
  </r>
  <r>
    <x v="441"/>
    <n v="0"/>
    <x v="848"/>
    <s v="11658614000181"/>
    <x v="82"/>
    <d v="2019-09-17T00:00:00"/>
    <n v="195"/>
    <n v="649.49"/>
    <s v="1/226846"/>
    <n v="1"/>
    <s v="A"/>
    <x v="21"/>
    <s v="REDENÇÃO"/>
  </r>
  <r>
    <x v="441"/>
    <n v="0"/>
    <x v="849"/>
    <s v="11658614000181"/>
    <x v="82"/>
    <d v="2020-02-07T00:00:00"/>
    <n v="52"/>
    <n v="694.18"/>
    <s v="1/242738"/>
    <n v="1"/>
    <s v="A"/>
    <x v="21"/>
    <s v="REDENÇÃO"/>
  </r>
  <r>
    <x v="441"/>
    <n v="0"/>
    <x v="850"/>
    <s v="11658614000181"/>
    <x v="82"/>
    <d v="2019-08-31T00:00:00"/>
    <n v="212"/>
    <n v="1091.8399999999999"/>
    <s v="1/224822"/>
    <n v="1"/>
    <s v="A"/>
    <x v="21"/>
    <s v="REDENÇÃO"/>
  </r>
  <r>
    <x v="442"/>
    <n v="0"/>
    <x v="851"/>
    <s v="21707796000197"/>
    <x v="78"/>
    <d v="2020-01-21T00:00:00"/>
    <n v="70"/>
    <n v="230.67"/>
    <s v="1/240610"/>
    <n v="1"/>
    <s v="A"/>
    <x v="16"/>
    <s v="JUAZEIRO DO NORTE"/>
  </r>
  <r>
    <x v="442"/>
    <n v="0"/>
    <x v="852"/>
    <s v="11658614000181"/>
    <x v="82"/>
    <d v="2019-08-09T00:00:00"/>
    <n v="235"/>
    <n v="906.79"/>
    <s v="1/222369"/>
    <n v="1"/>
    <s v="A"/>
    <x v="21"/>
    <s v="REDENÇÃO"/>
  </r>
  <r>
    <x v="443"/>
    <n v="0"/>
    <x v="853"/>
    <s v="11658614000181"/>
    <x v="82"/>
    <d v="2019-08-02T00:00:00"/>
    <n v="245"/>
    <n v="1118.27"/>
    <s v="1/221632"/>
    <n v="1"/>
    <s v="A"/>
    <x v="21"/>
    <s v="REDENÇÃO"/>
  </r>
  <r>
    <x v="443"/>
    <n v="0"/>
    <x v="854"/>
    <s v="11658614000181"/>
    <x v="82"/>
    <d v="2019-06-13T00:00:00"/>
    <n v="295"/>
    <n v="852.94"/>
    <s v="1/216740"/>
    <n v="1"/>
    <s v="A"/>
    <x v="21"/>
    <s v="REDENÇÃO"/>
  </r>
  <r>
    <x v="444"/>
    <n v="0"/>
    <x v="855"/>
    <s v="31416588000192"/>
    <x v="79"/>
    <d v="2020-02-04T00:00:00"/>
    <n v="62"/>
    <n v="494.95"/>
    <s v="1/242177"/>
    <n v="1"/>
    <s v="A"/>
    <x v="24"/>
    <s v="TAMBORIL"/>
  </r>
  <r>
    <x v="445"/>
    <n v="0"/>
    <x v="856"/>
    <s v="11658614000181"/>
    <x v="82"/>
    <d v="2020-02-07T00:00:00"/>
    <n v="60"/>
    <n v="694.18"/>
    <s v="1/242738"/>
    <n v="1"/>
    <s v="A"/>
    <x v="21"/>
    <s v="REDENÇÃO"/>
  </r>
  <r>
    <x v="445"/>
    <n v="0"/>
    <x v="857"/>
    <s v="11658614000181"/>
    <x v="82"/>
    <d v="2019-08-31T00:00:00"/>
    <n v="220"/>
    <n v="1091.8399999999999"/>
    <s v="1/224822"/>
    <n v="1"/>
    <s v="A"/>
    <x v="21"/>
    <s v="REDENÇÃO"/>
  </r>
  <r>
    <x v="446"/>
    <n v="0"/>
    <x v="858"/>
    <s v="31416588000354"/>
    <x v="83"/>
    <d v="2020-01-29T00:00:00"/>
    <n v="70"/>
    <n v="522"/>
    <s v="1/241544"/>
    <n v="1"/>
    <s v="A"/>
    <x v="24"/>
    <s v="TAMBORIL"/>
  </r>
  <r>
    <x v="446"/>
    <n v="0"/>
    <x v="859"/>
    <s v="11658614000181"/>
    <x v="82"/>
    <d v="2019-10-16T00:00:00"/>
    <n v="175"/>
    <n v="2079.15"/>
    <s v="1/230373"/>
    <n v="1"/>
    <s v="A"/>
    <x v="21"/>
    <s v="REDENÇÃO"/>
  </r>
  <r>
    <x v="447"/>
    <n v="0"/>
    <x v="860"/>
    <s v="31416588000354"/>
    <x v="83"/>
    <d v="2020-01-30T00:00:00"/>
    <n v="70"/>
    <n v="450.97"/>
    <s v="1/241696"/>
    <n v="1"/>
    <s v="A"/>
    <x v="24"/>
    <s v="TAMBORIL"/>
  </r>
  <r>
    <x v="447"/>
    <n v="0"/>
    <x v="861"/>
    <s v="11658614000181"/>
    <x v="82"/>
    <d v="2019-09-17T00:00:00"/>
    <n v="205"/>
    <n v="649.5"/>
    <s v="1/226846"/>
    <n v="1"/>
    <s v="A"/>
    <x v="21"/>
    <s v="REDENÇÃO"/>
  </r>
  <r>
    <x v="448"/>
    <n v="0"/>
    <x v="862"/>
    <s v="11658614000181"/>
    <x v="82"/>
    <d v="2019-08-09T00:00:00"/>
    <n v="245"/>
    <n v="906.79"/>
    <s v="1/222369"/>
    <n v="1"/>
    <s v="A"/>
    <x v="21"/>
    <s v="REDENÇÃO"/>
  </r>
  <r>
    <x v="449"/>
    <n v="0"/>
    <x v="863"/>
    <s v="31416588000192"/>
    <x v="79"/>
    <d v="2020-02-03T00:00:00"/>
    <n v="70"/>
    <n v="245.86"/>
    <s v="1/242099"/>
    <n v="1"/>
    <s v="A"/>
    <x v="24"/>
    <s v="TAMBORIL"/>
  </r>
  <r>
    <x v="449"/>
    <n v="0"/>
    <x v="864"/>
    <s v="11658614000181"/>
    <x v="82"/>
    <d v="2019-08-02T00:00:00"/>
    <n v="255"/>
    <n v="1118.25"/>
    <s v="1/221632"/>
    <n v="1"/>
    <s v="A"/>
    <x v="21"/>
    <s v="REDENÇÃO"/>
  </r>
  <r>
    <x v="449"/>
    <n v="0"/>
    <x v="865"/>
    <s v="11658614000181"/>
    <x v="82"/>
    <d v="2019-06-13T00:00:00"/>
    <n v="305"/>
    <n v="852.93"/>
    <s v="1/216740"/>
    <n v="1"/>
    <s v="A"/>
    <x v="21"/>
    <s v="REDENÇÃO"/>
  </r>
  <r>
    <x v="450"/>
    <n v="0"/>
    <x v="866"/>
    <s v="31416588000192"/>
    <x v="79"/>
    <d v="2020-02-04T00:00:00"/>
    <n v="70"/>
    <n v="494.95"/>
    <s v="1/242177"/>
    <n v="1"/>
    <s v="A"/>
    <x v="24"/>
    <s v="TAMBORIL"/>
  </r>
  <r>
    <x v="451"/>
    <n v="0"/>
    <x v="867"/>
    <s v="11658614000181"/>
    <x v="82"/>
    <d v="2020-02-07T00:00:00"/>
    <n v="70"/>
    <n v="694.18"/>
    <s v="1/242738"/>
    <n v="1"/>
    <s v="A"/>
    <x v="21"/>
    <s v="REDENÇÃO"/>
  </r>
  <r>
    <x v="451"/>
    <n v="0"/>
    <x v="868"/>
    <s v="11658614000181"/>
    <x v="82"/>
    <d v="2019-08-31T00:00:00"/>
    <n v="230"/>
    <n v="1091.8599999999999"/>
    <s v="1/224822"/>
    <n v="1"/>
    <s v="A"/>
    <x v="21"/>
    <s v="REDENÇÃO"/>
  </r>
  <r>
    <x v="452"/>
    <n v="0"/>
    <x v="869"/>
    <s v="31416588000354"/>
    <x v="83"/>
    <d v="2020-01-29T00:00:00"/>
    <n v="82"/>
    <n v="522"/>
    <s v="1/241544"/>
    <n v="1"/>
    <s v="A"/>
    <x v="24"/>
    <s v="TAMBORIL"/>
  </r>
  <r>
    <x v="452"/>
    <n v="0"/>
    <x v="870"/>
    <s v="31416588000354"/>
    <x v="83"/>
    <d v="2020-01-30T00:00:00"/>
    <n v="81"/>
    <n v="450.98"/>
    <s v="1/241696"/>
    <n v="1"/>
    <s v="A"/>
    <x v="24"/>
    <s v="TAMBORIL"/>
  </r>
  <r>
    <x v="452"/>
    <n v="0"/>
    <x v="871"/>
    <s v="11658614000181"/>
    <x v="82"/>
    <d v="2019-08-09T00:00:00"/>
    <n v="255"/>
    <n v="906.79"/>
    <s v="1/222369"/>
    <n v="1"/>
    <s v="A"/>
    <x v="21"/>
    <s v="REDENÇÃO"/>
  </r>
  <r>
    <x v="453"/>
    <n v="0"/>
    <x v="872"/>
    <s v="11658614000181"/>
    <x v="82"/>
    <d v="2019-09-06T00:00:00"/>
    <n v="230"/>
    <n v="993.17"/>
    <s v="1/225672"/>
    <n v="1"/>
    <s v="A"/>
    <x v="21"/>
    <s v="REDENÇÃO"/>
  </r>
  <r>
    <x v="454"/>
    <n v="0"/>
    <x v="873"/>
    <s v="31416588000192"/>
    <x v="79"/>
    <d v="2020-02-04T00:00:00"/>
    <n v="80"/>
    <n v="494.95"/>
    <s v="1/242177"/>
    <n v="1"/>
    <s v="A"/>
    <x v="24"/>
    <s v="TAMBORIL"/>
  </r>
  <r>
    <x v="455"/>
    <n v="0"/>
    <x v="874"/>
    <s v="11658614000181"/>
    <x v="82"/>
    <d v="2020-02-07T00:00:00"/>
    <n v="80"/>
    <n v="694.2"/>
    <s v="1/242738"/>
    <n v="1"/>
    <s v="A"/>
    <x v="21"/>
    <s v="REDENÇÃO"/>
  </r>
  <r>
    <x v="456"/>
    <n v="0"/>
    <x v="875"/>
    <s v="11658614000181"/>
    <x v="82"/>
    <d v="2019-08-09T00:00:00"/>
    <n v="265"/>
    <n v="906.78"/>
    <s v="1/222369"/>
    <n v="1"/>
    <s v="A"/>
    <x v="21"/>
    <s v="REDENÇÃO"/>
  </r>
  <r>
    <x v="457"/>
    <n v="0"/>
    <x v="876"/>
    <s v="11658614000181"/>
    <x v="82"/>
    <d v="2019-09-06T00:00:00"/>
    <n v="241"/>
    <n v="993.17"/>
    <s v="1/225672"/>
    <n v="1"/>
    <s v="A"/>
    <x v="21"/>
    <s v="REDENÇÃO"/>
  </r>
  <r>
    <x v="458"/>
    <n v="0"/>
    <x v="877"/>
    <s v="11658614000181"/>
    <x v="82"/>
    <d v="2019-09-06T00:00:00"/>
    <n v="250"/>
    <n v="993.17"/>
    <s v="1/225672"/>
    <n v="1"/>
    <s v="A"/>
    <x v="21"/>
    <s v="REDENÇÃO"/>
  </r>
  <r>
    <x v="459"/>
    <n v="0"/>
    <x v="878"/>
    <s v="11658614000181"/>
    <x v="82"/>
    <d v="2019-09-06T00:00:00"/>
    <n v="262"/>
    <n v="993.17"/>
    <s v="1/225672"/>
    <n v="1"/>
    <s v="A"/>
    <x v="21"/>
    <s v="REDENÇÃO"/>
  </r>
  <r>
    <x v="460"/>
    <n v="0"/>
    <x v="879"/>
    <s v="11658614000181"/>
    <x v="82"/>
    <d v="2019-12-13T00:00:00"/>
    <n v="165"/>
    <n v="476.25"/>
    <s v="1/237340"/>
    <n v="1"/>
    <s v="A"/>
    <x v="21"/>
    <s v="REDENÇÃO"/>
  </r>
  <r>
    <x v="461"/>
    <n v="0"/>
    <x v="880"/>
    <s v="11658614000181"/>
    <x v="82"/>
    <d v="2019-09-06T00:00:00"/>
    <n v="270"/>
    <n v="993.16"/>
    <s v="1/225672"/>
    <n v="1"/>
    <s v="A"/>
    <x v="21"/>
    <s v="REDENÇÃO"/>
  </r>
  <r>
    <x v="462"/>
    <n v="0"/>
    <x v="881"/>
    <s v="14091822000130"/>
    <x v="64"/>
    <d v="2020-04-29T00:00:00"/>
    <n v="47"/>
    <n v="375.07"/>
    <s v="1/253779"/>
    <n v="1"/>
    <s v="A"/>
    <x v="4"/>
    <s v="AQUIRAZ"/>
  </r>
  <r>
    <x v="462"/>
    <n v="0"/>
    <x v="882"/>
    <s v="14091822000130"/>
    <x v="64"/>
    <d v="2020-05-06T00:00:00"/>
    <n v="40"/>
    <n v="423"/>
    <s v="1/255133"/>
    <n v="1"/>
    <s v="A"/>
    <x v="4"/>
    <s v="AQUIRAZ"/>
  </r>
  <r>
    <x v="463"/>
    <n v="0"/>
    <x v="883"/>
    <s v="14091822000130"/>
    <x v="64"/>
    <d v="2020-04-23T00:00:00"/>
    <n v="55"/>
    <n v="411.44"/>
    <s v="1/253015"/>
    <n v="1"/>
    <s v="A"/>
    <x v="4"/>
    <s v="AQUIRAZ"/>
  </r>
  <r>
    <x v="464"/>
    <n v="0"/>
    <x v="884"/>
    <s v="14091822000130"/>
    <x v="64"/>
    <d v="2020-04-24T00:00:00"/>
    <n v="55"/>
    <n v="300.52999999999997"/>
    <s v="1/253206"/>
    <n v="1"/>
    <s v="A"/>
    <x v="4"/>
    <s v="AQUIRAZ"/>
  </r>
  <r>
    <x v="465"/>
    <n v="0"/>
    <x v="885"/>
    <s v="14091822000130"/>
    <x v="64"/>
    <d v="2020-05-05T00:00:00"/>
    <n v="45"/>
    <n v="401.92"/>
    <s v="1/254773"/>
    <n v="1"/>
    <s v="A"/>
    <x v="4"/>
    <s v="AQUIRAZ"/>
  </r>
  <r>
    <x v="466"/>
    <n v="0"/>
    <x v="886"/>
    <s v="07677015000138"/>
    <x v="84"/>
    <d v="2020-04-22T00:00:00"/>
    <n v="61"/>
    <n v="468.82"/>
    <s v="1/252812"/>
    <n v="1"/>
    <s v="A"/>
    <x v="23"/>
    <s v="SÃO GONÇALO DO AMARANTE"/>
  </r>
  <r>
    <x v="467"/>
    <n v="0"/>
    <x v="887"/>
    <s v="14091822000130"/>
    <x v="64"/>
    <d v="2020-04-29T00:00:00"/>
    <n v="55"/>
    <n v="375.08"/>
    <s v="1/253779"/>
    <n v="1"/>
    <s v="A"/>
    <x v="4"/>
    <s v="AQUIRAZ"/>
  </r>
  <r>
    <x v="467"/>
    <n v="0"/>
    <x v="888"/>
    <s v="14091822000130"/>
    <x v="64"/>
    <d v="2020-05-19T00:00:00"/>
    <n v="35"/>
    <n v="375.7"/>
    <s v="1/257725"/>
    <n v="1"/>
    <s v="A"/>
    <x v="4"/>
    <s v="AQUIRAZ"/>
  </r>
  <r>
    <x v="468"/>
    <n v="0"/>
    <x v="889"/>
    <s v="14091822000130"/>
    <x v="64"/>
    <d v="2020-04-30T00:00:00"/>
    <n v="55"/>
    <n v="366.02"/>
    <s v="1/254237"/>
    <n v="1"/>
    <s v="A"/>
    <x v="4"/>
    <s v="AQUIRAZ"/>
  </r>
  <r>
    <x v="469"/>
    <n v="0"/>
    <x v="890"/>
    <s v="14091822000130"/>
    <x v="64"/>
    <d v="2020-05-06T00:00:00"/>
    <n v="50"/>
    <n v="422.99"/>
    <s v="1/255133"/>
    <n v="1"/>
    <s v="A"/>
    <x v="4"/>
    <s v="AQUIRAZ"/>
  </r>
  <r>
    <x v="470"/>
    <n v="0"/>
    <x v="891"/>
    <s v="14091822000130"/>
    <x v="64"/>
    <d v="2020-05-12T00:00:00"/>
    <n v="45"/>
    <n v="349.62"/>
    <s v="1/256187"/>
    <n v="1"/>
    <s v="A"/>
    <x v="4"/>
    <s v="AQUIRAZ"/>
  </r>
  <r>
    <x v="471"/>
    <n v="0"/>
    <x v="892"/>
    <s v="14091822000130"/>
    <x v="64"/>
    <d v="2020-04-29T00:00:00"/>
    <n v="61"/>
    <n v="377.29"/>
    <s v="1/253997"/>
    <n v="1"/>
    <s v="A"/>
    <x v="4"/>
    <s v="AQUIRAZ"/>
  </r>
  <r>
    <x v="471"/>
    <n v="0"/>
    <x v="893"/>
    <s v="14091822000130"/>
    <x v="64"/>
    <d v="2020-05-05T00:00:00"/>
    <n v="55"/>
    <n v="401.91"/>
    <s v="1/254773"/>
    <n v="1"/>
    <s v="A"/>
    <x v="4"/>
    <s v="AQUIRAZ"/>
  </r>
  <r>
    <x v="471"/>
    <n v="0"/>
    <x v="894"/>
    <s v="14091822000130"/>
    <x v="64"/>
    <d v="2020-05-14T00:00:00"/>
    <n v="46"/>
    <n v="220.84"/>
    <s v="1/256687"/>
    <n v="1"/>
    <s v="A"/>
    <x v="4"/>
    <s v="AQUIRAZ"/>
  </r>
  <r>
    <x v="471"/>
    <n v="0"/>
    <x v="895"/>
    <s v="14091822000130"/>
    <x v="64"/>
    <d v="2020-05-14T00:00:00"/>
    <n v="46"/>
    <n v="399.97"/>
    <s v="1/256772"/>
    <n v="1"/>
    <s v="A"/>
    <x v="4"/>
    <s v="AQUIRAZ"/>
  </r>
  <r>
    <x v="472"/>
    <n v="0"/>
    <x v="896"/>
    <s v="14091822000130"/>
    <x v="64"/>
    <d v="2020-05-22T00:00:00"/>
    <n v="40"/>
    <n v="363.74"/>
    <s v="1/258763"/>
    <n v="1"/>
    <s v="A"/>
    <x v="4"/>
    <s v="AQUIRAZ"/>
  </r>
  <r>
    <x v="472"/>
    <n v="0"/>
    <x v="897"/>
    <s v="14091822000130"/>
    <x v="64"/>
    <d v="2020-05-22T00:00:00"/>
    <n v="40"/>
    <n v="311.5"/>
    <s v="1/259008"/>
    <n v="1"/>
    <s v="A"/>
    <x v="4"/>
    <s v="AQUIRAZ"/>
  </r>
  <r>
    <x v="473"/>
    <n v="0"/>
    <x v="898"/>
    <s v="14091822000130"/>
    <x v="64"/>
    <d v="2020-06-05T00:00:00"/>
    <n v="27"/>
    <n v="418.41"/>
    <s v="1/261303"/>
    <n v="1"/>
    <s v="A"/>
    <x v="4"/>
    <s v="AQUIRAZ"/>
  </r>
  <r>
    <x v="474"/>
    <n v="0"/>
    <x v="899"/>
    <s v="14091822000130"/>
    <x v="64"/>
    <d v="2020-05-19T00:00:00"/>
    <n v="45"/>
    <n v="375.7"/>
    <s v="1/257725"/>
    <n v="1"/>
    <s v="A"/>
    <x v="4"/>
    <s v="AQUIRAZ"/>
  </r>
  <r>
    <x v="475"/>
    <n v="0"/>
    <x v="900"/>
    <s v="14091822000130"/>
    <x v="64"/>
    <d v="2020-05-07T00:00:00"/>
    <n v="60"/>
    <n v="438.75"/>
    <s v="1/255437"/>
    <n v="1"/>
    <s v="A"/>
    <x v="4"/>
    <s v="AQUIRAZ"/>
  </r>
  <r>
    <x v="475"/>
    <n v="0"/>
    <x v="901"/>
    <s v="14091822000130"/>
    <x v="64"/>
    <d v="2020-05-12T00:00:00"/>
    <n v="55"/>
    <n v="349.63"/>
    <s v="1/256187"/>
    <n v="1"/>
    <s v="A"/>
    <x v="4"/>
    <s v="AQUIRAZ"/>
  </r>
  <r>
    <x v="475"/>
    <n v="0"/>
    <x v="902"/>
    <s v="14091822000130"/>
    <x v="64"/>
    <d v="2020-05-21T00:00:00"/>
    <n v="46"/>
    <n v="374.85"/>
    <s v="1/258532"/>
    <n v="1"/>
    <s v="A"/>
    <x v="4"/>
    <s v="AQUIRAZ"/>
  </r>
  <r>
    <x v="476"/>
    <n v="0"/>
    <x v="903"/>
    <s v="14091822000130"/>
    <x v="64"/>
    <d v="2020-06-03T00:00:00"/>
    <n v="35"/>
    <n v="486.19"/>
    <s v="1/260812"/>
    <n v="1"/>
    <s v="A"/>
    <x v="4"/>
    <s v="AQUIRAZ"/>
  </r>
  <r>
    <x v="477"/>
    <n v="0"/>
    <x v="904"/>
    <s v="14091822000130"/>
    <x v="64"/>
    <d v="2020-05-26T00:00:00"/>
    <n v="45"/>
    <n v="575.66999999999996"/>
    <s v="1/259350"/>
    <n v="1"/>
    <s v="A"/>
    <x v="4"/>
    <s v="AQUIRAZ"/>
  </r>
  <r>
    <x v="477"/>
    <n v="0"/>
    <x v="905"/>
    <s v="14091822000130"/>
    <x v="64"/>
    <d v="2020-06-05T00:00:00"/>
    <n v="35"/>
    <n v="466.46"/>
    <s v="1/261649"/>
    <n v="1"/>
    <s v="A"/>
    <x v="4"/>
    <s v="AQUIRAZ"/>
  </r>
  <r>
    <x v="478"/>
    <n v="0"/>
    <x v="906"/>
    <s v="14091822000130"/>
    <x v="64"/>
    <d v="2020-05-19T00:00:00"/>
    <n v="55"/>
    <n v="375.7"/>
    <s v="1/257725"/>
    <n v="1"/>
    <s v="A"/>
    <x v="4"/>
    <s v="AQUIRAZ"/>
  </r>
  <r>
    <x v="478"/>
    <n v="0"/>
    <x v="907"/>
    <s v="14091822000130"/>
    <x v="64"/>
    <d v="2020-05-22T00:00:00"/>
    <n v="52"/>
    <n v="363.73"/>
    <s v="1/258763"/>
    <n v="1"/>
    <s v="A"/>
    <x v="4"/>
    <s v="AQUIRAZ"/>
  </r>
  <r>
    <x v="478"/>
    <n v="0"/>
    <x v="908"/>
    <s v="14091822000130"/>
    <x v="64"/>
    <d v="2020-05-22T00:00:00"/>
    <n v="52"/>
    <n v="311.5"/>
    <s v="1/259008"/>
    <n v="1"/>
    <s v="A"/>
    <x v="4"/>
    <s v="AQUIRAZ"/>
  </r>
  <r>
    <x v="478"/>
    <n v="0"/>
    <x v="909"/>
    <s v="14091822000130"/>
    <x v="64"/>
    <d v="2020-05-27T00:00:00"/>
    <n v="47"/>
    <n v="298.05"/>
    <s v="1/259953"/>
    <n v="1"/>
    <s v="A"/>
    <x v="4"/>
    <s v="AQUIRAZ"/>
  </r>
  <r>
    <x v="478"/>
    <n v="0"/>
    <x v="910"/>
    <s v="14091822000130"/>
    <x v="64"/>
    <d v="2020-06-05T00:00:00"/>
    <n v="38"/>
    <n v="362.31"/>
    <s v="1/261303"/>
    <n v="1"/>
    <s v="A"/>
    <x v="4"/>
    <s v="AQUIRAZ"/>
  </r>
  <r>
    <x v="479"/>
    <n v="0"/>
    <x v="911"/>
    <s v="14091822000130"/>
    <x v="64"/>
    <d v="2020-06-03T00:00:00"/>
    <n v="47"/>
    <n v="486.19"/>
    <s v="1/260812"/>
    <n v="1"/>
    <s v="A"/>
    <x v="4"/>
    <s v="AQUIRAZ"/>
  </r>
  <r>
    <x v="479"/>
    <n v="0"/>
    <x v="912"/>
    <s v="14091822000130"/>
    <x v="64"/>
    <d v="2020-06-05T00:00:00"/>
    <n v="45"/>
    <n v="230.85"/>
    <s v="1/261565"/>
    <n v="1"/>
    <s v="A"/>
    <x v="4"/>
    <s v="AQUIRAZ"/>
  </r>
  <r>
    <x v="479"/>
    <n v="0"/>
    <x v="913"/>
    <s v="14091822000130"/>
    <x v="64"/>
    <d v="2020-06-05T00:00:00"/>
    <n v="45"/>
    <n v="466.46"/>
    <s v="1/261649"/>
    <n v="1"/>
    <s v="A"/>
    <x v="4"/>
    <s v="AQUIRAZ"/>
  </r>
  <r>
    <x v="480"/>
    <n v="0"/>
    <x v="914"/>
    <s v="14091822000130"/>
    <x v="64"/>
    <d v="2020-06-03T00:00:00"/>
    <n v="55"/>
    <n v="486.2"/>
    <s v="1/260812"/>
    <n v="1"/>
    <s v="A"/>
    <x v="4"/>
    <s v="AQUIRAZ"/>
  </r>
  <r>
    <x v="481"/>
    <n v="0"/>
    <x v="915"/>
    <s v="14091822000130"/>
    <x v="64"/>
    <d v="2020-06-05T00:00:00"/>
    <n v="55"/>
    <n v="466.47"/>
    <s v="1/261649"/>
    <n v="1"/>
    <s v="A"/>
    <x v="4"/>
    <s v="AQUIRAZ"/>
  </r>
  <r>
    <x v="481"/>
    <n v="0"/>
    <x v="916"/>
    <s v="14091822000130"/>
    <x v="64"/>
    <d v="2020-06-15T00:00:00"/>
    <n v="45"/>
    <n v="402.89"/>
    <s v="1/262994"/>
    <n v="1"/>
    <s v="A"/>
    <x v="4"/>
    <s v="AQUIRAZ"/>
  </r>
  <r>
    <x v="482"/>
    <n v="0"/>
    <x v="917"/>
    <s v="14091822000130"/>
    <x v="64"/>
    <d v="2020-07-16T00:00:00"/>
    <n v="35"/>
    <n v="305.70999999999998"/>
    <s v="1/267559"/>
    <n v="1"/>
    <s v="A"/>
    <x v="4"/>
    <s v="AQUIRAZ"/>
  </r>
  <r>
    <x v="483"/>
    <n v="0"/>
    <x v="918"/>
    <s v="14091822000130"/>
    <x v="64"/>
    <d v="2020-07-17T00:00:00"/>
    <n v="35"/>
    <n v="405.66"/>
    <s v="1/267756"/>
    <n v="1"/>
    <s v="A"/>
    <x v="4"/>
    <s v="AQUIRAZ"/>
  </r>
  <r>
    <x v="484"/>
    <n v="0"/>
    <x v="919"/>
    <s v="29531432000100"/>
    <x v="85"/>
    <d v="2020-06-04T00:00:00"/>
    <n v="81"/>
    <n v="738.68"/>
    <s v="1/261129"/>
    <n v="1"/>
    <s v="A"/>
    <x v="25"/>
    <s v="BATURITÉ"/>
  </r>
  <r>
    <x v="484"/>
    <n v="0"/>
    <x v="920"/>
    <s v="16938339000173"/>
    <x v="86"/>
    <d v="2020-05-26T00:00:00"/>
    <n v="90"/>
    <n v="196.55"/>
    <s v="1/259514"/>
    <n v="1"/>
    <s v="A"/>
    <x v="16"/>
    <s v="MILAGRES"/>
  </r>
  <r>
    <x v="485"/>
    <n v="0"/>
    <x v="921"/>
    <s v="26196263000101"/>
    <x v="87"/>
    <d v="2020-07-02T00:00:00"/>
    <n v="55"/>
    <n v="397.9"/>
    <s v="1/265368"/>
    <n v="1"/>
    <s v="A"/>
    <x v="25"/>
    <s v="BATURITÉ"/>
  </r>
  <r>
    <x v="485"/>
    <n v="0"/>
    <x v="922"/>
    <s v="29531432000100"/>
    <x v="85"/>
    <d v="2020-07-07T00:00:00"/>
    <n v="50"/>
    <n v="350.74"/>
    <s v="1/266142"/>
    <n v="1"/>
    <s v="A"/>
    <x v="25"/>
    <s v="BATURITÉ"/>
  </r>
  <r>
    <x v="486"/>
    <n v="0"/>
    <x v="923"/>
    <s v="29531432000100"/>
    <x v="85"/>
    <d v="2020-06-18T00:00:00"/>
    <n v="70"/>
    <n v="369.45"/>
    <s v="1/263629"/>
    <n v="1"/>
    <s v="A"/>
    <x v="25"/>
    <s v="BATURITÉ"/>
  </r>
  <r>
    <x v="486"/>
    <n v="0"/>
    <x v="924"/>
    <s v="29531432000100"/>
    <x v="85"/>
    <d v="2020-07-03T00:00:00"/>
    <n v="55"/>
    <n v="427.35"/>
    <s v="1/265630"/>
    <n v="1"/>
    <s v="A"/>
    <x v="25"/>
    <s v="BATURITÉ"/>
  </r>
  <r>
    <x v="487"/>
    <n v="0"/>
    <x v="925"/>
    <s v="29531432000100"/>
    <x v="85"/>
    <d v="2020-07-09T00:00:00"/>
    <n v="50"/>
    <n v="486.01"/>
    <s v="1/266544"/>
    <n v="1"/>
    <s v="A"/>
    <x v="25"/>
    <s v="BATURITÉ"/>
  </r>
  <r>
    <x v="488"/>
    <n v="0"/>
    <x v="926"/>
    <s v="29531432000100"/>
    <x v="85"/>
    <d v="2020-06-10T00:00:00"/>
    <n v="82"/>
    <n v="500.19"/>
    <s v="1/262347"/>
    <n v="1"/>
    <s v="A"/>
    <x v="25"/>
    <s v="BATURITÉ"/>
  </r>
  <r>
    <x v="488"/>
    <n v="0"/>
    <x v="927"/>
    <s v="29531432000100"/>
    <x v="85"/>
    <d v="2020-06-25T00:00:00"/>
    <n v="67"/>
    <n v="329.37"/>
    <s v="1/264510"/>
    <n v="1"/>
    <s v="A"/>
    <x v="25"/>
    <s v="BATURITÉ"/>
  </r>
  <r>
    <x v="488"/>
    <n v="0"/>
    <x v="928"/>
    <s v="14091822000130"/>
    <x v="64"/>
    <d v="2020-07-16T00:00:00"/>
    <n v="46"/>
    <n v="251.79"/>
    <s v="1/267559"/>
    <n v="1"/>
    <s v="A"/>
    <x v="4"/>
    <s v="AQUIRAZ"/>
  </r>
  <r>
    <x v="488"/>
    <n v="0"/>
    <x v="929"/>
    <s v="14091822000130"/>
    <x v="64"/>
    <d v="2020-07-17T00:00:00"/>
    <n v="45"/>
    <n v="328.78"/>
    <s v="1/267756"/>
    <n v="1"/>
    <s v="A"/>
    <x v="4"/>
    <s v="AQUIRAZ"/>
  </r>
  <r>
    <x v="489"/>
    <n v="0"/>
    <x v="930"/>
    <s v="26196263000101"/>
    <x v="87"/>
    <d v="2020-07-03T00:00:00"/>
    <n v="60"/>
    <n v="305.45"/>
    <s v="1/265390"/>
    <n v="1"/>
    <s v="A"/>
    <x v="25"/>
    <s v="BATURITÉ"/>
  </r>
  <r>
    <x v="490"/>
    <n v="0"/>
    <x v="931"/>
    <s v="26196263000101"/>
    <x v="87"/>
    <d v="2020-06-25T00:00:00"/>
    <n v="70"/>
    <n v="258.32"/>
    <s v="1/264515"/>
    <n v="1"/>
    <s v="A"/>
    <x v="25"/>
    <s v="BATURITÉ"/>
  </r>
  <r>
    <x v="490"/>
    <n v="0"/>
    <x v="932"/>
    <s v="26196263000101"/>
    <x v="87"/>
    <d v="2020-07-09T00:00:00"/>
    <n v="56"/>
    <n v="663.56"/>
    <s v="1/266552"/>
    <n v="1"/>
    <s v="A"/>
    <x v="25"/>
    <s v="BATURITÉ"/>
  </r>
  <r>
    <x v="491"/>
    <n v="0"/>
    <x v="933"/>
    <s v="26196263000101"/>
    <x v="87"/>
    <d v="2020-07-02T00:00:00"/>
    <n v="67"/>
    <n v="397.9"/>
    <s v="1/265368"/>
    <n v="1"/>
    <s v="A"/>
    <x v="25"/>
    <s v="BATURITÉ"/>
  </r>
  <r>
    <x v="491"/>
    <n v="0"/>
    <x v="934"/>
    <s v="29531432000100"/>
    <x v="85"/>
    <d v="2020-06-04T00:00:00"/>
    <n v="95"/>
    <n v="738.65"/>
    <s v="1/261129"/>
    <n v="1"/>
    <s v="A"/>
    <x v="25"/>
    <s v="BATURITÉ"/>
  </r>
  <r>
    <x v="491"/>
    <n v="0"/>
    <x v="935"/>
    <s v="29531432000100"/>
    <x v="85"/>
    <d v="2020-07-03T00:00:00"/>
    <n v="66"/>
    <n v="370.03"/>
    <s v="1/265630"/>
    <n v="1"/>
    <s v="A"/>
    <x v="25"/>
    <s v="BATURITÉ"/>
  </r>
  <r>
    <x v="491"/>
    <n v="0"/>
    <x v="936"/>
    <s v="29531432000100"/>
    <x v="85"/>
    <d v="2020-07-07T00:00:00"/>
    <n v="62"/>
    <n v="284.66000000000003"/>
    <s v="1/266142"/>
    <n v="1"/>
    <s v="A"/>
    <x v="25"/>
    <s v="BATURITÉ"/>
  </r>
  <r>
    <x v="491"/>
    <n v="0"/>
    <x v="937"/>
    <s v="29531432000100"/>
    <x v="85"/>
    <d v="2020-07-09T00:00:00"/>
    <n v="60"/>
    <n v="412.47"/>
    <s v="1/266538"/>
    <n v="1"/>
    <s v="A"/>
    <x v="25"/>
    <s v="BATURITÉ"/>
  </r>
  <r>
    <x v="491"/>
    <n v="0"/>
    <x v="938"/>
    <s v="29531432000100"/>
    <x v="85"/>
    <d v="2020-07-09T00:00:00"/>
    <n v="60"/>
    <n v="486.01"/>
    <s v="1/266544"/>
    <n v="1"/>
    <s v="A"/>
    <x v="25"/>
    <s v="BATURITÉ"/>
  </r>
  <r>
    <x v="492"/>
    <n v="0"/>
    <x v="939"/>
    <s v="14091822000130"/>
    <x v="64"/>
    <d v="2020-07-16T00:00:00"/>
    <n v="55"/>
    <n v="251.73"/>
    <s v="1/267559"/>
    <n v="1"/>
    <s v="A"/>
    <x v="4"/>
    <s v="AQUIRAZ"/>
  </r>
  <r>
    <x v="493"/>
    <n v="0"/>
    <x v="940"/>
    <s v="26196263000101"/>
    <x v="87"/>
    <d v="2020-07-02T00:00:00"/>
    <n v="70"/>
    <n v="355.12"/>
    <s v="1/265323"/>
    <n v="1"/>
    <s v="A"/>
    <x v="25"/>
    <s v="BATURITÉ"/>
  </r>
  <r>
    <x v="493"/>
    <n v="0"/>
    <x v="941"/>
    <s v="26196263000101"/>
    <x v="87"/>
    <d v="2020-07-09T00:00:00"/>
    <n v="63"/>
    <n v="538.09"/>
    <s v="1/266552"/>
    <n v="1"/>
    <s v="A"/>
    <x v="25"/>
    <s v="BATURITÉ"/>
  </r>
  <r>
    <x v="493"/>
    <n v="0"/>
    <x v="942"/>
    <s v="14091822000130"/>
    <x v="64"/>
    <d v="2020-07-17T00:00:00"/>
    <n v="55"/>
    <n v="328.67"/>
    <s v="1/267756"/>
    <n v="1"/>
    <s v="A"/>
    <x v="4"/>
    <s v="AQUIRAZ"/>
  </r>
  <r>
    <x v="494"/>
    <n v="0"/>
    <x v="943"/>
    <s v="29531432000100"/>
    <x v="85"/>
    <d v="2020-07-03T00:00:00"/>
    <n v="70"/>
    <n v="307.47000000000003"/>
    <s v="1/265620"/>
    <n v="1"/>
    <s v="A"/>
    <x v="25"/>
    <s v="BATURITÉ"/>
  </r>
  <r>
    <x v="495"/>
    <n v="0"/>
    <x v="944"/>
    <s v="26196263000101"/>
    <x v="87"/>
    <d v="2020-07-02T00:00:00"/>
    <n v="75"/>
    <n v="374.65"/>
    <s v="1/265368"/>
    <n v="1"/>
    <s v="A"/>
    <x v="25"/>
    <s v="BATURITÉ"/>
  </r>
  <r>
    <x v="495"/>
    <n v="0"/>
    <x v="945"/>
    <s v="29531432000100"/>
    <x v="85"/>
    <d v="2020-07-07T00:00:00"/>
    <n v="70"/>
    <n v="284.67"/>
    <s v="1/266142"/>
    <n v="1"/>
    <s v="A"/>
    <x v="25"/>
    <s v="BATURITÉ"/>
  </r>
  <r>
    <x v="496"/>
    <n v="0"/>
    <x v="946"/>
    <s v="29531432000100"/>
    <x v="85"/>
    <d v="2020-07-03T00:00:00"/>
    <n v="75"/>
    <n v="364.03"/>
    <s v="1/265629"/>
    <n v="1"/>
    <s v="A"/>
    <x v="25"/>
    <s v="BATURITÉ"/>
  </r>
  <r>
    <x v="497"/>
    <n v="0"/>
    <x v="947"/>
    <s v="26196263000101"/>
    <x v="87"/>
    <d v="2020-07-09T00:00:00"/>
    <n v="70"/>
    <n v="538.1"/>
    <s v="1/266552"/>
    <n v="1"/>
    <s v="A"/>
    <x v="25"/>
    <s v="BATURITÉ"/>
  </r>
  <r>
    <x v="497"/>
    <n v="0"/>
    <x v="948"/>
    <s v="29531432000100"/>
    <x v="85"/>
    <d v="2020-07-09T00:00:00"/>
    <n v="70"/>
    <n v="486.03"/>
    <s v="1/266544"/>
    <n v="1"/>
    <s v="A"/>
    <x v="25"/>
    <s v="BATURITÉ"/>
  </r>
  <r>
    <x v="498"/>
    <n v="0"/>
    <x v="949"/>
    <s v="26196263000101"/>
    <x v="87"/>
    <d v="2020-07-02T00:00:00"/>
    <n v="85"/>
    <n v="374.67"/>
    <s v="1/265368"/>
    <n v="1"/>
    <s v="A"/>
    <x v="25"/>
    <s v="BATURITÉ"/>
  </r>
  <r>
    <x v="499"/>
    <n v="0"/>
    <x v="950"/>
    <s v="29531432000100"/>
    <x v="85"/>
    <d v="2020-07-09T00:00:00"/>
    <n v="81"/>
    <n v="412.48"/>
    <s v="1/266538"/>
    <n v="1"/>
    <s v="A"/>
    <x v="25"/>
    <s v="BATURITÉ"/>
  </r>
  <r>
    <x v="500"/>
    <n v="0"/>
    <x v="951"/>
    <s v="26196263000101"/>
    <x v="87"/>
    <d v="2020-07-03T00:00:00"/>
    <n v="90"/>
    <n v="305.44"/>
    <s v="1/265390"/>
    <n v="1"/>
    <s v="A"/>
    <x v="25"/>
    <s v="BATURITÉ"/>
  </r>
  <r>
    <x v="500"/>
    <n v="0"/>
    <x v="952"/>
    <s v="05417433000160"/>
    <x v="88"/>
    <d v="2020-07-03T00:00:00"/>
    <n v="90"/>
    <n v="536.25"/>
    <s v="1/265617"/>
    <n v="1"/>
    <s v="A"/>
    <x v="16"/>
    <s v="JARDIM"/>
  </r>
  <r>
    <x v="500"/>
    <n v="0"/>
    <x v="953"/>
    <s v="05417433000160"/>
    <x v="88"/>
    <d v="2020-07-03T00:00:00"/>
    <n v="90"/>
    <n v="465.76"/>
    <s v="1/265661"/>
    <n v="1"/>
    <s v="A"/>
    <x v="16"/>
    <s v="JARDIM"/>
  </r>
  <r>
    <x v="500"/>
    <n v="0"/>
    <x v="954"/>
    <s v="29531432000100"/>
    <x v="85"/>
    <d v="2020-07-03T00:00:00"/>
    <n v="90"/>
    <n v="307.48"/>
    <s v="1/265620"/>
    <n v="1"/>
    <s v="A"/>
    <x v="25"/>
    <s v="BATURITÉ"/>
  </r>
  <r>
    <x v="501"/>
    <n v="0"/>
    <x v="955"/>
    <s v="05417433000160"/>
    <x v="88"/>
    <d v="2020-07-06T00:00:00"/>
    <n v="91"/>
    <n v="434.73"/>
    <s v="1/265833"/>
    <n v="1"/>
    <s v="A"/>
    <x v="16"/>
    <s v="JARDIM"/>
  </r>
  <r>
    <x v="501"/>
    <n v="0"/>
    <x v="956"/>
    <s v="05417433000160"/>
    <x v="88"/>
    <d v="2020-07-06T00:00:00"/>
    <n v="91"/>
    <n v="386.3"/>
    <s v="1/265845"/>
    <n v="1"/>
    <s v="A"/>
    <x v="16"/>
    <s v="JARDIM"/>
  </r>
  <r>
    <x v="501"/>
    <n v="0"/>
    <x v="957"/>
    <s v="15784350000163"/>
    <x v="89"/>
    <d v="2020-08-21T00:00:00"/>
    <n v="45"/>
    <n v="448.07"/>
    <s v="1/272280"/>
    <n v="1"/>
    <s v="A"/>
    <x v="25"/>
    <s v="FORTALEZA"/>
  </r>
  <r>
    <x v="502"/>
    <n v="0"/>
    <x v="958"/>
    <s v="15784350000163"/>
    <x v="89"/>
    <d v="2020-09-01T00:00:00"/>
    <n v="35"/>
    <n v="446.08"/>
    <s v="1/273799"/>
    <n v="1"/>
    <s v="A"/>
    <x v="25"/>
    <s v="FORTALEZA"/>
  </r>
  <r>
    <x v="503"/>
    <n v="0"/>
    <x v="959"/>
    <s v="15784350000163"/>
    <x v="89"/>
    <d v="2020-08-14T00:00:00"/>
    <n v="60"/>
    <n v="250.56"/>
    <s v="1/271330"/>
    <n v="1"/>
    <s v="A"/>
    <x v="25"/>
    <s v="FORTALEZA"/>
  </r>
  <r>
    <x v="503"/>
    <n v="0"/>
    <x v="960"/>
    <s v="15784350000163"/>
    <x v="89"/>
    <d v="2020-08-24T00:00:00"/>
    <n v="50"/>
    <n v="251.7"/>
    <s v="1/272447"/>
    <n v="1"/>
    <s v="A"/>
    <x v="25"/>
    <s v="FORTALEZA"/>
  </r>
  <r>
    <x v="504"/>
    <n v="0"/>
    <x v="961"/>
    <s v="15784350000163"/>
    <x v="89"/>
    <d v="2020-09-14T00:00:00"/>
    <n v="30"/>
    <n v="297.38"/>
    <s v="1/275290"/>
    <n v="1"/>
    <s v="A"/>
    <x v="25"/>
    <s v="FORTALEZA"/>
  </r>
  <r>
    <x v="505"/>
    <n v="0"/>
    <x v="962"/>
    <s v="15784350000163"/>
    <x v="89"/>
    <d v="2020-09-01T00:00:00"/>
    <n v="45"/>
    <n v="446.08"/>
    <s v="1/273799"/>
    <n v="1"/>
    <s v="A"/>
    <x v="25"/>
    <s v="FORTALEZA"/>
  </r>
  <r>
    <x v="506"/>
    <n v="0"/>
    <x v="963"/>
    <s v="15784350000163"/>
    <x v="89"/>
    <d v="2020-08-14T00:00:00"/>
    <n v="66"/>
    <n v="250.56"/>
    <s v="1/271330"/>
    <n v="1"/>
    <s v="A"/>
    <x v="25"/>
    <s v="FORTALEZA"/>
  </r>
  <r>
    <x v="506"/>
    <n v="0"/>
    <x v="964"/>
    <s v="15784350000163"/>
    <x v="89"/>
    <d v="2020-09-09T00:00:00"/>
    <n v="40"/>
    <n v="413.7"/>
    <s v="1/274566"/>
    <n v="1"/>
    <s v="A"/>
    <x v="25"/>
    <s v="FORTALEZA"/>
  </r>
  <r>
    <x v="506"/>
    <n v="0"/>
    <x v="965"/>
    <s v="15784350000163"/>
    <x v="89"/>
    <d v="2020-09-14T00:00:00"/>
    <n v="35"/>
    <n v="297.38"/>
    <s v="1/275290"/>
    <n v="1"/>
    <s v="A"/>
    <x v="25"/>
    <s v="FORTALEZA"/>
  </r>
  <r>
    <x v="506"/>
    <n v="0"/>
    <x v="966"/>
    <s v="15784350000163"/>
    <x v="89"/>
    <d v="2020-09-14T00:00:00"/>
    <n v="35"/>
    <n v="536.95000000000005"/>
    <s v="1/275291"/>
    <n v="1"/>
    <s v="A"/>
    <x v="25"/>
    <s v="FORTALEZA"/>
  </r>
  <r>
    <x v="507"/>
    <n v="0"/>
    <x v="967"/>
    <s v="15784350000163"/>
    <x v="89"/>
    <d v="2020-08-14T00:00:00"/>
    <n v="70"/>
    <n v="250.56"/>
    <s v="1/271330"/>
    <n v="1"/>
    <s v="A"/>
    <x v="25"/>
    <s v="FORTALEZA"/>
  </r>
  <r>
    <x v="508"/>
    <n v="0"/>
    <x v="968"/>
    <s v="15784350000163"/>
    <x v="89"/>
    <d v="2020-09-14T00:00:00"/>
    <n v="42"/>
    <n v="297.38"/>
    <s v="1/275290"/>
    <n v="1"/>
    <s v="A"/>
    <x v="25"/>
    <s v="FORTALEZA"/>
  </r>
  <r>
    <x v="509"/>
    <n v="0"/>
    <x v="969"/>
    <s v="34175787000144"/>
    <x v="90"/>
    <d v="2020-10-21T00:00:00"/>
    <n v="7"/>
    <n v="889.9"/>
    <s v="1/280137"/>
    <n v="1"/>
    <s v="A"/>
    <x v="16"/>
    <s v="BARBALHA"/>
  </r>
  <r>
    <x v="509"/>
    <n v="0"/>
    <x v="970"/>
    <s v="15784350000163"/>
    <x v="89"/>
    <d v="2020-08-14T00:00:00"/>
    <n v="75"/>
    <n v="250.6"/>
    <s v="1/271330"/>
    <n v="1"/>
    <s v="A"/>
    <x v="25"/>
    <s v="FORTALEZA"/>
  </r>
  <r>
    <x v="510"/>
    <n v="0"/>
    <x v="971"/>
    <s v="15784350000163"/>
    <x v="89"/>
    <d v="2020-09-14T00:00:00"/>
    <n v="45"/>
    <n v="297.38"/>
    <s v="1/275290"/>
    <n v="1"/>
    <s v="A"/>
    <x v="25"/>
    <s v="FORTALEZA"/>
  </r>
  <r>
    <x v="510"/>
    <n v="0"/>
    <x v="972"/>
    <s v="15784350000163"/>
    <x v="89"/>
    <d v="2020-09-17T00:00:00"/>
    <n v="42"/>
    <n v="445.25"/>
    <s v="1/275724"/>
    <n v="1"/>
    <s v="A"/>
    <x v="25"/>
    <s v="FORTALEZA"/>
  </r>
  <r>
    <x v="511"/>
    <n v="0"/>
    <x v="973"/>
    <s v="15784350000163"/>
    <x v="89"/>
    <d v="2020-09-18T00:00:00"/>
    <n v="42"/>
    <n v="517.58000000000004"/>
    <s v="1/275985"/>
    <n v="1"/>
    <s v="A"/>
    <x v="25"/>
    <s v="FORTALEZA"/>
  </r>
  <r>
    <x v="512"/>
    <n v="0"/>
    <x v="974"/>
    <s v="15784350000163"/>
    <x v="89"/>
    <d v="2020-09-14T00:00:00"/>
    <n v="50"/>
    <n v="297.38"/>
    <s v="1/275290"/>
    <n v="1"/>
    <s v="A"/>
    <x v="25"/>
    <s v="FORTALEZA"/>
  </r>
  <r>
    <x v="513"/>
    <n v="0"/>
    <x v="975"/>
    <s v="19545175000102"/>
    <x v="91"/>
    <d v="2020-08-27T00:00:00"/>
    <n v="70"/>
    <n v="275.29000000000002"/>
    <s v="1/273120"/>
    <n v="1"/>
    <s v="A"/>
    <x v="4"/>
    <s v="FORTALEZA"/>
  </r>
  <r>
    <x v="514"/>
    <n v="0"/>
    <x v="976"/>
    <s v="19545175000102"/>
    <x v="91"/>
    <d v="2020-09-10T00:00:00"/>
    <n v="60"/>
    <n v="207.33"/>
    <s v="1/274858"/>
    <n v="1"/>
    <s v="A"/>
    <x v="4"/>
    <s v="FORTALEZA"/>
  </r>
  <r>
    <x v="514"/>
    <n v="0"/>
    <x v="977"/>
    <s v="15784350000163"/>
    <x v="89"/>
    <d v="2020-09-09T00:00:00"/>
    <n v="61"/>
    <n v="413.69"/>
    <s v="1/274566"/>
    <n v="1"/>
    <s v="A"/>
    <x v="25"/>
    <s v="FORTALEZA"/>
  </r>
  <r>
    <x v="514"/>
    <n v="0"/>
    <x v="978"/>
    <s v="15784350000163"/>
    <x v="89"/>
    <d v="2020-09-14T00:00:00"/>
    <n v="56"/>
    <n v="296.94"/>
    <s v="1/275290"/>
    <n v="1"/>
    <s v="A"/>
    <x v="25"/>
    <s v="FORTALEZA"/>
  </r>
  <r>
    <x v="515"/>
    <n v="0"/>
    <x v="979"/>
    <s v="15784350000163"/>
    <x v="89"/>
    <d v="2020-10-02T00:00:00"/>
    <n v="40"/>
    <n v="397.08"/>
    <s v="1/277773"/>
    <n v="1"/>
    <s v="A"/>
    <x v="25"/>
    <s v="FORTALEZA"/>
  </r>
  <r>
    <x v="516"/>
    <n v="0"/>
    <x v="980"/>
    <s v="15784350000163"/>
    <x v="89"/>
    <d v="2020-09-14T00:00:00"/>
    <n v="60"/>
    <n v="296.94"/>
    <s v="1/275290"/>
    <n v="1"/>
    <s v="A"/>
    <x v="25"/>
    <s v="FORTALEZA"/>
  </r>
  <r>
    <x v="517"/>
    <n v="0"/>
    <x v="981"/>
    <s v="26436496000134"/>
    <x v="92"/>
    <d v="2020-09-25T00:00:00"/>
    <n v="52"/>
    <n v="2398.39"/>
    <s v="1/276871"/>
    <n v="1"/>
    <s v="A"/>
    <x v="15"/>
    <s v="FORTALEZA"/>
  </r>
  <r>
    <x v="517"/>
    <n v="0"/>
    <x v="982"/>
    <s v="19545175000102"/>
    <x v="91"/>
    <d v="2020-08-27T00:00:00"/>
    <n v="81"/>
    <n v="275.29000000000002"/>
    <s v="1/273120"/>
    <n v="1"/>
    <s v="A"/>
    <x v="4"/>
    <s v="FORTALEZA"/>
  </r>
  <r>
    <x v="518"/>
    <n v="0"/>
    <x v="983"/>
    <s v="15784350000163"/>
    <x v="89"/>
    <d v="2020-09-14T00:00:00"/>
    <n v="65"/>
    <n v="296.94"/>
    <s v="1/275290"/>
    <n v="1"/>
    <s v="A"/>
    <x v="25"/>
    <s v="FORTALEZA"/>
  </r>
  <r>
    <x v="519"/>
    <n v="0"/>
    <x v="984"/>
    <s v="19545175000102"/>
    <x v="91"/>
    <d v="2020-09-10T00:00:00"/>
    <n v="70"/>
    <n v="207.34"/>
    <s v="1/274858"/>
    <n v="1"/>
    <s v="A"/>
    <x v="4"/>
    <s v="FORTALEZA"/>
  </r>
  <r>
    <x v="519"/>
    <n v="0"/>
    <x v="985"/>
    <s v="15784350000163"/>
    <x v="89"/>
    <d v="2020-11-04T00:00:00"/>
    <n v="15"/>
    <n v="317.99"/>
    <s v="1/281867"/>
    <n v="1"/>
    <s v="A"/>
    <x v="25"/>
    <s v="FORTALEZA"/>
  </r>
  <r>
    <x v="520"/>
    <n v="0"/>
    <x v="986"/>
    <s v="41568486000146"/>
    <x v="93"/>
    <d v="2020-08-24T00:00:00"/>
    <n v="91"/>
    <n v="1034.6199999999999"/>
    <s v="1/272554"/>
    <n v="1"/>
    <s v="A"/>
    <x v="16"/>
    <s v="MISSAO VELHA"/>
  </r>
  <r>
    <x v="520"/>
    <n v="0"/>
    <x v="987"/>
    <s v="15784350000163"/>
    <x v="89"/>
    <d v="2020-09-14T00:00:00"/>
    <n v="70"/>
    <n v="296.94"/>
    <s v="1/275290"/>
    <n v="1"/>
    <s v="A"/>
    <x v="25"/>
    <s v="FORTALEZA"/>
  </r>
  <r>
    <x v="520"/>
    <n v="0"/>
    <x v="988"/>
    <s v="15784350000163"/>
    <x v="89"/>
    <d v="2020-10-19T00:00:00"/>
    <n v="35"/>
    <n v="303.26"/>
    <s v="1/279606"/>
    <n v="1"/>
    <s v="A"/>
    <x v="25"/>
    <s v="FORTALEZA"/>
  </r>
  <r>
    <x v="521"/>
    <n v="0"/>
    <x v="989"/>
    <s v="19545175000102"/>
    <x v="91"/>
    <d v="2020-08-27T00:00:00"/>
    <n v="90"/>
    <n v="275.29000000000002"/>
    <s v="1/273120"/>
    <n v="1"/>
    <s v="A"/>
    <x v="4"/>
    <s v="FORTALEZA"/>
  </r>
  <r>
    <x v="522"/>
    <n v="0"/>
    <x v="990"/>
    <s v="16370864000135"/>
    <x v="94"/>
    <d v="2020-08-28T00:00:00"/>
    <n v="90"/>
    <n v="341.71"/>
    <s v="1/273243"/>
    <n v="1"/>
    <s v="A"/>
    <x v="16"/>
    <s v="CRATO"/>
  </r>
  <r>
    <x v="523"/>
    <n v="0"/>
    <x v="991"/>
    <s v="15784350000163"/>
    <x v="89"/>
    <d v="2020-10-23T00:00:00"/>
    <n v="35"/>
    <n v="365.56"/>
    <s v="1/280341"/>
    <n v="1"/>
    <s v="A"/>
    <x v="25"/>
    <s v="FORTALEZA"/>
  </r>
  <r>
    <x v="524"/>
    <n v="0"/>
    <x v="992"/>
    <s v="15784350000163"/>
    <x v="89"/>
    <d v="2020-10-27T00:00:00"/>
    <n v="35"/>
    <n v="349.34"/>
    <s v="1/280703"/>
    <n v="1"/>
    <s v="A"/>
    <x v="25"/>
    <s v="FORTALEZA"/>
  </r>
  <r>
    <x v="525"/>
    <n v="0"/>
    <x v="993"/>
    <s v="15784350000163"/>
    <x v="89"/>
    <d v="2020-10-27T00:00:00"/>
    <n v="45"/>
    <n v="302.55"/>
    <s v="1/280703"/>
    <n v="1"/>
    <s v="A"/>
    <x v="25"/>
    <s v="FORTALEZA"/>
  </r>
  <r>
    <x v="526"/>
    <n v="0"/>
    <x v="994"/>
    <s v="37097386000101"/>
    <x v="95"/>
    <d v="2020-09-30T00:00:00"/>
    <n v="82"/>
    <n v="1027.3800000000001"/>
    <s v="1/277352"/>
    <n v="1"/>
    <s v="A"/>
    <x v="18"/>
    <s v="FRECHEIRINHA"/>
  </r>
  <r>
    <x v="527"/>
    <n v="0"/>
    <x v="995"/>
    <s v="37097386000101"/>
    <x v="95"/>
    <d v="2020-09-30T00:00:00"/>
    <n v="85"/>
    <n v="1027.3800000000001"/>
    <s v="1/277352"/>
    <n v="1"/>
    <s v="A"/>
    <x v="18"/>
    <s v="FRECHEIRINHA"/>
  </r>
  <r>
    <x v="527"/>
    <n v="0"/>
    <x v="996"/>
    <s v="10781252000310"/>
    <x v="96"/>
    <d v="2020-10-15T00:00:00"/>
    <n v="70"/>
    <n v="370.84"/>
    <s v="1/279230"/>
    <n v="1"/>
    <s v="A"/>
    <x v="24"/>
    <s v="CATARINA"/>
  </r>
  <r>
    <x v="528"/>
    <n v="0"/>
    <x v="997"/>
    <s v="12302665000139"/>
    <x v="97"/>
    <d v="2020-07-31T00:00:00"/>
    <n v="150"/>
    <n v="1799.83"/>
    <s v="1/269348"/>
    <n v="1"/>
    <s v="A"/>
    <x v="24"/>
    <s v="QUITERIANÓPOLIS"/>
  </r>
  <r>
    <x v="529"/>
    <n v="0"/>
    <x v="998"/>
    <s v="37097386000101"/>
    <x v="95"/>
    <d v="2020-09-30T00:00:00"/>
    <n v="90"/>
    <n v="1027.3800000000001"/>
    <s v="1/277352"/>
    <n v="1"/>
    <s v="A"/>
    <x v="18"/>
    <s v="FRECHEIRINHA"/>
  </r>
  <r>
    <x v="530"/>
    <n v="0"/>
    <x v="999"/>
    <s v="37097386000101"/>
    <x v="95"/>
    <d v="2020-09-30T00:00:00"/>
    <n v="96"/>
    <n v="1027.3800000000001"/>
    <s v="1/277352"/>
    <n v="1"/>
    <s v="A"/>
    <x v="18"/>
    <s v="FRECHEIRINHA"/>
  </r>
  <r>
    <x v="530"/>
    <n v="0"/>
    <x v="1000"/>
    <s v="26436496000134"/>
    <x v="92"/>
    <d v="2020-11-04T00:00:00"/>
    <n v="61"/>
    <n v="2997.35"/>
    <s v="1/281822"/>
    <n v="1"/>
    <s v="A"/>
    <x v="15"/>
    <s v="FORTALEZA"/>
  </r>
  <r>
    <x v="530"/>
    <n v="0"/>
    <x v="1001"/>
    <s v="15784350000163"/>
    <x v="89"/>
    <d v="2020-11-24T00:00:00"/>
    <n v="41"/>
    <n v="325.27999999999997"/>
    <s v="1/284582"/>
    <n v="1"/>
    <s v="A"/>
    <x v="25"/>
    <s v="FORTALEZA"/>
  </r>
  <r>
    <x v="530"/>
    <n v="0"/>
    <x v="1002"/>
    <s v="15784350000163"/>
    <x v="89"/>
    <d v="2020-11-30T00:00:00"/>
    <n v="35"/>
    <n v="290.54000000000002"/>
    <s v="1/285439"/>
    <n v="1"/>
    <s v="A"/>
    <x v="25"/>
    <s v="FORTALEZA"/>
  </r>
  <r>
    <x v="530"/>
    <n v="0"/>
    <x v="1003"/>
    <s v="15784350000163"/>
    <x v="89"/>
    <d v="2020-12-28T00:00:00"/>
    <n v="7"/>
    <n v="638.82000000000005"/>
    <s v="1/289011"/>
    <n v="1"/>
    <s v="A"/>
    <x v="25"/>
    <s v="FORTALEZA"/>
  </r>
  <r>
    <x v="531"/>
    <n v="0"/>
    <x v="1004"/>
    <s v="15784350000163"/>
    <x v="89"/>
    <d v="2020-12-07T00:00:00"/>
    <n v="30"/>
    <n v="338.16"/>
    <s v="1/286462"/>
    <n v="1"/>
    <s v="A"/>
    <x v="25"/>
    <s v="FORTALEZA"/>
  </r>
  <r>
    <x v="532"/>
    <n v="0"/>
    <x v="1005"/>
    <s v="12302665000139"/>
    <x v="97"/>
    <d v="2020-07-31T00:00:00"/>
    <n v="160"/>
    <n v="1799.83"/>
    <s v="1/269348"/>
    <n v="1"/>
    <s v="A"/>
    <x v="24"/>
    <s v="QUITERIANÓPOLIS"/>
  </r>
  <r>
    <x v="532"/>
    <n v="0"/>
    <x v="1006"/>
    <s v="15784350000163"/>
    <x v="89"/>
    <d v="2020-12-28T00:00:00"/>
    <n v="10"/>
    <n v="300.39"/>
    <s v="1/289011"/>
    <n v="1"/>
    <s v="A"/>
    <x v="25"/>
    <s v="FORTALEZA"/>
  </r>
  <r>
    <x v="533"/>
    <n v="0"/>
    <x v="1007"/>
    <s v="37097386000101"/>
    <x v="95"/>
    <d v="2020-09-30T00:00:00"/>
    <n v="100"/>
    <n v="1027.3800000000001"/>
    <s v="1/277352"/>
    <n v="1"/>
    <s v="A"/>
    <x v="18"/>
    <s v="FRECHEIRINHA"/>
  </r>
  <r>
    <x v="533"/>
    <n v="0"/>
    <x v="1008"/>
    <s v="15784350000163"/>
    <x v="89"/>
    <d v="2020-11-04T00:00:00"/>
    <n v="65"/>
    <n v="317.52"/>
    <s v="1/281867"/>
    <n v="1"/>
    <s v="A"/>
    <x v="25"/>
    <s v="FORTALEZA"/>
  </r>
  <r>
    <x v="534"/>
    <n v="0"/>
    <x v="1009"/>
    <s v="15784350000163"/>
    <x v="89"/>
    <d v="2021-01-04T00:00:00"/>
    <n v="7"/>
    <n v="1182.54"/>
    <s v="1/289165"/>
    <n v="1"/>
    <s v="A"/>
    <x v="25"/>
    <s v="FORTALEZA"/>
  </r>
  <r>
    <x v="535"/>
    <n v="0"/>
    <x v="1010"/>
    <s v="15784350000163"/>
    <x v="89"/>
    <d v="2020-12-28T00:00:00"/>
    <n v="15"/>
    <n v="300.39"/>
    <s v="1/289011"/>
    <n v="1"/>
    <s v="A"/>
    <x v="25"/>
    <s v="FORTALEZA"/>
  </r>
  <r>
    <x v="536"/>
    <n v="0"/>
    <x v="1011"/>
    <s v="37097386000101"/>
    <x v="95"/>
    <d v="2020-09-30T00:00:00"/>
    <n v="105"/>
    <n v="1027.3800000000001"/>
    <s v="1/277352"/>
    <n v="1"/>
    <s v="A"/>
    <x v="18"/>
    <s v="FRECHEIRINHA"/>
  </r>
  <r>
    <x v="536"/>
    <n v="0"/>
    <x v="1012"/>
    <s v="04994985000179"/>
    <x v="98"/>
    <d v="2020-11-24T00:00:00"/>
    <n v="50"/>
    <n v="432.46"/>
    <s v="1/284706"/>
    <n v="1"/>
    <s v="A"/>
    <x v="4"/>
    <s v="AQUIRAZ"/>
  </r>
  <r>
    <x v="536"/>
    <n v="0"/>
    <x v="1013"/>
    <s v="15784350000163"/>
    <x v="89"/>
    <d v="2020-11-04T00:00:00"/>
    <n v="70"/>
    <n v="317.52"/>
    <s v="1/281867"/>
    <n v="1"/>
    <s v="A"/>
    <x v="25"/>
    <s v="FORTALEZA"/>
  </r>
  <r>
    <x v="537"/>
    <n v="0"/>
    <x v="1014"/>
    <s v="15784350000163"/>
    <x v="89"/>
    <d v="2020-11-30T00:00:00"/>
    <n v="45"/>
    <n v="251.69"/>
    <s v="1/285439"/>
    <n v="1"/>
    <s v="A"/>
    <x v="25"/>
    <s v="FORTALEZA"/>
  </r>
  <r>
    <x v="537"/>
    <n v="0"/>
    <x v="1015"/>
    <s v="15784350000163"/>
    <x v="89"/>
    <d v="2021-01-04T00:00:00"/>
    <n v="10"/>
    <n v="564.76"/>
    <s v="1/289165"/>
    <n v="1"/>
    <s v="A"/>
    <x v="25"/>
    <s v="FORTALEZA"/>
  </r>
  <r>
    <x v="538"/>
    <n v="0"/>
    <x v="1016"/>
    <s v="15784350000163"/>
    <x v="89"/>
    <d v="2020-12-16T00:00:00"/>
    <n v="30"/>
    <n v="321.24"/>
    <s v="1/287788"/>
    <n v="1"/>
    <s v="A"/>
    <x v="25"/>
    <s v="FORTALEZA"/>
  </r>
  <r>
    <x v="539"/>
    <n v="0"/>
    <x v="1017"/>
    <s v="37097386000101"/>
    <x v="95"/>
    <d v="2020-09-30T00:00:00"/>
    <n v="110"/>
    <n v="1027.42"/>
    <s v="1/277352"/>
    <n v="1"/>
    <s v="A"/>
    <x v="18"/>
    <s v="FRECHEIRINHA"/>
  </r>
  <r>
    <x v="539"/>
    <n v="0"/>
    <x v="1018"/>
    <s v="12302665000139"/>
    <x v="97"/>
    <d v="2020-07-31T00:00:00"/>
    <n v="171"/>
    <n v="1799.83"/>
    <s v="1/269348"/>
    <n v="1"/>
    <s v="A"/>
    <x v="24"/>
    <s v="QUITERIANÓPOLIS"/>
  </r>
  <r>
    <x v="539"/>
    <n v="0"/>
    <x v="1019"/>
    <s v="04994985000179"/>
    <x v="98"/>
    <d v="2020-11-18T00:00:00"/>
    <n v="61"/>
    <n v="553.41999999999996"/>
    <s v="1/283980"/>
    <n v="1"/>
    <s v="A"/>
    <x v="4"/>
    <s v="AQUIRAZ"/>
  </r>
  <r>
    <x v="539"/>
    <n v="0"/>
    <x v="1020"/>
    <s v="15784350000163"/>
    <x v="89"/>
    <d v="2020-11-04T00:00:00"/>
    <n v="75"/>
    <n v="317.58999999999997"/>
    <s v="1/281867"/>
    <n v="1"/>
    <s v="A"/>
    <x v="25"/>
    <s v="FORTALEZA"/>
  </r>
  <r>
    <x v="539"/>
    <n v="0"/>
    <x v="1021"/>
    <s v="15784350000163"/>
    <x v="89"/>
    <d v="2020-12-14T00:00:00"/>
    <n v="35"/>
    <n v="345.26"/>
    <s v="1/287457"/>
    <n v="1"/>
    <s v="A"/>
    <x v="25"/>
    <s v="FORTALEZA"/>
  </r>
  <r>
    <x v="539"/>
    <n v="0"/>
    <x v="1022"/>
    <s v="15784350000163"/>
    <x v="89"/>
    <d v="2020-12-28T00:00:00"/>
    <n v="21"/>
    <n v="300.39"/>
    <s v="1/289011"/>
    <n v="1"/>
    <s v="A"/>
    <x v="25"/>
    <s v="FORTALEZA"/>
  </r>
  <r>
    <x v="540"/>
    <n v="0"/>
    <x v="1023"/>
    <s v="15784350000163"/>
    <x v="89"/>
    <d v="2021-01-04T00:00:00"/>
    <n v="15"/>
    <n v="564.76"/>
    <s v="1/289165"/>
    <n v="1"/>
    <s v="A"/>
    <x v="25"/>
    <s v="FORTALEZA"/>
  </r>
  <r>
    <x v="541"/>
    <n v="0"/>
    <x v="1024"/>
    <s v="15784350000163"/>
    <x v="89"/>
    <d v="2020-12-21T00:00:00"/>
    <n v="30"/>
    <n v="459.97"/>
    <s v="1/288493"/>
    <n v="1"/>
    <s v="A"/>
    <x v="25"/>
    <s v="FORTALEZA"/>
  </r>
  <r>
    <x v="542"/>
    <n v="0"/>
    <x v="1025"/>
    <s v="04994985000179"/>
    <x v="98"/>
    <d v="2020-11-13T00:00:00"/>
    <n v="70"/>
    <n v="379.56"/>
    <s v="1/283329"/>
    <n v="1"/>
    <s v="A"/>
    <x v="4"/>
    <s v="AQUIRAZ"/>
  </r>
  <r>
    <x v="542"/>
    <n v="0"/>
    <x v="1026"/>
    <s v="04994985000179"/>
    <x v="98"/>
    <d v="2020-11-23T00:00:00"/>
    <n v="60"/>
    <n v="540.57000000000005"/>
    <s v="1/284427"/>
    <n v="1"/>
    <s v="A"/>
    <x v="4"/>
    <s v="AQUIRAZ"/>
  </r>
  <r>
    <x v="542"/>
    <n v="0"/>
    <x v="1027"/>
    <s v="15784350000163"/>
    <x v="89"/>
    <d v="2020-12-23T00:00:00"/>
    <n v="30"/>
    <n v="401.44"/>
    <s v="1/288856"/>
    <n v="1"/>
    <s v="A"/>
    <x v="25"/>
    <s v="FORTALEZA"/>
  </r>
  <r>
    <x v="542"/>
    <n v="0"/>
    <x v="1028"/>
    <s v="15784350000163"/>
    <x v="89"/>
    <d v="2020-12-28T00:00:00"/>
    <n v="25"/>
    <n v="300.39"/>
    <s v="1/289011"/>
    <n v="1"/>
    <s v="A"/>
    <x v="25"/>
    <s v="FORTALEZA"/>
  </r>
  <r>
    <x v="543"/>
    <n v="0"/>
    <x v="1029"/>
    <s v="26436496000134"/>
    <x v="92"/>
    <d v="2020-11-04T00:00:00"/>
    <n v="82"/>
    <n v="2997.37"/>
    <s v="1/281822"/>
    <n v="1"/>
    <s v="A"/>
    <x v="15"/>
    <s v="FORTALEZA"/>
  </r>
  <r>
    <x v="543"/>
    <n v="0"/>
    <x v="1030"/>
    <s v="26196263000101"/>
    <x v="87"/>
    <d v="2020-11-26T00:00:00"/>
    <n v="60"/>
    <n v="537.91999999999996"/>
    <s v="1/285121"/>
    <n v="1"/>
    <s v="A"/>
    <x v="25"/>
    <s v="BATURITÉ"/>
  </r>
  <r>
    <x v="543"/>
    <n v="0"/>
    <x v="1031"/>
    <s v="04994985000179"/>
    <x v="98"/>
    <d v="2020-11-09T00:00:00"/>
    <n v="77"/>
    <n v="476.56"/>
    <s v="1/282399"/>
    <n v="1"/>
    <s v="A"/>
    <x v="4"/>
    <s v="AQUIRAZ"/>
  </r>
  <r>
    <x v="543"/>
    <n v="0"/>
    <x v="1032"/>
    <s v="04994985000179"/>
    <x v="98"/>
    <d v="2020-11-24T00:00:00"/>
    <n v="62"/>
    <n v="432.46"/>
    <s v="1/284706"/>
    <n v="1"/>
    <s v="A"/>
    <x v="4"/>
    <s v="AQUIRAZ"/>
  </r>
  <r>
    <x v="543"/>
    <n v="0"/>
    <x v="1033"/>
    <s v="15784350000163"/>
    <x v="89"/>
    <d v="2021-01-04T00:00:00"/>
    <n v="21"/>
    <n v="564.76"/>
    <s v="1/289165"/>
    <n v="1"/>
    <s v="A"/>
    <x v="25"/>
    <s v="FORTALEZA"/>
  </r>
  <r>
    <x v="544"/>
    <n v="0"/>
    <x v="1034"/>
    <s v="26436496000134"/>
    <x v="92"/>
    <d v="2020-11-26T00:00:00"/>
    <n v="62"/>
    <n v="2394.66"/>
    <s v="1/284954"/>
    <n v="1"/>
    <s v="A"/>
    <x v="15"/>
    <s v="FORTALEZA"/>
  </r>
  <r>
    <x v="544"/>
    <n v="0"/>
    <x v="1035"/>
    <s v="12302665000139"/>
    <x v="97"/>
    <d v="2020-07-31T00:00:00"/>
    <n v="180"/>
    <n v="1799.91"/>
    <s v="1/269348"/>
    <n v="1"/>
    <s v="A"/>
    <x v="24"/>
    <s v="QUITERIANÓPOLIS"/>
  </r>
  <r>
    <x v="544"/>
    <n v="0"/>
    <x v="1036"/>
    <s v="04994985000179"/>
    <x v="98"/>
    <d v="2020-11-18T00:00:00"/>
    <n v="70"/>
    <n v="553.41999999999996"/>
    <s v="1/283980"/>
    <n v="1"/>
    <s v="A"/>
    <x v="4"/>
    <s v="AQUIRAZ"/>
  </r>
  <r>
    <x v="544"/>
    <n v="0"/>
    <x v="1037"/>
    <s v="15784350000163"/>
    <x v="89"/>
    <d v="2020-12-28T00:00:00"/>
    <n v="30"/>
    <n v="300.39"/>
    <s v="1/289011"/>
    <n v="1"/>
    <s v="A"/>
    <x v="25"/>
    <s v="FORTALEZA"/>
  </r>
  <r>
    <x v="545"/>
    <n v="0"/>
    <x v="1038"/>
    <s v="15784350000163"/>
    <x v="89"/>
    <d v="2020-12-14T00:00:00"/>
    <n v="45"/>
    <n v="305.01"/>
    <s v="1/287457"/>
    <n v="1"/>
    <s v="A"/>
    <x v="25"/>
    <s v="FORTALEZA"/>
  </r>
  <r>
    <x v="546"/>
    <n v="0"/>
    <x v="1039"/>
    <s v="15784350000163"/>
    <x v="89"/>
    <d v="2021-01-04T00:00:00"/>
    <n v="25"/>
    <n v="564.76"/>
    <s v="1/289165"/>
    <n v="1"/>
    <s v="A"/>
    <x v="25"/>
    <s v="FORTALEZA"/>
  </r>
  <r>
    <x v="547"/>
    <n v="0"/>
    <x v="1040"/>
    <s v="04994985000179"/>
    <x v="98"/>
    <d v="2020-11-13T00:00:00"/>
    <n v="80"/>
    <n v="379.58"/>
    <s v="1/283329"/>
    <n v="1"/>
    <s v="A"/>
    <x v="4"/>
    <s v="AQUIRAZ"/>
  </r>
  <r>
    <x v="547"/>
    <n v="0"/>
    <x v="1041"/>
    <s v="15784350000163"/>
    <x v="89"/>
    <d v="2020-12-28T00:00:00"/>
    <n v="35"/>
    <n v="300.39"/>
    <s v="1/289011"/>
    <n v="1"/>
    <s v="A"/>
    <x v="25"/>
    <s v="FORTALEZA"/>
  </r>
  <r>
    <x v="548"/>
    <n v="0"/>
    <x v="1042"/>
    <s v="04994985000179"/>
    <x v="98"/>
    <d v="2020-11-24T00:00:00"/>
    <n v="70"/>
    <n v="432.46"/>
    <s v="1/284706"/>
    <n v="1"/>
    <s v="A"/>
    <x v="4"/>
    <s v="AQUIRAZ"/>
  </r>
  <r>
    <x v="549"/>
    <n v="0"/>
    <x v="1043"/>
    <s v="15784350000163"/>
    <x v="89"/>
    <d v="2021-01-04T00:00:00"/>
    <n v="30"/>
    <n v="564.76"/>
    <s v="1/289165"/>
    <n v="1"/>
    <s v="A"/>
    <x v="25"/>
    <s v="FORTALEZA"/>
  </r>
  <r>
    <x v="550"/>
    <n v="0"/>
    <x v="1044"/>
    <s v="26196263000101"/>
    <x v="87"/>
    <d v="2020-11-26T00:00:00"/>
    <n v="70"/>
    <n v="537.91999999999996"/>
    <s v="1/285121"/>
    <n v="1"/>
    <s v="A"/>
    <x v="25"/>
    <s v="BATURITÉ"/>
  </r>
  <r>
    <x v="550"/>
    <n v="0"/>
    <x v="1045"/>
    <s v="29531432000100"/>
    <x v="85"/>
    <d v="2021-01-05T00:00:00"/>
    <n v="30"/>
    <n v="898.42"/>
    <s v="1/289350"/>
    <n v="1"/>
    <s v="A"/>
    <x v="25"/>
    <s v="BATURITÉ"/>
  </r>
  <r>
    <x v="550"/>
    <n v="0"/>
    <x v="1046"/>
    <s v="15784350000163"/>
    <x v="89"/>
    <d v="2020-12-16T00:00:00"/>
    <n v="50"/>
    <n v="278.24"/>
    <s v="1/287788"/>
    <n v="1"/>
    <s v="A"/>
    <x v="25"/>
    <s v="FORTALEZA"/>
  </r>
  <r>
    <x v="551"/>
    <n v="0"/>
    <x v="1047"/>
    <s v="35019206000148"/>
    <x v="99"/>
    <d v="2020-11-27T00:00:00"/>
    <n v="70"/>
    <n v="388.9"/>
    <s v="1/285340"/>
    <n v="1"/>
    <s v="A"/>
    <x v="17"/>
    <s v="FORTALEZA"/>
  </r>
  <r>
    <x v="551"/>
    <n v="0"/>
    <x v="1048"/>
    <s v="35019206000148"/>
    <x v="99"/>
    <d v="2020-12-17T00:00:00"/>
    <n v="50"/>
    <n v="303.8"/>
    <s v="1/288162"/>
    <n v="1"/>
    <s v="A"/>
    <x v="17"/>
    <s v="FORTALEZA"/>
  </r>
  <r>
    <x v="552"/>
    <n v="0"/>
    <x v="1049"/>
    <s v="04994985000179"/>
    <x v="98"/>
    <d v="2020-11-18T00:00:00"/>
    <n v="82"/>
    <n v="553.44000000000005"/>
    <s v="1/283980"/>
    <n v="1"/>
    <s v="A"/>
    <x v="4"/>
    <s v="AQUIRAZ"/>
  </r>
  <r>
    <x v="552"/>
    <n v="0"/>
    <x v="1050"/>
    <s v="15784350000163"/>
    <x v="89"/>
    <d v="2020-12-28T00:00:00"/>
    <n v="42"/>
    <n v="300.39"/>
    <s v="1/289011"/>
    <n v="1"/>
    <s v="A"/>
    <x v="25"/>
    <s v="FORTALEZA"/>
  </r>
  <r>
    <x v="552"/>
    <n v="0"/>
    <x v="1051"/>
    <s v="15784350000163"/>
    <x v="89"/>
    <d v="2021-01-04T00:00:00"/>
    <n v="35"/>
    <n v="564.76"/>
    <s v="1/289165"/>
    <n v="1"/>
    <s v="A"/>
    <x v="25"/>
    <s v="FORTALEZA"/>
  </r>
  <r>
    <x v="552"/>
    <n v="0"/>
    <x v="1052"/>
    <s v="35019206000148"/>
    <x v="99"/>
    <d v="2020-12-10T00:00:00"/>
    <n v="60"/>
    <n v="202.78"/>
    <s v="1/287235"/>
    <n v="1"/>
    <s v="A"/>
    <x v="17"/>
    <s v="FORTALEZA"/>
  </r>
  <r>
    <x v="553"/>
    <n v="0"/>
    <x v="1053"/>
    <s v="15784350000163"/>
    <x v="89"/>
    <d v="2020-12-21T00:00:00"/>
    <n v="50"/>
    <n v="398.25"/>
    <s v="1/288493"/>
    <n v="1"/>
    <s v="A"/>
    <x v="25"/>
    <s v="FORTALEZA"/>
  </r>
  <r>
    <x v="554"/>
    <n v="0"/>
    <x v="1054"/>
    <s v="26436496000134"/>
    <x v="92"/>
    <d v="2020-11-26T00:00:00"/>
    <n v="76"/>
    <n v="2095.64"/>
    <s v="1/284954"/>
    <n v="1"/>
    <s v="A"/>
    <x v="15"/>
    <s v="FORTALEZA"/>
  </r>
  <r>
    <x v="554"/>
    <n v="0"/>
    <x v="1055"/>
    <s v="35019206000148"/>
    <x v="99"/>
    <d v="2020-12-02T00:00:00"/>
    <n v="70"/>
    <n v="314.87"/>
    <s v="1/285804"/>
    <n v="1"/>
    <s v="A"/>
    <x v="17"/>
    <s v="FORTALEZA"/>
  </r>
  <r>
    <x v="554"/>
    <n v="0"/>
    <x v="1056"/>
    <s v="35019206000148"/>
    <x v="99"/>
    <d v="2020-12-22T00:00:00"/>
    <n v="50"/>
    <n v="221.08"/>
    <s v="1/288784"/>
    <n v="1"/>
    <s v="A"/>
    <x v="17"/>
    <s v="FORTALEZA"/>
  </r>
  <r>
    <x v="555"/>
    <n v="0"/>
    <x v="1057"/>
    <s v="15784350000163"/>
    <x v="89"/>
    <d v="2020-12-23T00:00:00"/>
    <n v="50"/>
    <n v="347.63"/>
    <s v="1/288856"/>
    <n v="1"/>
    <s v="A"/>
    <x v="25"/>
    <s v="FORTALEZA"/>
  </r>
  <r>
    <x v="555"/>
    <n v="0"/>
    <x v="1058"/>
    <s v="15784350000163"/>
    <x v="89"/>
    <d v="2020-12-28T00:00:00"/>
    <n v="45"/>
    <n v="300.39"/>
    <s v="1/289011"/>
    <n v="1"/>
    <s v="A"/>
    <x v="25"/>
    <s v="FORTALEZA"/>
  </r>
  <r>
    <x v="556"/>
    <n v="0"/>
    <x v="1059"/>
    <s v="04994985000179"/>
    <x v="98"/>
    <d v="2020-11-24T00:00:00"/>
    <n v="80"/>
    <n v="432.48"/>
    <s v="1/284706"/>
    <n v="1"/>
    <s v="A"/>
    <x v="4"/>
    <s v="AQUIRAZ"/>
  </r>
  <r>
    <x v="556"/>
    <n v="0"/>
    <x v="1060"/>
    <s v="07035579000177"/>
    <x v="100"/>
    <d v="2021-01-08T00:00:00"/>
    <n v="35"/>
    <n v="363.91"/>
    <s v="1/289865"/>
    <n v="1"/>
    <s v="A"/>
    <x v="18"/>
    <s v="FRECHEIRINHA"/>
  </r>
  <r>
    <x v="557"/>
    <n v="0"/>
    <x v="1061"/>
    <s v="26196263000101"/>
    <x v="87"/>
    <d v="2020-11-26T00:00:00"/>
    <n v="81"/>
    <n v="537.91999999999996"/>
    <s v="1/285121"/>
    <n v="1"/>
    <s v="A"/>
    <x v="25"/>
    <s v="BATURITÉ"/>
  </r>
  <r>
    <x v="557"/>
    <n v="0"/>
    <x v="1062"/>
    <s v="26196263000101"/>
    <x v="87"/>
    <d v="2021-01-15T00:00:00"/>
    <n v="31"/>
    <n v="435.47"/>
    <s v="1/290657"/>
    <n v="1"/>
    <s v="A"/>
    <x v="25"/>
    <s v="BATURITÉ"/>
  </r>
  <r>
    <x v="557"/>
    <n v="0"/>
    <x v="1063"/>
    <s v="29531432000100"/>
    <x v="85"/>
    <d v="2021-01-05T00:00:00"/>
    <n v="41"/>
    <n v="586.4"/>
    <s v="1/289350"/>
    <n v="1"/>
    <s v="A"/>
    <x v="25"/>
    <s v="BATURITÉ"/>
  </r>
  <r>
    <x v="557"/>
    <n v="0"/>
    <x v="1064"/>
    <s v="15784350000163"/>
    <x v="89"/>
    <d v="2021-01-04T00:00:00"/>
    <n v="42"/>
    <n v="564.76"/>
    <s v="1/289165"/>
    <n v="1"/>
    <s v="A"/>
    <x v="25"/>
    <s v="FORTALEZA"/>
  </r>
  <r>
    <x v="557"/>
    <n v="0"/>
    <x v="1065"/>
    <s v="35019206000148"/>
    <x v="99"/>
    <d v="2020-11-25T00:00:00"/>
    <n v="82"/>
    <n v="283.17"/>
    <s v="1/284870"/>
    <n v="1"/>
    <s v="A"/>
    <x v="17"/>
    <s v="FORTALEZA"/>
  </r>
  <r>
    <x v="557"/>
    <n v="0"/>
    <x v="1066"/>
    <s v="35019206000148"/>
    <x v="99"/>
    <d v="2021-01-15T00:00:00"/>
    <n v="31"/>
    <n v="325.14"/>
    <s v="1/290789"/>
    <n v="1"/>
    <s v="A"/>
    <x v="17"/>
    <s v="FORTALEZA"/>
  </r>
  <r>
    <x v="558"/>
    <n v="0"/>
    <x v="1067"/>
    <s v="15784350000163"/>
    <x v="89"/>
    <d v="2020-12-28T00:00:00"/>
    <n v="50"/>
    <n v="300.39"/>
    <s v="1/289011"/>
    <n v="1"/>
    <s v="A"/>
    <x v="25"/>
    <s v="FORTALEZA"/>
  </r>
  <r>
    <x v="559"/>
    <n v="0"/>
    <x v="1068"/>
    <s v="07035579000177"/>
    <x v="100"/>
    <d v="2021-01-13T00:00:00"/>
    <n v="35"/>
    <n v="266.37"/>
    <s v="1/290427"/>
    <n v="1"/>
    <s v="A"/>
    <x v="18"/>
    <s v="FRECHEIRINHA"/>
  </r>
  <r>
    <x v="560"/>
    <n v="0"/>
    <x v="1069"/>
    <s v="26196263000101"/>
    <x v="87"/>
    <d v="2021-01-14T00:00:00"/>
    <n v="35"/>
    <n v="1295.1199999999999"/>
    <s v="1/290542"/>
    <n v="1"/>
    <s v="A"/>
    <x v="25"/>
    <s v="BATURITÉ"/>
  </r>
  <r>
    <x v="560"/>
    <n v="0"/>
    <x v="1070"/>
    <s v="15784350000163"/>
    <x v="89"/>
    <d v="2021-01-04T00:00:00"/>
    <n v="45"/>
    <n v="564.76"/>
    <s v="1/289165"/>
    <n v="1"/>
    <s v="A"/>
    <x v="25"/>
    <s v="FORTALEZA"/>
  </r>
  <r>
    <x v="561"/>
    <n v="0"/>
    <x v="1071"/>
    <s v="15784350000163"/>
    <x v="89"/>
    <d v="2021-02-12T00:00:00"/>
    <n v="7"/>
    <n v="393.72"/>
    <s v="1/294548"/>
    <n v="1"/>
    <s v="A"/>
    <x v="25"/>
    <s v="FORTALEZA"/>
  </r>
  <r>
    <x v="561"/>
    <n v="0"/>
    <x v="1072"/>
    <s v="07035579000177"/>
    <x v="100"/>
    <d v="2021-01-08T00:00:00"/>
    <n v="42"/>
    <n v="342.66"/>
    <s v="1/289865"/>
    <n v="1"/>
    <s v="A"/>
    <x v="18"/>
    <s v="FRECHEIRINHA"/>
  </r>
  <r>
    <x v="562"/>
    <n v="0"/>
    <x v="1073"/>
    <s v="15784350000163"/>
    <x v="89"/>
    <d v="2020-12-28T00:00:00"/>
    <n v="56"/>
    <n v="299.95"/>
    <s v="1/289011"/>
    <n v="1"/>
    <s v="A"/>
    <x v="25"/>
    <s v="FORTALEZA"/>
  </r>
  <r>
    <x v="562"/>
    <n v="0"/>
    <x v="1074"/>
    <s v="35019206000148"/>
    <x v="99"/>
    <d v="2020-12-02T00:00:00"/>
    <n v="82"/>
    <n v="314.89"/>
    <s v="1/285804"/>
    <n v="1"/>
    <s v="A"/>
    <x v="17"/>
    <s v="FORTALEZA"/>
  </r>
  <r>
    <x v="562"/>
    <n v="0"/>
    <x v="1075"/>
    <s v="35019206000148"/>
    <x v="99"/>
    <d v="2020-12-22T00:00:00"/>
    <n v="62"/>
    <n v="221.09"/>
    <s v="1/288784"/>
    <n v="1"/>
    <s v="A"/>
    <x v="17"/>
    <s v="FORTALEZA"/>
  </r>
  <r>
    <x v="562"/>
    <n v="0"/>
    <x v="1076"/>
    <s v="25033525000154"/>
    <x v="101"/>
    <d v="2020-11-18T00:00:00"/>
    <n v="96"/>
    <n v="367.38"/>
    <s v="1/283919"/>
    <n v="1"/>
    <s v="A"/>
    <x v="15"/>
    <s v="FORTALEZA"/>
  </r>
  <r>
    <x v="563"/>
    <n v="0"/>
    <x v="1077"/>
    <s v="26196263000101"/>
    <x v="87"/>
    <d v="2021-01-14T00:00:00"/>
    <n v="40"/>
    <n v="713"/>
    <s v="1/290542"/>
    <n v="1"/>
    <s v="A"/>
    <x v="25"/>
    <s v="BATURITÉ"/>
  </r>
  <r>
    <x v="563"/>
    <n v="0"/>
    <x v="1078"/>
    <s v="15784350000163"/>
    <x v="89"/>
    <d v="2021-01-04T00:00:00"/>
    <n v="50"/>
    <n v="564.76"/>
    <s v="1/289165"/>
    <n v="1"/>
    <s v="A"/>
    <x v="25"/>
    <s v="FORTALEZA"/>
  </r>
  <r>
    <x v="563"/>
    <n v="0"/>
    <x v="1079"/>
    <s v="35019206000148"/>
    <x v="99"/>
    <d v="2020-11-25T00:00:00"/>
    <n v="90"/>
    <n v="283.2"/>
    <s v="1/284870"/>
    <n v="1"/>
    <s v="A"/>
    <x v="17"/>
    <s v="FORTALEZA"/>
  </r>
  <r>
    <x v="564"/>
    <n v="0"/>
    <x v="1080"/>
    <s v="26196263000101"/>
    <x v="87"/>
    <d v="2020-11-26T00:00:00"/>
    <n v="90"/>
    <n v="537.95000000000005"/>
    <s v="1/285121"/>
    <n v="1"/>
    <s v="A"/>
    <x v="25"/>
    <s v="BATURITÉ"/>
  </r>
  <r>
    <x v="564"/>
    <n v="0"/>
    <x v="1081"/>
    <s v="29531432000100"/>
    <x v="85"/>
    <d v="2021-01-05T00:00:00"/>
    <n v="50"/>
    <n v="585.58000000000004"/>
    <s v="1/289350"/>
    <n v="1"/>
    <s v="A"/>
    <x v="25"/>
    <s v="BATURITÉ"/>
  </r>
  <r>
    <x v="564"/>
    <n v="0"/>
    <x v="1082"/>
    <s v="35019206000148"/>
    <x v="99"/>
    <d v="2021-01-15T00:00:00"/>
    <n v="40"/>
    <n v="268.16000000000003"/>
    <s v="1/290789"/>
    <n v="1"/>
    <s v="A"/>
    <x v="17"/>
    <s v="FORTALEZA"/>
  </r>
  <r>
    <x v="564"/>
    <n v="0"/>
    <x v="1083"/>
    <s v="07035579000177"/>
    <x v="100"/>
    <d v="2021-01-13T00:00:00"/>
    <n v="42"/>
    <n v="266.39"/>
    <s v="1/290427"/>
    <n v="1"/>
    <s v="A"/>
    <x v="18"/>
    <s v="FRECHEIRINHA"/>
  </r>
  <r>
    <x v="565"/>
    <n v="0"/>
    <x v="1084"/>
    <s v="26196263000101"/>
    <x v="87"/>
    <d v="2021-01-06T00:00:00"/>
    <n v="50"/>
    <n v="451.22"/>
    <s v="1/289495"/>
    <n v="1"/>
    <s v="A"/>
    <x v="25"/>
    <s v="BATURITÉ"/>
  </r>
  <r>
    <x v="566"/>
    <n v="0"/>
    <x v="1085"/>
    <s v="10781252000310"/>
    <x v="96"/>
    <d v="2020-12-23T00:00:00"/>
    <n v="65"/>
    <n v="666.2"/>
    <s v="1/288827"/>
    <n v="1"/>
    <s v="A"/>
    <x v="24"/>
    <s v="CATARINA"/>
  </r>
  <r>
    <x v="566"/>
    <n v="0"/>
    <x v="1086"/>
    <s v="15784350000163"/>
    <x v="89"/>
    <d v="2020-12-28T00:00:00"/>
    <n v="60"/>
    <n v="299.95"/>
    <s v="1/289011"/>
    <n v="1"/>
    <s v="A"/>
    <x v="25"/>
    <s v="FORTALEZA"/>
  </r>
  <r>
    <x v="566"/>
    <n v="0"/>
    <x v="1087"/>
    <s v="07035579000177"/>
    <x v="100"/>
    <d v="2021-01-08T00:00:00"/>
    <n v="49"/>
    <n v="342.66"/>
    <s v="1/289865"/>
    <n v="1"/>
    <s v="A"/>
    <x v="18"/>
    <s v="FRECHEIRINHA"/>
  </r>
  <r>
    <x v="567"/>
    <n v="0"/>
    <x v="1088"/>
    <s v="26196263000101"/>
    <x v="87"/>
    <d v="2021-01-14T00:00:00"/>
    <n v="46"/>
    <n v="649.86"/>
    <s v="1/290542"/>
    <n v="1"/>
    <s v="A"/>
    <x v="25"/>
    <s v="BATURITÉ"/>
  </r>
  <r>
    <x v="567"/>
    <n v="0"/>
    <x v="1089"/>
    <s v="15784350000163"/>
    <x v="89"/>
    <d v="2021-01-04T00:00:00"/>
    <n v="56"/>
    <n v="563.91999999999996"/>
    <s v="1/289165"/>
    <n v="1"/>
    <s v="A"/>
    <x v="25"/>
    <s v="FORTALEZA"/>
  </r>
  <r>
    <x v="567"/>
    <n v="0"/>
    <x v="1090"/>
    <s v="35019206000148"/>
    <x v="99"/>
    <d v="2021-01-28T00:00:00"/>
    <n v="32"/>
    <n v="337.89"/>
    <s v="1/292597"/>
    <n v="1"/>
    <s v="A"/>
    <x v="17"/>
    <s v="FORTALEZA"/>
  </r>
  <r>
    <x v="567"/>
    <n v="0"/>
    <x v="1091"/>
    <s v="35019206000148"/>
    <x v="99"/>
    <d v="2021-01-30T00:00:00"/>
    <n v="30"/>
    <n v="309.08"/>
    <s v="1/292967"/>
    <n v="1"/>
    <s v="A"/>
    <x v="17"/>
    <s v="FORTALEZA"/>
  </r>
  <r>
    <x v="568"/>
    <n v="0"/>
    <x v="1092"/>
    <s v="15784350000163"/>
    <x v="89"/>
    <d v="2020-12-28T00:00:00"/>
    <n v="65"/>
    <n v="299.95"/>
    <s v="1/289011"/>
    <n v="1"/>
    <s v="A"/>
    <x v="25"/>
    <s v="FORTALEZA"/>
  </r>
  <r>
    <x v="568"/>
    <n v="0"/>
    <x v="1093"/>
    <s v="15784350000163"/>
    <x v="89"/>
    <d v="2021-02-01T00:00:00"/>
    <n v="30"/>
    <n v="291.99"/>
    <s v="1/293039"/>
    <n v="1"/>
    <s v="A"/>
    <x v="25"/>
    <s v="FORTALEZA"/>
  </r>
  <r>
    <x v="569"/>
    <n v="0"/>
    <x v="1094"/>
    <s v="26196263000101"/>
    <x v="87"/>
    <d v="2021-01-14T00:00:00"/>
    <n v="50"/>
    <n v="649.86"/>
    <s v="1/290542"/>
    <n v="1"/>
    <s v="A"/>
    <x v="25"/>
    <s v="BATURITÉ"/>
  </r>
  <r>
    <x v="569"/>
    <n v="0"/>
    <x v="1095"/>
    <s v="31487078000106"/>
    <x v="102"/>
    <d v="2021-01-04T00:00:00"/>
    <n v="60"/>
    <n v="353.77"/>
    <s v="1/289143"/>
    <n v="1"/>
    <s v="A"/>
    <x v="16"/>
    <s v="JUAZEIRO DO NORTE"/>
  </r>
  <r>
    <x v="569"/>
    <n v="0"/>
    <x v="1096"/>
    <s v="15784350000163"/>
    <x v="89"/>
    <d v="2021-01-04T00:00:00"/>
    <n v="60"/>
    <n v="563.91999999999996"/>
    <s v="1/289165"/>
    <n v="1"/>
    <s v="A"/>
    <x v="25"/>
    <s v="FORTALEZA"/>
  </r>
  <r>
    <x v="570"/>
    <n v="0"/>
    <x v="1097"/>
    <s v="26196263000101"/>
    <x v="87"/>
    <d v="2021-01-15T00:00:00"/>
    <n v="52"/>
    <n v="372.51"/>
    <s v="1/290668"/>
    <n v="1"/>
    <s v="A"/>
    <x v="25"/>
    <s v="BATURITÉ"/>
  </r>
  <r>
    <x v="570"/>
    <n v="0"/>
    <x v="1098"/>
    <s v="29531432000100"/>
    <x v="85"/>
    <d v="2021-01-05T00:00:00"/>
    <n v="62"/>
    <n v="585.58000000000004"/>
    <s v="1/289350"/>
    <n v="1"/>
    <s v="A"/>
    <x v="25"/>
    <s v="BATURITÉ"/>
  </r>
  <r>
    <x v="570"/>
    <n v="0"/>
    <x v="1099"/>
    <s v="31487078000106"/>
    <x v="102"/>
    <d v="2021-01-26T00:00:00"/>
    <n v="41"/>
    <n v="341.19"/>
    <s v="1/292099"/>
    <n v="1"/>
    <s v="A"/>
    <x v="16"/>
    <s v="JUAZEIRO DO NORTE"/>
  </r>
  <r>
    <x v="570"/>
    <n v="0"/>
    <x v="1100"/>
    <s v="15784350000163"/>
    <x v="89"/>
    <d v="2020-12-28T00:00:00"/>
    <n v="70"/>
    <n v="299.95"/>
    <s v="1/289011"/>
    <n v="1"/>
    <s v="A"/>
    <x v="25"/>
    <s v="FORTALEZA"/>
  </r>
  <r>
    <x v="570"/>
    <n v="0"/>
    <x v="1101"/>
    <s v="35019206000148"/>
    <x v="99"/>
    <d v="2021-01-15T00:00:00"/>
    <n v="52"/>
    <n v="267.79000000000002"/>
    <s v="1/290789"/>
    <n v="1"/>
    <s v="A"/>
    <x v="17"/>
    <s v="FORTALEZA"/>
  </r>
  <r>
    <x v="571"/>
    <n v="0"/>
    <x v="1102"/>
    <s v="35019206000148"/>
    <x v="99"/>
    <d v="2021-01-28T00:00:00"/>
    <n v="40"/>
    <n v="243.84"/>
    <s v="1/292597"/>
    <n v="1"/>
    <s v="A"/>
    <x v="17"/>
    <s v="FORTALEZA"/>
  </r>
  <r>
    <x v="572"/>
    <n v="0"/>
    <x v="1103"/>
    <s v="26196263000101"/>
    <x v="87"/>
    <d v="2021-01-14T00:00:00"/>
    <n v="55"/>
    <n v="649.86"/>
    <s v="1/290542"/>
    <n v="1"/>
    <s v="A"/>
    <x v="25"/>
    <s v="BATURITÉ"/>
  </r>
  <r>
    <x v="572"/>
    <n v="0"/>
    <x v="1104"/>
    <s v="15784350000163"/>
    <x v="89"/>
    <d v="2021-01-04T00:00:00"/>
    <n v="65"/>
    <n v="563.91999999999996"/>
    <s v="1/289165"/>
    <n v="1"/>
    <s v="A"/>
    <x v="25"/>
    <s v="FORTALEZA"/>
  </r>
  <r>
    <x v="573"/>
    <n v="0"/>
    <x v="1105"/>
    <s v="35019206000148"/>
    <x v="99"/>
    <d v="2021-01-30T00:00:00"/>
    <n v="40"/>
    <n v="254.81"/>
    <s v="1/292967"/>
    <n v="1"/>
    <s v="A"/>
    <x v="17"/>
    <s v="FORTALEZA"/>
  </r>
  <r>
    <x v="574"/>
    <n v="0"/>
    <x v="1106"/>
    <s v="26196263000101"/>
    <x v="87"/>
    <d v="2021-01-14T00:00:00"/>
    <n v="60"/>
    <n v="649.86"/>
    <s v="1/290542"/>
    <n v="1"/>
    <s v="A"/>
    <x v="25"/>
    <s v="BATURITÉ"/>
  </r>
  <r>
    <x v="574"/>
    <n v="0"/>
    <x v="1107"/>
    <s v="15784350000163"/>
    <x v="89"/>
    <d v="2020-12-28T00:00:00"/>
    <n v="77"/>
    <n v="299.93"/>
    <s v="1/289011"/>
    <n v="1"/>
    <s v="A"/>
    <x v="25"/>
    <s v="FORTALEZA"/>
  </r>
  <r>
    <x v="574"/>
    <n v="0"/>
    <x v="1108"/>
    <s v="15784350000163"/>
    <x v="89"/>
    <d v="2021-01-04T00:00:00"/>
    <n v="70"/>
    <n v="563.91999999999996"/>
    <s v="1/289165"/>
    <n v="1"/>
    <s v="A"/>
    <x v="25"/>
    <s v="FORTALEZA"/>
  </r>
  <r>
    <x v="575"/>
    <n v="0"/>
    <x v="1109"/>
    <s v="26196263000101"/>
    <x v="87"/>
    <d v="2021-01-15T00:00:00"/>
    <n v="60"/>
    <n v="356.87"/>
    <s v="1/290657"/>
    <n v="1"/>
    <s v="A"/>
    <x v="25"/>
    <s v="BATURITÉ"/>
  </r>
  <r>
    <x v="575"/>
    <n v="0"/>
    <x v="1110"/>
    <s v="29531432000100"/>
    <x v="85"/>
    <d v="2021-01-05T00:00:00"/>
    <n v="70"/>
    <n v="585.58000000000004"/>
    <s v="1/289350"/>
    <n v="1"/>
    <s v="A"/>
    <x v="25"/>
    <s v="BATURITÉ"/>
  </r>
  <r>
    <x v="575"/>
    <n v="0"/>
    <x v="1111"/>
    <s v="35019206000148"/>
    <x v="99"/>
    <d v="2021-01-15T00:00:00"/>
    <n v="60"/>
    <n v="267.79000000000002"/>
    <s v="1/290789"/>
    <n v="1"/>
    <s v="A"/>
    <x v="17"/>
    <s v="FORTALEZA"/>
  </r>
  <r>
    <x v="576"/>
    <n v="0"/>
    <x v="1112"/>
    <s v="26196263000101"/>
    <x v="87"/>
    <d v="2021-01-06T00:00:00"/>
    <n v="70"/>
    <n v="390.68"/>
    <s v="1/289495"/>
    <n v="1"/>
    <s v="A"/>
    <x v="25"/>
    <s v="BATURITÉ"/>
  </r>
  <r>
    <x v="576"/>
    <n v="0"/>
    <x v="1113"/>
    <s v="31487078000106"/>
    <x v="102"/>
    <d v="2021-01-26T00:00:00"/>
    <n v="50"/>
    <n v="341.19"/>
    <s v="1/292099"/>
    <n v="1"/>
    <s v="A"/>
    <x v="16"/>
    <s v="JUAZEIRO DO NORTE"/>
  </r>
  <r>
    <x v="577"/>
    <n v="0"/>
    <x v="1114"/>
    <s v="14022335000115"/>
    <x v="103"/>
    <d v="2021-01-07T00:00:00"/>
    <n v="70"/>
    <n v="918.98"/>
    <s v="1/289641"/>
    <n v="1"/>
    <s v="A"/>
    <x v="18"/>
    <s v="IPUEIRAS"/>
  </r>
  <r>
    <x v="577"/>
    <n v="0"/>
    <x v="1115"/>
    <s v="31487078000106"/>
    <x v="102"/>
    <d v="2021-02-26T00:00:00"/>
    <n v="20"/>
    <n v="531.05999999999995"/>
    <s v="1/296225"/>
    <n v="1"/>
    <s v="A"/>
    <x v="16"/>
    <s v="JUAZEIRO DO NORTE"/>
  </r>
  <r>
    <x v="578"/>
    <n v="0"/>
    <x v="1116"/>
    <s v="35019206000148"/>
    <x v="99"/>
    <d v="2021-01-28T00:00:00"/>
    <n v="50"/>
    <n v="243.84"/>
    <s v="1/292597"/>
    <n v="1"/>
    <s v="A"/>
    <x v="17"/>
    <s v="FORTALEZA"/>
  </r>
  <r>
    <x v="578"/>
    <n v="0"/>
    <x v="1117"/>
    <s v="05354915000119"/>
    <x v="104"/>
    <d v="2021-01-28T00:00:00"/>
    <n v="50"/>
    <n v="323.73"/>
    <s v="1/292579"/>
    <n v="1"/>
    <s v="A"/>
    <x v="24"/>
    <s v="CRATEUS"/>
  </r>
  <r>
    <x v="579"/>
    <n v="0"/>
    <x v="1118"/>
    <s v="26196263000101"/>
    <x v="87"/>
    <d v="2021-01-14T00:00:00"/>
    <n v="67"/>
    <n v="649.86"/>
    <s v="1/290542"/>
    <n v="1"/>
    <s v="A"/>
    <x v="25"/>
    <s v="BATURITÉ"/>
  </r>
  <r>
    <x v="579"/>
    <n v="0"/>
    <x v="1119"/>
    <s v="17138061000201"/>
    <x v="36"/>
    <d v="2021-01-21T00:00:00"/>
    <n v="60"/>
    <n v="485.6"/>
    <s v="1/291562"/>
    <n v="1"/>
    <s v="A"/>
    <x v="25"/>
    <s v="FORTALEZA"/>
  </r>
  <r>
    <x v="579"/>
    <n v="0"/>
    <x v="1120"/>
    <s v="04394701000294"/>
    <x v="105"/>
    <d v="2021-01-21T00:00:00"/>
    <n v="60"/>
    <n v="382.59"/>
    <s v="1/291488"/>
    <n v="1"/>
    <s v="A"/>
    <x v="24"/>
    <s v="IGUATU"/>
  </r>
  <r>
    <x v="579"/>
    <n v="0"/>
    <x v="1121"/>
    <s v="15784350000163"/>
    <x v="89"/>
    <d v="2021-01-04T00:00:00"/>
    <n v="77"/>
    <n v="563.9"/>
    <s v="1/289165"/>
    <n v="1"/>
    <s v="A"/>
    <x v="25"/>
    <s v="FORTALEZA"/>
  </r>
  <r>
    <x v="579"/>
    <n v="0"/>
    <x v="1122"/>
    <s v="15784350000163"/>
    <x v="89"/>
    <d v="2021-02-09T00:00:00"/>
    <n v="41"/>
    <n v="528.72"/>
    <s v="1/294055"/>
    <n v="1"/>
    <s v="A"/>
    <x v="25"/>
    <s v="FORTALEZA"/>
  </r>
  <r>
    <x v="579"/>
    <n v="0"/>
    <x v="1123"/>
    <s v="35019206000148"/>
    <x v="99"/>
    <d v="2021-01-30T00:00:00"/>
    <n v="51"/>
    <n v="254.81"/>
    <s v="1/292967"/>
    <n v="1"/>
    <s v="A"/>
    <x v="17"/>
    <s v="FORTALEZA"/>
  </r>
  <r>
    <x v="580"/>
    <n v="0"/>
    <x v="1124"/>
    <s v="26196263000101"/>
    <x v="87"/>
    <d v="2021-01-14T00:00:00"/>
    <n v="70"/>
    <n v="649.86"/>
    <s v="1/290542"/>
    <n v="1"/>
    <s v="A"/>
    <x v="25"/>
    <s v="BATURITÉ"/>
  </r>
  <r>
    <x v="581"/>
    <n v="0"/>
    <x v="1125"/>
    <s v="26196263000101"/>
    <x v="87"/>
    <d v="2021-01-15T00:00:00"/>
    <n v="70"/>
    <n v="322.60000000000002"/>
    <s v="1/290668"/>
    <n v="1"/>
    <s v="A"/>
    <x v="25"/>
    <s v="BATURITÉ"/>
  </r>
  <r>
    <x v="581"/>
    <n v="0"/>
    <x v="1126"/>
    <s v="29531432000100"/>
    <x v="85"/>
    <d v="2021-01-05T00:00:00"/>
    <n v="80"/>
    <n v="585.58000000000004"/>
    <s v="1/289350"/>
    <n v="1"/>
    <s v="A"/>
    <x v="25"/>
    <s v="BATURITÉ"/>
  </r>
  <r>
    <x v="581"/>
    <n v="0"/>
    <x v="1127"/>
    <s v="35019206000148"/>
    <x v="99"/>
    <d v="2021-01-15T00:00:00"/>
    <n v="70"/>
    <n v="267.79000000000002"/>
    <s v="1/290789"/>
    <n v="1"/>
    <s v="A"/>
    <x v="17"/>
    <s v="FORTALEZA"/>
  </r>
  <r>
    <x v="582"/>
    <n v="0"/>
    <x v="1128"/>
    <s v="31487078000106"/>
    <x v="102"/>
    <d v="2021-02-26T00:00:00"/>
    <n v="30"/>
    <n v="382.81"/>
    <s v="1/296225"/>
    <n v="1"/>
    <s v="A"/>
    <x v="16"/>
    <s v="JUAZEIRO DO NORTE"/>
  </r>
  <r>
    <x v="583"/>
    <n v="0"/>
    <x v="1129"/>
    <s v="31487078000106"/>
    <x v="102"/>
    <d v="2021-01-26T00:00:00"/>
    <n v="62"/>
    <n v="341.2"/>
    <s v="1/292099"/>
    <n v="1"/>
    <s v="A"/>
    <x v="16"/>
    <s v="JUAZEIRO DO NORTE"/>
  </r>
  <r>
    <x v="583"/>
    <n v="0"/>
    <x v="1130"/>
    <s v="35019206000148"/>
    <x v="99"/>
    <d v="2021-01-28T00:00:00"/>
    <n v="60"/>
    <n v="243.84"/>
    <s v="1/292597"/>
    <n v="1"/>
    <s v="A"/>
    <x v="17"/>
    <s v="FORTALEZA"/>
  </r>
  <r>
    <x v="583"/>
    <n v="0"/>
    <x v="1131"/>
    <s v="03176330000120"/>
    <x v="106"/>
    <d v="2021-01-26T00:00:00"/>
    <n v="62"/>
    <n v="5325.05"/>
    <s v="1/291940"/>
    <n v="1"/>
    <s v="A"/>
    <x v="15"/>
    <s v="FORTALEZA"/>
  </r>
  <r>
    <x v="584"/>
    <n v="0"/>
    <x v="1132"/>
    <s v="26196263000101"/>
    <x v="87"/>
    <d v="2021-01-14T00:00:00"/>
    <n v="75"/>
    <n v="649.86"/>
    <s v="1/290542"/>
    <n v="1"/>
    <s v="A"/>
    <x v="25"/>
    <s v="BATURITÉ"/>
  </r>
  <r>
    <x v="584"/>
    <n v="0"/>
    <x v="1133"/>
    <s v="04394701000103"/>
    <x v="107"/>
    <d v="2021-02-08T00:00:00"/>
    <n v="50"/>
    <n v="241.07"/>
    <s v="1/293924"/>
    <n v="1"/>
    <s v="A"/>
    <x v="24"/>
    <s v="ICO"/>
  </r>
  <r>
    <x v="585"/>
    <n v="0"/>
    <x v="1134"/>
    <s v="35019206000148"/>
    <x v="99"/>
    <d v="2021-01-30T00:00:00"/>
    <n v="60"/>
    <n v="254.79"/>
    <s v="1/292967"/>
    <n v="1"/>
    <s v="A"/>
    <x v="17"/>
    <s v="FORTALEZA"/>
  </r>
  <r>
    <x v="585"/>
    <n v="0"/>
    <x v="1135"/>
    <s v="12165233000123"/>
    <x v="108"/>
    <d v="2021-01-30T00:00:00"/>
    <n v="60"/>
    <n v="285.26"/>
    <s v="1/292978"/>
    <n v="1"/>
    <s v="A"/>
    <x v="26"/>
    <s v="ITAPIPOCA"/>
  </r>
  <r>
    <x v="585"/>
    <n v="0"/>
    <x v="1136"/>
    <s v="03176330000120"/>
    <x v="106"/>
    <d v="2021-01-30T00:00:00"/>
    <n v="60"/>
    <n v="4904.58"/>
    <s v="1/292928"/>
    <n v="1"/>
    <s v="A"/>
    <x v="15"/>
    <s v="FORTALEZA"/>
  </r>
  <r>
    <x v="586"/>
    <n v="0"/>
    <x v="1137"/>
    <s v="14022335000115"/>
    <x v="103"/>
    <d v="2021-01-22T00:00:00"/>
    <n v="70"/>
    <n v="575.91"/>
    <s v="1/291717"/>
    <n v="1"/>
    <s v="A"/>
    <x v="18"/>
    <s v="IPUEIRAS"/>
  </r>
  <r>
    <x v="587"/>
    <n v="0"/>
    <x v="1138"/>
    <s v="26196263000101"/>
    <x v="87"/>
    <d v="2021-01-14T00:00:00"/>
    <n v="81"/>
    <n v="649.86"/>
    <s v="1/290542"/>
    <n v="1"/>
    <s v="A"/>
    <x v="25"/>
    <s v="BATURITÉ"/>
  </r>
  <r>
    <x v="587"/>
    <n v="0"/>
    <x v="1139"/>
    <s v="26196263000101"/>
    <x v="87"/>
    <d v="2021-02-04T00:00:00"/>
    <n v="60"/>
    <n v="358.94"/>
    <s v="1/293460"/>
    <n v="1"/>
    <s v="A"/>
    <x v="25"/>
    <s v="BATURITÉ"/>
  </r>
  <r>
    <x v="587"/>
    <n v="0"/>
    <x v="1140"/>
    <s v="29531432000100"/>
    <x v="85"/>
    <d v="2021-01-05T00:00:00"/>
    <n v="90"/>
    <n v="585.58000000000004"/>
    <s v="1/289350"/>
    <n v="1"/>
    <s v="A"/>
    <x v="25"/>
    <s v="BATURITÉ"/>
  </r>
  <r>
    <x v="587"/>
    <n v="0"/>
    <x v="1141"/>
    <s v="29531432000100"/>
    <x v="85"/>
    <d v="2021-02-04T00:00:00"/>
    <n v="60"/>
    <n v="358.94"/>
    <s v="1/293466"/>
    <n v="1"/>
    <s v="A"/>
    <x v="25"/>
    <s v="BATURITÉ"/>
  </r>
  <r>
    <x v="587"/>
    <n v="0"/>
    <x v="1142"/>
    <s v="29531432000100"/>
    <x v="85"/>
    <d v="2021-02-04T00:00:00"/>
    <n v="60"/>
    <n v="358.94"/>
    <s v="1/293574"/>
    <n v="1"/>
    <s v="A"/>
    <x v="25"/>
    <s v="BATURITÉ"/>
  </r>
  <r>
    <x v="587"/>
    <n v="0"/>
    <x v="1143"/>
    <s v="35019206000148"/>
    <x v="99"/>
    <d v="2021-01-15T00:00:00"/>
    <n v="80"/>
    <n v="267.79000000000002"/>
    <s v="1/290789"/>
    <n v="1"/>
    <s v="A"/>
    <x v="17"/>
    <s v="FORTALEZA"/>
  </r>
  <r>
    <x v="588"/>
    <n v="0"/>
    <x v="1144"/>
    <s v="14022335000115"/>
    <x v="103"/>
    <d v="2020-12-23T00:00:00"/>
    <n v="105"/>
    <n v="532.46"/>
    <s v="1/288867"/>
    <n v="1"/>
    <s v="A"/>
    <x v="18"/>
    <s v="IPUEIRAS"/>
  </r>
  <r>
    <x v="588"/>
    <n v="0"/>
    <x v="1145"/>
    <s v="31487078000106"/>
    <x v="102"/>
    <d v="2021-02-26T00:00:00"/>
    <n v="40"/>
    <n v="382.81"/>
    <s v="1/296225"/>
    <n v="1"/>
    <s v="A"/>
    <x v="16"/>
    <s v="JUAZEIRO DO NORTE"/>
  </r>
  <r>
    <x v="589"/>
    <n v="0"/>
    <x v="1146"/>
    <s v="35019206000148"/>
    <x v="99"/>
    <d v="2021-01-28T00:00:00"/>
    <n v="70"/>
    <n v="243.86"/>
    <s v="1/292597"/>
    <n v="1"/>
    <s v="A"/>
    <x v="17"/>
    <s v="FORTALEZA"/>
  </r>
  <r>
    <x v="589"/>
    <n v="0"/>
    <x v="1147"/>
    <s v="05354915000119"/>
    <x v="104"/>
    <d v="2021-01-28T00:00:00"/>
    <n v="70"/>
    <n v="280.41000000000003"/>
    <s v="1/292579"/>
    <n v="1"/>
    <s v="A"/>
    <x v="24"/>
    <s v="CRATEUS"/>
  </r>
  <r>
    <x v="590"/>
    <n v="0"/>
    <x v="1148"/>
    <s v="26196263000101"/>
    <x v="87"/>
    <d v="2021-01-14T00:00:00"/>
    <n v="85"/>
    <n v="649.86"/>
    <s v="1/290542"/>
    <n v="1"/>
    <s v="A"/>
    <x v="25"/>
    <s v="BATURITÉ"/>
  </r>
  <r>
    <x v="591"/>
    <n v="0"/>
    <x v="1149"/>
    <s v="14022335000115"/>
    <x v="103"/>
    <d v="2021-01-22T00:00:00"/>
    <n v="80"/>
    <n v="575.91"/>
    <s v="1/291717"/>
    <n v="1"/>
    <s v="A"/>
    <x v="18"/>
    <s v="IPUEIRAS"/>
  </r>
  <r>
    <x v="591"/>
    <n v="0"/>
    <x v="1150"/>
    <s v="15784350000163"/>
    <x v="89"/>
    <d v="2021-03-03T00:00:00"/>
    <n v="40"/>
    <n v="344.09"/>
    <s v="1/296920"/>
    <n v="1"/>
    <s v="A"/>
    <x v="25"/>
    <s v="FORTALEZA"/>
  </r>
  <r>
    <x v="591"/>
    <n v="0"/>
    <x v="1151"/>
    <s v="12165233000123"/>
    <x v="108"/>
    <d v="2021-01-27T00:00:00"/>
    <n v="75"/>
    <n v="568.63"/>
    <s v="1/292288"/>
    <n v="1"/>
    <s v="A"/>
    <x v="26"/>
    <s v="ITAPIPOCA"/>
  </r>
  <r>
    <x v="591"/>
    <n v="0"/>
    <x v="1152"/>
    <s v="12165233000123"/>
    <x v="108"/>
    <d v="2021-01-30T00:00:00"/>
    <n v="72"/>
    <n v="732.69"/>
    <s v="1/292987"/>
    <n v="1"/>
    <s v="A"/>
    <x v="26"/>
    <s v="ITAPIPOCA"/>
  </r>
  <r>
    <x v="592"/>
    <n v="0"/>
    <x v="1153"/>
    <s v="12165233000123"/>
    <x v="108"/>
    <d v="2021-03-09T00:00:00"/>
    <n v="35"/>
    <n v="1240.47"/>
    <s v="1/297792"/>
    <n v="1"/>
    <s v="A"/>
    <x v="26"/>
    <s v="ITAPIPOCA"/>
  </r>
  <r>
    <x v="593"/>
    <n v="0"/>
    <x v="1154"/>
    <s v="26196263000101"/>
    <x v="87"/>
    <d v="2021-01-14T00:00:00"/>
    <n v="90"/>
    <n v="649.91"/>
    <s v="1/290542"/>
    <n v="1"/>
    <s v="A"/>
    <x v="25"/>
    <s v="BATURITÉ"/>
  </r>
  <r>
    <x v="593"/>
    <n v="0"/>
    <x v="1155"/>
    <s v="01876769000130"/>
    <x v="109"/>
    <d v="2021-01-14T00:00:00"/>
    <n v="90"/>
    <n v="2820.92"/>
    <s v="1/290531"/>
    <n v="1"/>
    <s v="A"/>
    <x v="16"/>
    <s v="JUAZEIRO DO NORTE"/>
  </r>
  <r>
    <x v="594"/>
    <n v="0"/>
    <x v="1156"/>
    <s v="35019206000148"/>
    <x v="99"/>
    <d v="2021-01-15T00:00:00"/>
    <n v="90"/>
    <n v="267.77"/>
    <s v="1/290789"/>
    <n v="1"/>
    <s v="A"/>
    <x v="17"/>
    <s v="FORTALEZA"/>
  </r>
  <r>
    <x v="595"/>
    <n v="0"/>
    <x v="1157"/>
    <s v="31487078000106"/>
    <x v="102"/>
    <d v="2021-02-26T00:00:00"/>
    <n v="50"/>
    <n v="382.81"/>
    <s v="1/296225"/>
    <n v="1"/>
    <s v="A"/>
    <x v="16"/>
    <s v="JUAZEIRO DO NORTE"/>
  </r>
  <r>
    <x v="596"/>
    <n v="0"/>
    <x v="1158"/>
    <s v="14022335000115"/>
    <x v="103"/>
    <d v="2020-12-23T00:00:00"/>
    <n v="117"/>
    <n v="532.46"/>
    <s v="1/288867"/>
    <n v="1"/>
    <s v="A"/>
    <x v="18"/>
    <s v="IPUEIRAS"/>
  </r>
  <r>
    <x v="596"/>
    <n v="0"/>
    <x v="1159"/>
    <s v="16672967000150"/>
    <x v="110"/>
    <d v="2021-01-29T00:00:00"/>
    <n v="80"/>
    <n v="115.12"/>
    <s v="1/292798"/>
    <n v="1"/>
    <s v="A"/>
    <x v="15"/>
    <s v="FORTALEZA"/>
  </r>
  <r>
    <x v="596"/>
    <n v="0"/>
    <x v="1160"/>
    <s v="04394701000103"/>
    <x v="107"/>
    <d v="2021-02-08T00:00:00"/>
    <n v="70"/>
    <n v="208.9"/>
    <s v="1/293924"/>
    <n v="1"/>
    <s v="A"/>
    <x v="24"/>
    <s v="ICO"/>
  </r>
  <r>
    <x v="597"/>
    <n v="0"/>
    <x v="1161"/>
    <s v="35019206000148"/>
    <x v="99"/>
    <d v="2021-03-31T00:00:00"/>
    <n v="20"/>
    <n v="812.06"/>
    <s v="1/301117"/>
    <n v="1"/>
    <s v="A"/>
    <x v="17"/>
    <s v="FORTALEZA"/>
  </r>
  <r>
    <x v="597"/>
    <n v="0"/>
    <x v="1162"/>
    <s v="12165233000123"/>
    <x v="108"/>
    <d v="2021-01-30T00:00:00"/>
    <n v="80"/>
    <n v="732.71"/>
    <s v="1/292987"/>
    <n v="1"/>
    <s v="A"/>
    <x v="26"/>
    <s v="ITAPIPOCA"/>
  </r>
  <r>
    <x v="598"/>
    <n v="0"/>
    <x v="1163"/>
    <s v="15784350000163"/>
    <x v="89"/>
    <d v="2021-03-22T00:00:00"/>
    <n v="30"/>
    <n v="349.19"/>
    <s v="1/299475"/>
    <n v="1"/>
    <s v="A"/>
    <x v="25"/>
    <s v="FORTALEZA"/>
  </r>
  <r>
    <x v="599"/>
    <n v="0"/>
    <x v="1164"/>
    <s v="14022335000115"/>
    <x v="103"/>
    <d v="2021-01-22T00:00:00"/>
    <n v="90"/>
    <n v="575.92999999999995"/>
    <s v="1/291717"/>
    <n v="1"/>
    <s v="A"/>
    <x v="18"/>
    <s v="IPUEIRAS"/>
  </r>
  <r>
    <x v="600"/>
    <n v="0"/>
    <x v="1165"/>
    <s v="12165233000123"/>
    <x v="108"/>
    <d v="2021-03-09T00:00:00"/>
    <n v="45"/>
    <n v="851.17"/>
    <s v="1/297792"/>
    <n v="1"/>
    <s v="A"/>
    <x v="26"/>
    <s v="ITAPIPOCA"/>
  </r>
  <r>
    <x v="600"/>
    <n v="0"/>
    <x v="1166"/>
    <s v="07144238000130"/>
    <x v="111"/>
    <d v="2021-02-12T00:00:00"/>
    <n v="70"/>
    <n v="904.13"/>
    <s v="1/294659"/>
    <n v="1"/>
    <s v="A"/>
    <x v="15"/>
    <s v="CANINDÉ"/>
  </r>
  <r>
    <x v="601"/>
    <n v="0"/>
    <x v="1167"/>
    <s v="31487078000106"/>
    <x v="102"/>
    <d v="2021-02-26T00:00:00"/>
    <n v="60"/>
    <n v="382.82"/>
    <s v="1/296225"/>
    <n v="1"/>
    <s v="A"/>
    <x v="16"/>
    <s v="JUAZEIRO DO NORTE"/>
  </r>
  <r>
    <x v="602"/>
    <n v="0"/>
    <x v="1168"/>
    <s v="35019206000148"/>
    <x v="99"/>
    <d v="2021-03-31T00:00:00"/>
    <n v="30"/>
    <n v="584.97"/>
    <s v="1/301117"/>
    <n v="1"/>
    <s v="A"/>
    <x v="17"/>
    <s v="FORTALEZA"/>
  </r>
  <r>
    <x v="603"/>
    <n v="0"/>
    <x v="1169"/>
    <s v="31258440000177"/>
    <x v="112"/>
    <d v="2021-03-02T00:00:00"/>
    <n v="60"/>
    <n v="390.37"/>
    <s v="1/296763"/>
    <n v="1"/>
    <s v="A"/>
    <x v="24"/>
    <s v="CRATEUS"/>
  </r>
  <r>
    <x v="603"/>
    <n v="0"/>
    <x v="1170"/>
    <s v="21578080000137"/>
    <x v="113"/>
    <d v="2021-03-02T00:00:00"/>
    <n v="60"/>
    <n v="658.73"/>
    <s v="1/296748"/>
    <n v="1"/>
    <s v="A"/>
    <x v="4"/>
    <s v="HORIZONTE"/>
  </r>
  <r>
    <x v="603"/>
    <n v="0"/>
    <x v="1171"/>
    <s v="21578080000137"/>
    <x v="113"/>
    <d v="2021-03-02T00:00:00"/>
    <n v="60"/>
    <n v="2166.9899999999998"/>
    <s v="1/296750"/>
    <n v="1"/>
    <s v="A"/>
    <x v="4"/>
    <s v="HORIZONTE"/>
  </r>
  <r>
    <x v="603"/>
    <n v="0"/>
    <x v="1172"/>
    <s v="31741228000166"/>
    <x v="114"/>
    <d v="2021-03-22T00:00:00"/>
    <n v="40"/>
    <n v="257.82"/>
    <s v="1/299480"/>
    <n v="1"/>
    <s v="A"/>
    <x v="25"/>
    <s v="MARANGUAPE"/>
  </r>
  <r>
    <x v="604"/>
    <n v="0"/>
    <x v="1173"/>
    <s v="31741228000166"/>
    <x v="114"/>
    <d v="2021-04-07T00:00:00"/>
    <n v="25"/>
    <n v="302.95999999999998"/>
    <s v="1/301797"/>
    <n v="1"/>
    <s v="A"/>
    <x v="25"/>
    <s v="MARANGUAPE"/>
  </r>
  <r>
    <x v="605"/>
    <n v="0"/>
    <x v="1174"/>
    <s v="30511707000123"/>
    <x v="115"/>
    <d v="2021-01-11T00:00:00"/>
    <n v="112"/>
    <n v="1019.38"/>
    <s v="1/290030"/>
    <n v="1"/>
    <s v="A"/>
    <x v="4"/>
    <s v="HORIZONTE"/>
  </r>
  <r>
    <x v="605"/>
    <n v="0"/>
    <x v="1175"/>
    <s v="30511707000123"/>
    <x v="115"/>
    <d v="2021-02-01T00:00:00"/>
    <n v="91"/>
    <n v="1778.34"/>
    <s v="1/293062"/>
    <n v="1"/>
    <s v="A"/>
    <x v="4"/>
    <s v="HORIZONTE"/>
  </r>
  <r>
    <x v="605"/>
    <n v="0"/>
    <x v="1176"/>
    <s v="30511707000123"/>
    <x v="115"/>
    <d v="2021-02-22T00:00:00"/>
    <n v="70"/>
    <n v="1012.71"/>
    <s v="1/295533"/>
    <n v="1"/>
    <s v="A"/>
    <x v="4"/>
    <s v="HORIZONTE"/>
  </r>
  <r>
    <x v="605"/>
    <n v="0"/>
    <x v="1177"/>
    <s v="30732111000153"/>
    <x v="116"/>
    <d v="2021-01-21T00:00:00"/>
    <n v="102"/>
    <n v="897.85"/>
    <s v="1/291553"/>
    <n v="1"/>
    <s v="A"/>
    <x v="4"/>
    <s v="PACAJUS"/>
  </r>
  <r>
    <x v="605"/>
    <n v="0"/>
    <x v="1178"/>
    <s v="30732111000153"/>
    <x v="116"/>
    <d v="2021-02-11T00:00:00"/>
    <n v="81"/>
    <n v="679.63"/>
    <s v="1/294363"/>
    <n v="1"/>
    <s v="A"/>
    <x v="4"/>
    <s v="PACAJUS"/>
  </r>
  <r>
    <x v="605"/>
    <n v="0"/>
    <x v="1179"/>
    <s v="30732111000153"/>
    <x v="116"/>
    <d v="2021-02-22T00:00:00"/>
    <n v="70"/>
    <n v="865.27"/>
    <s v="1/295530"/>
    <n v="1"/>
    <s v="A"/>
    <x v="4"/>
    <s v="PACAJUS"/>
  </r>
  <r>
    <x v="605"/>
    <n v="0"/>
    <x v="1180"/>
    <s v="21578080000137"/>
    <x v="113"/>
    <d v="2021-02-01T00:00:00"/>
    <n v="91"/>
    <n v="1060.49"/>
    <s v="1/293084"/>
    <n v="1"/>
    <s v="A"/>
    <x v="4"/>
    <s v="HORIZONTE"/>
  </r>
  <r>
    <x v="605"/>
    <n v="0"/>
    <x v="1181"/>
    <s v="21578080000137"/>
    <x v="113"/>
    <d v="2021-02-22T00:00:00"/>
    <n v="70"/>
    <n v="865.27"/>
    <s v="1/295527"/>
    <n v="1"/>
    <s v="A"/>
    <x v="4"/>
    <s v="HORIZONTE"/>
  </r>
  <r>
    <x v="605"/>
    <n v="0"/>
    <x v="1182"/>
    <s v="12165233000123"/>
    <x v="108"/>
    <d v="2021-03-09T00:00:00"/>
    <n v="55"/>
    <n v="851.17"/>
    <s v="1/297792"/>
    <n v="1"/>
    <s v="A"/>
    <x v="26"/>
    <s v="ITAPIPOCA"/>
  </r>
  <r>
    <x v="606"/>
    <n v="0"/>
    <x v="1183"/>
    <s v="23576929000169"/>
    <x v="117"/>
    <d v="2021-03-15T00:00:00"/>
    <n v="50"/>
    <n v="364.17"/>
    <s v="1/298517"/>
    <n v="1"/>
    <s v="A"/>
    <x v="17"/>
    <s v="FORTALEZA"/>
  </r>
  <r>
    <x v="606"/>
    <n v="0"/>
    <x v="1184"/>
    <s v="30511707000123"/>
    <x v="115"/>
    <d v="2021-02-23T00:00:00"/>
    <n v="70"/>
    <n v="592.78"/>
    <s v="1/295683"/>
    <n v="1"/>
    <s v="A"/>
    <x v="4"/>
    <s v="HORIZONTE"/>
  </r>
  <r>
    <x v="606"/>
    <n v="0"/>
    <x v="1185"/>
    <s v="30732111000153"/>
    <x v="116"/>
    <d v="2021-02-03T00:00:00"/>
    <n v="90"/>
    <n v="1140.3499999999999"/>
    <s v="1/293337"/>
    <n v="1"/>
    <s v="A"/>
    <x v="4"/>
    <s v="PACAJUS"/>
  </r>
  <r>
    <x v="606"/>
    <n v="0"/>
    <x v="1186"/>
    <s v="30732111000153"/>
    <x v="116"/>
    <d v="2021-02-23T00:00:00"/>
    <n v="70"/>
    <n v="592.78"/>
    <s v="1/295671"/>
    <n v="1"/>
    <s v="A"/>
    <x v="4"/>
    <s v="PACAJUS"/>
  </r>
  <r>
    <x v="606"/>
    <n v="0"/>
    <x v="1187"/>
    <s v="30732111000153"/>
    <x v="116"/>
    <d v="2021-03-30T00:00:00"/>
    <n v="35"/>
    <n v="774.64"/>
    <s v="1/300853"/>
    <n v="1"/>
    <s v="A"/>
    <x v="4"/>
    <s v="PACAJUS"/>
  </r>
  <r>
    <x v="606"/>
    <n v="0"/>
    <x v="1188"/>
    <s v="31741228000166"/>
    <x v="114"/>
    <d v="2021-03-30T00:00:00"/>
    <n v="35"/>
    <n v="226.78"/>
    <s v="1/300754"/>
    <n v="1"/>
    <s v="A"/>
    <x v="25"/>
    <s v="MARANGUAPE"/>
  </r>
  <r>
    <x v="607"/>
    <n v="0"/>
    <x v="1189"/>
    <s v="30511707000123"/>
    <x v="115"/>
    <d v="2021-02-24T00:00:00"/>
    <n v="70"/>
    <n v="592.48"/>
    <s v="1/295919"/>
    <n v="1"/>
    <s v="A"/>
    <x v="4"/>
    <s v="HORIZONTE"/>
  </r>
  <r>
    <x v="607"/>
    <n v="0"/>
    <x v="1190"/>
    <s v="21578080000137"/>
    <x v="113"/>
    <d v="2021-01-27T00:00:00"/>
    <n v="98"/>
    <n v="973.09"/>
    <s v="1/292136"/>
    <n v="1"/>
    <s v="A"/>
    <x v="4"/>
    <s v="HORIZONTE"/>
  </r>
  <r>
    <x v="607"/>
    <n v="0"/>
    <x v="1191"/>
    <s v="21578080000137"/>
    <x v="113"/>
    <d v="2021-02-24T00:00:00"/>
    <n v="70"/>
    <n v="887.37"/>
    <s v="1/295917"/>
    <n v="1"/>
    <s v="A"/>
    <x v="4"/>
    <s v="HORIZONTE"/>
  </r>
  <r>
    <x v="607"/>
    <n v="0"/>
    <x v="1192"/>
    <s v="21578080000137"/>
    <x v="113"/>
    <d v="2021-03-31T00:00:00"/>
    <n v="35"/>
    <n v="872.26"/>
    <s v="1/301272"/>
    <n v="1"/>
    <s v="A"/>
    <x v="4"/>
    <s v="HORIZONTE"/>
  </r>
  <r>
    <x v="608"/>
    <n v="0"/>
    <x v="1193"/>
    <s v="30511707000123"/>
    <x v="115"/>
    <d v="2021-01-26T00:00:00"/>
    <n v="100"/>
    <n v="1849.94"/>
    <s v="1/292047"/>
    <n v="1"/>
    <s v="A"/>
    <x v="4"/>
    <s v="HORIZONTE"/>
  </r>
  <r>
    <x v="608"/>
    <n v="0"/>
    <x v="1194"/>
    <s v="30511707000123"/>
    <x v="115"/>
    <d v="2021-02-25T00:00:00"/>
    <n v="70"/>
    <n v="592.78"/>
    <s v="1/296112"/>
    <n v="1"/>
    <s v="A"/>
    <x v="4"/>
    <s v="HORIZONTE"/>
  </r>
  <r>
    <x v="608"/>
    <n v="0"/>
    <x v="1195"/>
    <s v="30511707000123"/>
    <x v="115"/>
    <d v="2021-03-02T00:00:00"/>
    <n v="65"/>
    <n v="658.73"/>
    <s v="1/296751"/>
    <n v="1"/>
    <s v="A"/>
    <x v="4"/>
    <s v="HORIZONTE"/>
  </r>
  <r>
    <x v="608"/>
    <n v="0"/>
    <x v="1196"/>
    <s v="30732111000153"/>
    <x v="116"/>
    <d v="2021-02-25T00:00:00"/>
    <n v="70"/>
    <n v="592.78"/>
    <s v="1/296110"/>
    <n v="1"/>
    <s v="A"/>
    <x v="4"/>
    <s v="PACAJUS"/>
  </r>
  <r>
    <x v="608"/>
    <n v="0"/>
    <x v="1197"/>
    <s v="30732111000153"/>
    <x v="116"/>
    <d v="2021-03-02T00:00:00"/>
    <n v="65"/>
    <n v="924.39"/>
    <s v="1/296753"/>
    <n v="1"/>
    <s v="A"/>
    <x v="4"/>
    <s v="PACAJUS"/>
  </r>
  <r>
    <x v="608"/>
    <n v="0"/>
    <x v="1198"/>
    <s v="21578080000137"/>
    <x v="113"/>
    <d v="2021-02-25T00:00:00"/>
    <n v="70"/>
    <n v="1019.84"/>
    <s v="1/295951"/>
    <n v="1"/>
    <s v="A"/>
    <x v="4"/>
    <s v="HORIZONTE"/>
  </r>
  <r>
    <x v="608"/>
    <n v="0"/>
    <x v="1199"/>
    <s v="21578080000137"/>
    <x v="113"/>
    <d v="2021-02-25T00:00:00"/>
    <n v="70"/>
    <n v="592.78"/>
    <s v="1/296109"/>
    <n v="1"/>
    <s v="A"/>
    <x v="4"/>
    <s v="HORIZONTE"/>
  </r>
  <r>
    <x v="608"/>
    <n v="0"/>
    <x v="1200"/>
    <s v="31741228000166"/>
    <x v="114"/>
    <d v="2021-03-22T00:00:00"/>
    <n v="45"/>
    <n v="217.42"/>
    <s v="1/299509"/>
    <n v="1"/>
    <s v="A"/>
    <x v="25"/>
    <s v="MARANGUAPE"/>
  </r>
  <r>
    <x v="608"/>
    <n v="0"/>
    <x v="1201"/>
    <s v="35019206000148"/>
    <x v="99"/>
    <d v="2021-04-01T00:00:00"/>
    <n v="35"/>
    <n v="362.45"/>
    <s v="1/301300"/>
    <n v="1"/>
    <s v="A"/>
    <x v="17"/>
    <s v="FORTALEZA"/>
  </r>
  <r>
    <x v="609"/>
    <n v="0"/>
    <x v="1202"/>
    <s v="30511707000123"/>
    <x v="115"/>
    <d v="2021-02-26T00:00:00"/>
    <n v="70"/>
    <n v="926.96"/>
    <s v="1/296227"/>
    <n v="1"/>
    <s v="A"/>
    <x v="4"/>
    <s v="HORIZONTE"/>
  </r>
  <r>
    <x v="609"/>
    <n v="0"/>
    <x v="1203"/>
    <s v="30511707000123"/>
    <x v="115"/>
    <d v="2021-02-26T00:00:00"/>
    <n v="70"/>
    <n v="829.82"/>
    <s v="1/296330"/>
    <n v="1"/>
    <s v="A"/>
    <x v="4"/>
    <s v="HORIZONTE"/>
  </r>
  <r>
    <x v="609"/>
    <n v="0"/>
    <x v="1204"/>
    <s v="30511707000123"/>
    <x v="115"/>
    <d v="2021-03-03T00:00:00"/>
    <n v="65"/>
    <n v="490.65"/>
    <s v="1/296886"/>
    <n v="1"/>
    <s v="A"/>
    <x v="4"/>
    <s v="HORIZONTE"/>
  </r>
  <r>
    <x v="609"/>
    <n v="0"/>
    <x v="1205"/>
    <s v="30511707000123"/>
    <x v="115"/>
    <d v="2021-03-08T00:00:00"/>
    <n v="60"/>
    <n v="2445.62"/>
    <s v="1/297564"/>
    <n v="1"/>
    <s v="A"/>
    <x v="4"/>
    <s v="HORIZONTE"/>
  </r>
  <r>
    <x v="609"/>
    <n v="0"/>
    <x v="1206"/>
    <s v="30732111000153"/>
    <x v="116"/>
    <d v="2021-02-26T00:00:00"/>
    <n v="70"/>
    <n v="1589.45"/>
    <s v="1/296358"/>
    <n v="1"/>
    <s v="A"/>
    <x v="4"/>
    <s v="PACAJUS"/>
  </r>
  <r>
    <x v="609"/>
    <n v="0"/>
    <x v="1207"/>
    <s v="21578080000137"/>
    <x v="113"/>
    <d v="2021-03-08T00:00:00"/>
    <n v="60"/>
    <n v="2565.1799999999998"/>
    <s v="1/297566"/>
    <n v="1"/>
    <s v="A"/>
    <x v="4"/>
    <s v="HORIZONTE"/>
  </r>
  <r>
    <x v="609"/>
    <n v="0"/>
    <x v="1208"/>
    <s v="12165233000123"/>
    <x v="108"/>
    <d v="2021-03-18T00:00:00"/>
    <n v="50"/>
    <n v="508.29"/>
    <s v="1/299304"/>
    <n v="1"/>
    <s v="A"/>
    <x v="26"/>
    <s v="ITAPIPOCA"/>
  </r>
  <r>
    <x v="610"/>
    <n v="0"/>
    <x v="1209"/>
    <s v="30511707000123"/>
    <x v="115"/>
    <d v="2021-02-17T00:00:00"/>
    <n v="80"/>
    <n v="1713.83"/>
    <s v="1/295100"/>
    <n v="1"/>
    <s v="A"/>
    <x v="4"/>
    <s v="HORIZONTE"/>
  </r>
  <r>
    <x v="610"/>
    <n v="0"/>
    <x v="1210"/>
    <s v="30511707000123"/>
    <x v="115"/>
    <d v="2021-02-27T00:00:00"/>
    <n v="70"/>
    <n v="712.25"/>
    <s v="1/296436"/>
    <n v="1"/>
    <s v="A"/>
    <x v="4"/>
    <s v="HORIZONTE"/>
  </r>
  <r>
    <x v="610"/>
    <n v="0"/>
    <x v="1211"/>
    <s v="30511707000123"/>
    <x v="115"/>
    <d v="2021-03-09T00:00:00"/>
    <n v="60"/>
    <n v="778.99"/>
    <s v="1/297634"/>
    <n v="1"/>
    <s v="A"/>
    <x v="4"/>
    <s v="HORIZONTE"/>
  </r>
  <r>
    <x v="610"/>
    <n v="0"/>
    <x v="1212"/>
    <s v="17138061000201"/>
    <x v="36"/>
    <d v="2021-03-09T00:00:00"/>
    <n v="60"/>
    <n v="289.20999999999998"/>
    <s v="1/297659"/>
    <n v="1"/>
    <s v="A"/>
    <x v="25"/>
    <s v="FORTALEZA"/>
  </r>
  <r>
    <x v="610"/>
    <n v="0"/>
    <x v="1213"/>
    <s v="21578080000137"/>
    <x v="113"/>
    <d v="2021-02-17T00:00:00"/>
    <n v="80"/>
    <n v="324.79000000000002"/>
    <s v="1/295038"/>
    <n v="1"/>
    <s v="A"/>
    <x v="4"/>
    <s v="HORIZONTE"/>
  </r>
  <r>
    <x v="610"/>
    <n v="0"/>
    <x v="1214"/>
    <s v="21578080000137"/>
    <x v="113"/>
    <d v="2021-02-17T00:00:00"/>
    <n v="80"/>
    <n v="1069.2"/>
    <s v="1/295053"/>
    <n v="1"/>
    <s v="A"/>
    <x v="4"/>
    <s v="HORIZONTE"/>
  </r>
  <r>
    <x v="610"/>
    <n v="0"/>
    <x v="1215"/>
    <s v="21578080000137"/>
    <x v="113"/>
    <d v="2021-02-27T00:00:00"/>
    <n v="70"/>
    <n v="469.87"/>
    <s v="1/296467"/>
    <n v="1"/>
    <s v="A"/>
    <x v="4"/>
    <s v="HORIZONTE"/>
  </r>
  <r>
    <x v="611"/>
    <n v="0"/>
    <x v="1216"/>
    <s v="30732111000153"/>
    <x v="116"/>
    <d v="2021-02-18T00:00:00"/>
    <n v="80"/>
    <n v="560.76"/>
    <s v="1/295210"/>
    <n v="1"/>
    <s v="A"/>
    <x v="4"/>
    <s v="PACAJUS"/>
  </r>
  <r>
    <x v="611"/>
    <n v="0"/>
    <x v="1217"/>
    <s v="30732111000153"/>
    <x v="116"/>
    <d v="2021-03-10T00:00:00"/>
    <n v="60"/>
    <n v="1491"/>
    <s v="1/297971"/>
    <n v="1"/>
    <s v="A"/>
    <x v="4"/>
    <s v="PACAJUS"/>
  </r>
  <r>
    <x v="611"/>
    <n v="0"/>
    <x v="1218"/>
    <s v="15784350000163"/>
    <x v="89"/>
    <d v="2021-03-30T00:00:00"/>
    <n v="40"/>
    <n v="522.73"/>
    <s v="1/300751"/>
    <n v="1"/>
    <s v="A"/>
    <x v="25"/>
    <s v="FORTALEZA"/>
  </r>
  <r>
    <x v="611"/>
    <n v="0"/>
    <x v="1219"/>
    <s v="31741228000166"/>
    <x v="114"/>
    <d v="2021-04-09T00:00:00"/>
    <n v="30"/>
    <n v="330"/>
    <s v="1/302133"/>
    <n v="1"/>
    <s v="A"/>
    <x v="25"/>
    <s v="MARANGUAPE"/>
  </r>
  <r>
    <x v="612"/>
    <n v="0"/>
    <x v="1220"/>
    <s v="30511707000123"/>
    <x v="115"/>
    <d v="2021-01-19T00:00:00"/>
    <n v="111"/>
    <n v="1224.97"/>
    <s v="1/291108"/>
    <n v="1"/>
    <s v="A"/>
    <x v="4"/>
    <s v="HORIZONTE"/>
  </r>
  <r>
    <x v="612"/>
    <n v="0"/>
    <x v="1221"/>
    <s v="30511707000123"/>
    <x v="115"/>
    <d v="2021-02-09T00:00:00"/>
    <n v="90"/>
    <n v="597.67999999999995"/>
    <s v="1/294141"/>
    <n v="1"/>
    <s v="A"/>
    <x v="4"/>
    <s v="HORIZONTE"/>
  </r>
  <r>
    <x v="612"/>
    <n v="0"/>
    <x v="1222"/>
    <s v="30511707000123"/>
    <x v="115"/>
    <d v="2021-02-09T00:00:00"/>
    <n v="90"/>
    <n v="1565.32"/>
    <s v="1/294155"/>
    <n v="1"/>
    <s v="A"/>
    <x v="4"/>
    <s v="HORIZONTE"/>
  </r>
  <r>
    <x v="612"/>
    <n v="0"/>
    <x v="1223"/>
    <s v="30511707000123"/>
    <x v="115"/>
    <d v="2021-03-11T00:00:00"/>
    <n v="60"/>
    <n v="1332.6"/>
    <s v="1/298216"/>
    <n v="1"/>
    <s v="A"/>
    <x v="4"/>
    <s v="HORIZONTE"/>
  </r>
  <r>
    <x v="612"/>
    <n v="0"/>
    <x v="1224"/>
    <s v="30732111000153"/>
    <x v="116"/>
    <d v="2021-02-19T00:00:00"/>
    <n v="80"/>
    <n v="762.8"/>
    <s v="1/295361"/>
    <n v="1"/>
    <s v="A"/>
    <x v="4"/>
    <s v="PACAJUS"/>
  </r>
  <r>
    <x v="612"/>
    <n v="0"/>
    <x v="1225"/>
    <s v="30732111000153"/>
    <x v="116"/>
    <d v="2021-03-11T00:00:00"/>
    <n v="60"/>
    <n v="1332.6"/>
    <s v="1/298197"/>
    <n v="1"/>
    <s v="A"/>
    <x v="4"/>
    <s v="PACAJUS"/>
  </r>
  <r>
    <x v="612"/>
    <n v="0"/>
    <x v="1226"/>
    <s v="21578080000137"/>
    <x v="113"/>
    <d v="2021-01-19T00:00:00"/>
    <n v="111"/>
    <n v="1074.48"/>
    <s v="1/291063"/>
    <n v="1"/>
    <s v="A"/>
    <x v="4"/>
    <s v="HORIZONTE"/>
  </r>
  <r>
    <x v="612"/>
    <n v="0"/>
    <x v="1227"/>
    <s v="21578080000137"/>
    <x v="113"/>
    <d v="2021-01-29T00:00:00"/>
    <n v="101"/>
    <n v="879.84"/>
    <s v="1/292622"/>
    <n v="1"/>
    <s v="A"/>
    <x v="4"/>
    <s v="HORIZONTE"/>
  </r>
  <r>
    <x v="612"/>
    <n v="0"/>
    <x v="1228"/>
    <s v="21578080000137"/>
    <x v="113"/>
    <d v="2021-02-08T00:00:00"/>
    <n v="91"/>
    <n v="1741.75"/>
    <s v="1/294027"/>
    <n v="1"/>
    <s v="A"/>
    <x v="4"/>
    <s v="HORIZONTE"/>
  </r>
  <r>
    <x v="612"/>
    <n v="0"/>
    <x v="1229"/>
    <s v="07546558000388"/>
    <x v="118"/>
    <d v="2021-03-11T00:00:00"/>
    <n v="60"/>
    <n v="1070.3800000000001"/>
    <s v="1/298087"/>
    <n v="1"/>
    <s v="A"/>
    <x v="25"/>
    <s v="BATURITÉ"/>
  </r>
  <r>
    <x v="612"/>
    <n v="0"/>
    <x v="1230"/>
    <s v="10908192000273"/>
    <x v="119"/>
    <d v="2021-03-11T00:00:00"/>
    <n v="60"/>
    <n v="12.36"/>
    <s v="1/298104"/>
    <n v="1"/>
    <s v="A"/>
    <x v="11"/>
    <s v="FORTALEZA"/>
  </r>
  <r>
    <x v="612"/>
    <n v="0"/>
    <x v="1231"/>
    <s v="35019206000148"/>
    <x v="99"/>
    <d v="2021-03-31T00:00:00"/>
    <n v="40"/>
    <n v="584.97"/>
    <s v="1/301117"/>
    <n v="1"/>
    <s v="A"/>
    <x v="17"/>
    <s v="FORTALEZA"/>
  </r>
  <r>
    <x v="613"/>
    <n v="0"/>
    <x v="1232"/>
    <s v="30511707000123"/>
    <x v="115"/>
    <d v="2021-01-11T00:00:00"/>
    <n v="120"/>
    <n v="1019.39"/>
    <s v="1/290030"/>
    <n v="1"/>
    <s v="A"/>
    <x v="4"/>
    <s v="HORIZONTE"/>
  </r>
  <r>
    <x v="613"/>
    <n v="0"/>
    <x v="1233"/>
    <s v="30511707000123"/>
    <x v="115"/>
    <d v="2021-03-02T00:00:00"/>
    <n v="70"/>
    <n v="720.46"/>
    <s v="1/296629"/>
    <n v="1"/>
    <s v="A"/>
    <x v="4"/>
    <s v="HORIZONTE"/>
  </r>
  <r>
    <x v="613"/>
    <n v="0"/>
    <x v="1234"/>
    <s v="30511707000123"/>
    <x v="115"/>
    <d v="2021-03-02T00:00:00"/>
    <n v="70"/>
    <n v="2410.56"/>
    <s v="1/296672"/>
    <n v="1"/>
    <s v="A"/>
    <x v="4"/>
    <s v="HORIZONTE"/>
  </r>
  <r>
    <x v="613"/>
    <n v="0"/>
    <x v="1235"/>
    <s v="30732111000153"/>
    <x v="116"/>
    <d v="2021-01-21T00:00:00"/>
    <n v="110"/>
    <n v="897.85"/>
    <s v="1/291553"/>
    <n v="1"/>
    <s v="A"/>
    <x v="4"/>
    <s v="PACAJUS"/>
  </r>
  <r>
    <x v="613"/>
    <n v="0"/>
    <x v="1236"/>
    <s v="30732111000153"/>
    <x v="116"/>
    <d v="2021-03-02T00:00:00"/>
    <n v="70"/>
    <n v="720.46"/>
    <s v="1/296630"/>
    <n v="1"/>
    <s v="A"/>
    <x v="4"/>
    <s v="PACAJUS"/>
  </r>
  <r>
    <x v="613"/>
    <n v="0"/>
    <x v="1237"/>
    <s v="30732111000153"/>
    <x v="116"/>
    <d v="2021-03-02T00:00:00"/>
    <n v="70"/>
    <n v="2191.29"/>
    <s v="1/296754"/>
    <n v="1"/>
    <s v="A"/>
    <x v="4"/>
    <s v="PACAJUS"/>
  </r>
  <r>
    <x v="613"/>
    <n v="0"/>
    <x v="1238"/>
    <s v="21578080000137"/>
    <x v="113"/>
    <d v="2021-03-02T00:00:00"/>
    <n v="70"/>
    <n v="720.46"/>
    <s v="1/296628"/>
    <n v="1"/>
    <s v="A"/>
    <x v="4"/>
    <s v="HORIZONTE"/>
  </r>
  <r>
    <x v="613"/>
    <n v="0"/>
    <x v="1239"/>
    <s v="21578080000137"/>
    <x v="113"/>
    <d v="2021-03-02T00:00:00"/>
    <n v="70"/>
    <n v="534.16999999999996"/>
    <s v="1/296748"/>
    <n v="1"/>
    <s v="A"/>
    <x v="4"/>
    <s v="HORIZONTE"/>
  </r>
  <r>
    <x v="613"/>
    <n v="0"/>
    <x v="1240"/>
    <s v="21578080000137"/>
    <x v="113"/>
    <d v="2021-03-02T00:00:00"/>
    <n v="70"/>
    <n v="1565.97"/>
    <s v="1/296750"/>
    <n v="1"/>
    <s v="A"/>
    <x v="4"/>
    <s v="HORIZONTE"/>
  </r>
  <r>
    <x v="613"/>
    <n v="0"/>
    <x v="1241"/>
    <s v="15784350000163"/>
    <x v="89"/>
    <d v="2021-03-22T00:00:00"/>
    <n v="50"/>
    <n v="302.42"/>
    <s v="1/299475"/>
    <n v="1"/>
    <s v="A"/>
    <x v="25"/>
    <s v="FORTALEZA"/>
  </r>
  <r>
    <x v="613"/>
    <n v="0"/>
    <x v="1242"/>
    <s v="12165233000123"/>
    <x v="108"/>
    <d v="2021-03-12T00:00:00"/>
    <n v="60"/>
    <n v="309.52999999999997"/>
    <s v="1/298347"/>
    <n v="1"/>
    <s v="A"/>
    <x v="26"/>
    <s v="ITAPIPOCA"/>
  </r>
  <r>
    <x v="614"/>
    <n v="0"/>
    <x v="1243"/>
    <s v="30511707000123"/>
    <x v="115"/>
    <d v="2021-02-01T00:00:00"/>
    <n v="100"/>
    <n v="1778.34"/>
    <s v="1/293062"/>
    <n v="1"/>
    <s v="A"/>
    <x v="4"/>
    <s v="HORIZONTE"/>
  </r>
  <r>
    <x v="614"/>
    <n v="0"/>
    <x v="1244"/>
    <s v="30511707000123"/>
    <x v="115"/>
    <d v="2021-03-03T00:00:00"/>
    <n v="70"/>
    <n v="701.9"/>
    <s v="1/296949"/>
    <n v="1"/>
    <s v="A"/>
    <x v="4"/>
    <s v="HORIZONTE"/>
  </r>
  <r>
    <x v="614"/>
    <n v="0"/>
    <x v="1245"/>
    <s v="30732111000153"/>
    <x v="116"/>
    <d v="2021-02-11T00:00:00"/>
    <n v="90"/>
    <n v="679.63"/>
    <s v="1/294363"/>
    <n v="1"/>
    <s v="A"/>
    <x v="4"/>
    <s v="PACAJUS"/>
  </r>
  <r>
    <x v="614"/>
    <n v="0"/>
    <x v="1246"/>
    <s v="21578080000137"/>
    <x v="113"/>
    <d v="2021-01-27T00:00:00"/>
    <n v="105"/>
    <n v="973.09"/>
    <s v="1/292136"/>
    <n v="1"/>
    <s v="A"/>
    <x v="4"/>
    <s v="HORIZONTE"/>
  </r>
  <r>
    <x v="614"/>
    <n v="0"/>
    <x v="1247"/>
    <s v="21578080000137"/>
    <x v="113"/>
    <d v="2021-02-01T00:00:00"/>
    <n v="100"/>
    <n v="1060.49"/>
    <s v="1/293084"/>
    <n v="1"/>
    <s v="A"/>
    <x v="4"/>
    <s v="HORIZONTE"/>
  </r>
  <r>
    <x v="614"/>
    <n v="0"/>
    <x v="1248"/>
    <s v="21578080000137"/>
    <x v="113"/>
    <d v="2021-02-26T00:00:00"/>
    <n v="75"/>
    <n v="727.94"/>
    <s v="1/296215"/>
    <n v="1"/>
    <s v="A"/>
    <x v="4"/>
    <s v="HORIZONTE"/>
  </r>
  <r>
    <x v="614"/>
    <n v="0"/>
    <x v="1249"/>
    <s v="21578080000137"/>
    <x v="113"/>
    <d v="2021-03-03T00:00:00"/>
    <n v="70"/>
    <n v="490.15"/>
    <s v="1/296917"/>
    <n v="1"/>
    <s v="A"/>
    <x v="4"/>
    <s v="HORIZONTE"/>
  </r>
  <r>
    <x v="614"/>
    <n v="0"/>
    <x v="1250"/>
    <s v="31741228000166"/>
    <x v="114"/>
    <d v="2021-04-07T00:00:00"/>
    <n v="35"/>
    <n v="262.43"/>
    <s v="1/301797"/>
    <n v="1"/>
    <s v="A"/>
    <x v="25"/>
    <s v="MARANGUAPE"/>
  </r>
  <r>
    <x v="615"/>
    <n v="0"/>
    <x v="1251"/>
    <s v="36752099000125"/>
    <x v="120"/>
    <d v="2021-04-13T00:00:00"/>
    <n v="30"/>
    <n v="347.72"/>
    <s v="1/302694"/>
    <n v="1"/>
    <s v="A"/>
    <x v="15"/>
    <s v="FORTALEZA"/>
  </r>
  <r>
    <x v="615"/>
    <n v="0"/>
    <x v="1252"/>
    <s v="30511707000123"/>
    <x v="115"/>
    <d v="2021-02-22T00:00:00"/>
    <n v="80"/>
    <n v="1011.3"/>
    <s v="1/295533"/>
    <n v="1"/>
    <s v="A"/>
    <x v="4"/>
    <s v="HORIZONTE"/>
  </r>
  <r>
    <x v="615"/>
    <n v="0"/>
    <x v="1253"/>
    <s v="30511707000123"/>
    <x v="115"/>
    <d v="2021-02-27T00:00:00"/>
    <n v="75"/>
    <n v="513.6"/>
    <s v="1/296496"/>
    <n v="1"/>
    <s v="A"/>
    <x v="4"/>
    <s v="HORIZONTE"/>
  </r>
  <r>
    <x v="615"/>
    <n v="0"/>
    <x v="1254"/>
    <s v="37741496000164"/>
    <x v="121"/>
    <d v="2021-02-27T00:00:00"/>
    <n v="75"/>
    <n v="3538.53"/>
    <s v="1/296498"/>
    <n v="1"/>
    <s v="A"/>
    <x v="18"/>
    <s v="VARJOTA"/>
  </r>
  <r>
    <x v="615"/>
    <n v="0"/>
    <x v="1255"/>
    <s v="30732111000153"/>
    <x v="116"/>
    <d v="2021-02-27T00:00:00"/>
    <n v="75"/>
    <n v="469.87"/>
    <s v="1/296462"/>
    <n v="1"/>
    <s v="A"/>
    <x v="4"/>
    <s v="PACAJUS"/>
  </r>
  <r>
    <x v="615"/>
    <n v="0"/>
    <x v="1256"/>
    <s v="21578080000137"/>
    <x v="113"/>
    <d v="2021-03-04T00:00:00"/>
    <n v="70"/>
    <n v="1244.33"/>
    <s v="1/297130"/>
    <n v="1"/>
    <s v="A"/>
    <x v="4"/>
    <s v="HORIZONTE"/>
  </r>
  <r>
    <x v="615"/>
    <n v="0"/>
    <x v="1257"/>
    <s v="12165233000123"/>
    <x v="108"/>
    <d v="2021-03-09T00:00:00"/>
    <n v="65"/>
    <n v="851.17"/>
    <s v="1/297792"/>
    <n v="1"/>
    <s v="A"/>
    <x v="26"/>
    <s v="ITAPIPOCA"/>
  </r>
  <r>
    <x v="615"/>
    <n v="0"/>
    <x v="1258"/>
    <s v="23928619000166"/>
    <x v="122"/>
    <d v="2021-03-24T00:00:00"/>
    <n v="50"/>
    <n v="546.45000000000005"/>
    <s v="1/299998"/>
    <n v="1"/>
    <s v="A"/>
    <x v="4"/>
    <s v="ARACATI"/>
  </r>
  <r>
    <x v="616"/>
    <n v="0"/>
    <x v="1259"/>
    <s v="30511707000123"/>
    <x v="115"/>
    <d v="2021-03-05T00:00:00"/>
    <n v="70"/>
    <n v="438.35"/>
    <s v="1/297347"/>
    <n v="1"/>
    <s v="A"/>
    <x v="4"/>
    <s v="HORIZONTE"/>
  </r>
  <r>
    <x v="616"/>
    <n v="0"/>
    <x v="1260"/>
    <s v="30732111000153"/>
    <x v="116"/>
    <d v="2021-02-03T00:00:00"/>
    <n v="100"/>
    <n v="1140.3499999999999"/>
    <s v="1/293337"/>
    <n v="1"/>
    <s v="A"/>
    <x v="4"/>
    <s v="PACAJUS"/>
  </r>
  <r>
    <x v="616"/>
    <n v="0"/>
    <x v="1261"/>
    <s v="30732111000153"/>
    <x v="116"/>
    <d v="2021-03-05T00:00:00"/>
    <n v="70"/>
    <n v="438.35"/>
    <s v="1/297350"/>
    <n v="1"/>
    <s v="A"/>
    <x v="4"/>
    <s v="PACAJUS"/>
  </r>
  <r>
    <x v="616"/>
    <n v="0"/>
    <x v="1262"/>
    <s v="21578080000137"/>
    <x v="113"/>
    <d v="2021-03-05T00:00:00"/>
    <n v="70"/>
    <n v="438.35"/>
    <s v="1/297349"/>
    <n v="1"/>
    <s v="A"/>
    <x v="4"/>
    <s v="HORIZONTE"/>
  </r>
  <r>
    <x v="616"/>
    <n v="0"/>
    <x v="1263"/>
    <s v="24982020000173"/>
    <x v="123"/>
    <d v="2021-05-03T00:00:00"/>
    <n v="11"/>
    <n v="462.63"/>
    <s v="1/305248"/>
    <n v="1"/>
    <s v="A"/>
    <x v="25"/>
    <s v="FORTALEZA"/>
  </r>
  <r>
    <x v="617"/>
    <n v="0"/>
    <x v="1264"/>
    <s v="30732111000153"/>
    <x v="116"/>
    <d v="2021-03-16T00:00:00"/>
    <n v="60"/>
    <n v="328.4"/>
    <s v="1/298707"/>
    <n v="1"/>
    <s v="A"/>
    <x v="4"/>
    <s v="PACAJUS"/>
  </r>
  <r>
    <x v="617"/>
    <n v="0"/>
    <x v="1265"/>
    <s v="21578080000137"/>
    <x v="113"/>
    <d v="2021-03-11T00:00:00"/>
    <n v="65"/>
    <n v="1332.6"/>
    <s v="1/298217"/>
    <n v="1"/>
    <s v="A"/>
    <x v="4"/>
    <s v="HORIZONTE"/>
  </r>
  <r>
    <x v="617"/>
    <n v="0"/>
    <x v="1266"/>
    <s v="24982020000173"/>
    <x v="123"/>
    <d v="2021-04-27T00:00:00"/>
    <n v="18"/>
    <n v="299.82"/>
    <s v="1/304298"/>
    <n v="1"/>
    <s v="A"/>
    <x v="25"/>
    <s v="FORTALEZA"/>
  </r>
  <r>
    <x v="618"/>
    <n v="0"/>
    <x v="1267"/>
    <s v="30511707000123"/>
    <x v="115"/>
    <d v="2021-03-02T00:00:00"/>
    <n v="75"/>
    <n v="534.16999999999996"/>
    <s v="1/296751"/>
    <n v="1"/>
    <s v="A"/>
    <x v="4"/>
    <s v="HORIZONTE"/>
  </r>
  <r>
    <x v="618"/>
    <n v="0"/>
    <x v="1268"/>
    <s v="30732111000153"/>
    <x v="116"/>
    <d v="2021-03-02T00:00:00"/>
    <n v="75"/>
    <n v="800"/>
    <s v="1/296753"/>
    <n v="1"/>
    <s v="A"/>
    <x v="4"/>
    <s v="PACAJUS"/>
  </r>
  <r>
    <x v="618"/>
    <n v="0"/>
    <x v="1269"/>
    <s v="21578080000137"/>
    <x v="113"/>
    <d v="2021-02-25T00:00:00"/>
    <n v="80"/>
    <n v="1018.42"/>
    <s v="1/295951"/>
    <n v="1"/>
    <s v="A"/>
    <x v="4"/>
    <s v="HORIZONTE"/>
  </r>
  <r>
    <x v="618"/>
    <n v="0"/>
    <x v="1270"/>
    <s v="21578080000137"/>
    <x v="113"/>
    <d v="2021-03-17T00:00:00"/>
    <n v="60"/>
    <n v="989.18"/>
    <s v="1/298904"/>
    <n v="1"/>
    <s v="A"/>
    <x v="4"/>
    <s v="HORIZONTE"/>
  </r>
  <r>
    <x v="618"/>
    <n v="0"/>
    <x v="1271"/>
    <s v="35019206000148"/>
    <x v="99"/>
    <d v="2021-04-01T00:00:00"/>
    <n v="45"/>
    <n v="362.33"/>
    <s v="1/301300"/>
    <n v="1"/>
    <s v="A"/>
    <x v="17"/>
    <s v="FORTALEZA"/>
  </r>
  <r>
    <x v="619"/>
    <n v="0"/>
    <x v="1272"/>
    <s v="36752099000125"/>
    <x v="120"/>
    <d v="2021-05-06T00:00:00"/>
    <n v="11"/>
    <n v="435.03"/>
    <s v="1/305773"/>
    <n v="1"/>
    <s v="A"/>
    <x v="15"/>
    <s v="FORTALEZA"/>
  </r>
  <r>
    <x v="619"/>
    <n v="0"/>
    <x v="1273"/>
    <s v="30511707000123"/>
    <x v="115"/>
    <d v="2021-01-26T00:00:00"/>
    <n v="111"/>
    <n v="1849.94"/>
    <s v="1/292047"/>
    <n v="1"/>
    <s v="A"/>
    <x v="4"/>
    <s v="HORIZONTE"/>
  </r>
  <r>
    <x v="619"/>
    <n v="0"/>
    <x v="1274"/>
    <s v="30511707000123"/>
    <x v="115"/>
    <d v="2021-02-26T00:00:00"/>
    <n v="80"/>
    <n v="732.37"/>
    <s v="1/296227"/>
    <n v="1"/>
    <s v="A"/>
    <x v="4"/>
    <s v="HORIZONTE"/>
  </r>
  <r>
    <x v="619"/>
    <n v="0"/>
    <x v="1275"/>
    <s v="30511707000123"/>
    <x v="115"/>
    <d v="2021-02-26T00:00:00"/>
    <n v="80"/>
    <n v="643.71"/>
    <s v="1/296330"/>
    <n v="1"/>
    <s v="A"/>
    <x v="4"/>
    <s v="HORIZONTE"/>
  </r>
  <r>
    <x v="619"/>
    <n v="0"/>
    <x v="1276"/>
    <s v="30511707000123"/>
    <x v="115"/>
    <d v="2021-03-03T00:00:00"/>
    <n v="75"/>
    <n v="424.79"/>
    <s v="1/296886"/>
    <n v="1"/>
    <s v="A"/>
    <x v="4"/>
    <s v="HORIZONTE"/>
  </r>
  <r>
    <x v="619"/>
    <n v="0"/>
    <x v="1277"/>
    <s v="30511707000123"/>
    <x v="115"/>
    <d v="2021-03-08T00:00:00"/>
    <n v="70"/>
    <n v="1243.05"/>
    <s v="1/297459"/>
    <n v="1"/>
    <s v="A"/>
    <x v="4"/>
    <s v="HORIZONTE"/>
  </r>
  <r>
    <x v="619"/>
    <n v="0"/>
    <x v="1278"/>
    <s v="30511707000123"/>
    <x v="115"/>
    <d v="2021-03-08T00:00:00"/>
    <n v="70"/>
    <n v="1598.84"/>
    <s v="1/297564"/>
    <n v="1"/>
    <s v="A"/>
    <x v="4"/>
    <s v="HORIZONTE"/>
  </r>
  <r>
    <x v="619"/>
    <n v="0"/>
    <x v="1279"/>
    <s v="30732111000153"/>
    <x v="116"/>
    <d v="2021-02-26T00:00:00"/>
    <n v="80"/>
    <n v="912.36"/>
    <s v="1/296214"/>
    <n v="1"/>
    <s v="A"/>
    <x v="4"/>
    <s v="PACAJUS"/>
  </r>
  <r>
    <x v="619"/>
    <n v="0"/>
    <x v="1280"/>
    <s v="30732111000153"/>
    <x v="116"/>
    <d v="2021-02-26T00:00:00"/>
    <n v="80"/>
    <n v="1276.0999999999999"/>
    <s v="1/296358"/>
    <n v="1"/>
    <s v="A"/>
    <x v="4"/>
    <s v="PACAJUS"/>
  </r>
  <r>
    <x v="619"/>
    <n v="0"/>
    <x v="1281"/>
    <s v="30732111000153"/>
    <x v="116"/>
    <d v="2021-03-03T00:00:00"/>
    <n v="75"/>
    <n v="560.55999999999995"/>
    <s v="1/296885"/>
    <n v="1"/>
    <s v="A"/>
    <x v="4"/>
    <s v="PACAJUS"/>
  </r>
  <r>
    <x v="619"/>
    <n v="0"/>
    <x v="1282"/>
    <s v="30732111000153"/>
    <x v="116"/>
    <d v="2021-03-08T00:00:00"/>
    <n v="70"/>
    <n v="732.91"/>
    <s v="1/297460"/>
    <n v="1"/>
    <s v="A"/>
    <x v="4"/>
    <s v="PACAJUS"/>
  </r>
  <r>
    <x v="619"/>
    <n v="0"/>
    <x v="1283"/>
    <s v="30732111000153"/>
    <x v="116"/>
    <d v="2021-03-18T00:00:00"/>
    <n v="60"/>
    <n v="1651.54"/>
    <s v="1/299329"/>
    <n v="1"/>
    <s v="A"/>
    <x v="4"/>
    <s v="PACAJUS"/>
  </r>
  <r>
    <x v="619"/>
    <n v="0"/>
    <x v="1284"/>
    <s v="21578080000137"/>
    <x v="113"/>
    <d v="2021-03-08T00:00:00"/>
    <n v="70"/>
    <n v="1690.2"/>
    <s v="1/297566"/>
    <n v="1"/>
    <s v="A"/>
    <x v="4"/>
    <s v="HORIZONTE"/>
  </r>
  <r>
    <x v="619"/>
    <n v="0"/>
    <x v="1285"/>
    <s v="24982020000173"/>
    <x v="123"/>
    <d v="2021-04-22T00:00:00"/>
    <n v="25"/>
    <n v="265"/>
    <s v="1/303774"/>
    <n v="1"/>
    <s v="A"/>
    <x v="25"/>
    <s v="FORTALEZA"/>
  </r>
  <r>
    <x v="619"/>
    <n v="0"/>
    <x v="1286"/>
    <s v="24982020000173"/>
    <x v="123"/>
    <d v="2021-05-06T00:00:00"/>
    <n v="11"/>
    <n v="570.20000000000005"/>
    <s v="1/305645"/>
    <n v="1"/>
    <s v="A"/>
    <x v="25"/>
    <s v="FORTALEZA"/>
  </r>
  <r>
    <x v="620"/>
    <n v="0"/>
    <x v="1287"/>
    <s v="30511707000123"/>
    <x v="115"/>
    <d v="2021-02-17T00:00:00"/>
    <n v="90"/>
    <n v="1713.83"/>
    <s v="1/295100"/>
    <n v="1"/>
    <s v="A"/>
    <x v="4"/>
    <s v="HORIZONTE"/>
  </r>
  <r>
    <x v="620"/>
    <n v="0"/>
    <x v="1288"/>
    <s v="30511707000123"/>
    <x v="115"/>
    <d v="2021-02-27T00:00:00"/>
    <n v="80"/>
    <n v="562.87"/>
    <s v="1/296436"/>
    <n v="1"/>
    <s v="A"/>
    <x v="4"/>
    <s v="HORIZONTE"/>
  </r>
  <r>
    <x v="620"/>
    <n v="0"/>
    <x v="1289"/>
    <s v="30511707000123"/>
    <x v="115"/>
    <d v="2021-03-09T00:00:00"/>
    <n v="70"/>
    <n v="631.62"/>
    <s v="1/297634"/>
    <n v="1"/>
    <s v="A"/>
    <x v="4"/>
    <s v="HORIZONTE"/>
  </r>
  <r>
    <x v="620"/>
    <n v="0"/>
    <x v="1290"/>
    <s v="30732111000153"/>
    <x v="116"/>
    <d v="2021-03-09T00:00:00"/>
    <n v="70"/>
    <n v="791.45"/>
    <s v="1/297632"/>
    <n v="1"/>
    <s v="A"/>
    <x v="4"/>
    <s v="PACAJUS"/>
  </r>
  <r>
    <x v="620"/>
    <n v="0"/>
    <x v="1291"/>
    <s v="30732111000153"/>
    <x v="116"/>
    <d v="2021-03-09T00:00:00"/>
    <n v="70"/>
    <n v="734.49"/>
    <s v="1/297650"/>
    <n v="1"/>
    <s v="A"/>
    <x v="4"/>
    <s v="PACAJUS"/>
  </r>
  <r>
    <x v="620"/>
    <n v="0"/>
    <x v="1292"/>
    <s v="21578080000137"/>
    <x v="113"/>
    <d v="2021-02-17T00:00:00"/>
    <n v="90"/>
    <n v="998.1"/>
    <s v="1/295053"/>
    <n v="1"/>
    <s v="A"/>
    <x v="4"/>
    <s v="HORIZONTE"/>
  </r>
  <r>
    <x v="620"/>
    <n v="0"/>
    <x v="1293"/>
    <s v="21578080000137"/>
    <x v="113"/>
    <d v="2021-03-09T00:00:00"/>
    <n v="70"/>
    <n v="791.45"/>
    <s v="1/297633"/>
    <n v="1"/>
    <s v="A"/>
    <x v="4"/>
    <s v="HORIZONTE"/>
  </r>
  <r>
    <x v="621"/>
    <n v="0"/>
    <x v="1294"/>
    <s v="30511707000123"/>
    <x v="115"/>
    <d v="2021-01-19T00:00:00"/>
    <n v="120"/>
    <n v="1224.95"/>
    <s v="1/291108"/>
    <n v="1"/>
    <s v="A"/>
    <x v="4"/>
    <s v="HORIZONTE"/>
  </r>
  <r>
    <x v="621"/>
    <n v="0"/>
    <x v="1295"/>
    <s v="30732111000153"/>
    <x v="116"/>
    <d v="2021-02-18T00:00:00"/>
    <n v="90"/>
    <n v="560.76"/>
    <s v="1/295210"/>
    <n v="1"/>
    <s v="A"/>
    <x v="4"/>
    <s v="PACAJUS"/>
  </r>
  <r>
    <x v="621"/>
    <n v="0"/>
    <x v="1296"/>
    <s v="30732111000153"/>
    <x v="116"/>
    <d v="2021-03-10T00:00:00"/>
    <n v="70"/>
    <n v="998.42"/>
    <s v="1/297971"/>
    <n v="1"/>
    <s v="A"/>
    <x v="4"/>
    <s v="PACAJUS"/>
  </r>
  <r>
    <x v="621"/>
    <n v="0"/>
    <x v="1297"/>
    <s v="21578080000137"/>
    <x v="113"/>
    <d v="2021-01-19T00:00:00"/>
    <n v="120"/>
    <n v="1074.46"/>
    <s v="1/291063"/>
    <n v="1"/>
    <s v="A"/>
    <x v="4"/>
    <s v="HORIZONTE"/>
  </r>
  <r>
    <x v="621"/>
    <n v="0"/>
    <x v="1298"/>
    <s v="21578080000137"/>
    <x v="113"/>
    <d v="2021-01-27T00:00:00"/>
    <n v="112"/>
    <n v="973.09"/>
    <s v="1/292136"/>
    <n v="1"/>
    <s v="A"/>
    <x v="4"/>
    <s v="HORIZONTE"/>
  </r>
  <r>
    <x v="621"/>
    <n v="0"/>
    <x v="1299"/>
    <s v="21578080000137"/>
    <x v="113"/>
    <d v="2021-01-29T00:00:00"/>
    <n v="110"/>
    <n v="879.84"/>
    <s v="1/292622"/>
    <n v="1"/>
    <s v="A"/>
    <x v="4"/>
    <s v="HORIZONTE"/>
  </r>
  <r>
    <x v="621"/>
    <n v="0"/>
    <x v="1300"/>
    <s v="21578080000137"/>
    <x v="113"/>
    <d v="2021-02-08T00:00:00"/>
    <n v="100"/>
    <n v="1741.75"/>
    <s v="1/294027"/>
    <n v="1"/>
    <s v="A"/>
    <x v="4"/>
    <s v="HORIZONTE"/>
  </r>
  <r>
    <x v="621"/>
    <n v="0"/>
    <x v="1301"/>
    <s v="21578080000137"/>
    <x v="113"/>
    <d v="2021-03-10T00:00:00"/>
    <n v="70"/>
    <n v="896.54"/>
    <s v="1/297917"/>
    <n v="1"/>
    <s v="A"/>
    <x v="4"/>
    <s v="HORIZONTE"/>
  </r>
  <r>
    <x v="621"/>
    <n v="0"/>
    <x v="1302"/>
    <s v="15784350000163"/>
    <x v="89"/>
    <d v="2021-04-19T00:00:00"/>
    <n v="30"/>
    <n v="346.47"/>
    <s v="1/303298"/>
    <n v="1"/>
    <s v="A"/>
    <x v="25"/>
    <s v="FORTALEZA"/>
  </r>
  <r>
    <x v="622"/>
    <n v="0"/>
    <x v="1303"/>
    <s v="30511707000123"/>
    <x v="115"/>
    <d v="2021-02-09T00:00:00"/>
    <n v="100"/>
    <n v="1565.32"/>
    <s v="1/294155"/>
    <n v="1"/>
    <s v="A"/>
    <x v="4"/>
    <s v="HORIZONTE"/>
  </r>
  <r>
    <x v="622"/>
    <n v="0"/>
    <x v="1304"/>
    <s v="30511707000123"/>
    <x v="115"/>
    <d v="2021-03-11T00:00:00"/>
    <n v="70"/>
    <n v="1093.75"/>
    <s v="1/298216"/>
    <n v="1"/>
    <s v="A"/>
    <x v="4"/>
    <s v="HORIZONTE"/>
  </r>
  <r>
    <x v="622"/>
    <n v="0"/>
    <x v="1305"/>
    <s v="30732111000153"/>
    <x v="116"/>
    <d v="2021-02-19T00:00:00"/>
    <n v="90"/>
    <n v="762.8"/>
    <s v="1/295361"/>
    <n v="1"/>
    <s v="A"/>
    <x v="4"/>
    <s v="PACAJUS"/>
  </r>
  <r>
    <x v="622"/>
    <n v="0"/>
    <x v="1306"/>
    <s v="30732111000153"/>
    <x v="116"/>
    <d v="2021-03-11T00:00:00"/>
    <n v="70"/>
    <n v="355.56"/>
    <s v="1/298192"/>
    <n v="1"/>
    <s v="A"/>
    <x v="4"/>
    <s v="PACAJUS"/>
  </r>
  <r>
    <x v="622"/>
    <n v="0"/>
    <x v="1307"/>
    <s v="30732111000153"/>
    <x v="116"/>
    <d v="2021-03-11T00:00:00"/>
    <n v="70"/>
    <n v="1093.75"/>
    <s v="1/298197"/>
    <n v="1"/>
    <s v="A"/>
    <x v="4"/>
    <s v="PACAJUS"/>
  </r>
  <r>
    <x v="622"/>
    <n v="0"/>
    <x v="1308"/>
    <s v="35019206000148"/>
    <x v="99"/>
    <d v="2021-03-31T00:00:00"/>
    <n v="50"/>
    <n v="584.97"/>
    <s v="1/301117"/>
    <n v="1"/>
    <s v="A"/>
    <x v="17"/>
    <s v="FORTALEZA"/>
  </r>
  <r>
    <x v="622"/>
    <n v="0"/>
    <x v="1309"/>
    <s v="23928619000166"/>
    <x v="122"/>
    <d v="2021-03-16T00:00:00"/>
    <n v="65"/>
    <n v="761.1"/>
    <s v="1/298784"/>
    <n v="1"/>
    <s v="A"/>
    <x v="4"/>
    <s v="ARACATI"/>
  </r>
  <r>
    <x v="623"/>
    <n v="0"/>
    <x v="1310"/>
    <s v="30511707000123"/>
    <x v="115"/>
    <d v="2021-03-02T00:00:00"/>
    <n v="80"/>
    <n v="1592.31"/>
    <s v="1/296672"/>
    <n v="1"/>
    <s v="A"/>
    <x v="4"/>
    <s v="HORIZONTE"/>
  </r>
  <r>
    <x v="623"/>
    <n v="0"/>
    <x v="1311"/>
    <s v="30732111000153"/>
    <x v="116"/>
    <d v="2021-01-21T00:00:00"/>
    <n v="120"/>
    <n v="897.87"/>
    <s v="1/291553"/>
    <n v="1"/>
    <s v="A"/>
    <x v="4"/>
    <s v="PACAJUS"/>
  </r>
  <r>
    <x v="623"/>
    <n v="0"/>
    <x v="1312"/>
    <s v="30732111000153"/>
    <x v="116"/>
    <d v="2021-03-02T00:00:00"/>
    <n v="80"/>
    <n v="1716.93"/>
    <s v="1/296754"/>
    <n v="1"/>
    <s v="A"/>
    <x v="4"/>
    <s v="PACAJUS"/>
  </r>
  <r>
    <x v="623"/>
    <n v="0"/>
    <x v="1313"/>
    <s v="30732111000153"/>
    <x v="116"/>
    <d v="2021-03-12T00:00:00"/>
    <n v="70"/>
    <n v="464.91"/>
    <s v="1/298421"/>
    <n v="1"/>
    <s v="A"/>
    <x v="4"/>
    <s v="PACAJUS"/>
  </r>
  <r>
    <x v="623"/>
    <n v="0"/>
    <x v="1314"/>
    <s v="30732111000153"/>
    <x v="116"/>
    <d v="2021-03-17T00:00:00"/>
    <n v="65"/>
    <n v="989.18"/>
    <s v="1/298905"/>
    <n v="1"/>
    <s v="A"/>
    <x v="4"/>
    <s v="PACAJUS"/>
  </r>
  <r>
    <x v="623"/>
    <n v="0"/>
    <x v="1315"/>
    <s v="21578080000137"/>
    <x v="113"/>
    <d v="2021-03-02T00:00:00"/>
    <n v="80"/>
    <n v="534.17999999999995"/>
    <s v="1/296748"/>
    <n v="1"/>
    <s v="A"/>
    <x v="4"/>
    <s v="HORIZONTE"/>
  </r>
  <r>
    <x v="623"/>
    <n v="0"/>
    <x v="1316"/>
    <s v="21578080000137"/>
    <x v="113"/>
    <d v="2021-03-02T00:00:00"/>
    <n v="80"/>
    <n v="1565.97"/>
    <s v="1/296750"/>
    <n v="1"/>
    <s v="A"/>
    <x v="4"/>
    <s v="HORIZONTE"/>
  </r>
  <r>
    <x v="623"/>
    <n v="0"/>
    <x v="1317"/>
    <s v="21578080000137"/>
    <x v="113"/>
    <d v="2021-03-12T00:00:00"/>
    <n v="70"/>
    <n v="438.76"/>
    <s v="1/298409"/>
    <n v="1"/>
    <s v="A"/>
    <x v="4"/>
    <s v="HORIZONTE"/>
  </r>
  <r>
    <x v="623"/>
    <n v="0"/>
    <x v="1318"/>
    <s v="24982020000173"/>
    <x v="123"/>
    <d v="2021-05-03T00:00:00"/>
    <n v="18"/>
    <n v="375.31"/>
    <s v="1/305248"/>
    <n v="1"/>
    <s v="A"/>
    <x v="25"/>
    <s v="FORTALEZA"/>
  </r>
  <r>
    <x v="623"/>
    <n v="0"/>
    <x v="1319"/>
    <s v="24982020000173"/>
    <x v="123"/>
    <d v="2021-05-07T00:00:00"/>
    <n v="14"/>
    <n v="328.96"/>
    <s v="1/305831"/>
    <n v="1"/>
    <s v="A"/>
    <x v="25"/>
    <s v="FORTALEZA"/>
  </r>
  <r>
    <x v="623"/>
    <n v="0"/>
    <x v="1320"/>
    <s v="12165233000123"/>
    <x v="108"/>
    <d v="2021-03-12T00:00:00"/>
    <n v="70"/>
    <n v="309.52"/>
    <s v="1/298347"/>
    <n v="1"/>
    <s v="A"/>
    <x v="26"/>
    <s v="ITAPIPOCA"/>
  </r>
  <r>
    <x v="624"/>
    <n v="0"/>
    <x v="1321"/>
    <s v="21578080000137"/>
    <x v="113"/>
    <d v="2021-02-26T00:00:00"/>
    <n v="85"/>
    <n v="555.48"/>
    <s v="1/296215"/>
    <n v="1"/>
    <s v="A"/>
    <x v="4"/>
    <s v="HORIZONTE"/>
  </r>
  <r>
    <x v="624"/>
    <n v="0"/>
    <x v="1322"/>
    <s v="21578080000137"/>
    <x v="113"/>
    <d v="2021-03-03T00:00:00"/>
    <n v="80"/>
    <n v="424.37"/>
    <s v="1/296917"/>
    <n v="1"/>
    <s v="A"/>
    <x v="4"/>
    <s v="HORIZONTE"/>
  </r>
  <r>
    <x v="624"/>
    <n v="0"/>
    <x v="1323"/>
    <s v="21578080000137"/>
    <x v="113"/>
    <d v="2021-03-08T00:00:00"/>
    <n v="75"/>
    <n v="1012.43"/>
    <s v="1/297472"/>
    <n v="1"/>
    <s v="A"/>
    <x v="4"/>
    <s v="HORIZONTE"/>
  </r>
  <r>
    <x v="624"/>
    <n v="0"/>
    <x v="1324"/>
    <s v="24982020000173"/>
    <x v="123"/>
    <d v="2021-04-27T00:00:00"/>
    <n v="25"/>
    <n v="299.81"/>
    <s v="1/304298"/>
    <n v="1"/>
    <s v="A"/>
    <x v="25"/>
    <s v="FORTALEZA"/>
  </r>
  <r>
    <x v="624"/>
    <n v="0"/>
    <x v="1325"/>
    <s v="20692655000185"/>
    <x v="124"/>
    <d v="2021-03-18T00:00:00"/>
    <n v="65"/>
    <n v="354.17"/>
    <s v="1/299208"/>
    <n v="1"/>
    <s v="A"/>
    <x v="25"/>
    <s v="FORTALEZA"/>
  </r>
  <r>
    <x v="625"/>
    <n v="0"/>
    <x v="1326"/>
    <s v="30511707000123"/>
    <x v="115"/>
    <d v="2021-02-22T00:00:00"/>
    <n v="90"/>
    <n v="1011.3"/>
    <s v="1/295533"/>
    <n v="1"/>
    <s v="A"/>
    <x v="4"/>
    <s v="HORIZONTE"/>
  </r>
  <r>
    <x v="625"/>
    <n v="0"/>
    <x v="1327"/>
    <s v="30511707000123"/>
    <x v="115"/>
    <d v="2021-02-27T00:00:00"/>
    <n v="85"/>
    <n v="444.66"/>
    <s v="1/296496"/>
    <n v="1"/>
    <s v="A"/>
    <x v="4"/>
    <s v="HORIZONTE"/>
  </r>
  <r>
    <x v="625"/>
    <n v="0"/>
    <x v="1328"/>
    <s v="37741496000164"/>
    <x v="121"/>
    <d v="2021-02-27T00:00:00"/>
    <n v="85"/>
    <n v="2697.69"/>
    <s v="1/296498"/>
    <n v="1"/>
    <s v="A"/>
    <x v="18"/>
    <s v="VARJOTA"/>
  </r>
  <r>
    <x v="625"/>
    <n v="0"/>
    <x v="1329"/>
    <s v="30732111000153"/>
    <x v="116"/>
    <d v="2021-02-27T00:00:00"/>
    <n v="85"/>
    <n v="406.81"/>
    <s v="1/296462"/>
    <n v="1"/>
    <s v="A"/>
    <x v="4"/>
    <s v="PACAJUS"/>
  </r>
  <r>
    <x v="625"/>
    <n v="0"/>
    <x v="1330"/>
    <s v="21578080000137"/>
    <x v="113"/>
    <d v="2021-03-04T00:00:00"/>
    <n v="80"/>
    <n v="986.28"/>
    <s v="1/297130"/>
    <n v="1"/>
    <s v="A"/>
    <x v="4"/>
    <s v="HORIZONTE"/>
  </r>
  <r>
    <x v="625"/>
    <n v="0"/>
    <x v="1331"/>
    <s v="12165233000123"/>
    <x v="108"/>
    <d v="2021-03-09T00:00:00"/>
    <n v="75"/>
    <n v="801.26"/>
    <s v="1/297792"/>
    <n v="1"/>
    <s v="A"/>
    <x v="26"/>
    <s v="ITAPIPOCA"/>
  </r>
  <r>
    <x v="626"/>
    <n v="0"/>
    <x v="1332"/>
    <s v="36752099000125"/>
    <x v="120"/>
    <d v="2021-05-06T00:00:00"/>
    <n v="18"/>
    <n v="401.85"/>
    <s v="1/305773"/>
    <n v="1"/>
    <s v="A"/>
    <x v="15"/>
    <s v="FORTALEZA"/>
  </r>
  <r>
    <x v="626"/>
    <n v="0"/>
    <x v="1333"/>
    <s v="30511707000123"/>
    <x v="115"/>
    <d v="2021-02-01T00:00:00"/>
    <n v="112"/>
    <n v="1778.34"/>
    <s v="1/293062"/>
    <n v="1"/>
    <s v="A"/>
    <x v="4"/>
    <s v="HORIZONTE"/>
  </r>
  <r>
    <x v="626"/>
    <n v="0"/>
    <x v="1334"/>
    <s v="30732111000153"/>
    <x v="116"/>
    <d v="2021-02-03T00:00:00"/>
    <n v="110"/>
    <n v="1140.3499999999999"/>
    <s v="1/293337"/>
    <n v="1"/>
    <s v="A"/>
    <x v="4"/>
    <s v="PACAJUS"/>
  </r>
  <r>
    <x v="626"/>
    <n v="0"/>
    <x v="1335"/>
    <s v="30732111000153"/>
    <x v="116"/>
    <d v="2021-02-11T00:00:00"/>
    <n v="102"/>
    <n v="679.63"/>
    <s v="1/294363"/>
    <n v="1"/>
    <s v="A"/>
    <x v="4"/>
    <s v="PACAJUS"/>
  </r>
  <r>
    <x v="626"/>
    <n v="0"/>
    <x v="1336"/>
    <s v="30732111000153"/>
    <x v="116"/>
    <d v="2021-03-10T00:00:00"/>
    <n v="75"/>
    <n v="575.77"/>
    <s v="1/297969"/>
    <n v="1"/>
    <s v="A"/>
    <x v="4"/>
    <s v="PACAJUS"/>
  </r>
  <r>
    <x v="626"/>
    <n v="0"/>
    <x v="1337"/>
    <s v="21578080000137"/>
    <x v="113"/>
    <d v="2021-02-01T00:00:00"/>
    <n v="112"/>
    <n v="1060.49"/>
    <s v="1/293084"/>
    <n v="1"/>
    <s v="A"/>
    <x v="4"/>
    <s v="HORIZONTE"/>
  </r>
  <r>
    <x v="626"/>
    <n v="0"/>
    <x v="1338"/>
    <s v="24982020000173"/>
    <x v="123"/>
    <d v="2021-05-06T00:00:00"/>
    <n v="18"/>
    <n v="473.26"/>
    <s v="1/305645"/>
    <n v="1"/>
    <s v="A"/>
    <x v="25"/>
    <s v="FORTALEZA"/>
  </r>
  <r>
    <x v="626"/>
    <n v="0"/>
    <x v="1339"/>
    <s v="20692655000185"/>
    <x v="124"/>
    <d v="2021-03-15T00:00:00"/>
    <n v="70"/>
    <n v="244.49"/>
    <s v="1/298510"/>
    <n v="1"/>
    <s v="A"/>
    <x v="25"/>
    <s v="FORTALEZA"/>
  </r>
  <r>
    <x v="627"/>
    <n v="0"/>
    <x v="1340"/>
    <s v="30511707000123"/>
    <x v="115"/>
    <d v="2021-03-11T00:00:00"/>
    <n v="75"/>
    <n v="802.35"/>
    <s v="1/298155"/>
    <n v="1"/>
    <s v="A"/>
    <x v="4"/>
    <s v="HORIZONTE"/>
  </r>
  <r>
    <x v="627"/>
    <n v="0"/>
    <x v="1341"/>
    <s v="21578080000137"/>
    <x v="113"/>
    <d v="2021-03-11T00:00:00"/>
    <n v="75"/>
    <n v="1093.75"/>
    <s v="1/298217"/>
    <n v="1"/>
    <s v="A"/>
    <x v="4"/>
    <s v="HORIZONTE"/>
  </r>
  <r>
    <x v="627"/>
    <n v="0"/>
    <x v="1342"/>
    <s v="21578080000137"/>
    <x v="113"/>
    <d v="2021-03-16T00:00:00"/>
    <n v="70"/>
    <n v="853.78"/>
    <s v="1/298708"/>
    <n v="1"/>
    <s v="A"/>
    <x v="4"/>
    <s v="HORIZONTE"/>
  </r>
  <r>
    <x v="627"/>
    <n v="0"/>
    <x v="1343"/>
    <s v="10908192000273"/>
    <x v="119"/>
    <d v="2021-03-26T00:00:00"/>
    <n v="60"/>
    <n v="299.70999999999998"/>
    <s v="1/300280"/>
    <n v="1"/>
    <s v="A"/>
    <x v="11"/>
    <s v="FORTALEZA"/>
  </r>
  <r>
    <x v="628"/>
    <n v="0"/>
    <x v="1344"/>
    <s v="23576929000169"/>
    <x v="117"/>
    <d v="2021-04-06T00:00:00"/>
    <n v="50"/>
    <n v="339.02"/>
    <s v="1/301584"/>
    <n v="1"/>
    <s v="A"/>
    <x v="17"/>
    <s v="FORTALEZA"/>
  </r>
  <r>
    <x v="628"/>
    <n v="0"/>
    <x v="1345"/>
    <s v="30511707000123"/>
    <x v="115"/>
    <d v="2021-01-26T00:00:00"/>
    <n v="120"/>
    <n v="1849.95"/>
    <s v="1/292047"/>
    <n v="1"/>
    <s v="A"/>
    <x v="4"/>
    <s v="HORIZONTE"/>
  </r>
  <r>
    <x v="628"/>
    <n v="0"/>
    <x v="1346"/>
    <s v="30511707000123"/>
    <x v="115"/>
    <d v="2021-03-02T00:00:00"/>
    <n v="85"/>
    <n v="534.17999999999995"/>
    <s v="1/296751"/>
    <n v="1"/>
    <s v="A"/>
    <x v="4"/>
    <s v="HORIZONTE"/>
  </r>
  <r>
    <x v="628"/>
    <n v="0"/>
    <x v="1347"/>
    <s v="30511707000123"/>
    <x v="115"/>
    <d v="2021-03-17T00:00:00"/>
    <n v="70"/>
    <n v="1005"/>
    <s v="1/298902"/>
    <n v="1"/>
    <s v="A"/>
    <x v="4"/>
    <s v="HORIZONTE"/>
  </r>
  <r>
    <x v="628"/>
    <n v="0"/>
    <x v="1348"/>
    <s v="21578080000137"/>
    <x v="113"/>
    <d v="2021-01-27T00:00:00"/>
    <n v="119"/>
    <n v="973.06"/>
    <s v="1/292136"/>
    <n v="1"/>
    <s v="A"/>
    <x v="4"/>
    <s v="HORIZONTE"/>
  </r>
  <r>
    <x v="628"/>
    <n v="0"/>
    <x v="1349"/>
    <s v="21578080000137"/>
    <x v="113"/>
    <d v="2021-02-25T00:00:00"/>
    <n v="90"/>
    <n v="1018.42"/>
    <s v="1/295951"/>
    <n v="1"/>
    <s v="A"/>
    <x v="4"/>
    <s v="HORIZONTE"/>
  </r>
  <r>
    <x v="628"/>
    <n v="0"/>
    <x v="1350"/>
    <s v="21578080000137"/>
    <x v="113"/>
    <d v="2021-03-17T00:00:00"/>
    <n v="70"/>
    <n v="801.9"/>
    <s v="1/298904"/>
    <n v="1"/>
    <s v="A"/>
    <x v="4"/>
    <s v="HORIZONTE"/>
  </r>
  <r>
    <x v="628"/>
    <n v="0"/>
    <x v="1351"/>
    <s v="15784350000163"/>
    <x v="89"/>
    <d v="2021-04-26T00:00:00"/>
    <n v="30"/>
    <n v="294.42"/>
    <s v="1/304071"/>
    <n v="1"/>
    <s v="A"/>
    <x v="25"/>
    <s v="FORTALEZA"/>
  </r>
  <r>
    <x v="628"/>
    <n v="0"/>
    <x v="1352"/>
    <s v="35019206000148"/>
    <x v="99"/>
    <d v="2021-04-01T00:00:00"/>
    <n v="55"/>
    <n v="362.33"/>
    <s v="1/301300"/>
    <n v="1"/>
    <s v="A"/>
    <x v="17"/>
    <s v="FORTALEZA"/>
  </r>
  <r>
    <x v="629"/>
    <n v="0"/>
    <x v="1353"/>
    <s v="30511707000123"/>
    <x v="115"/>
    <d v="2021-02-26T00:00:00"/>
    <n v="90"/>
    <n v="732.37"/>
    <s v="1/296227"/>
    <n v="1"/>
    <s v="A"/>
    <x v="4"/>
    <s v="HORIZONTE"/>
  </r>
  <r>
    <x v="629"/>
    <n v="0"/>
    <x v="1354"/>
    <s v="30511707000123"/>
    <x v="115"/>
    <d v="2021-02-26T00:00:00"/>
    <n v="90"/>
    <n v="643.71"/>
    <s v="1/296330"/>
    <n v="1"/>
    <s v="A"/>
    <x v="4"/>
    <s v="HORIZONTE"/>
  </r>
  <r>
    <x v="629"/>
    <n v="0"/>
    <x v="1355"/>
    <s v="30511707000123"/>
    <x v="115"/>
    <d v="2021-03-08T00:00:00"/>
    <n v="80"/>
    <n v="1596.6"/>
    <s v="1/297564"/>
    <n v="1"/>
    <s v="A"/>
    <x v="4"/>
    <s v="HORIZONTE"/>
  </r>
  <r>
    <x v="629"/>
    <n v="0"/>
    <x v="1356"/>
    <s v="30511707000123"/>
    <x v="115"/>
    <d v="2021-04-12T00:00:00"/>
    <n v="45"/>
    <n v="742.65"/>
    <s v="1/302467"/>
    <n v="1"/>
    <s v="A"/>
    <x v="4"/>
    <s v="HORIZONTE"/>
  </r>
  <r>
    <x v="629"/>
    <n v="0"/>
    <x v="1357"/>
    <s v="30732111000153"/>
    <x v="116"/>
    <d v="2021-02-26T00:00:00"/>
    <n v="90"/>
    <n v="739.67"/>
    <s v="1/296214"/>
    <n v="1"/>
    <s v="A"/>
    <x v="4"/>
    <s v="PACAJUS"/>
  </r>
  <r>
    <x v="629"/>
    <n v="0"/>
    <x v="1358"/>
    <s v="30732111000153"/>
    <x v="116"/>
    <d v="2021-02-26T00:00:00"/>
    <n v="90"/>
    <n v="1276.0899999999999"/>
    <s v="1/296358"/>
    <n v="1"/>
    <s v="A"/>
    <x v="4"/>
    <s v="PACAJUS"/>
  </r>
  <r>
    <x v="629"/>
    <n v="0"/>
    <x v="1359"/>
    <s v="30732111000153"/>
    <x v="116"/>
    <d v="2021-03-03T00:00:00"/>
    <n v="85"/>
    <n v="485.28"/>
    <s v="1/296885"/>
    <n v="1"/>
    <s v="A"/>
    <x v="4"/>
    <s v="PACAJUS"/>
  </r>
  <r>
    <x v="629"/>
    <n v="0"/>
    <x v="1360"/>
    <s v="30732111000153"/>
    <x v="116"/>
    <d v="2021-03-08T00:00:00"/>
    <n v="80"/>
    <n v="579.19000000000005"/>
    <s v="1/297460"/>
    <n v="1"/>
    <s v="A"/>
    <x v="4"/>
    <s v="PACAJUS"/>
  </r>
  <r>
    <x v="629"/>
    <n v="0"/>
    <x v="1361"/>
    <s v="30732111000153"/>
    <x v="116"/>
    <d v="2021-03-18T00:00:00"/>
    <n v="70"/>
    <n v="1265.73"/>
    <s v="1/299329"/>
    <n v="1"/>
    <s v="A"/>
    <x v="4"/>
    <s v="PACAJUS"/>
  </r>
  <r>
    <x v="629"/>
    <n v="0"/>
    <x v="1362"/>
    <s v="21578080000137"/>
    <x v="113"/>
    <d v="2021-03-08T00:00:00"/>
    <n v="80"/>
    <n v="1687.84"/>
    <s v="1/297566"/>
    <n v="1"/>
    <s v="A"/>
    <x v="4"/>
    <s v="HORIZONTE"/>
  </r>
  <r>
    <x v="629"/>
    <n v="0"/>
    <x v="1363"/>
    <s v="21578080000137"/>
    <x v="113"/>
    <d v="2021-03-18T00:00:00"/>
    <n v="70"/>
    <n v="1366.83"/>
    <s v="1/299323"/>
    <n v="1"/>
    <s v="A"/>
    <x v="4"/>
    <s v="HORIZONTE"/>
  </r>
  <r>
    <x v="629"/>
    <n v="0"/>
    <x v="1364"/>
    <s v="21578080000137"/>
    <x v="113"/>
    <d v="2021-03-18T00:00:00"/>
    <n v="70"/>
    <n v="229.64"/>
    <s v="1/299324"/>
    <n v="1"/>
    <s v="A"/>
    <x v="4"/>
    <s v="HORIZONTE"/>
  </r>
  <r>
    <x v="629"/>
    <n v="0"/>
    <x v="1365"/>
    <s v="21578080000137"/>
    <x v="113"/>
    <d v="2021-04-12T00:00:00"/>
    <n v="45"/>
    <n v="867.14"/>
    <s v="1/302450"/>
    <n v="1"/>
    <s v="A"/>
    <x v="4"/>
    <s v="HORIZONTE"/>
  </r>
  <r>
    <x v="629"/>
    <n v="0"/>
    <x v="1366"/>
    <s v="12165233000123"/>
    <x v="108"/>
    <d v="2021-03-18T00:00:00"/>
    <n v="70"/>
    <n v="458.73"/>
    <s v="1/299304"/>
    <n v="1"/>
    <s v="A"/>
    <x v="26"/>
    <s v="ITAPIPOCA"/>
  </r>
  <r>
    <x v="629"/>
    <n v="0"/>
    <x v="1367"/>
    <s v="20692655000185"/>
    <x v="124"/>
    <d v="2021-04-07T00:00:00"/>
    <n v="50"/>
    <n v="368.29"/>
    <s v="1/301766"/>
    <n v="1"/>
    <s v="A"/>
    <x v="25"/>
    <s v="FORTALEZA"/>
  </r>
  <r>
    <x v="630"/>
    <n v="0"/>
    <x v="1368"/>
    <s v="30511707000123"/>
    <x v="115"/>
    <d v="2021-02-17T00:00:00"/>
    <n v="100"/>
    <n v="1713.83"/>
    <s v="1/295100"/>
    <n v="1"/>
    <s v="A"/>
    <x v="4"/>
    <s v="HORIZONTE"/>
  </r>
  <r>
    <x v="630"/>
    <n v="0"/>
    <x v="1369"/>
    <s v="30511707000123"/>
    <x v="115"/>
    <d v="2021-02-27T00:00:00"/>
    <n v="90"/>
    <n v="562.88"/>
    <s v="1/296436"/>
    <n v="1"/>
    <s v="A"/>
    <x v="4"/>
    <s v="HORIZONTE"/>
  </r>
  <r>
    <x v="630"/>
    <n v="0"/>
    <x v="1370"/>
    <s v="30511707000123"/>
    <x v="115"/>
    <d v="2021-03-09T00:00:00"/>
    <n v="80"/>
    <n v="631.63"/>
    <s v="1/297634"/>
    <n v="1"/>
    <s v="A"/>
    <x v="4"/>
    <s v="HORIZONTE"/>
  </r>
  <r>
    <x v="630"/>
    <n v="0"/>
    <x v="1371"/>
    <s v="30511707000123"/>
    <x v="115"/>
    <d v="2021-03-09T00:00:00"/>
    <n v="80"/>
    <n v="799.84"/>
    <s v="1/297766"/>
    <n v="1"/>
    <s v="A"/>
    <x v="4"/>
    <s v="HORIZONTE"/>
  </r>
  <r>
    <x v="630"/>
    <n v="0"/>
    <x v="1372"/>
    <s v="30732111000153"/>
    <x v="116"/>
    <d v="2021-03-09T00:00:00"/>
    <n v="80"/>
    <n v="625.39"/>
    <s v="1/297632"/>
    <n v="1"/>
    <s v="A"/>
    <x v="4"/>
    <s v="PACAJUS"/>
  </r>
  <r>
    <x v="630"/>
    <n v="0"/>
    <x v="1373"/>
    <s v="21578080000137"/>
    <x v="113"/>
    <d v="2021-02-17T00:00:00"/>
    <n v="100"/>
    <n v="998.1"/>
    <s v="1/295053"/>
    <n v="1"/>
    <s v="A"/>
    <x v="4"/>
    <s v="HORIZONTE"/>
  </r>
  <r>
    <x v="630"/>
    <n v="0"/>
    <x v="1374"/>
    <s v="21578080000137"/>
    <x v="113"/>
    <d v="2021-02-27T00:00:00"/>
    <n v="90"/>
    <n v="406.81"/>
    <s v="1/296467"/>
    <n v="1"/>
    <s v="A"/>
    <x v="4"/>
    <s v="HORIZONTE"/>
  </r>
  <r>
    <x v="630"/>
    <n v="0"/>
    <x v="1375"/>
    <s v="21578080000137"/>
    <x v="113"/>
    <d v="2021-03-09T00:00:00"/>
    <n v="80"/>
    <n v="625.39"/>
    <s v="1/297633"/>
    <n v="1"/>
    <s v="A"/>
    <x v="4"/>
    <s v="HORIZONTE"/>
  </r>
  <r>
    <x v="630"/>
    <n v="0"/>
    <x v="1376"/>
    <s v="21578080000137"/>
    <x v="113"/>
    <d v="2021-03-29T00:00:00"/>
    <n v="60"/>
    <n v="540.05999999999995"/>
    <s v="1/300478"/>
    <n v="1"/>
    <s v="A"/>
    <x v="4"/>
    <s v="HORIZONTE"/>
  </r>
  <r>
    <x v="630"/>
    <n v="0"/>
    <x v="1377"/>
    <s v="24982020000173"/>
    <x v="123"/>
    <d v="2021-05-03T00:00:00"/>
    <n v="25"/>
    <n v="375.3"/>
    <s v="1/305248"/>
    <n v="1"/>
    <s v="A"/>
    <x v="25"/>
    <s v="FORTALEZA"/>
  </r>
  <r>
    <x v="630"/>
    <n v="0"/>
    <x v="1378"/>
    <s v="24982020000173"/>
    <x v="123"/>
    <d v="2021-05-07T00:00:00"/>
    <n v="21"/>
    <n v="287.42"/>
    <s v="1/305831"/>
    <n v="1"/>
    <s v="A"/>
    <x v="25"/>
    <s v="FORTALEZA"/>
  </r>
  <r>
    <x v="631"/>
    <n v="0"/>
    <x v="1379"/>
    <s v="30732111000153"/>
    <x v="116"/>
    <d v="2021-02-18T00:00:00"/>
    <n v="100"/>
    <n v="560.76"/>
    <s v="1/295210"/>
    <n v="1"/>
    <s v="A"/>
    <x v="4"/>
    <s v="PACAJUS"/>
  </r>
  <r>
    <x v="631"/>
    <n v="0"/>
    <x v="1380"/>
    <s v="30732111000153"/>
    <x v="116"/>
    <d v="2021-03-10T00:00:00"/>
    <n v="80"/>
    <n v="997.03"/>
    <s v="1/297971"/>
    <n v="1"/>
    <s v="A"/>
    <x v="4"/>
    <s v="PACAJUS"/>
  </r>
  <r>
    <x v="631"/>
    <n v="0"/>
    <x v="1381"/>
    <s v="20692655000185"/>
    <x v="124"/>
    <d v="2021-03-10T00:00:00"/>
    <n v="80"/>
    <n v="260.63"/>
    <s v="1/297996"/>
    <n v="1"/>
    <s v="A"/>
    <x v="25"/>
    <s v="FORTALEZA"/>
  </r>
  <r>
    <x v="632"/>
    <n v="0"/>
    <x v="1382"/>
    <s v="30511707000123"/>
    <x v="115"/>
    <d v="2021-03-11T00:00:00"/>
    <n v="80"/>
    <n v="1093.76"/>
    <s v="1/298216"/>
    <n v="1"/>
    <s v="A"/>
    <x v="4"/>
    <s v="HORIZONTE"/>
  </r>
  <r>
    <x v="632"/>
    <n v="0"/>
    <x v="1383"/>
    <s v="30732111000153"/>
    <x v="116"/>
    <d v="2021-02-19T00:00:00"/>
    <n v="100"/>
    <n v="762.8"/>
    <s v="1/295361"/>
    <n v="1"/>
    <s v="A"/>
    <x v="4"/>
    <s v="PACAJUS"/>
  </r>
  <r>
    <x v="632"/>
    <n v="0"/>
    <x v="1384"/>
    <s v="30732111000153"/>
    <x v="116"/>
    <d v="2021-03-11T00:00:00"/>
    <n v="80"/>
    <n v="1006.55"/>
    <s v="1/298056"/>
    <n v="1"/>
    <s v="A"/>
    <x v="4"/>
    <s v="PACAJUS"/>
  </r>
  <r>
    <x v="632"/>
    <n v="0"/>
    <x v="1385"/>
    <s v="30732111000153"/>
    <x v="116"/>
    <d v="2021-03-11T00:00:00"/>
    <n v="80"/>
    <n v="1093.76"/>
    <s v="1/298197"/>
    <n v="1"/>
    <s v="A"/>
    <x v="4"/>
    <s v="PACAJUS"/>
  </r>
  <r>
    <x v="632"/>
    <n v="0"/>
    <x v="1386"/>
    <s v="15784350000163"/>
    <x v="89"/>
    <d v="2021-04-30T00:00:00"/>
    <n v="30"/>
    <n v="355.2"/>
    <s v="1/304850"/>
    <n v="1"/>
    <s v="A"/>
    <x v="25"/>
    <s v="FORTALEZA"/>
  </r>
  <r>
    <x v="632"/>
    <n v="0"/>
    <x v="1387"/>
    <s v="35019206000148"/>
    <x v="99"/>
    <d v="2021-03-31T00:00:00"/>
    <n v="60"/>
    <n v="584.99"/>
    <s v="1/301117"/>
    <n v="1"/>
    <s v="A"/>
    <x v="17"/>
    <s v="FORTALEZA"/>
  </r>
  <r>
    <x v="632"/>
    <n v="0"/>
    <x v="1388"/>
    <s v="23928619000166"/>
    <x v="122"/>
    <d v="2021-03-16T00:00:00"/>
    <n v="75"/>
    <n v="761.11"/>
    <s v="1/298784"/>
    <n v="1"/>
    <s v="A"/>
    <x v="4"/>
    <s v="ARACATI"/>
  </r>
  <r>
    <x v="632"/>
    <n v="0"/>
    <x v="1389"/>
    <s v="20692655000185"/>
    <x v="124"/>
    <d v="2021-04-20T00:00:00"/>
    <n v="40"/>
    <n v="237.95"/>
    <s v="1/303527"/>
    <n v="1"/>
    <s v="A"/>
    <x v="25"/>
    <s v="FORTALEZA"/>
  </r>
  <r>
    <x v="633"/>
    <n v="0"/>
    <x v="1390"/>
    <s v="23576929000169"/>
    <x v="117"/>
    <d v="2021-04-01T00:00:00"/>
    <n v="60"/>
    <n v="375.51"/>
    <s v="1/301368"/>
    <n v="1"/>
    <s v="A"/>
    <x v="17"/>
    <s v="FORTALEZA"/>
  </r>
  <r>
    <x v="633"/>
    <n v="0"/>
    <x v="1391"/>
    <s v="36752099000125"/>
    <x v="120"/>
    <d v="2021-05-06T00:00:00"/>
    <n v="25"/>
    <n v="401.84"/>
    <s v="1/305773"/>
    <n v="1"/>
    <s v="A"/>
    <x v="15"/>
    <s v="FORTALEZA"/>
  </r>
  <r>
    <x v="633"/>
    <n v="0"/>
    <x v="1392"/>
    <s v="30511707000123"/>
    <x v="115"/>
    <d v="2021-02-09T00:00:00"/>
    <n v="111"/>
    <n v="1565.32"/>
    <s v="1/294155"/>
    <n v="1"/>
    <s v="A"/>
    <x v="4"/>
    <s v="HORIZONTE"/>
  </r>
  <r>
    <x v="633"/>
    <n v="0"/>
    <x v="1393"/>
    <s v="30511707000123"/>
    <x v="115"/>
    <d v="2021-03-02T00:00:00"/>
    <n v="90"/>
    <n v="1486.33"/>
    <s v="1/296672"/>
    <n v="1"/>
    <s v="A"/>
    <x v="4"/>
    <s v="HORIZONTE"/>
  </r>
  <r>
    <x v="633"/>
    <n v="0"/>
    <x v="1394"/>
    <s v="30511707000123"/>
    <x v="115"/>
    <d v="2021-03-17T00:00:00"/>
    <n v="75"/>
    <n v="1115.3699999999999"/>
    <s v="1/299087"/>
    <n v="1"/>
    <s v="A"/>
    <x v="4"/>
    <s v="HORIZONTE"/>
  </r>
  <r>
    <x v="633"/>
    <n v="0"/>
    <x v="1395"/>
    <s v="30511707000123"/>
    <x v="115"/>
    <d v="2021-03-22T00:00:00"/>
    <n v="70"/>
    <n v="1981.68"/>
    <s v="1/299523"/>
    <n v="1"/>
    <s v="A"/>
    <x v="4"/>
    <s v="HORIZONTE"/>
  </r>
  <r>
    <x v="633"/>
    <n v="0"/>
    <x v="1396"/>
    <s v="30732111000153"/>
    <x v="116"/>
    <d v="2021-03-02T00:00:00"/>
    <n v="90"/>
    <n v="1716.93"/>
    <s v="1/296754"/>
    <n v="1"/>
    <s v="A"/>
    <x v="4"/>
    <s v="PACAJUS"/>
  </r>
  <r>
    <x v="633"/>
    <n v="0"/>
    <x v="1397"/>
    <s v="30732111000153"/>
    <x v="116"/>
    <d v="2021-03-17T00:00:00"/>
    <n v="75"/>
    <n v="801.9"/>
    <s v="1/298905"/>
    <n v="1"/>
    <s v="A"/>
    <x v="4"/>
    <s v="PACAJUS"/>
  </r>
  <r>
    <x v="633"/>
    <n v="0"/>
    <x v="1398"/>
    <s v="21578080000137"/>
    <x v="113"/>
    <d v="2021-01-29T00:00:00"/>
    <n v="122"/>
    <n v="879.82"/>
    <s v="1/292622"/>
    <n v="1"/>
    <s v="A"/>
    <x v="4"/>
    <s v="HORIZONTE"/>
  </r>
  <r>
    <x v="633"/>
    <n v="0"/>
    <x v="1399"/>
    <s v="21578080000137"/>
    <x v="113"/>
    <d v="2021-02-08T00:00:00"/>
    <n v="112"/>
    <n v="1741.75"/>
    <s v="1/294027"/>
    <n v="1"/>
    <s v="A"/>
    <x v="4"/>
    <s v="HORIZONTE"/>
  </r>
  <r>
    <x v="633"/>
    <n v="0"/>
    <x v="1400"/>
    <s v="21578080000137"/>
    <x v="113"/>
    <d v="2021-03-02T00:00:00"/>
    <n v="90"/>
    <n v="1565.97"/>
    <s v="1/296750"/>
    <n v="1"/>
    <s v="A"/>
    <x v="4"/>
    <s v="HORIZONTE"/>
  </r>
  <r>
    <x v="633"/>
    <n v="0"/>
    <x v="1401"/>
    <s v="24982020000173"/>
    <x v="123"/>
    <d v="2021-05-06T00:00:00"/>
    <n v="25"/>
    <n v="473.25"/>
    <s v="1/305645"/>
    <n v="1"/>
    <s v="A"/>
    <x v="25"/>
    <s v="FORTALEZA"/>
  </r>
  <r>
    <x v="634"/>
    <n v="0"/>
    <x v="1402"/>
    <s v="23576929000169"/>
    <x v="117"/>
    <d v="2021-04-12T00:00:00"/>
    <n v="50"/>
    <n v="456.16"/>
    <s v="1/302417"/>
    <n v="1"/>
    <s v="A"/>
    <x v="17"/>
    <s v="FORTALEZA"/>
  </r>
  <r>
    <x v="634"/>
    <n v="0"/>
    <x v="1403"/>
    <s v="30511783000139"/>
    <x v="125"/>
    <d v="2021-02-11T00:00:00"/>
    <n v="110"/>
    <n v="746.24"/>
    <s v="1/294501"/>
    <n v="1"/>
    <s v="A"/>
    <x v="4"/>
    <s v="REDENÇÃO"/>
  </r>
  <r>
    <x v="634"/>
    <n v="0"/>
    <x v="1404"/>
    <s v="20692655000185"/>
    <x v="124"/>
    <d v="2021-03-18T00:00:00"/>
    <n v="75"/>
    <n v="354.17"/>
    <s v="1/299208"/>
    <n v="1"/>
    <s v="A"/>
    <x v="25"/>
    <s v="FORTALEZA"/>
  </r>
  <r>
    <x v="635"/>
    <n v="0"/>
    <x v="1405"/>
    <s v="37741496000164"/>
    <x v="121"/>
    <d v="2021-02-27T00:00:00"/>
    <n v="95"/>
    <n v="2697.69"/>
    <s v="1/296498"/>
    <n v="1"/>
    <s v="A"/>
    <x v="18"/>
    <s v="VARJOTA"/>
  </r>
  <r>
    <x v="635"/>
    <n v="0"/>
    <x v="1406"/>
    <s v="12165233000123"/>
    <x v="108"/>
    <d v="2021-03-09T00:00:00"/>
    <n v="85"/>
    <n v="801.23"/>
    <s v="1/297792"/>
    <n v="1"/>
    <s v="A"/>
    <x v="26"/>
    <s v="ITAPIPOCA"/>
  </r>
  <r>
    <x v="636"/>
    <n v="0"/>
    <x v="1407"/>
    <s v="20692655000185"/>
    <x v="124"/>
    <d v="2021-04-14T00:00:00"/>
    <n v="50"/>
    <n v="284.58999999999997"/>
    <s v="1/302901"/>
    <n v="1"/>
    <s v="A"/>
    <x v="25"/>
    <s v="FORTALEZA"/>
  </r>
  <r>
    <x v="637"/>
    <n v="0"/>
    <x v="1408"/>
    <s v="23576929000169"/>
    <x v="117"/>
    <d v="2021-03-26T00:00:00"/>
    <n v="70"/>
    <n v="256.92"/>
    <s v="1/300345"/>
    <n v="1"/>
    <s v="A"/>
    <x v="17"/>
    <s v="FORTALEZA"/>
  </r>
  <r>
    <x v="637"/>
    <n v="0"/>
    <x v="1409"/>
    <s v="37741496000164"/>
    <x v="121"/>
    <d v="2021-03-11T00:00:00"/>
    <n v="85"/>
    <n v="1316.43"/>
    <s v="1/298204"/>
    <n v="1"/>
    <s v="A"/>
    <x v="18"/>
    <s v="VARJOTA"/>
  </r>
  <r>
    <x v="637"/>
    <n v="0"/>
    <x v="1410"/>
    <s v="37741496000164"/>
    <x v="121"/>
    <d v="2021-03-16T00:00:00"/>
    <n v="80"/>
    <n v="1171.8800000000001"/>
    <s v="1/298715"/>
    <n v="1"/>
    <s v="A"/>
    <x v="18"/>
    <s v="VARJOTA"/>
  </r>
  <r>
    <x v="637"/>
    <n v="0"/>
    <x v="1411"/>
    <s v="23928619000166"/>
    <x v="122"/>
    <d v="2021-03-26T00:00:00"/>
    <n v="70"/>
    <n v="395.12"/>
    <s v="1/300253"/>
    <n v="1"/>
    <s v="A"/>
    <x v="4"/>
    <s v="ARACATI"/>
  </r>
  <r>
    <x v="638"/>
    <n v="0"/>
    <x v="1412"/>
    <s v="30511707000123"/>
    <x v="115"/>
    <d v="2021-03-17T00:00:00"/>
    <n v="80"/>
    <n v="793.99"/>
    <s v="1/298902"/>
    <n v="1"/>
    <s v="A"/>
    <x v="4"/>
    <s v="HORIZONTE"/>
  </r>
  <r>
    <x v="638"/>
    <n v="0"/>
    <x v="1413"/>
    <s v="30511783000139"/>
    <x v="125"/>
    <d v="2021-03-17T00:00:00"/>
    <n v="80"/>
    <n v="793.99"/>
    <s v="1/298900"/>
    <n v="1"/>
    <s v="A"/>
    <x v="4"/>
    <s v="REDENÇÃO"/>
  </r>
  <r>
    <x v="638"/>
    <n v="0"/>
    <x v="1414"/>
    <s v="30511783000139"/>
    <x v="125"/>
    <d v="2021-03-22T00:00:00"/>
    <n v="75"/>
    <n v="1847"/>
    <s v="1/299522"/>
    <n v="1"/>
    <s v="A"/>
    <x v="4"/>
    <s v="REDENÇÃO"/>
  </r>
  <r>
    <x v="638"/>
    <n v="0"/>
    <x v="1415"/>
    <s v="30511783000139"/>
    <x v="125"/>
    <d v="2021-03-22T00:00:00"/>
    <n v="75"/>
    <n v="823.91"/>
    <s v="1/299563"/>
    <n v="1"/>
    <s v="A"/>
    <x v="4"/>
    <s v="REDENÇÃO"/>
  </r>
  <r>
    <x v="638"/>
    <n v="0"/>
    <x v="1416"/>
    <s v="37741496000164"/>
    <x v="121"/>
    <d v="2021-03-12T00:00:00"/>
    <n v="85"/>
    <n v="2512.0500000000002"/>
    <s v="1/298463"/>
    <n v="1"/>
    <s v="A"/>
    <x v="18"/>
    <s v="VARJOTA"/>
  </r>
  <r>
    <x v="638"/>
    <n v="0"/>
    <x v="1417"/>
    <s v="20692655000185"/>
    <x v="124"/>
    <d v="2021-04-26T00:00:00"/>
    <n v="40"/>
    <n v="287.93"/>
    <s v="1/304074"/>
    <n v="1"/>
    <s v="A"/>
    <x v="25"/>
    <s v="FORTALEZA"/>
  </r>
  <r>
    <x v="639"/>
    <n v="0"/>
    <x v="1418"/>
    <s v="23576929000169"/>
    <x v="117"/>
    <d v="2021-04-22T00:00:00"/>
    <n v="45"/>
    <n v="425.68"/>
    <s v="1/303732"/>
    <n v="1"/>
    <s v="A"/>
    <x v="17"/>
    <s v="FORTALEZA"/>
  </r>
  <r>
    <x v="639"/>
    <n v="0"/>
    <x v="1419"/>
    <s v="20692655000185"/>
    <x v="124"/>
    <d v="2021-03-08T00:00:00"/>
    <n v="90"/>
    <n v="288.02999999999997"/>
    <s v="1/297456"/>
    <n v="1"/>
    <s v="A"/>
    <x v="25"/>
    <s v="FORTALEZA"/>
  </r>
  <r>
    <x v="640"/>
    <n v="0"/>
    <x v="1420"/>
    <s v="15784350000163"/>
    <x v="89"/>
    <d v="2021-04-28T00:00:00"/>
    <n v="40"/>
    <n v="167.82"/>
    <s v="1/304399"/>
    <n v="1"/>
    <s v="A"/>
    <x v="25"/>
    <s v="FORTALEZA"/>
  </r>
  <r>
    <x v="640"/>
    <n v="0"/>
    <x v="1421"/>
    <s v="23928619000166"/>
    <x v="122"/>
    <d v="2021-03-29T00:00:00"/>
    <n v="70"/>
    <n v="565.29"/>
    <s v="1/300646"/>
    <n v="1"/>
    <s v="A"/>
    <x v="4"/>
    <s v="ARACATI"/>
  </r>
  <r>
    <x v="640"/>
    <n v="0"/>
    <x v="1422"/>
    <s v="20692655000185"/>
    <x v="124"/>
    <d v="2021-03-29T00:00:00"/>
    <n v="70"/>
    <n v="270.62"/>
    <s v="1/300514"/>
    <n v="1"/>
    <s v="A"/>
    <x v="25"/>
    <s v="FORTALEZA"/>
  </r>
  <r>
    <x v="640"/>
    <n v="0"/>
    <x v="1423"/>
    <s v="20692655000185"/>
    <x v="124"/>
    <d v="2021-05-03T00:00:00"/>
    <n v="35"/>
    <n v="477.47"/>
    <s v="1/305257"/>
    <n v="1"/>
    <s v="A"/>
    <x v="25"/>
    <s v="FORTALEZA"/>
  </r>
  <r>
    <x v="641"/>
    <n v="0"/>
    <x v="1424"/>
    <s v="15784350000163"/>
    <x v="89"/>
    <d v="2021-04-19T00:00:00"/>
    <n v="50"/>
    <n v="304.72000000000003"/>
    <s v="1/303298"/>
    <n v="1"/>
    <s v="A"/>
    <x v="25"/>
    <s v="FORTALEZA"/>
  </r>
  <r>
    <x v="641"/>
    <n v="0"/>
    <x v="1425"/>
    <s v="35019206000148"/>
    <x v="99"/>
    <d v="2021-05-19T00:00:00"/>
    <n v="20"/>
    <n v="1156.8499999999999"/>
    <s v="1/307622"/>
    <n v="1"/>
    <s v="A"/>
    <x v="17"/>
    <s v="FORTALEZA"/>
  </r>
  <r>
    <x v="641"/>
    <n v="0"/>
    <x v="1426"/>
    <s v="20692655000185"/>
    <x v="124"/>
    <d v="2021-03-10T00:00:00"/>
    <n v="90"/>
    <n v="260.66000000000003"/>
    <s v="1/297996"/>
    <n v="1"/>
    <s v="A"/>
    <x v="25"/>
    <s v="FORTALEZA"/>
  </r>
  <r>
    <x v="641"/>
    <n v="0"/>
    <x v="1427"/>
    <s v="20692655000185"/>
    <x v="124"/>
    <d v="2021-04-19T00:00:00"/>
    <n v="50"/>
    <n v="393.38"/>
    <s v="1/303379"/>
    <n v="1"/>
    <s v="A"/>
    <x v="25"/>
    <s v="FORTALEZA"/>
  </r>
  <r>
    <x v="642"/>
    <n v="0"/>
    <x v="1428"/>
    <s v="23576929000169"/>
    <x v="117"/>
    <d v="2021-04-20T00:00:00"/>
    <n v="50"/>
    <n v="352.21"/>
    <s v="1/303515"/>
    <n v="1"/>
    <s v="A"/>
    <x v="17"/>
    <s v="FORTALEZA"/>
  </r>
  <r>
    <x v="643"/>
    <n v="0"/>
    <x v="1429"/>
    <s v="23576929000169"/>
    <x v="117"/>
    <d v="2021-04-06T00:00:00"/>
    <n v="65"/>
    <n v="274.98"/>
    <s v="1/301664"/>
    <n v="1"/>
    <s v="A"/>
    <x v="17"/>
    <s v="FORTALEZA"/>
  </r>
  <r>
    <x v="643"/>
    <n v="0"/>
    <x v="1430"/>
    <s v="30511707000123"/>
    <x v="115"/>
    <d v="2021-03-02T00:00:00"/>
    <n v="100"/>
    <n v="1486.33"/>
    <s v="1/296672"/>
    <n v="1"/>
    <s v="A"/>
    <x v="4"/>
    <s v="HORIZONTE"/>
  </r>
  <r>
    <x v="643"/>
    <n v="0"/>
    <x v="1431"/>
    <s v="30511707000123"/>
    <x v="115"/>
    <d v="2021-03-17T00:00:00"/>
    <n v="85"/>
    <n v="963.65"/>
    <s v="1/299087"/>
    <n v="1"/>
    <s v="A"/>
    <x v="4"/>
    <s v="HORIZONTE"/>
  </r>
  <r>
    <x v="643"/>
    <n v="0"/>
    <x v="1432"/>
    <s v="30511707000123"/>
    <x v="115"/>
    <d v="2021-03-22T00:00:00"/>
    <n v="80"/>
    <n v="1312.71"/>
    <s v="1/299523"/>
    <n v="1"/>
    <s v="A"/>
    <x v="4"/>
    <s v="HORIZONTE"/>
  </r>
  <r>
    <x v="643"/>
    <n v="0"/>
    <x v="1433"/>
    <s v="30511707000123"/>
    <x v="115"/>
    <d v="2021-04-01T00:00:00"/>
    <n v="70"/>
    <n v="1420.65"/>
    <s v="1/301314"/>
    <n v="1"/>
    <s v="A"/>
    <x v="4"/>
    <s v="HORIZONTE"/>
  </r>
  <r>
    <x v="643"/>
    <n v="0"/>
    <x v="1434"/>
    <s v="30511783000139"/>
    <x v="125"/>
    <d v="2021-03-22T00:00:00"/>
    <n v="80"/>
    <n v="601.62"/>
    <s v="1/299571"/>
    <n v="1"/>
    <s v="A"/>
    <x v="4"/>
    <s v="REDENÇÃO"/>
  </r>
  <r>
    <x v="643"/>
    <n v="0"/>
    <x v="1435"/>
    <s v="37741496000164"/>
    <x v="121"/>
    <d v="2021-03-12T00:00:00"/>
    <n v="90"/>
    <n v="2035.69"/>
    <s v="1/298463"/>
    <n v="1"/>
    <s v="A"/>
    <x v="18"/>
    <s v="VARJOTA"/>
  </r>
  <r>
    <x v="643"/>
    <n v="0"/>
    <x v="1436"/>
    <s v="30732111000153"/>
    <x v="116"/>
    <d v="2021-03-02T00:00:00"/>
    <n v="100"/>
    <n v="1716.91"/>
    <s v="1/296754"/>
    <n v="1"/>
    <s v="A"/>
    <x v="4"/>
    <s v="PACAJUS"/>
  </r>
  <r>
    <x v="643"/>
    <n v="0"/>
    <x v="1437"/>
    <s v="30732111000153"/>
    <x v="116"/>
    <d v="2021-03-17T00:00:00"/>
    <n v="85"/>
    <n v="801.91"/>
    <s v="1/298905"/>
    <n v="1"/>
    <s v="A"/>
    <x v="4"/>
    <s v="PACAJUS"/>
  </r>
  <r>
    <x v="643"/>
    <n v="0"/>
    <x v="1438"/>
    <s v="21578080000137"/>
    <x v="113"/>
    <d v="2021-03-02T00:00:00"/>
    <n v="100"/>
    <n v="1565.97"/>
    <s v="1/296750"/>
    <n v="1"/>
    <s v="A"/>
    <x v="4"/>
    <s v="HORIZONTE"/>
  </r>
  <r>
    <x v="643"/>
    <n v="0"/>
    <x v="1439"/>
    <s v="21578080000137"/>
    <x v="113"/>
    <d v="2021-04-01T00:00:00"/>
    <n v="70"/>
    <n v="1420.65"/>
    <s v="1/301315"/>
    <n v="1"/>
    <s v="A"/>
    <x v="4"/>
    <s v="HORIZONTE"/>
  </r>
  <r>
    <x v="643"/>
    <n v="0"/>
    <x v="1440"/>
    <s v="07035579000177"/>
    <x v="100"/>
    <d v="2021-05-06T00:00:00"/>
    <n v="35"/>
    <n v="278.83"/>
    <s v="1/305751"/>
    <n v="1"/>
    <s v="A"/>
    <x v="18"/>
    <s v="FRECHEIRINHA"/>
  </r>
  <r>
    <x v="644"/>
    <n v="0"/>
    <x v="1441"/>
    <s v="23576929000169"/>
    <x v="117"/>
    <d v="2021-04-07T00:00:00"/>
    <n v="65"/>
    <n v="266.47000000000003"/>
    <s v="1/301890"/>
    <n v="1"/>
    <s v="A"/>
    <x v="17"/>
    <s v="FORTALEZA"/>
  </r>
  <r>
    <x v="644"/>
    <n v="0"/>
    <x v="1442"/>
    <s v="23576929000169"/>
    <x v="117"/>
    <d v="2021-04-12T00:00:00"/>
    <n v="60"/>
    <n v="370.08"/>
    <s v="1/302417"/>
    <n v="1"/>
    <s v="A"/>
    <x v="17"/>
    <s v="FORTALEZA"/>
  </r>
  <r>
    <x v="644"/>
    <n v="0"/>
    <x v="1443"/>
    <s v="30511707000123"/>
    <x v="115"/>
    <d v="2021-03-23T00:00:00"/>
    <n v="80"/>
    <n v="1289.1600000000001"/>
    <s v="1/299738"/>
    <n v="1"/>
    <s v="A"/>
    <x v="4"/>
    <s v="HORIZONTE"/>
  </r>
  <r>
    <x v="644"/>
    <n v="0"/>
    <x v="1444"/>
    <s v="30511783000139"/>
    <x v="125"/>
    <d v="2021-02-11T00:00:00"/>
    <n v="120"/>
    <n v="746.21"/>
    <s v="1/294501"/>
    <n v="1"/>
    <s v="A"/>
    <x v="4"/>
    <s v="REDENÇÃO"/>
  </r>
  <r>
    <x v="644"/>
    <n v="0"/>
    <x v="1445"/>
    <s v="30732111000153"/>
    <x v="116"/>
    <d v="2021-02-11T00:00:00"/>
    <n v="120"/>
    <n v="679.63"/>
    <s v="1/294363"/>
    <n v="1"/>
    <s v="A"/>
    <x v="4"/>
    <s v="PACAJUS"/>
  </r>
  <r>
    <x v="644"/>
    <n v="0"/>
    <x v="1446"/>
    <s v="30732111000153"/>
    <x v="116"/>
    <d v="2021-03-23T00:00:00"/>
    <n v="80"/>
    <n v="923.64"/>
    <s v="1/299789"/>
    <n v="1"/>
    <s v="A"/>
    <x v="4"/>
    <s v="PACAJUS"/>
  </r>
  <r>
    <x v="644"/>
    <n v="0"/>
    <x v="1447"/>
    <s v="21578080000137"/>
    <x v="113"/>
    <d v="2021-02-26T00:00:00"/>
    <n v="105"/>
    <n v="555.49"/>
    <s v="1/296215"/>
    <n v="1"/>
    <s v="A"/>
    <x v="4"/>
    <s v="HORIZONTE"/>
  </r>
  <r>
    <x v="644"/>
    <n v="0"/>
    <x v="1448"/>
    <s v="21578080000137"/>
    <x v="113"/>
    <d v="2021-03-23T00:00:00"/>
    <n v="80"/>
    <n v="1652.07"/>
    <s v="1/299765"/>
    <n v="1"/>
    <s v="A"/>
    <x v="4"/>
    <s v="HORIZONTE"/>
  </r>
  <r>
    <x v="644"/>
    <n v="0"/>
    <x v="1449"/>
    <s v="21578080000137"/>
    <x v="113"/>
    <d v="2021-04-27T00:00:00"/>
    <n v="45"/>
    <n v="867.99"/>
    <s v="1/304292"/>
    <n v="1"/>
    <s v="A"/>
    <x v="4"/>
    <s v="HORIZONTE"/>
  </r>
  <r>
    <x v="644"/>
    <n v="0"/>
    <x v="1450"/>
    <s v="23928619000166"/>
    <x v="122"/>
    <d v="2021-04-27T00:00:00"/>
    <n v="45"/>
    <n v="718.13"/>
    <s v="1/304313"/>
    <n v="1"/>
    <s v="A"/>
    <x v="4"/>
    <s v="ARACATI"/>
  </r>
  <r>
    <x v="644"/>
    <n v="0"/>
    <x v="1451"/>
    <s v="07035579000177"/>
    <x v="100"/>
    <d v="2021-05-28T00:00:00"/>
    <n v="14"/>
    <n v="168.44"/>
    <s v="1/308918"/>
    <n v="1"/>
    <s v="A"/>
    <x v="18"/>
    <s v="FRECHEIRINHA"/>
  </r>
  <r>
    <x v="644"/>
    <n v="0"/>
    <x v="1452"/>
    <s v="20692655000185"/>
    <x v="124"/>
    <d v="2021-03-18T00:00:00"/>
    <n v="85"/>
    <n v="354.17"/>
    <s v="1/299208"/>
    <n v="1"/>
    <s v="A"/>
    <x v="25"/>
    <s v="FORTALEZA"/>
  </r>
  <r>
    <x v="644"/>
    <n v="0"/>
    <x v="1453"/>
    <s v="20692655000185"/>
    <x v="124"/>
    <d v="2021-04-12T00:00:00"/>
    <n v="60"/>
    <n v="408.65"/>
    <s v="1/302375"/>
    <n v="1"/>
    <s v="A"/>
    <x v="25"/>
    <s v="FORTALEZA"/>
  </r>
  <r>
    <x v="645"/>
    <n v="0"/>
    <x v="1454"/>
    <s v="23576929000169"/>
    <x v="117"/>
    <d v="2021-04-13T00:00:00"/>
    <n v="60"/>
    <n v="325.55"/>
    <s v="1/302573"/>
    <n v="1"/>
    <s v="A"/>
    <x v="17"/>
    <s v="FORTALEZA"/>
  </r>
  <r>
    <x v="645"/>
    <n v="0"/>
    <x v="1455"/>
    <s v="23576929000169"/>
    <x v="117"/>
    <d v="2021-04-23T00:00:00"/>
    <n v="50"/>
    <n v="439.2"/>
    <s v="1/303834"/>
    <n v="1"/>
    <s v="A"/>
    <x v="17"/>
    <s v="FORTALEZA"/>
  </r>
  <r>
    <x v="645"/>
    <n v="0"/>
    <x v="1456"/>
    <s v="30511707000123"/>
    <x v="115"/>
    <d v="2021-02-22T00:00:00"/>
    <n v="110"/>
    <n v="1011.3"/>
    <s v="1/295533"/>
    <n v="1"/>
    <s v="A"/>
    <x v="4"/>
    <s v="HORIZONTE"/>
  </r>
  <r>
    <x v="645"/>
    <n v="0"/>
    <x v="1457"/>
    <s v="30511783000139"/>
    <x v="125"/>
    <d v="2021-03-29T00:00:00"/>
    <n v="75"/>
    <n v="950.09"/>
    <s v="1/300652"/>
    <n v="1"/>
    <s v="A"/>
    <x v="4"/>
    <s v="REDENÇÃO"/>
  </r>
  <r>
    <x v="645"/>
    <n v="0"/>
    <x v="1458"/>
    <s v="37741496000164"/>
    <x v="121"/>
    <d v="2021-02-27T00:00:00"/>
    <n v="105"/>
    <n v="2697.67"/>
    <s v="1/296498"/>
    <n v="1"/>
    <s v="A"/>
    <x v="18"/>
    <s v="VARJOTA"/>
  </r>
  <r>
    <x v="645"/>
    <n v="0"/>
    <x v="1459"/>
    <s v="30732111000153"/>
    <x v="116"/>
    <d v="2021-03-29T00:00:00"/>
    <n v="75"/>
    <n v="540.05999999999995"/>
    <s v="1/300480"/>
    <n v="1"/>
    <s v="A"/>
    <x v="4"/>
    <s v="PACAJUS"/>
  </r>
  <r>
    <x v="645"/>
    <n v="0"/>
    <x v="1460"/>
    <s v="21578080000137"/>
    <x v="113"/>
    <d v="2021-04-13T00:00:00"/>
    <n v="60"/>
    <n v="2915.21"/>
    <s v="1/302518"/>
    <n v="1"/>
    <s v="A"/>
    <x v="4"/>
    <s v="HORIZONTE"/>
  </r>
  <r>
    <x v="645"/>
    <n v="0"/>
    <x v="1461"/>
    <s v="26905090000153"/>
    <x v="126"/>
    <d v="2021-04-13T00:00:00"/>
    <n v="60"/>
    <n v="548.97"/>
    <s v="1/302668"/>
    <n v="1"/>
    <s v="A"/>
    <x v="18"/>
    <s v="GRANJA"/>
  </r>
  <r>
    <x v="645"/>
    <n v="0"/>
    <x v="1462"/>
    <s v="26905090000153"/>
    <x v="126"/>
    <d v="2021-04-23T00:00:00"/>
    <n v="50"/>
    <n v="389.62"/>
    <s v="1/303930"/>
    <n v="1"/>
    <s v="A"/>
    <x v="18"/>
    <s v="GRANJA"/>
  </r>
  <r>
    <x v="646"/>
    <n v="0"/>
    <x v="1463"/>
    <s v="16852021000175"/>
    <x v="127"/>
    <d v="2021-03-15T00:00:00"/>
    <n v="90"/>
    <n v="238.12"/>
    <s v="1/298685"/>
    <n v="1"/>
    <s v="A"/>
    <x v="25"/>
    <s v="FORTALEZA"/>
  </r>
  <r>
    <x v="646"/>
    <n v="0"/>
    <x v="1464"/>
    <s v="03267843000147"/>
    <x v="128"/>
    <d v="2021-04-14T00:00:00"/>
    <n v="60"/>
    <n v="395.75"/>
    <s v="1/302788"/>
    <n v="1"/>
    <s v="A"/>
    <x v="18"/>
    <s v="NOVA RUSSAS"/>
  </r>
  <r>
    <x v="647"/>
    <n v="0"/>
    <x v="1465"/>
    <s v="26436496000134"/>
    <x v="92"/>
    <d v="2021-01-28T00:00:00"/>
    <n v="137"/>
    <n v="1354.37"/>
    <s v="1/292407"/>
    <n v="1"/>
    <s v="A"/>
    <x v="15"/>
    <s v="FORTALEZA"/>
  </r>
  <r>
    <x v="647"/>
    <n v="0"/>
    <x v="1466"/>
    <s v="26436496000134"/>
    <x v="92"/>
    <d v="2021-03-26T00:00:00"/>
    <n v="80"/>
    <n v="841.91"/>
    <s v="1/300349"/>
    <n v="1"/>
    <s v="A"/>
    <x v="15"/>
    <s v="FORTALEZA"/>
  </r>
  <r>
    <x v="647"/>
    <n v="0"/>
    <x v="1467"/>
    <s v="30511707000123"/>
    <x v="115"/>
    <d v="2021-04-05T00:00:00"/>
    <n v="70"/>
    <n v="687.23"/>
    <s v="1/301535"/>
    <n v="1"/>
    <s v="A"/>
    <x v="4"/>
    <s v="HORIZONTE"/>
  </r>
  <r>
    <x v="647"/>
    <n v="0"/>
    <x v="1468"/>
    <s v="30511783000139"/>
    <x v="125"/>
    <d v="2021-04-05T00:00:00"/>
    <n v="70"/>
    <n v="687.23"/>
    <s v="1/301537"/>
    <n v="1"/>
    <s v="A"/>
    <x v="4"/>
    <s v="REDENÇÃO"/>
  </r>
  <r>
    <x v="647"/>
    <n v="0"/>
    <x v="1469"/>
    <s v="30732111000153"/>
    <x v="116"/>
    <d v="2021-04-05T00:00:00"/>
    <n v="70"/>
    <n v="687.23"/>
    <s v="1/301538"/>
    <n v="1"/>
    <s v="A"/>
    <x v="4"/>
    <s v="PACAJUS"/>
  </r>
  <r>
    <x v="647"/>
    <n v="0"/>
    <x v="1470"/>
    <s v="30732111000153"/>
    <x v="116"/>
    <d v="2021-05-05T00:00:00"/>
    <n v="40"/>
    <n v="860.66"/>
    <s v="1/305595"/>
    <n v="1"/>
    <s v="A"/>
    <x v="4"/>
    <s v="PACAJUS"/>
  </r>
  <r>
    <x v="647"/>
    <n v="0"/>
    <x v="1471"/>
    <s v="21578080000137"/>
    <x v="113"/>
    <d v="2021-03-16T00:00:00"/>
    <n v="90"/>
    <n v="674.61"/>
    <s v="1/298708"/>
    <n v="1"/>
    <s v="A"/>
    <x v="4"/>
    <s v="HORIZONTE"/>
  </r>
  <r>
    <x v="647"/>
    <n v="0"/>
    <x v="1472"/>
    <s v="21578080000137"/>
    <x v="113"/>
    <d v="2021-03-26T00:00:00"/>
    <n v="80"/>
    <n v="914.39"/>
    <s v="1/300339"/>
    <n v="1"/>
    <s v="A"/>
    <x v="4"/>
    <s v="HORIZONTE"/>
  </r>
  <r>
    <x v="647"/>
    <n v="0"/>
    <x v="1473"/>
    <s v="21578080000137"/>
    <x v="113"/>
    <d v="2021-04-05T00:00:00"/>
    <n v="70"/>
    <n v="2963.89"/>
    <s v="1/301516"/>
    <n v="1"/>
    <s v="A"/>
    <x v="4"/>
    <s v="HORIZONTE"/>
  </r>
  <r>
    <x v="647"/>
    <n v="0"/>
    <x v="1474"/>
    <s v="21578080000137"/>
    <x v="113"/>
    <d v="2021-04-05T00:00:00"/>
    <n v="70"/>
    <n v="687.23"/>
    <s v="1/301536"/>
    <n v="1"/>
    <s v="A"/>
    <x v="4"/>
    <s v="HORIZONTE"/>
  </r>
  <r>
    <x v="647"/>
    <n v="0"/>
    <x v="1475"/>
    <s v="19496225000109"/>
    <x v="129"/>
    <d v="2021-03-26T00:00:00"/>
    <n v="80"/>
    <n v="1387.21"/>
    <s v="1/300169"/>
    <n v="1"/>
    <s v="A"/>
    <x v="15"/>
    <s v="FORTALEZA"/>
  </r>
  <r>
    <x v="647"/>
    <n v="0"/>
    <x v="1476"/>
    <s v="19496225000109"/>
    <x v="129"/>
    <d v="2021-03-31T00:00:00"/>
    <n v="75"/>
    <n v="1501.38"/>
    <s v="1/300896"/>
    <n v="1"/>
    <s v="A"/>
    <x v="15"/>
    <s v="FORTALEZA"/>
  </r>
  <r>
    <x v="647"/>
    <n v="0"/>
    <x v="1477"/>
    <s v="07035579000177"/>
    <x v="100"/>
    <d v="2021-05-19T00:00:00"/>
    <n v="26"/>
    <n v="204.02"/>
    <s v="1/307596"/>
    <n v="1"/>
    <s v="A"/>
    <x v="18"/>
    <s v="FRECHEIRINHA"/>
  </r>
  <r>
    <x v="648"/>
    <n v="0"/>
    <x v="1478"/>
    <s v="23576929000169"/>
    <x v="117"/>
    <d v="2021-04-06T00:00:00"/>
    <n v="70"/>
    <n v="275.16000000000003"/>
    <s v="1/301584"/>
    <n v="1"/>
    <s v="A"/>
    <x v="17"/>
    <s v="FORTALEZA"/>
  </r>
  <r>
    <x v="648"/>
    <n v="0"/>
    <x v="1479"/>
    <s v="30511707000123"/>
    <x v="115"/>
    <d v="2021-03-17T00:00:00"/>
    <n v="90"/>
    <n v="794"/>
    <s v="1/298902"/>
    <n v="1"/>
    <s v="A"/>
    <x v="4"/>
    <s v="HORIZONTE"/>
  </r>
  <r>
    <x v="648"/>
    <n v="0"/>
    <x v="1480"/>
    <s v="30511707000123"/>
    <x v="115"/>
    <d v="2021-03-22T00:00:00"/>
    <n v="85"/>
    <n v="601.62"/>
    <s v="1/299572"/>
    <n v="1"/>
    <s v="A"/>
    <x v="4"/>
    <s v="HORIZONTE"/>
  </r>
  <r>
    <x v="648"/>
    <n v="0"/>
    <x v="1481"/>
    <s v="30511707000123"/>
    <x v="115"/>
    <d v="2021-04-06T00:00:00"/>
    <n v="70"/>
    <n v="1621.87"/>
    <s v="1/301557"/>
    <n v="1"/>
    <s v="A"/>
    <x v="4"/>
    <s v="HORIZONTE"/>
  </r>
  <r>
    <x v="648"/>
    <n v="0"/>
    <x v="1482"/>
    <s v="30511783000139"/>
    <x v="125"/>
    <d v="2021-03-17T00:00:00"/>
    <n v="90"/>
    <n v="794"/>
    <s v="1/298900"/>
    <n v="1"/>
    <s v="A"/>
    <x v="4"/>
    <s v="REDENÇÃO"/>
  </r>
  <r>
    <x v="648"/>
    <n v="0"/>
    <x v="1483"/>
    <s v="30511783000139"/>
    <x v="125"/>
    <d v="2021-03-22T00:00:00"/>
    <n v="85"/>
    <n v="1612.42"/>
    <s v="1/299522"/>
    <n v="1"/>
    <s v="A"/>
    <x v="4"/>
    <s v="REDENÇÃO"/>
  </r>
  <r>
    <x v="648"/>
    <n v="0"/>
    <x v="1484"/>
    <s v="37741496000164"/>
    <x v="121"/>
    <d v="2021-03-12T00:00:00"/>
    <n v="95"/>
    <n v="2035.68"/>
    <s v="1/298463"/>
    <n v="1"/>
    <s v="A"/>
    <x v="18"/>
    <s v="VARJOTA"/>
  </r>
  <r>
    <x v="648"/>
    <n v="0"/>
    <x v="1485"/>
    <s v="30732111000153"/>
    <x v="116"/>
    <d v="2021-03-22T00:00:00"/>
    <n v="85"/>
    <n v="601.62"/>
    <s v="1/299569"/>
    <n v="1"/>
    <s v="A"/>
    <x v="4"/>
    <s v="PACAJUS"/>
  </r>
  <r>
    <x v="648"/>
    <n v="0"/>
    <x v="1486"/>
    <s v="21578080000137"/>
    <x v="113"/>
    <d v="2021-02-25T00:00:00"/>
    <n v="110"/>
    <n v="1018.42"/>
    <s v="1/295951"/>
    <n v="1"/>
    <s v="A"/>
    <x v="4"/>
    <s v="HORIZONTE"/>
  </r>
  <r>
    <x v="648"/>
    <n v="0"/>
    <x v="1487"/>
    <s v="21578080000137"/>
    <x v="113"/>
    <d v="2021-05-06T00:00:00"/>
    <n v="40"/>
    <n v="960.52"/>
    <s v="1/305708"/>
    <n v="1"/>
    <s v="A"/>
    <x v="4"/>
    <s v="HORIZONTE"/>
  </r>
  <r>
    <x v="648"/>
    <n v="0"/>
    <x v="1488"/>
    <s v="15784350000163"/>
    <x v="89"/>
    <d v="2021-04-26T00:00:00"/>
    <n v="50"/>
    <n v="255.05"/>
    <s v="1/304071"/>
    <n v="1"/>
    <s v="A"/>
    <x v="25"/>
    <s v="FORTALEZA"/>
  </r>
  <r>
    <x v="649"/>
    <n v="0"/>
    <x v="1489"/>
    <s v="23576929000169"/>
    <x v="117"/>
    <d v="2021-04-22T00:00:00"/>
    <n v="55"/>
    <n v="387.11"/>
    <s v="1/303732"/>
    <n v="1"/>
    <s v="A"/>
    <x v="17"/>
    <s v="FORTALEZA"/>
  </r>
  <r>
    <x v="649"/>
    <n v="0"/>
    <x v="1490"/>
    <s v="10899161000112"/>
    <x v="130"/>
    <d v="2021-03-23T00:00:00"/>
    <n v="85"/>
    <n v="346.33"/>
    <s v="1/299697"/>
    <n v="1"/>
    <s v="A"/>
    <x v="4"/>
    <s v="MARACANAU"/>
  </r>
  <r>
    <x v="649"/>
    <n v="0"/>
    <x v="1491"/>
    <s v="10899161000112"/>
    <x v="130"/>
    <d v="2021-04-12T00:00:00"/>
    <n v="65"/>
    <n v="422.47"/>
    <s v="1/302444"/>
    <n v="1"/>
    <s v="A"/>
    <x v="4"/>
    <s v="MARACANAU"/>
  </r>
  <r>
    <x v="649"/>
    <n v="0"/>
    <x v="1492"/>
    <s v="10899161000112"/>
    <x v="130"/>
    <d v="2021-06-01T00:00:00"/>
    <n v="15"/>
    <n v="940.14"/>
    <s v="1/309338"/>
    <n v="1"/>
    <s v="A"/>
    <x v="4"/>
    <s v="MARACANAU"/>
  </r>
  <r>
    <x v="649"/>
    <n v="0"/>
    <x v="1493"/>
    <s v="16852021000175"/>
    <x v="127"/>
    <d v="2021-03-18T00:00:00"/>
    <n v="90"/>
    <n v="266.97000000000003"/>
    <s v="1/299191"/>
    <n v="1"/>
    <s v="A"/>
    <x v="25"/>
    <s v="FORTALEZA"/>
  </r>
  <r>
    <x v="649"/>
    <n v="0"/>
    <x v="1494"/>
    <s v="30511707000123"/>
    <x v="115"/>
    <d v="2021-03-08T00:00:00"/>
    <n v="100"/>
    <n v="1596.6"/>
    <s v="1/297564"/>
    <n v="1"/>
    <s v="A"/>
    <x v="4"/>
    <s v="HORIZONTE"/>
  </r>
  <r>
    <x v="649"/>
    <n v="0"/>
    <x v="1495"/>
    <s v="30732111000153"/>
    <x v="116"/>
    <d v="2021-03-18T00:00:00"/>
    <n v="90"/>
    <n v="1265.73"/>
    <s v="1/299329"/>
    <n v="1"/>
    <s v="A"/>
    <x v="4"/>
    <s v="PACAJUS"/>
  </r>
  <r>
    <x v="649"/>
    <n v="0"/>
    <x v="1496"/>
    <s v="21578080000137"/>
    <x v="113"/>
    <d v="2021-03-08T00:00:00"/>
    <n v="100"/>
    <n v="1687.84"/>
    <s v="1/297566"/>
    <n v="1"/>
    <s v="A"/>
    <x v="4"/>
    <s v="HORIZONTE"/>
  </r>
  <r>
    <x v="649"/>
    <n v="0"/>
    <x v="1497"/>
    <s v="21578080000137"/>
    <x v="113"/>
    <d v="2021-03-18T00:00:00"/>
    <n v="90"/>
    <n v="1053.48"/>
    <s v="1/299323"/>
    <n v="1"/>
    <s v="A"/>
    <x v="4"/>
    <s v="HORIZONTE"/>
  </r>
  <r>
    <x v="649"/>
    <n v="0"/>
    <x v="1498"/>
    <s v="20692655000185"/>
    <x v="124"/>
    <d v="2021-04-07T00:00:00"/>
    <n v="70"/>
    <n v="368.29"/>
    <s v="1/301766"/>
    <n v="1"/>
    <s v="A"/>
    <x v="25"/>
    <s v="FORTALEZA"/>
  </r>
  <r>
    <x v="650"/>
    <n v="0"/>
    <x v="1499"/>
    <s v="10899161000112"/>
    <x v="130"/>
    <d v="2021-03-03T00:00:00"/>
    <n v="106"/>
    <n v="408.24"/>
    <s v="1/296904"/>
    <n v="1"/>
    <s v="A"/>
    <x v="4"/>
    <s v="MARACANAU"/>
  </r>
  <r>
    <x v="650"/>
    <n v="0"/>
    <x v="1500"/>
    <s v="30511707000123"/>
    <x v="115"/>
    <d v="2021-03-29T00:00:00"/>
    <n v="80"/>
    <n v="540.05999999999995"/>
    <s v="1/300481"/>
    <n v="1"/>
    <s v="A"/>
    <x v="4"/>
    <s v="HORIZONTE"/>
  </r>
  <r>
    <x v="650"/>
    <n v="0"/>
    <x v="1501"/>
    <s v="30511707000123"/>
    <x v="115"/>
    <d v="2021-03-29T00:00:00"/>
    <n v="80"/>
    <n v="1345.6"/>
    <s v="1/300616"/>
    <n v="1"/>
    <s v="A"/>
    <x v="4"/>
    <s v="HORIZONTE"/>
  </r>
  <r>
    <x v="650"/>
    <n v="0"/>
    <x v="1502"/>
    <s v="10598280000135"/>
    <x v="131"/>
    <d v="2021-04-13T00:00:00"/>
    <n v="65"/>
    <n v="1156.98"/>
    <s v="1/302687"/>
    <n v="1"/>
    <s v="P"/>
    <x v="17"/>
    <s v="FORTALEZA"/>
  </r>
  <r>
    <x v="650"/>
    <n v="0"/>
    <x v="1503"/>
    <s v="30732111000153"/>
    <x v="116"/>
    <d v="2021-04-08T00:00:00"/>
    <n v="70"/>
    <n v="1340.55"/>
    <s v="1/302060"/>
    <n v="1"/>
    <s v="A"/>
    <x v="4"/>
    <s v="PACAJUS"/>
  </r>
  <r>
    <x v="650"/>
    <n v="0"/>
    <x v="1504"/>
    <s v="21578080000137"/>
    <x v="113"/>
    <d v="2021-02-17T00:00:00"/>
    <n v="120"/>
    <n v="998.1"/>
    <s v="1/295053"/>
    <n v="1"/>
    <s v="A"/>
    <x v="4"/>
    <s v="HORIZONTE"/>
  </r>
  <r>
    <x v="650"/>
    <n v="0"/>
    <x v="1505"/>
    <s v="21578080000137"/>
    <x v="113"/>
    <d v="2021-03-29T00:00:00"/>
    <n v="80"/>
    <n v="540.05999999999995"/>
    <s v="1/300478"/>
    <n v="1"/>
    <s v="A"/>
    <x v="4"/>
    <s v="HORIZONTE"/>
  </r>
  <r>
    <x v="650"/>
    <n v="0"/>
    <x v="1506"/>
    <s v="21578080000137"/>
    <x v="113"/>
    <d v="2021-03-29T00:00:00"/>
    <n v="80"/>
    <n v="1236.9000000000001"/>
    <s v="1/300618"/>
    <n v="1"/>
    <s v="A"/>
    <x v="4"/>
    <s v="HORIZONTE"/>
  </r>
  <r>
    <x v="650"/>
    <n v="0"/>
    <x v="1507"/>
    <s v="23928619000166"/>
    <x v="122"/>
    <d v="2021-03-29T00:00:00"/>
    <n v="80"/>
    <n v="565.30999999999995"/>
    <s v="1/300646"/>
    <n v="1"/>
    <s v="A"/>
    <x v="4"/>
    <s v="ARACATI"/>
  </r>
  <r>
    <x v="650"/>
    <n v="0"/>
    <x v="1508"/>
    <s v="23928619000166"/>
    <x v="122"/>
    <d v="2021-04-28T00:00:00"/>
    <n v="50"/>
    <n v="462.56"/>
    <s v="1/304497"/>
    <n v="1"/>
    <s v="A"/>
    <x v="4"/>
    <s v="ARACATI"/>
  </r>
  <r>
    <x v="650"/>
    <n v="0"/>
    <x v="1509"/>
    <s v="20692655000185"/>
    <x v="124"/>
    <d v="2021-05-03T00:00:00"/>
    <n v="45"/>
    <n v="333.17"/>
    <s v="1/305257"/>
    <n v="1"/>
    <s v="A"/>
    <x v="25"/>
    <s v="FORTALEZA"/>
  </r>
  <r>
    <x v="651"/>
    <n v="0"/>
    <x v="1510"/>
    <s v="30511783000139"/>
    <x v="125"/>
    <d v="2021-04-09T00:00:00"/>
    <n v="70"/>
    <n v="1075.46"/>
    <s v="1/302261"/>
    <n v="1"/>
    <s v="A"/>
    <x v="4"/>
    <s v="REDENÇÃO"/>
  </r>
  <r>
    <x v="651"/>
    <n v="0"/>
    <x v="1511"/>
    <s v="30732111000153"/>
    <x v="116"/>
    <d v="2021-02-18T00:00:00"/>
    <n v="120"/>
    <n v="560.74"/>
    <s v="1/295210"/>
    <n v="1"/>
    <s v="A"/>
    <x v="4"/>
    <s v="PACAJUS"/>
  </r>
  <r>
    <x v="651"/>
    <n v="0"/>
    <x v="1512"/>
    <s v="30732111000153"/>
    <x v="116"/>
    <d v="2021-03-10T00:00:00"/>
    <n v="100"/>
    <n v="997.03"/>
    <s v="1/297971"/>
    <n v="1"/>
    <s v="A"/>
    <x v="4"/>
    <s v="PACAJUS"/>
  </r>
  <r>
    <x v="651"/>
    <n v="0"/>
    <x v="1513"/>
    <s v="30732111000153"/>
    <x v="116"/>
    <d v="2021-03-30T00:00:00"/>
    <n v="80"/>
    <n v="1437.58"/>
    <s v="1/300852"/>
    <n v="1"/>
    <s v="A"/>
    <x v="4"/>
    <s v="PACAJUS"/>
  </r>
  <r>
    <x v="651"/>
    <n v="0"/>
    <x v="1514"/>
    <s v="21578080000137"/>
    <x v="113"/>
    <d v="2021-02-08T00:00:00"/>
    <n v="130"/>
    <n v="1741.75"/>
    <s v="1/294027"/>
    <n v="1"/>
    <s v="A"/>
    <x v="4"/>
    <s v="HORIZONTE"/>
  </r>
  <r>
    <x v="651"/>
    <n v="0"/>
    <x v="1515"/>
    <s v="21578080000137"/>
    <x v="113"/>
    <d v="2021-04-19T00:00:00"/>
    <n v="60"/>
    <n v="1401.16"/>
    <s v="1/303432"/>
    <n v="1"/>
    <s v="A"/>
    <x v="4"/>
    <s v="HORIZONTE"/>
  </r>
  <r>
    <x v="651"/>
    <n v="0"/>
    <x v="1516"/>
    <s v="35019206000148"/>
    <x v="99"/>
    <d v="2021-05-19T00:00:00"/>
    <n v="30"/>
    <n v="912.08"/>
    <s v="1/307622"/>
    <n v="1"/>
    <s v="A"/>
    <x v="17"/>
    <s v="FORTALEZA"/>
  </r>
  <r>
    <x v="652"/>
    <n v="0"/>
    <x v="1517"/>
    <s v="23576929000169"/>
    <x v="117"/>
    <d v="2021-04-20T00:00:00"/>
    <n v="60"/>
    <n v="285.87"/>
    <s v="1/303515"/>
    <n v="1"/>
    <s v="A"/>
    <x v="17"/>
    <s v="FORTALEZA"/>
  </r>
  <r>
    <x v="652"/>
    <n v="0"/>
    <x v="1518"/>
    <s v="10899161000112"/>
    <x v="130"/>
    <d v="2021-03-31T00:00:00"/>
    <n v="80"/>
    <n v="372.46"/>
    <s v="1/301250"/>
    <n v="1"/>
    <s v="A"/>
    <x v="4"/>
    <s v="MARACANAU"/>
  </r>
  <r>
    <x v="652"/>
    <n v="0"/>
    <x v="1519"/>
    <s v="10899161000112"/>
    <x v="130"/>
    <d v="2021-05-05T00:00:00"/>
    <n v="45"/>
    <n v="733.37"/>
    <s v="1/305527"/>
    <n v="1"/>
    <s v="A"/>
    <x v="4"/>
    <s v="MARACANAU"/>
  </r>
  <r>
    <x v="652"/>
    <n v="0"/>
    <x v="1520"/>
    <s v="30511707000123"/>
    <x v="115"/>
    <d v="2021-03-31T00:00:00"/>
    <n v="80"/>
    <n v="793.99"/>
    <s v="1/300941"/>
    <n v="1"/>
    <s v="A"/>
    <x v="4"/>
    <s v="HORIZONTE"/>
  </r>
  <r>
    <x v="652"/>
    <n v="0"/>
    <x v="1521"/>
    <s v="30511783000139"/>
    <x v="125"/>
    <d v="2021-03-31T00:00:00"/>
    <n v="80"/>
    <n v="602.16"/>
    <s v="1/300915"/>
    <n v="1"/>
    <s v="A"/>
    <x v="4"/>
    <s v="REDENÇÃO"/>
  </r>
  <r>
    <x v="652"/>
    <n v="0"/>
    <x v="1522"/>
    <s v="30511783000139"/>
    <x v="125"/>
    <d v="2021-05-10T00:00:00"/>
    <n v="40"/>
    <n v="397.64"/>
    <s v="1/306144"/>
    <n v="1"/>
    <s v="A"/>
    <x v="4"/>
    <s v="REDENÇÃO"/>
  </r>
  <r>
    <x v="652"/>
    <n v="0"/>
    <x v="1523"/>
    <s v="30732111000153"/>
    <x v="116"/>
    <d v="2021-02-19T00:00:00"/>
    <n v="120"/>
    <n v="762.8"/>
    <s v="1/295361"/>
    <n v="1"/>
    <s v="A"/>
    <x v="4"/>
    <s v="PACAJUS"/>
  </r>
  <r>
    <x v="652"/>
    <n v="0"/>
    <x v="1524"/>
    <s v="30732111000153"/>
    <x v="116"/>
    <d v="2021-03-31T00:00:00"/>
    <n v="80"/>
    <n v="602.16"/>
    <s v="1/300942"/>
    <n v="1"/>
    <s v="A"/>
    <x v="4"/>
    <s v="PACAJUS"/>
  </r>
  <r>
    <x v="652"/>
    <n v="0"/>
    <x v="1525"/>
    <s v="21578080000137"/>
    <x v="113"/>
    <d v="2021-03-31T00:00:00"/>
    <n v="80"/>
    <n v="602.16"/>
    <s v="1/300940"/>
    <n v="1"/>
    <s v="A"/>
    <x v="4"/>
    <s v="HORIZONTE"/>
  </r>
  <r>
    <x v="652"/>
    <n v="0"/>
    <x v="1526"/>
    <s v="21578080000137"/>
    <x v="113"/>
    <d v="2021-03-31T00:00:00"/>
    <n v="80"/>
    <n v="878.51"/>
    <s v="1/301207"/>
    <n v="1"/>
    <s v="A"/>
    <x v="4"/>
    <s v="HORIZONTE"/>
  </r>
  <r>
    <x v="652"/>
    <n v="0"/>
    <x v="1527"/>
    <s v="15784350000163"/>
    <x v="89"/>
    <d v="2021-04-30T00:00:00"/>
    <n v="50"/>
    <n v="307.63"/>
    <s v="1/304850"/>
    <n v="1"/>
    <s v="A"/>
    <x v="25"/>
    <s v="FORTALEZA"/>
  </r>
  <r>
    <x v="652"/>
    <n v="0"/>
    <x v="1528"/>
    <s v="20692655000185"/>
    <x v="124"/>
    <d v="2021-04-20T00:00:00"/>
    <n v="60"/>
    <n v="193.28"/>
    <s v="1/303527"/>
    <n v="1"/>
    <s v="A"/>
    <x v="25"/>
    <s v="FORTALEZA"/>
  </r>
  <r>
    <x v="652"/>
    <n v="0"/>
    <x v="1529"/>
    <s v="20692655000185"/>
    <x v="124"/>
    <d v="2021-04-30T00:00:00"/>
    <n v="50"/>
    <n v="356.57"/>
    <s v="1/304956"/>
    <n v="1"/>
    <s v="A"/>
    <x v="25"/>
    <s v="FORTALEZA"/>
  </r>
  <r>
    <x v="653"/>
    <n v="0"/>
    <x v="1530"/>
    <s v="30511707000123"/>
    <x v="115"/>
    <d v="2021-03-02T00:00:00"/>
    <n v="110"/>
    <n v="1486.33"/>
    <s v="1/296672"/>
    <n v="1"/>
    <s v="A"/>
    <x v="4"/>
    <s v="HORIZONTE"/>
  </r>
  <r>
    <x v="653"/>
    <n v="0"/>
    <x v="1531"/>
    <s v="30511707000123"/>
    <x v="115"/>
    <d v="2021-03-22T00:00:00"/>
    <n v="90"/>
    <n v="1225.3699999999999"/>
    <s v="1/299523"/>
    <n v="1"/>
    <s v="A"/>
    <x v="4"/>
    <s v="HORIZONTE"/>
  </r>
  <r>
    <x v="653"/>
    <n v="0"/>
    <x v="1532"/>
    <s v="30511707000123"/>
    <x v="115"/>
    <d v="2021-05-11T00:00:00"/>
    <n v="40"/>
    <n v="281.32"/>
    <s v="1/306360"/>
    <n v="1"/>
    <s v="A"/>
    <x v="4"/>
    <s v="HORIZONTE"/>
  </r>
  <r>
    <x v="653"/>
    <n v="0"/>
    <x v="1533"/>
    <s v="21578080000137"/>
    <x v="113"/>
    <d v="2021-04-06T00:00:00"/>
    <n v="75"/>
    <n v="1030.4000000000001"/>
    <s v="1/301602"/>
    <n v="1"/>
    <s v="A"/>
    <x v="4"/>
    <s v="HORIZONTE"/>
  </r>
  <r>
    <x v="654"/>
    <n v="0"/>
    <x v="1534"/>
    <s v="23576929000169"/>
    <x v="117"/>
    <d v="2021-04-12T00:00:00"/>
    <n v="70"/>
    <n v="370.09"/>
    <s v="1/302417"/>
    <n v="1"/>
    <s v="A"/>
    <x v="17"/>
    <s v="FORTALEZA"/>
  </r>
  <r>
    <x v="654"/>
    <n v="0"/>
    <x v="1535"/>
    <s v="10899161000112"/>
    <x v="130"/>
    <d v="2021-03-23T00:00:00"/>
    <n v="90"/>
    <n v="346.3"/>
    <s v="1/299697"/>
    <n v="1"/>
    <s v="A"/>
    <x v="4"/>
    <s v="MARACANAU"/>
  </r>
  <r>
    <x v="654"/>
    <n v="0"/>
    <x v="1536"/>
    <s v="10899161000112"/>
    <x v="130"/>
    <d v="2021-04-12T00:00:00"/>
    <n v="70"/>
    <n v="422.47"/>
    <s v="1/302444"/>
    <n v="1"/>
    <s v="A"/>
    <x v="4"/>
    <s v="MARACANAU"/>
  </r>
  <r>
    <x v="654"/>
    <n v="0"/>
    <x v="1537"/>
    <s v="30511707000123"/>
    <x v="115"/>
    <d v="2021-04-12T00:00:00"/>
    <n v="70"/>
    <n v="653.55999999999995"/>
    <s v="1/302404"/>
    <n v="1"/>
    <s v="A"/>
    <x v="4"/>
    <s v="HORIZONTE"/>
  </r>
  <r>
    <x v="654"/>
    <n v="0"/>
    <x v="1538"/>
    <s v="30511707000123"/>
    <x v="115"/>
    <d v="2021-04-12T00:00:00"/>
    <n v="70"/>
    <n v="2288.9699999999998"/>
    <s v="1/302416"/>
    <n v="1"/>
    <s v="A"/>
    <x v="4"/>
    <s v="HORIZONTE"/>
  </r>
  <r>
    <x v="654"/>
    <n v="0"/>
    <x v="1539"/>
    <s v="30732111000153"/>
    <x v="116"/>
    <d v="2021-03-23T00:00:00"/>
    <n v="90"/>
    <n v="923.63"/>
    <s v="1/299789"/>
    <n v="1"/>
    <s v="A"/>
    <x v="4"/>
    <s v="PACAJUS"/>
  </r>
  <r>
    <x v="654"/>
    <n v="0"/>
    <x v="1540"/>
    <s v="21578080000137"/>
    <x v="113"/>
    <d v="2021-03-23T00:00:00"/>
    <n v="90"/>
    <n v="1652.07"/>
    <s v="1/299765"/>
    <n v="1"/>
    <s v="A"/>
    <x v="4"/>
    <s v="HORIZONTE"/>
  </r>
  <r>
    <x v="654"/>
    <n v="0"/>
    <x v="1541"/>
    <s v="23928619000166"/>
    <x v="122"/>
    <d v="2021-04-27T00:00:00"/>
    <n v="55"/>
    <n v="547.99"/>
    <s v="1/304313"/>
    <n v="1"/>
    <s v="A"/>
    <x v="4"/>
    <s v="ARACATI"/>
  </r>
  <r>
    <x v="654"/>
    <n v="0"/>
    <x v="1542"/>
    <s v="20692655000185"/>
    <x v="124"/>
    <d v="2021-03-18T00:00:00"/>
    <n v="95"/>
    <n v="354.15"/>
    <s v="1/299208"/>
    <n v="1"/>
    <s v="A"/>
    <x v="25"/>
    <s v="FORTALEZA"/>
  </r>
  <r>
    <x v="655"/>
    <n v="0"/>
    <x v="1543"/>
    <s v="23576929000169"/>
    <x v="117"/>
    <d v="2021-04-23T00:00:00"/>
    <n v="60"/>
    <n v="395.8"/>
    <s v="1/303834"/>
    <n v="1"/>
    <s v="A"/>
    <x v="17"/>
    <s v="FORTALEZA"/>
  </r>
  <r>
    <x v="655"/>
    <n v="0"/>
    <x v="1544"/>
    <s v="30511707000123"/>
    <x v="115"/>
    <d v="2021-02-22T00:00:00"/>
    <n v="120"/>
    <n v="1011.33"/>
    <s v="1/295533"/>
    <n v="1"/>
    <s v="A"/>
    <x v="4"/>
    <s v="HORIZONTE"/>
  </r>
  <r>
    <x v="655"/>
    <n v="0"/>
    <x v="1545"/>
    <s v="30511783000139"/>
    <x v="125"/>
    <d v="2021-03-29T00:00:00"/>
    <n v="85"/>
    <n v="838.17"/>
    <s v="1/300652"/>
    <n v="1"/>
    <s v="A"/>
    <x v="4"/>
    <s v="REDENÇÃO"/>
  </r>
  <r>
    <x v="655"/>
    <n v="0"/>
    <x v="1546"/>
    <s v="03024466000115"/>
    <x v="132"/>
    <d v="2021-04-13T00:00:00"/>
    <n v="70"/>
    <n v="1280.8900000000001"/>
    <s v="1/302629"/>
    <n v="1"/>
    <s v="P"/>
    <x v="17"/>
    <s v="FORTALEZA"/>
  </r>
  <r>
    <x v="655"/>
    <n v="0"/>
    <x v="1547"/>
    <s v="30732111000153"/>
    <x v="116"/>
    <d v="2021-03-29T00:00:00"/>
    <n v="85"/>
    <n v="540.05999999999995"/>
    <s v="1/300480"/>
    <n v="1"/>
    <s v="A"/>
    <x v="4"/>
    <s v="PACAJUS"/>
  </r>
  <r>
    <x v="655"/>
    <n v="0"/>
    <x v="1548"/>
    <s v="30732111000153"/>
    <x v="116"/>
    <d v="2021-04-13T00:00:00"/>
    <n v="70"/>
    <n v="1727.26"/>
    <s v="1/302505"/>
    <n v="1"/>
    <s v="A"/>
    <x v="4"/>
    <s v="PACAJUS"/>
  </r>
  <r>
    <x v="655"/>
    <n v="0"/>
    <x v="1549"/>
    <s v="21578080000137"/>
    <x v="113"/>
    <d v="2021-04-13T00:00:00"/>
    <n v="70"/>
    <n v="1909.97"/>
    <s v="1/302518"/>
    <n v="1"/>
    <s v="A"/>
    <x v="4"/>
    <s v="HORIZONTE"/>
  </r>
  <r>
    <x v="656"/>
    <n v="0"/>
    <x v="1550"/>
    <s v="23576929000169"/>
    <x v="117"/>
    <d v="2021-05-04T00:00:00"/>
    <n v="50"/>
    <n v="284.26"/>
    <s v="1/305348"/>
    <n v="1"/>
    <s v="A"/>
    <x v="17"/>
    <s v="FORTALEZA"/>
  </r>
  <r>
    <x v="656"/>
    <n v="0"/>
    <x v="1551"/>
    <s v="16852021000175"/>
    <x v="127"/>
    <d v="2021-03-30T00:00:00"/>
    <n v="85"/>
    <n v="350.77"/>
    <s v="1/300810"/>
    <n v="1"/>
    <s v="A"/>
    <x v="25"/>
    <s v="FORTALEZA"/>
  </r>
  <r>
    <x v="656"/>
    <n v="0"/>
    <x v="1552"/>
    <s v="20692655000185"/>
    <x v="124"/>
    <d v="2021-04-14T00:00:00"/>
    <n v="70"/>
    <n v="284.58999999999997"/>
    <s v="1/302901"/>
    <n v="1"/>
    <s v="A"/>
    <x v="25"/>
    <s v="FORTALEZA"/>
  </r>
  <r>
    <x v="656"/>
    <n v="0"/>
    <x v="1553"/>
    <s v="07467475001375"/>
    <x v="133"/>
    <d v="2021-03-26T00:00:00"/>
    <n v="89"/>
    <n v="233.83"/>
    <s v="1/300178"/>
    <n v="1"/>
    <s v="A"/>
    <x v="15"/>
    <s v="MARACANAU"/>
  </r>
  <r>
    <x v="657"/>
    <n v="0"/>
    <x v="1554"/>
    <s v="10899161000112"/>
    <x v="130"/>
    <d v="2021-04-05T00:00:00"/>
    <n v="80"/>
    <n v="366.49"/>
    <s v="1/301476"/>
    <n v="1"/>
    <s v="A"/>
    <x v="4"/>
    <s v="MARACANAU"/>
  </r>
  <r>
    <x v="657"/>
    <n v="0"/>
    <x v="1555"/>
    <s v="10899161000112"/>
    <x v="130"/>
    <d v="2021-05-05T00:00:00"/>
    <n v="50"/>
    <n v="733.37"/>
    <s v="1/305527"/>
    <n v="1"/>
    <s v="A"/>
    <x v="4"/>
    <s v="MARACANAU"/>
  </r>
  <r>
    <x v="657"/>
    <n v="0"/>
    <x v="1556"/>
    <s v="30732111000153"/>
    <x v="116"/>
    <d v="2021-05-05T00:00:00"/>
    <n v="50"/>
    <n v="860.67"/>
    <s v="1/305595"/>
    <n v="1"/>
    <s v="A"/>
    <x v="4"/>
    <s v="PACAJUS"/>
  </r>
  <r>
    <x v="657"/>
    <n v="0"/>
    <x v="1557"/>
    <s v="21578080000137"/>
    <x v="113"/>
    <d v="2021-04-05T00:00:00"/>
    <n v="80"/>
    <n v="2142.2800000000002"/>
    <s v="1/301516"/>
    <n v="1"/>
    <s v="A"/>
    <x v="4"/>
    <s v="HORIZONTE"/>
  </r>
  <r>
    <x v="658"/>
    <n v="0"/>
    <x v="1558"/>
    <s v="23576929000169"/>
    <x v="117"/>
    <d v="2021-05-06T00:00:00"/>
    <n v="50"/>
    <n v="333.77"/>
    <s v="1/305702"/>
    <n v="1"/>
    <s v="A"/>
    <x v="17"/>
    <s v="FORTALEZA"/>
  </r>
  <r>
    <x v="658"/>
    <n v="0"/>
    <x v="1559"/>
    <s v="30511707000123"/>
    <x v="115"/>
    <d v="2021-04-06T00:00:00"/>
    <n v="80"/>
    <n v="1619.6"/>
    <s v="1/301557"/>
    <n v="1"/>
    <s v="A"/>
    <x v="4"/>
    <s v="HORIZONTE"/>
  </r>
  <r>
    <x v="658"/>
    <n v="0"/>
    <x v="1560"/>
    <s v="30511707000123"/>
    <x v="115"/>
    <d v="2021-04-06T00:00:00"/>
    <n v="80"/>
    <n v="1030.4000000000001"/>
    <s v="1/301601"/>
    <n v="1"/>
    <s v="A"/>
    <x v="4"/>
    <s v="HORIZONTE"/>
  </r>
  <r>
    <x v="658"/>
    <n v="0"/>
    <x v="1561"/>
    <s v="30511707000123"/>
    <x v="115"/>
    <d v="2021-04-06T00:00:00"/>
    <n v="80"/>
    <n v="681.79"/>
    <s v="1/301607"/>
    <n v="1"/>
    <s v="A"/>
    <x v="4"/>
    <s v="HORIZONTE"/>
  </r>
  <r>
    <x v="658"/>
    <n v="0"/>
    <x v="1562"/>
    <s v="30511783000139"/>
    <x v="125"/>
    <d v="2021-04-06T00:00:00"/>
    <n v="80"/>
    <n v="681.79"/>
    <s v="1/301608"/>
    <n v="1"/>
    <s v="A"/>
    <x v="4"/>
    <s v="REDENÇÃO"/>
  </r>
  <r>
    <x v="658"/>
    <n v="0"/>
    <x v="1563"/>
    <s v="30511783000139"/>
    <x v="125"/>
    <d v="2021-05-21T00:00:00"/>
    <n v="35"/>
    <n v="560.13"/>
    <s v="1/307897"/>
    <n v="1"/>
    <s v="A"/>
    <x v="4"/>
    <s v="REDENÇÃO"/>
  </r>
  <r>
    <x v="658"/>
    <n v="0"/>
    <x v="1564"/>
    <s v="37741496000164"/>
    <x v="121"/>
    <d v="2021-04-06T00:00:00"/>
    <n v="80"/>
    <n v="1166.5999999999999"/>
    <s v="1/301684"/>
    <n v="1"/>
    <s v="A"/>
    <x v="18"/>
    <s v="VARJOTA"/>
  </r>
  <r>
    <x v="658"/>
    <n v="0"/>
    <x v="1565"/>
    <s v="28041128000112"/>
    <x v="134"/>
    <d v="2021-04-26T00:00:00"/>
    <n v="60"/>
    <n v="1355.6"/>
    <s v="1/304058"/>
    <n v="1"/>
    <s v="P"/>
    <x v="17"/>
    <s v="MARACANAU"/>
  </r>
  <r>
    <x v="658"/>
    <n v="0"/>
    <x v="1566"/>
    <s v="03024466000115"/>
    <x v="132"/>
    <d v="2021-04-26T00:00:00"/>
    <n v="60"/>
    <n v="963.59"/>
    <s v="1/304059"/>
    <n v="1"/>
    <s v="P"/>
    <x v="17"/>
    <s v="FORTALEZA"/>
  </r>
  <r>
    <x v="658"/>
    <n v="0"/>
    <x v="1567"/>
    <s v="30732111000153"/>
    <x v="116"/>
    <d v="2021-04-06T00:00:00"/>
    <n v="80"/>
    <n v="681.79"/>
    <s v="1/301609"/>
    <n v="1"/>
    <s v="A"/>
    <x v="4"/>
    <s v="PACAJUS"/>
  </r>
  <r>
    <x v="658"/>
    <n v="0"/>
    <x v="1568"/>
    <s v="21578080000137"/>
    <x v="113"/>
    <d v="2021-02-25T00:00:00"/>
    <n v="120"/>
    <n v="1018.44"/>
    <s v="1/295951"/>
    <n v="1"/>
    <s v="A"/>
    <x v="4"/>
    <s v="HORIZONTE"/>
  </r>
  <r>
    <x v="658"/>
    <n v="0"/>
    <x v="1569"/>
    <s v="21578080000137"/>
    <x v="113"/>
    <d v="2021-04-06T00:00:00"/>
    <n v="80"/>
    <n v="681.79"/>
    <s v="1/301610"/>
    <n v="1"/>
    <s v="A"/>
    <x v="4"/>
    <s v="HORIZONTE"/>
  </r>
  <r>
    <x v="658"/>
    <n v="0"/>
    <x v="1570"/>
    <s v="21578080000137"/>
    <x v="113"/>
    <d v="2021-05-06T00:00:00"/>
    <n v="50"/>
    <n v="960.52"/>
    <s v="1/305708"/>
    <n v="1"/>
    <s v="A"/>
    <x v="4"/>
    <s v="HORIZONTE"/>
  </r>
  <r>
    <x v="658"/>
    <n v="0"/>
    <x v="1571"/>
    <s v="07035579000177"/>
    <x v="100"/>
    <d v="2021-05-28T00:00:00"/>
    <n v="28"/>
    <n v="136.96"/>
    <s v="1/308918"/>
    <n v="1"/>
    <s v="A"/>
    <x v="18"/>
    <s v="FRECHEIRINHA"/>
  </r>
  <r>
    <x v="658"/>
    <n v="0"/>
    <x v="1572"/>
    <s v="07035579000177"/>
    <x v="100"/>
    <d v="2021-06-04T00:00:00"/>
    <n v="21"/>
    <n v="187.9"/>
    <s v="1/309796"/>
    <n v="1"/>
    <s v="A"/>
    <x v="18"/>
    <s v="FRECHEIRINHA"/>
  </r>
  <r>
    <x v="658"/>
    <n v="0"/>
    <x v="1573"/>
    <s v="20692655000185"/>
    <x v="124"/>
    <d v="2021-04-26T00:00:00"/>
    <n v="60"/>
    <n v="236.87"/>
    <s v="1/304074"/>
    <n v="1"/>
    <s v="A"/>
    <x v="25"/>
    <s v="FORTALEZA"/>
  </r>
  <r>
    <x v="659"/>
    <n v="0"/>
    <x v="1574"/>
    <s v="23576929000169"/>
    <x v="117"/>
    <d v="2021-04-22T00:00:00"/>
    <n v="65"/>
    <n v="387.11"/>
    <s v="1/303732"/>
    <n v="1"/>
    <s v="A"/>
    <x v="17"/>
    <s v="FORTALEZA"/>
  </r>
  <r>
    <x v="659"/>
    <n v="0"/>
    <x v="1575"/>
    <s v="23576929000169"/>
    <x v="117"/>
    <d v="2021-04-27T00:00:00"/>
    <n v="60"/>
    <n v="294.12"/>
    <s v="1/304214"/>
    <n v="1"/>
    <s v="A"/>
    <x v="17"/>
    <s v="FORTALEZA"/>
  </r>
  <r>
    <x v="659"/>
    <n v="0"/>
    <x v="1576"/>
    <s v="10899161000112"/>
    <x v="130"/>
    <d v="2021-04-12T00:00:00"/>
    <n v="75"/>
    <n v="422.47"/>
    <s v="1/302444"/>
    <n v="1"/>
    <s v="A"/>
    <x v="4"/>
    <s v="MARACANAU"/>
  </r>
  <r>
    <x v="659"/>
    <n v="0"/>
    <x v="1577"/>
    <s v="10899161000112"/>
    <x v="130"/>
    <d v="2021-06-01T00:00:00"/>
    <n v="25"/>
    <n v="577.58000000000004"/>
    <s v="1/309338"/>
    <n v="1"/>
    <s v="A"/>
    <x v="4"/>
    <s v="MARACANAU"/>
  </r>
  <r>
    <x v="659"/>
    <n v="0"/>
    <x v="1578"/>
    <s v="16852021000175"/>
    <x v="127"/>
    <d v="2021-03-18T00:00:00"/>
    <n v="100"/>
    <n v="266.97000000000003"/>
    <s v="1/299191"/>
    <n v="1"/>
    <s v="A"/>
    <x v="25"/>
    <s v="FORTALEZA"/>
  </r>
  <r>
    <x v="659"/>
    <n v="0"/>
    <x v="1579"/>
    <s v="30511707000123"/>
    <x v="115"/>
    <d v="2021-03-08T00:00:00"/>
    <n v="110"/>
    <n v="1596.6"/>
    <s v="1/297564"/>
    <n v="1"/>
    <s v="A"/>
    <x v="4"/>
    <s v="HORIZONTE"/>
  </r>
  <r>
    <x v="659"/>
    <n v="0"/>
    <x v="1580"/>
    <s v="30511707000123"/>
    <x v="115"/>
    <d v="2021-04-27T00:00:00"/>
    <n v="60"/>
    <n v="109.95"/>
    <s v="1/304312"/>
    <n v="1"/>
    <s v="A"/>
    <x v="4"/>
    <s v="HORIZONTE"/>
  </r>
  <r>
    <x v="659"/>
    <n v="0"/>
    <x v="1581"/>
    <s v="30732111000153"/>
    <x v="116"/>
    <d v="2021-04-12T00:00:00"/>
    <n v="75"/>
    <n v="699.22"/>
    <s v="1/302451"/>
    <n v="1"/>
    <s v="A"/>
    <x v="4"/>
    <s v="PACAJUS"/>
  </r>
  <r>
    <x v="659"/>
    <n v="0"/>
    <x v="1582"/>
    <s v="21578080000137"/>
    <x v="113"/>
    <d v="2021-03-08T00:00:00"/>
    <n v="110"/>
    <n v="1687.84"/>
    <s v="1/297566"/>
    <n v="1"/>
    <s v="A"/>
    <x v="4"/>
    <s v="HORIZONTE"/>
  </r>
  <r>
    <x v="659"/>
    <n v="0"/>
    <x v="1583"/>
    <s v="21578080000137"/>
    <x v="113"/>
    <d v="2021-03-18T00:00:00"/>
    <n v="100"/>
    <n v="1053.46"/>
    <s v="1/299323"/>
    <n v="1"/>
    <s v="A"/>
    <x v="4"/>
    <s v="HORIZONTE"/>
  </r>
  <r>
    <x v="659"/>
    <n v="0"/>
    <x v="1584"/>
    <s v="21578080000137"/>
    <x v="113"/>
    <d v="2021-04-12T00:00:00"/>
    <n v="75"/>
    <n v="949.46"/>
    <s v="1/302403"/>
    <n v="1"/>
    <s v="A"/>
    <x v="4"/>
    <s v="HORIZONTE"/>
  </r>
  <r>
    <x v="659"/>
    <n v="0"/>
    <x v="1585"/>
    <s v="20692655000185"/>
    <x v="124"/>
    <d v="2021-04-27T00:00:00"/>
    <n v="60"/>
    <n v="382.3"/>
    <s v="1/304307"/>
    <n v="1"/>
    <s v="A"/>
    <x v="25"/>
    <s v="FORTALEZA"/>
  </r>
  <r>
    <x v="660"/>
    <n v="0"/>
    <x v="1586"/>
    <s v="30511707000123"/>
    <x v="115"/>
    <d v="2021-03-29T00:00:00"/>
    <n v="90"/>
    <n v="1345.6"/>
    <s v="1/300616"/>
    <n v="1"/>
    <s v="A"/>
    <x v="4"/>
    <s v="HORIZONTE"/>
  </r>
  <r>
    <x v="660"/>
    <n v="0"/>
    <x v="1587"/>
    <s v="03024466000115"/>
    <x v="132"/>
    <d v="2021-04-28T00:00:00"/>
    <n v="60"/>
    <n v="730.94"/>
    <s v="1/304391"/>
    <n v="1"/>
    <s v="P"/>
    <x v="17"/>
    <s v="FORTALEZA"/>
  </r>
  <r>
    <x v="660"/>
    <n v="0"/>
    <x v="1588"/>
    <s v="30732111000153"/>
    <x v="116"/>
    <d v="2021-04-08T00:00:00"/>
    <n v="80"/>
    <n v="1338.68"/>
    <s v="1/302060"/>
    <n v="1"/>
    <s v="A"/>
    <x v="4"/>
    <s v="PACAJUS"/>
  </r>
  <r>
    <x v="660"/>
    <n v="0"/>
    <x v="1589"/>
    <s v="30732111000153"/>
    <x v="116"/>
    <d v="2021-05-13T00:00:00"/>
    <n v="45"/>
    <n v="374.26"/>
    <s v="1/306747"/>
    <n v="1"/>
    <s v="A"/>
    <x v="4"/>
    <s v="PACAJUS"/>
  </r>
  <r>
    <x v="660"/>
    <n v="0"/>
    <x v="1590"/>
    <s v="21578080000137"/>
    <x v="113"/>
    <d v="2021-02-17T00:00:00"/>
    <n v="130"/>
    <n v="998.07"/>
    <s v="1/295053"/>
    <n v="1"/>
    <s v="A"/>
    <x v="4"/>
    <s v="HORIZONTE"/>
  </r>
  <r>
    <x v="660"/>
    <n v="0"/>
    <x v="1591"/>
    <s v="21578080000137"/>
    <x v="113"/>
    <d v="2021-03-29T00:00:00"/>
    <n v="90"/>
    <n v="1154.6199999999999"/>
    <s v="1/300618"/>
    <n v="1"/>
    <s v="A"/>
    <x v="4"/>
    <s v="HORIZONTE"/>
  </r>
  <r>
    <x v="660"/>
    <n v="0"/>
    <x v="1592"/>
    <s v="23928619000166"/>
    <x v="122"/>
    <d v="2021-04-28T00:00:00"/>
    <n v="60"/>
    <n v="375.27"/>
    <s v="1/304497"/>
    <n v="1"/>
    <s v="A"/>
    <x v="4"/>
    <s v="ARACATI"/>
  </r>
  <r>
    <x v="660"/>
    <n v="0"/>
    <x v="1593"/>
    <s v="20692655000185"/>
    <x v="124"/>
    <d v="2021-05-03T00:00:00"/>
    <n v="55"/>
    <n v="333.17"/>
    <s v="1/305257"/>
    <n v="1"/>
    <s v="A"/>
    <x v="25"/>
    <s v="FORTALEZA"/>
  </r>
  <r>
    <x v="661"/>
    <n v="0"/>
    <x v="1594"/>
    <s v="07576904000109"/>
    <x v="135"/>
    <d v="2021-05-14T00:00:00"/>
    <n v="45"/>
    <n v="616.04999999999995"/>
    <s v="1/307018"/>
    <n v="1"/>
    <s v="A"/>
    <x v="4"/>
    <s v="EUSEBIO"/>
  </r>
  <r>
    <x v="661"/>
    <n v="0"/>
    <x v="1595"/>
    <s v="30511707000123"/>
    <x v="115"/>
    <d v="2021-04-09T00:00:00"/>
    <n v="80"/>
    <n v="510.61"/>
    <s v="1/302259"/>
    <n v="1"/>
    <s v="A"/>
    <x v="4"/>
    <s v="HORIZONTE"/>
  </r>
  <r>
    <x v="661"/>
    <n v="0"/>
    <x v="1596"/>
    <s v="30511783000139"/>
    <x v="125"/>
    <d v="2021-04-09T00:00:00"/>
    <n v="80"/>
    <n v="1073.96"/>
    <s v="1/302261"/>
    <n v="1"/>
    <s v="A"/>
    <x v="4"/>
    <s v="REDENÇÃO"/>
  </r>
  <r>
    <x v="661"/>
    <n v="0"/>
    <x v="1597"/>
    <s v="30732111000153"/>
    <x v="116"/>
    <d v="2021-03-10T00:00:00"/>
    <n v="110"/>
    <n v="997.03"/>
    <s v="1/297971"/>
    <n v="1"/>
    <s v="A"/>
    <x v="4"/>
    <s v="PACAJUS"/>
  </r>
  <r>
    <x v="661"/>
    <n v="0"/>
    <x v="1598"/>
    <s v="30732111000153"/>
    <x v="116"/>
    <d v="2021-03-30T00:00:00"/>
    <n v="90"/>
    <n v="1437.58"/>
    <s v="1/300852"/>
    <n v="1"/>
    <s v="A"/>
    <x v="4"/>
    <s v="PACAJUS"/>
  </r>
  <r>
    <x v="661"/>
    <n v="0"/>
    <x v="1599"/>
    <s v="21578080000137"/>
    <x v="113"/>
    <d v="2021-04-09T00:00:00"/>
    <n v="80"/>
    <n v="541.08000000000004"/>
    <s v="1/302260"/>
    <n v="1"/>
    <s v="A"/>
    <x v="4"/>
    <s v="HORIZONTE"/>
  </r>
  <r>
    <x v="661"/>
    <n v="0"/>
    <x v="1600"/>
    <s v="21578080000137"/>
    <x v="113"/>
    <d v="2021-04-19T00:00:00"/>
    <n v="70"/>
    <n v="1068.5899999999999"/>
    <s v="1/303432"/>
    <n v="1"/>
    <s v="A"/>
    <x v="4"/>
    <s v="HORIZONTE"/>
  </r>
  <r>
    <x v="661"/>
    <n v="0"/>
    <x v="1601"/>
    <s v="15784350000163"/>
    <x v="89"/>
    <d v="2021-05-24T00:00:00"/>
    <n v="35"/>
    <n v="270.27"/>
    <s v="1/308031"/>
    <n v="1"/>
    <s v="A"/>
    <x v="25"/>
    <s v="FORTALEZA"/>
  </r>
  <r>
    <x v="661"/>
    <n v="0"/>
    <x v="1602"/>
    <s v="35019206000148"/>
    <x v="99"/>
    <d v="2021-05-19T00:00:00"/>
    <n v="40"/>
    <n v="912.08"/>
    <s v="1/307622"/>
    <n v="1"/>
    <s v="A"/>
    <x v="17"/>
    <s v="FORTALEZA"/>
  </r>
  <r>
    <x v="661"/>
    <n v="0"/>
    <x v="1603"/>
    <s v="20692655000185"/>
    <x v="124"/>
    <d v="2021-04-19T00:00:00"/>
    <n v="70"/>
    <n v="350.77"/>
    <s v="1/303379"/>
    <n v="1"/>
    <s v="A"/>
    <x v="25"/>
    <s v="FORTALEZA"/>
  </r>
  <r>
    <x v="662"/>
    <n v="0"/>
    <x v="1604"/>
    <s v="23576929000169"/>
    <x v="117"/>
    <d v="2021-04-20T00:00:00"/>
    <n v="70"/>
    <n v="285.88"/>
    <s v="1/303515"/>
    <n v="1"/>
    <s v="A"/>
    <x v="17"/>
    <s v="FORTALEZA"/>
  </r>
  <r>
    <x v="662"/>
    <n v="0"/>
    <x v="1605"/>
    <s v="10899161000112"/>
    <x v="130"/>
    <d v="2021-03-31T00:00:00"/>
    <n v="90"/>
    <n v="372.46"/>
    <s v="1/301250"/>
    <n v="1"/>
    <s v="A"/>
    <x v="4"/>
    <s v="MARACANAU"/>
  </r>
  <r>
    <x v="662"/>
    <n v="0"/>
    <x v="1606"/>
    <s v="10899161000112"/>
    <x v="130"/>
    <d v="2021-05-05T00:00:00"/>
    <n v="55"/>
    <n v="733.37"/>
    <s v="1/305527"/>
    <n v="1"/>
    <s v="A"/>
    <x v="4"/>
    <s v="MARACANAU"/>
  </r>
  <r>
    <x v="662"/>
    <n v="0"/>
    <x v="1607"/>
    <s v="07576904000109"/>
    <x v="135"/>
    <d v="2021-04-20T00:00:00"/>
    <n v="70"/>
    <n v="456.83"/>
    <s v="1/303531"/>
    <n v="1"/>
    <s v="A"/>
    <x v="4"/>
    <s v="EUSEBIO"/>
  </r>
  <r>
    <x v="662"/>
    <n v="0"/>
    <x v="1608"/>
    <s v="30511707000123"/>
    <x v="115"/>
    <d v="2021-03-31T00:00:00"/>
    <n v="90"/>
    <n v="794"/>
    <s v="1/300941"/>
    <n v="1"/>
    <s v="A"/>
    <x v="4"/>
    <s v="HORIZONTE"/>
  </r>
  <r>
    <x v="662"/>
    <n v="0"/>
    <x v="1609"/>
    <s v="30511707000123"/>
    <x v="115"/>
    <d v="2021-04-20T00:00:00"/>
    <n v="70"/>
    <n v="725.03"/>
    <s v="1/303631"/>
    <n v="1"/>
    <s v="A"/>
    <x v="4"/>
    <s v="HORIZONTE"/>
  </r>
  <r>
    <x v="662"/>
    <n v="0"/>
    <x v="1610"/>
    <s v="30511707000123"/>
    <x v="115"/>
    <d v="2021-04-20T00:00:00"/>
    <n v="70"/>
    <n v="2477.5300000000002"/>
    <s v="1/303635"/>
    <n v="1"/>
    <s v="A"/>
    <x v="4"/>
    <s v="HORIZONTE"/>
  </r>
  <r>
    <x v="662"/>
    <n v="0"/>
    <x v="1611"/>
    <s v="30511783000139"/>
    <x v="125"/>
    <d v="2021-03-31T00:00:00"/>
    <n v="90"/>
    <n v="602.16"/>
    <s v="1/300915"/>
    <n v="1"/>
    <s v="A"/>
    <x v="4"/>
    <s v="REDENÇÃO"/>
  </r>
  <r>
    <x v="662"/>
    <n v="0"/>
    <x v="1612"/>
    <s v="30511783000139"/>
    <x v="125"/>
    <d v="2021-05-10T00:00:00"/>
    <n v="50"/>
    <n v="397.64"/>
    <s v="1/306144"/>
    <n v="1"/>
    <s v="A"/>
    <x v="4"/>
    <s v="REDENÇÃO"/>
  </r>
  <r>
    <x v="662"/>
    <n v="0"/>
    <x v="1613"/>
    <s v="03024466000115"/>
    <x v="132"/>
    <d v="2021-04-30T00:00:00"/>
    <n v="60"/>
    <n v="430.81"/>
    <s v="1/304891"/>
    <n v="1"/>
    <s v="P"/>
    <x v="17"/>
    <s v="FORTALEZA"/>
  </r>
  <r>
    <x v="662"/>
    <n v="0"/>
    <x v="1614"/>
    <s v="30732111000153"/>
    <x v="116"/>
    <d v="2021-03-31T00:00:00"/>
    <n v="90"/>
    <n v="602.16"/>
    <s v="1/300942"/>
    <n v="1"/>
    <s v="A"/>
    <x v="4"/>
    <s v="PACAJUS"/>
  </r>
  <r>
    <x v="662"/>
    <n v="0"/>
    <x v="1615"/>
    <s v="21578080000137"/>
    <x v="113"/>
    <d v="2021-03-31T00:00:00"/>
    <n v="90"/>
    <n v="602.16"/>
    <s v="1/300940"/>
    <n v="1"/>
    <s v="A"/>
    <x v="4"/>
    <s v="HORIZONTE"/>
  </r>
  <r>
    <x v="662"/>
    <n v="0"/>
    <x v="1616"/>
    <s v="20692655000185"/>
    <x v="124"/>
    <d v="2021-05-10T00:00:00"/>
    <n v="50"/>
    <n v="284.95"/>
    <s v="1/306032"/>
    <n v="1"/>
    <s v="A"/>
    <x v="25"/>
    <s v="FORTALEZA"/>
  </r>
  <r>
    <x v="663"/>
    <n v="0"/>
    <x v="1617"/>
    <s v="23576929000169"/>
    <x v="117"/>
    <d v="2021-05-11T00:00:00"/>
    <n v="50"/>
    <n v="495.99"/>
    <s v="1/306229"/>
    <n v="1"/>
    <s v="A"/>
    <x v="17"/>
    <s v="FORTALEZA"/>
  </r>
  <r>
    <x v="663"/>
    <n v="0"/>
    <x v="1618"/>
    <s v="23576929000169"/>
    <x v="117"/>
    <d v="2021-05-11T00:00:00"/>
    <n v="50"/>
    <n v="519.79"/>
    <s v="1/306254"/>
    <n v="1"/>
    <s v="A"/>
    <x v="17"/>
    <s v="FORTALEZA"/>
  </r>
  <r>
    <x v="663"/>
    <n v="0"/>
    <x v="1619"/>
    <s v="30511707000123"/>
    <x v="115"/>
    <d v="2021-03-02T00:00:00"/>
    <n v="120"/>
    <n v="1486.33"/>
    <s v="1/296672"/>
    <n v="1"/>
    <s v="A"/>
    <x v="4"/>
    <s v="HORIZONTE"/>
  </r>
  <r>
    <x v="663"/>
    <n v="0"/>
    <x v="1620"/>
    <s v="30511707000123"/>
    <x v="115"/>
    <d v="2021-03-22T00:00:00"/>
    <n v="100"/>
    <n v="1225.3699999999999"/>
    <s v="1/299523"/>
    <n v="1"/>
    <s v="A"/>
    <x v="4"/>
    <s v="HORIZONTE"/>
  </r>
  <r>
    <x v="663"/>
    <n v="0"/>
    <x v="1621"/>
    <s v="30511707000123"/>
    <x v="115"/>
    <d v="2021-05-11T00:00:00"/>
    <n v="50"/>
    <n v="281.32"/>
    <s v="1/306360"/>
    <n v="1"/>
    <s v="A"/>
    <x v="4"/>
    <s v="HORIZONTE"/>
  </r>
  <r>
    <x v="663"/>
    <n v="0"/>
    <x v="1622"/>
    <s v="17667591000158"/>
    <x v="136"/>
    <d v="2021-04-26T00:00:00"/>
    <n v="65"/>
    <n v="2033.04"/>
    <s v="1/304057"/>
    <n v="1"/>
    <s v="P"/>
    <x v="17"/>
    <s v="FORTALEZA"/>
  </r>
  <r>
    <x v="663"/>
    <n v="0"/>
    <x v="1623"/>
    <s v="28041128000112"/>
    <x v="134"/>
    <d v="2021-05-11T00:00:00"/>
    <n v="50"/>
    <n v="1271.56"/>
    <s v="1/306349"/>
    <n v="1"/>
    <s v="P"/>
    <x v="17"/>
    <s v="MARACANAU"/>
  </r>
  <r>
    <x v="663"/>
    <n v="0"/>
    <x v="1624"/>
    <s v="21578080000137"/>
    <x v="113"/>
    <d v="2021-04-06T00:00:00"/>
    <n v="85"/>
    <n v="891.7"/>
    <s v="1/301602"/>
    <n v="1"/>
    <s v="A"/>
    <x v="4"/>
    <s v="HORIZONTE"/>
  </r>
  <r>
    <x v="663"/>
    <n v="0"/>
    <x v="1625"/>
    <s v="15784350000163"/>
    <x v="89"/>
    <d v="2021-05-31T00:00:00"/>
    <n v="30"/>
    <n v="252.5"/>
    <s v="1/308994"/>
    <n v="1"/>
    <s v="A"/>
    <x v="25"/>
    <s v="FORTALEZA"/>
  </r>
  <r>
    <x v="664"/>
    <n v="0"/>
    <x v="1626"/>
    <s v="07576904000109"/>
    <x v="135"/>
    <d v="2021-05-27T00:00:00"/>
    <n v="35"/>
    <n v="1000.04"/>
    <s v="1/308590"/>
    <n v="1"/>
    <s v="A"/>
    <x v="4"/>
    <s v="EUSEBIO"/>
  </r>
  <r>
    <x v="665"/>
    <n v="0"/>
    <x v="1627"/>
    <s v="23576929000169"/>
    <x v="117"/>
    <d v="2021-04-23T00:00:00"/>
    <n v="70"/>
    <n v="395.8"/>
    <s v="1/303834"/>
    <n v="1"/>
    <s v="A"/>
    <x v="17"/>
    <s v="FORTALEZA"/>
  </r>
  <r>
    <x v="665"/>
    <n v="0"/>
    <x v="1628"/>
    <s v="04887406000199"/>
    <x v="137"/>
    <d v="2021-05-13T00:00:00"/>
    <n v="50"/>
    <n v="303.7"/>
    <s v="1/306714"/>
    <n v="1"/>
    <s v="A"/>
    <x v="24"/>
    <s v="PEDRA BRANCA"/>
  </r>
  <r>
    <x v="665"/>
    <n v="0"/>
    <x v="1629"/>
    <s v="01946309000131"/>
    <x v="138"/>
    <d v="2021-04-30T00:00:00"/>
    <n v="63"/>
    <n v="359.44"/>
    <s v="1/304935"/>
    <n v="1"/>
    <s v="A"/>
    <x v="17"/>
    <s v="FORTALEZA"/>
  </r>
  <r>
    <x v="665"/>
    <n v="0"/>
    <x v="1630"/>
    <s v="06741607000370"/>
    <x v="139"/>
    <d v="2021-05-03T00:00:00"/>
    <n v="60"/>
    <n v="321.25"/>
    <s v="1/305279"/>
    <n v="1"/>
    <s v="A"/>
    <x v="24"/>
    <s v="PEDRA BRANCA"/>
  </r>
  <r>
    <x v="666"/>
    <n v="0"/>
    <x v="1631"/>
    <s v="06741607000370"/>
    <x v="139"/>
    <d v="2021-05-14T00:00:00"/>
    <n v="50"/>
    <n v="217.28"/>
    <s v="1/306858"/>
    <n v="1"/>
    <s v="A"/>
    <x v="24"/>
    <s v="PEDRA BRANCA"/>
  </r>
  <r>
    <x v="666"/>
    <n v="0"/>
    <x v="1632"/>
    <s v="10598280000135"/>
    <x v="131"/>
    <d v="2021-05-04T00:00:00"/>
    <n v="60"/>
    <n v="390.44"/>
    <s v="1/305337"/>
    <n v="1"/>
    <s v="P"/>
    <x v="17"/>
    <s v="FORTALEZA"/>
  </r>
  <r>
    <x v="666"/>
    <n v="0"/>
    <x v="1633"/>
    <s v="03024466000115"/>
    <x v="132"/>
    <d v="2021-05-04T00:00:00"/>
    <n v="60"/>
    <n v="390.44"/>
    <s v="1/305338"/>
    <n v="1"/>
    <s v="P"/>
    <x v="17"/>
    <s v="FORTALEZA"/>
  </r>
  <r>
    <x v="667"/>
    <n v="0"/>
    <x v="1634"/>
    <s v="10899161000112"/>
    <x v="130"/>
    <d v="2021-05-05T00:00:00"/>
    <n v="60"/>
    <n v="733.37"/>
    <s v="1/305527"/>
    <n v="1"/>
    <s v="A"/>
    <x v="4"/>
    <s v="MARACANAU"/>
  </r>
  <r>
    <x v="667"/>
    <n v="0"/>
    <x v="1635"/>
    <s v="04887406000199"/>
    <x v="137"/>
    <d v="2021-05-05T00:00:00"/>
    <n v="60"/>
    <n v="601.71"/>
    <s v="1/305620"/>
    <n v="1"/>
    <s v="A"/>
    <x v="24"/>
    <s v="PEDRA BRANCA"/>
  </r>
  <r>
    <x v="667"/>
    <n v="0"/>
    <x v="1636"/>
    <s v="30511707000123"/>
    <x v="115"/>
    <d v="2021-04-15T00:00:00"/>
    <n v="80"/>
    <n v="1060.96"/>
    <s v="1/302914"/>
    <n v="1"/>
    <s v="A"/>
    <x v="4"/>
    <s v="HORIZONTE"/>
  </r>
  <r>
    <x v="667"/>
    <n v="0"/>
    <x v="1637"/>
    <s v="30511707000123"/>
    <x v="115"/>
    <d v="2021-04-15T00:00:00"/>
    <n v="80"/>
    <n v="1210.3699999999999"/>
    <s v="1/303069"/>
    <n v="1"/>
    <s v="A"/>
    <x v="4"/>
    <s v="HORIZONTE"/>
  </r>
  <r>
    <x v="667"/>
    <n v="0"/>
    <x v="1638"/>
    <s v="17667591000158"/>
    <x v="136"/>
    <d v="2021-05-05T00:00:00"/>
    <n v="60"/>
    <n v="390.41"/>
    <s v="1/305478"/>
    <n v="1"/>
    <s v="P"/>
    <x v="17"/>
    <s v="FORTALEZA"/>
  </r>
  <r>
    <x v="667"/>
    <n v="0"/>
    <x v="1639"/>
    <s v="21578080000137"/>
    <x v="113"/>
    <d v="2021-04-05T00:00:00"/>
    <n v="90"/>
    <n v="2142.2800000000002"/>
    <s v="1/301516"/>
    <n v="1"/>
    <s v="A"/>
    <x v="4"/>
    <s v="HORIZONTE"/>
  </r>
  <r>
    <x v="667"/>
    <n v="0"/>
    <x v="1640"/>
    <s v="21578080000137"/>
    <x v="113"/>
    <d v="2021-04-15T00:00:00"/>
    <n v="80"/>
    <n v="1210.3699999999999"/>
    <s v="1/303070"/>
    <n v="1"/>
    <s v="A"/>
    <x v="4"/>
    <s v="HORIZONTE"/>
  </r>
  <r>
    <x v="667"/>
    <n v="0"/>
    <x v="1641"/>
    <s v="10908192000273"/>
    <x v="119"/>
    <d v="2021-05-05T00:00:00"/>
    <n v="60"/>
    <n v="200.27"/>
    <s v="1/305526"/>
    <n v="1"/>
    <s v="A"/>
    <x v="11"/>
    <s v="FORTALEZA"/>
  </r>
  <r>
    <x v="668"/>
    <n v="0"/>
    <x v="1642"/>
    <s v="07576904000109"/>
    <x v="135"/>
    <d v="2021-05-06T00:00:00"/>
    <n v="60"/>
    <n v="227.86"/>
    <s v="1/305624"/>
    <n v="1"/>
    <s v="A"/>
    <x v="4"/>
    <s v="EUSEBIO"/>
  </r>
  <r>
    <x v="668"/>
    <n v="0"/>
    <x v="1643"/>
    <s v="04887406000199"/>
    <x v="137"/>
    <d v="2021-05-06T00:00:00"/>
    <n v="60"/>
    <n v="357.81"/>
    <s v="1/305654"/>
    <n v="1"/>
    <s v="A"/>
    <x v="24"/>
    <s v="PEDRA BRANCA"/>
  </r>
  <r>
    <x v="668"/>
    <n v="0"/>
    <x v="1644"/>
    <s v="30511707000123"/>
    <x v="115"/>
    <d v="2021-04-06T00:00:00"/>
    <n v="90"/>
    <n v="1619.6"/>
    <s v="1/301557"/>
    <n v="1"/>
    <s v="A"/>
    <x v="4"/>
    <s v="HORIZONTE"/>
  </r>
  <r>
    <x v="668"/>
    <n v="0"/>
    <x v="1645"/>
    <s v="30511707000123"/>
    <x v="115"/>
    <d v="2021-04-06T00:00:00"/>
    <n v="90"/>
    <n v="891.7"/>
    <s v="1/301601"/>
    <n v="1"/>
    <s v="A"/>
    <x v="4"/>
    <s v="HORIZONTE"/>
  </r>
  <r>
    <x v="668"/>
    <n v="0"/>
    <x v="1646"/>
    <s v="30511707000123"/>
    <x v="115"/>
    <d v="2021-04-26T00:00:00"/>
    <n v="70"/>
    <n v="1908.93"/>
    <s v="1/304073"/>
    <n v="1"/>
    <s v="A"/>
    <x v="4"/>
    <s v="HORIZONTE"/>
  </r>
  <r>
    <x v="668"/>
    <n v="0"/>
    <x v="1647"/>
    <s v="30511707000123"/>
    <x v="115"/>
    <d v="2021-05-26T00:00:00"/>
    <n v="40"/>
    <n v="833.94"/>
    <s v="1/308459"/>
    <n v="1"/>
    <s v="A"/>
    <x v="4"/>
    <s v="HORIZONTE"/>
  </r>
  <r>
    <x v="668"/>
    <n v="0"/>
    <x v="1648"/>
    <s v="06741607000370"/>
    <x v="139"/>
    <d v="2021-05-06T00:00:00"/>
    <n v="60"/>
    <n v="307.58999999999997"/>
    <s v="1/305651"/>
    <n v="1"/>
    <s v="A"/>
    <x v="24"/>
    <s v="PEDRA BRANCA"/>
  </r>
  <r>
    <x v="668"/>
    <n v="0"/>
    <x v="1649"/>
    <s v="06741607000370"/>
    <x v="139"/>
    <d v="2021-05-21T00:00:00"/>
    <n v="45"/>
    <n v="430.59"/>
    <s v="1/307958"/>
    <n v="1"/>
    <s v="A"/>
    <x v="24"/>
    <s v="PEDRA BRANCA"/>
  </r>
  <r>
    <x v="668"/>
    <n v="0"/>
    <x v="1650"/>
    <s v="10598280000135"/>
    <x v="131"/>
    <d v="2021-04-26T00:00:00"/>
    <n v="70"/>
    <n v="1294.96"/>
    <s v="1/304056"/>
    <n v="1"/>
    <s v="P"/>
    <x v="17"/>
    <s v="FORTALEZA"/>
  </r>
  <r>
    <x v="668"/>
    <n v="0"/>
    <x v="1651"/>
    <s v="10598280000135"/>
    <x v="131"/>
    <d v="2021-05-06T00:00:00"/>
    <n v="60"/>
    <n v="1414.65"/>
    <s v="1/305763"/>
    <n v="1"/>
    <s v="P"/>
    <x v="17"/>
    <s v="FORTALEZA"/>
  </r>
  <r>
    <x v="668"/>
    <n v="0"/>
    <x v="1652"/>
    <s v="03024466000115"/>
    <x v="132"/>
    <d v="2021-04-26T00:00:00"/>
    <n v="70"/>
    <n v="963.58"/>
    <s v="1/304059"/>
    <n v="1"/>
    <s v="P"/>
    <x v="17"/>
    <s v="FORTALEZA"/>
  </r>
  <r>
    <x v="668"/>
    <n v="0"/>
    <x v="1653"/>
    <s v="21578080000137"/>
    <x v="113"/>
    <d v="2021-05-26T00:00:00"/>
    <n v="40"/>
    <n v="612.57000000000005"/>
    <s v="1/308450"/>
    <n v="1"/>
    <s v="A"/>
    <x v="4"/>
    <s v="HORIZONTE"/>
  </r>
  <r>
    <x v="668"/>
    <n v="0"/>
    <x v="1654"/>
    <s v="32122621000134"/>
    <x v="140"/>
    <d v="2021-06-21T00:00:00"/>
    <n v="14"/>
    <n v="711.61"/>
    <s v="1/311953"/>
    <n v="1"/>
    <s v="A"/>
    <x v="18"/>
    <s v="ARARENDÁ"/>
  </r>
  <r>
    <x v="669"/>
    <n v="0"/>
    <x v="1655"/>
    <s v="23576929000169"/>
    <x v="117"/>
    <d v="2021-04-22T00:00:00"/>
    <n v="75"/>
    <n v="387.12"/>
    <s v="1/303732"/>
    <n v="1"/>
    <s v="A"/>
    <x v="17"/>
    <s v="FORTALEZA"/>
  </r>
  <r>
    <x v="669"/>
    <n v="0"/>
    <x v="1656"/>
    <s v="10899161000112"/>
    <x v="130"/>
    <d v="2021-04-12T00:00:00"/>
    <n v="85"/>
    <n v="422.47"/>
    <s v="1/302444"/>
    <n v="1"/>
    <s v="A"/>
    <x v="4"/>
    <s v="MARACANAU"/>
  </r>
  <r>
    <x v="669"/>
    <n v="0"/>
    <x v="1657"/>
    <s v="10899161000112"/>
    <x v="130"/>
    <d v="2021-06-01T00:00:00"/>
    <n v="35"/>
    <n v="577.58000000000004"/>
    <s v="1/309338"/>
    <n v="1"/>
    <s v="A"/>
    <x v="4"/>
    <s v="MARACANAU"/>
  </r>
  <r>
    <x v="669"/>
    <n v="0"/>
    <x v="1658"/>
    <s v="04887406000199"/>
    <x v="137"/>
    <d v="2021-04-22T00:00:00"/>
    <n v="75"/>
    <n v="478.39"/>
    <s v="1/303810"/>
    <n v="1"/>
    <s v="A"/>
    <x v="24"/>
    <s v="PEDRA BRANCA"/>
  </r>
  <r>
    <x v="669"/>
    <n v="0"/>
    <x v="1659"/>
    <s v="04887406000199"/>
    <x v="137"/>
    <d v="2021-05-12T00:00:00"/>
    <n v="55"/>
    <n v="346.45"/>
    <s v="1/306623"/>
    <n v="1"/>
    <s v="A"/>
    <x v="24"/>
    <s v="PEDRA BRANCA"/>
  </r>
  <r>
    <x v="669"/>
    <n v="0"/>
    <x v="1660"/>
    <s v="30511707000123"/>
    <x v="115"/>
    <d v="2021-03-08T00:00:00"/>
    <n v="120"/>
    <n v="1596.59"/>
    <s v="1/297564"/>
    <n v="1"/>
    <s v="A"/>
    <x v="4"/>
    <s v="HORIZONTE"/>
  </r>
  <r>
    <x v="669"/>
    <n v="0"/>
    <x v="1661"/>
    <s v="06741607000370"/>
    <x v="139"/>
    <d v="2021-04-27T00:00:00"/>
    <n v="70"/>
    <n v="222.06"/>
    <s v="1/304295"/>
    <n v="1"/>
    <s v="A"/>
    <x v="24"/>
    <s v="PEDRA BRANCA"/>
  </r>
  <r>
    <x v="669"/>
    <n v="0"/>
    <x v="1662"/>
    <s v="06741607000370"/>
    <x v="139"/>
    <d v="2021-05-07T00:00:00"/>
    <n v="60"/>
    <n v="223.44"/>
    <s v="1/305877"/>
    <n v="1"/>
    <s v="A"/>
    <x v="24"/>
    <s v="PEDRA BRANCA"/>
  </r>
  <r>
    <x v="669"/>
    <n v="0"/>
    <x v="1663"/>
    <s v="30732111000153"/>
    <x v="116"/>
    <d v="2021-04-12T00:00:00"/>
    <n v="85"/>
    <n v="601.96"/>
    <s v="1/302451"/>
    <n v="1"/>
    <s v="A"/>
    <x v="4"/>
    <s v="PACAJUS"/>
  </r>
  <r>
    <x v="669"/>
    <n v="0"/>
    <x v="1664"/>
    <s v="30732111000153"/>
    <x v="116"/>
    <d v="2021-04-27T00:00:00"/>
    <n v="70"/>
    <n v="527.76"/>
    <s v="1/304315"/>
    <n v="1"/>
    <s v="A"/>
    <x v="4"/>
    <s v="PACAJUS"/>
  </r>
  <r>
    <x v="669"/>
    <n v="0"/>
    <x v="1665"/>
    <s v="30732111000153"/>
    <x v="116"/>
    <d v="2021-04-27T00:00:00"/>
    <n v="70"/>
    <n v="2516.86"/>
    <s v="1/304316"/>
    <n v="1"/>
    <s v="A"/>
    <x v="4"/>
    <s v="PACAJUS"/>
  </r>
  <r>
    <x v="669"/>
    <n v="0"/>
    <x v="1666"/>
    <s v="21578080000137"/>
    <x v="113"/>
    <d v="2021-03-08T00:00:00"/>
    <n v="120"/>
    <n v="1687.83"/>
    <s v="1/297566"/>
    <n v="1"/>
    <s v="A"/>
    <x v="4"/>
    <s v="HORIZONTE"/>
  </r>
  <r>
    <x v="669"/>
    <n v="0"/>
    <x v="1667"/>
    <s v="21578080000137"/>
    <x v="113"/>
    <d v="2021-04-12T00:00:00"/>
    <n v="85"/>
    <n v="821.69"/>
    <s v="1/302403"/>
    <n v="1"/>
    <s v="A"/>
    <x v="4"/>
    <s v="HORIZONTE"/>
  </r>
  <r>
    <x v="669"/>
    <n v="0"/>
    <x v="1668"/>
    <s v="20692655000185"/>
    <x v="124"/>
    <d v="2021-04-07T00:00:00"/>
    <n v="90"/>
    <n v="368.29"/>
    <s v="1/301766"/>
    <n v="1"/>
    <s v="A"/>
    <x v="25"/>
    <s v="FORTALEZA"/>
  </r>
  <r>
    <x v="670"/>
    <n v="0"/>
    <x v="1669"/>
    <s v="04887406000199"/>
    <x v="137"/>
    <d v="2021-04-28T00:00:00"/>
    <n v="70"/>
    <n v="465.94"/>
    <s v="1/304479"/>
    <n v="1"/>
    <s v="A"/>
    <x v="24"/>
    <s v="PEDRA BRANCA"/>
  </r>
  <r>
    <x v="670"/>
    <n v="0"/>
    <x v="1670"/>
    <s v="04887406000199"/>
    <x v="137"/>
    <d v="2021-05-13T00:00:00"/>
    <n v="55"/>
    <n v="259.14"/>
    <s v="1/306712"/>
    <n v="1"/>
    <s v="A"/>
    <x v="24"/>
    <s v="PEDRA BRANCA"/>
  </r>
  <r>
    <x v="670"/>
    <n v="0"/>
    <x v="1671"/>
    <s v="30511707000123"/>
    <x v="115"/>
    <d v="2021-03-29T00:00:00"/>
    <n v="100"/>
    <n v="1345.6"/>
    <s v="1/300616"/>
    <n v="1"/>
    <s v="A"/>
    <x v="4"/>
    <s v="HORIZONTE"/>
  </r>
  <r>
    <x v="670"/>
    <n v="0"/>
    <x v="1672"/>
    <s v="30511707000123"/>
    <x v="115"/>
    <d v="2021-04-28T00:00:00"/>
    <n v="70"/>
    <n v="956.18"/>
    <s v="1/304432"/>
    <n v="1"/>
    <s v="A"/>
    <x v="4"/>
    <s v="HORIZONTE"/>
  </r>
  <r>
    <x v="670"/>
    <n v="0"/>
    <x v="1673"/>
    <s v="01946309000131"/>
    <x v="138"/>
    <d v="2021-04-23T00:00:00"/>
    <n v="75"/>
    <n v="356.55"/>
    <s v="1/303876"/>
    <n v="1"/>
    <s v="A"/>
    <x v="17"/>
    <s v="FORTALEZA"/>
  </r>
  <r>
    <x v="670"/>
    <n v="0"/>
    <x v="1674"/>
    <s v="30038762000148"/>
    <x v="141"/>
    <d v="2021-04-28T00:00:00"/>
    <n v="70"/>
    <n v="351.51"/>
    <s v="1/304455"/>
    <n v="1"/>
    <s v="A"/>
    <x v="18"/>
    <s v="SOBRAL"/>
  </r>
  <r>
    <x v="670"/>
    <n v="0"/>
    <x v="1675"/>
    <s v="06741607000370"/>
    <x v="139"/>
    <d v="2021-05-18T00:00:00"/>
    <n v="50"/>
    <n v="236.37"/>
    <s v="1/307374"/>
    <n v="1"/>
    <s v="A"/>
    <x v="24"/>
    <s v="PEDRA BRANCA"/>
  </r>
  <r>
    <x v="670"/>
    <n v="0"/>
    <x v="1676"/>
    <s v="10598280000135"/>
    <x v="131"/>
    <d v="2021-05-05T00:00:00"/>
    <n v="63"/>
    <n v="1680.55"/>
    <s v="1/305509"/>
    <n v="1"/>
    <s v="P"/>
    <x v="17"/>
    <s v="FORTALEZA"/>
  </r>
  <r>
    <x v="670"/>
    <n v="0"/>
    <x v="1677"/>
    <s v="03024466000115"/>
    <x v="132"/>
    <d v="2021-05-05T00:00:00"/>
    <n v="63"/>
    <n v="1893.93"/>
    <s v="1/305511"/>
    <n v="1"/>
    <s v="P"/>
    <x v="17"/>
    <s v="FORTALEZA"/>
  </r>
  <r>
    <x v="670"/>
    <n v="0"/>
    <x v="1678"/>
    <s v="30732111000153"/>
    <x v="116"/>
    <d v="2021-04-08T00:00:00"/>
    <n v="90"/>
    <n v="1338.68"/>
    <s v="1/302060"/>
    <n v="1"/>
    <s v="A"/>
    <x v="4"/>
    <s v="PACAJUS"/>
  </r>
  <r>
    <x v="670"/>
    <n v="0"/>
    <x v="1679"/>
    <s v="21578080000137"/>
    <x v="113"/>
    <d v="2021-03-29T00:00:00"/>
    <n v="100"/>
    <n v="1154.6199999999999"/>
    <s v="1/300618"/>
    <n v="1"/>
    <s v="A"/>
    <x v="4"/>
    <s v="HORIZONTE"/>
  </r>
  <r>
    <x v="670"/>
    <n v="0"/>
    <x v="1680"/>
    <s v="21578080000137"/>
    <x v="113"/>
    <d v="2021-04-28T00:00:00"/>
    <n v="70"/>
    <n v="956.18"/>
    <s v="1/304496"/>
    <n v="1"/>
    <s v="A"/>
    <x v="4"/>
    <s v="HORIZONTE"/>
  </r>
  <r>
    <x v="670"/>
    <n v="0"/>
    <x v="1681"/>
    <s v="36515271000127"/>
    <x v="142"/>
    <d v="2021-04-28T00:00:00"/>
    <n v="70"/>
    <n v="1975.82"/>
    <s v="1/304539"/>
    <n v="1"/>
    <s v="A"/>
    <x v="4"/>
    <s v="MORADA NOVA"/>
  </r>
  <r>
    <x v="670"/>
    <n v="0"/>
    <x v="1682"/>
    <s v="20692655000185"/>
    <x v="124"/>
    <d v="2021-05-03T00:00:00"/>
    <n v="65"/>
    <n v="333.17"/>
    <s v="1/305257"/>
    <n v="1"/>
    <s v="A"/>
    <x v="25"/>
    <s v="FORTALEZA"/>
  </r>
  <r>
    <x v="671"/>
    <n v="0"/>
    <x v="1683"/>
    <s v="07576904000109"/>
    <x v="135"/>
    <d v="2021-05-14T00:00:00"/>
    <n v="55"/>
    <n v="478.15"/>
    <s v="1/307018"/>
    <n v="1"/>
    <s v="A"/>
    <x v="4"/>
    <s v="EUSEBIO"/>
  </r>
  <r>
    <x v="671"/>
    <n v="0"/>
    <x v="1684"/>
    <s v="04887406000199"/>
    <x v="137"/>
    <d v="2021-05-19T00:00:00"/>
    <n v="50"/>
    <n v="350.26"/>
    <s v="1/307620"/>
    <n v="1"/>
    <s v="A"/>
    <x v="24"/>
    <s v="PEDRA BRANCA"/>
  </r>
  <r>
    <x v="671"/>
    <n v="0"/>
    <x v="1685"/>
    <s v="30511707000123"/>
    <x v="115"/>
    <d v="2021-04-29T00:00:00"/>
    <n v="70"/>
    <n v="574.91"/>
    <s v="1/304638"/>
    <n v="1"/>
    <s v="A"/>
    <x v="4"/>
    <s v="HORIZONTE"/>
  </r>
  <r>
    <x v="671"/>
    <n v="0"/>
    <x v="1686"/>
    <s v="30511783000139"/>
    <x v="125"/>
    <d v="2021-04-09T00:00:00"/>
    <n v="90"/>
    <n v="1073.96"/>
    <s v="1/302261"/>
    <n v="1"/>
    <s v="A"/>
    <x v="4"/>
    <s v="REDENÇÃO"/>
  </r>
  <r>
    <x v="671"/>
    <n v="0"/>
    <x v="1687"/>
    <s v="30511783000139"/>
    <x v="125"/>
    <d v="2021-04-29T00:00:00"/>
    <n v="70"/>
    <n v="378.24"/>
    <s v="1/304632"/>
    <n v="1"/>
    <s v="A"/>
    <x v="4"/>
    <s v="REDENÇÃO"/>
  </r>
  <r>
    <x v="671"/>
    <n v="0"/>
    <x v="1688"/>
    <s v="01946309000131"/>
    <x v="138"/>
    <d v="2021-04-19T00:00:00"/>
    <n v="80"/>
    <n v="861.93"/>
    <s v="1/303300"/>
    <n v="1"/>
    <s v="A"/>
    <x v="17"/>
    <s v="FORTALEZA"/>
  </r>
  <r>
    <x v="671"/>
    <n v="0"/>
    <x v="1689"/>
    <s v="17667591000158"/>
    <x v="136"/>
    <d v="2021-05-06T00:00:00"/>
    <n v="63"/>
    <n v="1301.79"/>
    <s v="1/305759"/>
    <n v="1"/>
    <s v="P"/>
    <x v="17"/>
    <s v="FORTALEZA"/>
  </r>
  <r>
    <x v="671"/>
    <n v="0"/>
    <x v="1690"/>
    <s v="28041128000112"/>
    <x v="134"/>
    <d v="2021-05-06T00:00:00"/>
    <n v="63"/>
    <n v="1732.53"/>
    <s v="1/305757"/>
    <n v="1"/>
    <s v="P"/>
    <x v="17"/>
    <s v="MARACANAU"/>
  </r>
  <r>
    <x v="671"/>
    <n v="0"/>
    <x v="1691"/>
    <s v="03024466000115"/>
    <x v="132"/>
    <d v="2021-05-06T00:00:00"/>
    <n v="63"/>
    <n v="970.73"/>
    <s v="1/305728"/>
    <n v="1"/>
    <s v="P"/>
    <x v="17"/>
    <s v="FORTALEZA"/>
  </r>
  <r>
    <x v="671"/>
    <n v="0"/>
    <x v="1692"/>
    <s v="03024466000115"/>
    <x v="132"/>
    <d v="2021-05-06T00:00:00"/>
    <n v="63"/>
    <n v="976.18"/>
    <s v="1/305729"/>
    <n v="1"/>
    <s v="P"/>
    <x v="17"/>
    <s v="FORTALEZA"/>
  </r>
  <r>
    <x v="671"/>
    <n v="0"/>
    <x v="1693"/>
    <s v="03024466000115"/>
    <x v="132"/>
    <d v="2021-05-19T00:00:00"/>
    <n v="50"/>
    <n v="1572.83"/>
    <s v="1/307482"/>
    <n v="1"/>
    <s v="P"/>
    <x v="17"/>
    <s v="FORTALEZA"/>
  </r>
  <r>
    <x v="671"/>
    <n v="0"/>
    <x v="1694"/>
    <s v="30732111000153"/>
    <x v="116"/>
    <d v="2021-03-10T00:00:00"/>
    <n v="120"/>
    <n v="997.01"/>
    <s v="1/297971"/>
    <n v="1"/>
    <s v="A"/>
    <x v="4"/>
    <s v="PACAJUS"/>
  </r>
  <r>
    <x v="671"/>
    <n v="0"/>
    <x v="1695"/>
    <s v="30732111000153"/>
    <x v="116"/>
    <d v="2021-03-30T00:00:00"/>
    <n v="100"/>
    <n v="1437.56"/>
    <s v="1/300852"/>
    <n v="1"/>
    <s v="A"/>
    <x v="4"/>
    <s v="PACAJUS"/>
  </r>
  <r>
    <x v="671"/>
    <n v="0"/>
    <x v="1696"/>
    <s v="21578080000137"/>
    <x v="113"/>
    <d v="2021-04-19T00:00:00"/>
    <n v="80"/>
    <n v="1068.5899999999999"/>
    <s v="1/303432"/>
    <n v="1"/>
    <s v="A"/>
    <x v="4"/>
    <s v="HORIZONTE"/>
  </r>
  <r>
    <x v="671"/>
    <n v="0"/>
    <x v="1697"/>
    <s v="21578080000137"/>
    <x v="113"/>
    <d v="2021-04-29T00:00:00"/>
    <n v="70"/>
    <n v="1069.9000000000001"/>
    <s v="1/304639"/>
    <n v="1"/>
    <s v="A"/>
    <x v="4"/>
    <s v="HORIZONTE"/>
  </r>
  <r>
    <x v="671"/>
    <n v="0"/>
    <x v="1698"/>
    <s v="15784350000163"/>
    <x v="89"/>
    <d v="2021-05-24T00:00:00"/>
    <n v="45"/>
    <n v="234.19"/>
    <s v="1/308031"/>
    <n v="1"/>
    <s v="A"/>
    <x v="25"/>
    <s v="FORTALEZA"/>
  </r>
  <r>
    <x v="671"/>
    <n v="0"/>
    <x v="1699"/>
    <s v="35019206000148"/>
    <x v="99"/>
    <d v="2021-05-19T00:00:00"/>
    <n v="50"/>
    <n v="912.08"/>
    <s v="1/307622"/>
    <n v="1"/>
    <s v="A"/>
    <x v="17"/>
    <s v="FORTALEZA"/>
  </r>
  <r>
    <x v="671"/>
    <n v="0"/>
    <x v="1700"/>
    <s v="35043504000173"/>
    <x v="143"/>
    <d v="2021-06-08T00:00:00"/>
    <n v="30"/>
    <n v="308.73"/>
    <s v="1/310132"/>
    <n v="1"/>
    <s v="A"/>
    <x v="18"/>
    <s v="SOBRAL"/>
  </r>
  <r>
    <x v="672"/>
    <n v="0"/>
    <x v="1701"/>
    <s v="10899161000112"/>
    <x v="130"/>
    <d v="2021-03-31T00:00:00"/>
    <n v="100"/>
    <n v="372.46"/>
    <s v="1/301250"/>
    <n v="1"/>
    <s v="A"/>
    <x v="4"/>
    <s v="MARACANAU"/>
  </r>
  <r>
    <x v="672"/>
    <n v="0"/>
    <x v="1702"/>
    <s v="10899161000112"/>
    <x v="130"/>
    <d v="2021-05-05T00:00:00"/>
    <n v="65"/>
    <n v="733.37"/>
    <s v="1/305527"/>
    <n v="1"/>
    <s v="A"/>
    <x v="4"/>
    <s v="MARACANAU"/>
  </r>
  <r>
    <x v="672"/>
    <n v="0"/>
    <x v="1703"/>
    <s v="30511707000123"/>
    <x v="115"/>
    <d v="2021-04-20T00:00:00"/>
    <n v="80"/>
    <n v="1837.55"/>
    <s v="1/303635"/>
    <n v="1"/>
    <s v="A"/>
    <x v="4"/>
    <s v="HORIZONTE"/>
  </r>
  <r>
    <x v="672"/>
    <n v="0"/>
    <x v="1704"/>
    <s v="30511783000139"/>
    <x v="125"/>
    <d v="2021-03-31T00:00:00"/>
    <n v="100"/>
    <n v="602.16999999999996"/>
    <s v="1/300915"/>
    <n v="1"/>
    <s v="A"/>
    <x v="4"/>
    <s v="REDENÇÃO"/>
  </r>
  <r>
    <x v="672"/>
    <n v="0"/>
    <x v="1705"/>
    <s v="30511783000139"/>
    <x v="125"/>
    <d v="2021-05-10T00:00:00"/>
    <n v="60"/>
    <n v="1537.91"/>
    <s v="1/306068"/>
    <n v="1"/>
    <s v="A"/>
    <x v="4"/>
    <s v="REDENÇÃO"/>
  </r>
  <r>
    <x v="672"/>
    <n v="0"/>
    <x v="1706"/>
    <s v="30511783000139"/>
    <x v="125"/>
    <d v="2021-06-04T00:00:00"/>
    <n v="35"/>
    <n v="784.09"/>
    <s v="1/309749"/>
    <n v="1"/>
    <s v="A"/>
    <x v="4"/>
    <s v="REDENÇÃO"/>
  </r>
  <r>
    <x v="672"/>
    <n v="0"/>
    <x v="1707"/>
    <s v="01946309000131"/>
    <x v="138"/>
    <d v="2021-03-31T00:00:00"/>
    <n v="100"/>
    <n v="1110.56"/>
    <s v="1/301145"/>
    <n v="1"/>
    <s v="A"/>
    <x v="17"/>
    <s v="FORTALEZA"/>
  </r>
  <r>
    <x v="672"/>
    <n v="0"/>
    <x v="1708"/>
    <s v="03507600000139"/>
    <x v="144"/>
    <d v="2019-08-07T00:00:00"/>
    <n v="702"/>
    <n v="500"/>
    <s v="1/221960"/>
    <n v="1"/>
    <s v="A"/>
    <x v="25"/>
    <s v="FORTALEZA"/>
  </r>
  <r>
    <x v="672"/>
    <n v="0"/>
    <x v="1709"/>
    <s v="17667591000158"/>
    <x v="136"/>
    <d v="2021-05-07T00:00:00"/>
    <n v="63"/>
    <n v="570.57000000000005"/>
    <s v="1/305981"/>
    <n v="1"/>
    <s v="P"/>
    <x v="17"/>
    <s v="FORTALEZA"/>
  </r>
  <r>
    <x v="672"/>
    <n v="0"/>
    <x v="1710"/>
    <s v="28041128000112"/>
    <x v="134"/>
    <d v="2021-05-07T00:00:00"/>
    <n v="63"/>
    <n v="570.57000000000005"/>
    <s v="1/305978"/>
    <n v="1"/>
    <s v="P"/>
    <x v="17"/>
    <s v="MARACANAU"/>
  </r>
  <r>
    <x v="672"/>
    <n v="0"/>
    <x v="1711"/>
    <s v="10598280000135"/>
    <x v="131"/>
    <d v="2021-05-07T00:00:00"/>
    <n v="63"/>
    <n v="570.57000000000005"/>
    <s v="1/305986"/>
    <n v="1"/>
    <s v="P"/>
    <x v="17"/>
    <s v="FORTALEZA"/>
  </r>
  <r>
    <x v="672"/>
    <n v="0"/>
    <x v="1712"/>
    <s v="10598280000135"/>
    <x v="131"/>
    <d v="2021-05-10T00:00:00"/>
    <n v="60"/>
    <n v="596.73"/>
    <s v="1/306156"/>
    <n v="1"/>
    <s v="P"/>
    <x v="17"/>
    <s v="FORTALEZA"/>
  </r>
  <r>
    <x v="672"/>
    <n v="0"/>
    <x v="1713"/>
    <s v="03024466000115"/>
    <x v="132"/>
    <d v="2021-05-07T00:00:00"/>
    <n v="63"/>
    <n v="570.57000000000005"/>
    <s v="1/305989"/>
    <n v="1"/>
    <s v="P"/>
    <x v="17"/>
    <s v="FORTALEZA"/>
  </r>
  <r>
    <x v="672"/>
    <n v="0"/>
    <x v="1714"/>
    <s v="03024466000115"/>
    <x v="132"/>
    <d v="2021-05-10T00:00:00"/>
    <n v="60"/>
    <n v="596.73"/>
    <s v="1/306157"/>
    <n v="1"/>
    <s v="P"/>
    <x v="17"/>
    <s v="FORTALEZA"/>
  </r>
  <r>
    <x v="672"/>
    <n v="0"/>
    <x v="1715"/>
    <s v="30732111000153"/>
    <x v="116"/>
    <d v="2021-03-31T00:00:00"/>
    <n v="100"/>
    <n v="602.16999999999996"/>
    <s v="1/300942"/>
    <n v="1"/>
    <s v="A"/>
    <x v="4"/>
    <s v="PACAJUS"/>
  </r>
  <r>
    <x v="672"/>
    <n v="0"/>
    <x v="1716"/>
    <s v="21578080000137"/>
    <x v="113"/>
    <d v="2021-03-31T00:00:00"/>
    <n v="100"/>
    <n v="602.16999999999996"/>
    <s v="1/300940"/>
    <n v="1"/>
    <s v="A"/>
    <x v="4"/>
    <s v="HORIZONTE"/>
  </r>
  <r>
    <x v="672"/>
    <n v="0"/>
    <x v="1717"/>
    <s v="21578080000137"/>
    <x v="113"/>
    <d v="2021-05-10T00:00:00"/>
    <n v="60"/>
    <n v="487.46"/>
    <s v="1/306014"/>
    <n v="1"/>
    <s v="A"/>
    <x v="4"/>
    <s v="HORIZONTE"/>
  </r>
  <r>
    <x v="672"/>
    <n v="0"/>
    <x v="1718"/>
    <s v="20692655000185"/>
    <x v="124"/>
    <d v="2021-04-20T00:00:00"/>
    <n v="80"/>
    <n v="193.29"/>
    <s v="1/303527"/>
    <n v="1"/>
    <s v="A"/>
    <x v="25"/>
    <s v="FORTALEZA"/>
  </r>
  <r>
    <x v="672"/>
    <n v="0"/>
    <x v="1719"/>
    <s v="20692655000185"/>
    <x v="124"/>
    <d v="2021-04-30T00:00:00"/>
    <n v="70"/>
    <n v="312.77"/>
    <s v="1/304956"/>
    <n v="1"/>
    <s v="A"/>
    <x v="25"/>
    <s v="FORTALEZA"/>
  </r>
  <r>
    <x v="672"/>
    <n v="0"/>
    <x v="1720"/>
    <s v="20692655000185"/>
    <x v="124"/>
    <d v="2021-05-10T00:00:00"/>
    <n v="60"/>
    <n v="238.39"/>
    <s v="1/306032"/>
    <n v="1"/>
    <s v="A"/>
    <x v="25"/>
    <s v="FORTALEZA"/>
  </r>
  <r>
    <x v="673"/>
    <n v="0"/>
    <x v="1721"/>
    <s v="23576929000169"/>
    <x v="117"/>
    <d v="2021-05-11T00:00:00"/>
    <n v="60"/>
    <n v="471.08"/>
    <s v="1/306229"/>
    <n v="1"/>
    <s v="A"/>
    <x v="17"/>
    <s v="FORTALEZA"/>
  </r>
  <r>
    <x v="673"/>
    <n v="0"/>
    <x v="1722"/>
    <s v="04887406000199"/>
    <x v="137"/>
    <d v="2021-05-26T00:00:00"/>
    <n v="45"/>
    <n v="717.19"/>
    <s v="1/308370"/>
    <n v="1"/>
    <s v="A"/>
    <x v="24"/>
    <s v="PEDRA BRANCA"/>
  </r>
  <r>
    <x v="673"/>
    <n v="0"/>
    <x v="1723"/>
    <s v="30511707000123"/>
    <x v="115"/>
    <d v="2021-03-02T00:00:00"/>
    <n v="130"/>
    <n v="1486.3"/>
    <s v="1/296672"/>
    <n v="1"/>
    <s v="A"/>
    <x v="4"/>
    <s v="HORIZONTE"/>
  </r>
  <r>
    <x v="673"/>
    <n v="0"/>
    <x v="1724"/>
    <s v="30511707000123"/>
    <x v="115"/>
    <d v="2021-03-22T00:00:00"/>
    <n v="110"/>
    <n v="1225.3699999999999"/>
    <s v="1/299523"/>
    <n v="1"/>
    <s v="A"/>
    <x v="4"/>
    <s v="HORIZONTE"/>
  </r>
  <r>
    <x v="673"/>
    <n v="0"/>
    <x v="1725"/>
    <s v="06741607000370"/>
    <x v="139"/>
    <d v="2021-05-21T00:00:00"/>
    <n v="50"/>
    <n v="308.75"/>
    <s v="1/307973"/>
    <n v="1"/>
    <s v="A"/>
    <x v="24"/>
    <s v="PEDRA BRANCA"/>
  </r>
  <r>
    <x v="673"/>
    <n v="0"/>
    <x v="1726"/>
    <s v="17667591000158"/>
    <x v="136"/>
    <d v="2021-05-11T00:00:00"/>
    <n v="60"/>
    <n v="332.37"/>
    <s v="1/306226"/>
    <n v="1"/>
    <s v="P"/>
    <x v="17"/>
    <s v="FORTALEZA"/>
  </r>
  <r>
    <x v="673"/>
    <n v="0"/>
    <x v="1727"/>
    <s v="17667591000158"/>
    <x v="136"/>
    <d v="2021-05-11T00:00:00"/>
    <n v="60"/>
    <n v="373.55"/>
    <s v="1/306355"/>
    <n v="1"/>
    <s v="P"/>
    <x v="17"/>
    <s v="FORTALEZA"/>
  </r>
  <r>
    <x v="673"/>
    <n v="0"/>
    <x v="1728"/>
    <s v="17667591000158"/>
    <x v="136"/>
    <d v="2021-05-11T00:00:00"/>
    <n v="60"/>
    <n v="1046.97"/>
    <s v="1/306416"/>
    <n v="1"/>
    <s v="P"/>
    <x v="17"/>
    <s v="FORTALEZA"/>
  </r>
  <r>
    <x v="673"/>
    <n v="0"/>
    <x v="1729"/>
    <s v="28041128000112"/>
    <x v="134"/>
    <d v="2021-05-11T00:00:00"/>
    <n v="60"/>
    <n v="332.37"/>
    <s v="1/306227"/>
    <n v="1"/>
    <s v="P"/>
    <x v="17"/>
    <s v="MARACANAU"/>
  </r>
  <r>
    <x v="673"/>
    <n v="0"/>
    <x v="1730"/>
    <s v="28041128000112"/>
    <x v="134"/>
    <d v="2021-05-11T00:00:00"/>
    <n v="60"/>
    <n v="1036.04"/>
    <s v="1/306349"/>
    <n v="1"/>
    <s v="P"/>
    <x v="17"/>
    <s v="MARACANAU"/>
  </r>
  <r>
    <x v="673"/>
    <n v="0"/>
    <x v="1731"/>
    <s v="28041128000112"/>
    <x v="134"/>
    <d v="2021-05-11T00:00:00"/>
    <n v="60"/>
    <n v="1233.73"/>
    <s v="1/306420"/>
    <n v="1"/>
    <s v="P"/>
    <x v="17"/>
    <s v="MARACANAU"/>
  </r>
  <r>
    <x v="673"/>
    <n v="0"/>
    <x v="1732"/>
    <s v="10598280000135"/>
    <x v="131"/>
    <d v="2021-05-11T00:00:00"/>
    <n v="60"/>
    <n v="390.55"/>
    <s v="1/306205"/>
    <n v="1"/>
    <s v="P"/>
    <x v="17"/>
    <s v="FORTALEZA"/>
  </r>
  <r>
    <x v="673"/>
    <n v="0"/>
    <x v="1733"/>
    <s v="10598280000135"/>
    <x v="131"/>
    <d v="2021-05-11T00:00:00"/>
    <n v="60"/>
    <n v="1607.23"/>
    <s v="1/306419"/>
    <n v="1"/>
    <s v="P"/>
    <x v="17"/>
    <s v="FORTALEZA"/>
  </r>
  <r>
    <x v="673"/>
    <n v="0"/>
    <x v="1734"/>
    <s v="03024466000115"/>
    <x v="132"/>
    <d v="2021-05-11T00:00:00"/>
    <n v="60"/>
    <n v="332.37"/>
    <s v="1/306203"/>
    <n v="1"/>
    <s v="P"/>
    <x v="17"/>
    <s v="FORTALEZA"/>
  </r>
  <r>
    <x v="673"/>
    <n v="0"/>
    <x v="1735"/>
    <s v="03024466000115"/>
    <x v="132"/>
    <d v="2021-05-11T00:00:00"/>
    <n v="60"/>
    <n v="218.17"/>
    <s v="1/306335"/>
    <n v="1"/>
    <s v="P"/>
    <x v="17"/>
    <s v="FORTALEZA"/>
  </r>
  <r>
    <x v="673"/>
    <n v="0"/>
    <x v="1736"/>
    <s v="03024466000115"/>
    <x v="132"/>
    <d v="2021-05-11T00:00:00"/>
    <n v="60"/>
    <n v="1607.23"/>
    <s v="1/306411"/>
    <n v="1"/>
    <s v="P"/>
    <x v="17"/>
    <s v="FORTALEZA"/>
  </r>
  <r>
    <x v="674"/>
    <n v="0"/>
    <x v="1737"/>
    <s v="30320062000141"/>
    <x v="145"/>
    <d v="2021-05-12T00:00:00"/>
    <n v="60"/>
    <n v="343.32"/>
    <s v="1/306508"/>
    <n v="1"/>
    <s v="A"/>
    <x v="16"/>
    <s v="TARRAFAS"/>
  </r>
  <r>
    <x v="674"/>
    <n v="0"/>
    <x v="1738"/>
    <s v="10899161000112"/>
    <x v="130"/>
    <d v="2021-04-12T00:00:00"/>
    <n v="90"/>
    <n v="422.47"/>
    <s v="1/302444"/>
    <n v="1"/>
    <s v="A"/>
    <x v="4"/>
    <s v="MARACANAU"/>
  </r>
  <r>
    <x v="674"/>
    <n v="0"/>
    <x v="1739"/>
    <s v="07576904000109"/>
    <x v="135"/>
    <d v="2021-05-27T00:00:00"/>
    <n v="45"/>
    <n v="724.52"/>
    <s v="1/308590"/>
    <n v="1"/>
    <s v="A"/>
    <x v="4"/>
    <s v="EUSEBIO"/>
  </r>
  <r>
    <x v="674"/>
    <n v="0"/>
    <x v="1740"/>
    <s v="04887406000199"/>
    <x v="137"/>
    <d v="2021-05-12T00:00:00"/>
    <n v="60"/>
    <n v="547.48"/>
    <s v="1/306471"/>
    <n v="1"/>
    <s v="A"/>
    <x v="24"/>
    <s v="PEDRA BRANCA"/>
  </r>
  <r>
    <x v="674"/>
    <n v="0"/>
    <x v="1741"/>
    <s v="04887406000199"/>
    <x v="137"/>
    <d v="2021-05-12T00:00:00"/>
    <n v="60"/>
    <n v="257.14"/>
    <s v="1/306483"/>
    <n v="1"/>
    <s v="A"/>
    <x v="24"/>
    <s v="PEDRA BRANCA"/>
  </r>
  <r>
    <x v="674"/>
    <n v="0"/>
    <x v="1742"/>
    <s v="30511707000123"/>
    <x v="115"/>
    <d v="2021-04-12T00:00:00"/>
    <n v="90"/>
    <n v="565.73"/>
    <s v="1/302404"/>
    <n v="1"/>
    <s v="A"/>
    <x v="4"/>
    <s v="HORIZONTE"/>
  </r>
  <r>
    <x v="674"/>
    <n v="0"/>
    <x v="1743"/>
    <s v="30511707000123"/>
    <x v="115"/>
    <d v="2021-04-12T00:00:00"/>
    <n v="90"/>
    <n v="1752.31"/>
    <s v="1/302416"/>
    <n v="1"/>
    <s v="A"/>
    <x v="4"/>
    <s v="HORIZONTE"/>
  </r>
  <r>
    <x v="674"/>
    <n v="0"/>
    <x v="1744"/>
    <s v="30511783000139"/>
    <x v="125"/>
    <d v="2021-04-27T00:00:00"/>
    <n v="75"/>
    <n v="1201.3699999999999"/>
    <s v="1/304329"/>
    <n v="1"/>
    <s v="A"/>
    <x v="4"/>
    <s v="REDENÇÃO"/>
  </r>
  <r>
    <x v="674"/>
    <n v="0"/>
    <x v="1745"/>
    <s v="01946309000131"/>
    <x v="138"/>
    <d v="2021-05-07T00:00:00"/>
    <n v="65"/>
    <n v="563.84"/>
    <s v="1/305920"/>
    <n v="1"/>
    <s v="A"/>
    <x v="17"/>
    <s v="FORTALEZA"/>
  </r>
  <r>
    <x v="674"/>
    <n v="0"/>
    <x v="1746"/>
    <s v="36515271000127"/>
    <x v="142"/>
    <d v="2021-04-07T00:00:00"/>
    <n v="95"/>
    <n v="958.14"/>
    <s v="1/301864"/>
    <n v="1"/>
    <s v="A"/>
    <x v="4"/>
    <s v="MORADA NOVA"/>
  </r>
  <r>
    <x v="675"/>
    <n v="0"/>
    <x v="1747"/>
    <s v="04887406000199"/>
    <x v="137"/>
    <d v="2021-05-13T00:00:00"/>
    <n v="60"/>
    <n v="303.7"/>
    <s v="1/306714"/>
    <n v="1"/>
    <s v="A"/>
    <x v="24"/>
    <s v="PEDRA BRANCA"/>
  </r>
  <r>
    <x v="675"/>
    <n v="0"/>
    <x v="1748"/>
    <s v="04887406000199"/>
    <x v="137"/>
    <d v="2021-06-02T00:00:00"/>
    <n v="40"/>
    <n v="957.83"/>
    <s v="1/309576"/>
    <n v="1"/>
    <s v="A"/>
    <x v="24"/>
    <s v="PEDRA BRANCA"/>
  </r>
  <r>
    <x v="675"/>
    <n v="0"/>
    <x v="1749"/>
    <s v="30038762000148"/>
    <x v="141"/>
    <d v="2021-05-13T00:00:00"/>
    <n v="60"/>
    <n v="406.6"/>
    <s v="1/306772"/>
    <n v="1"/>
    <s v="A"/>
    <x v="18"/>
    <s v="SOBRAL"/>
  </r>
  <r>
    <x v="675"/>
    <n v="0"/>
    <x v="1750"/>
    <s v="06741607000370"/>
    <x v="139"/>
    <d v="2021-05-03T00:00:00"/>
    <n v="70"/>
    <n v="281.67"/>
    <s v="1/305196"/>
    <n v="1"/>
    <s v="A"/>
    <x v="24"/>
    <s v="PEDRA BRANCA"/>
  </r>
  <r>
    <x v="675"/>
    <n v="0"/>
    <x v="1751"/>
    <s v="06741607000370"/>
    <x v="139"/>
    <d v="2021-05-13T00:00:00"/>
    <n v="60"/>
    <n v="219.62"/>
    <s v="1/306798"/>
    <n v="1"/>
    <s v="A"/>
    <x v="24"/>
    <s v="PEDRA BRANCA"/>
  </r>
  <r>
    <x v="675"/>
    <n v="0"/>
    <x v="1752"/>
    <s v="29079945000122"/>
    <x v="146"/>
    <d v="2021-05-13T00:00:00"/>
    <n v="60"/>
    <n v="465.9"/>
    <s v="1/306690"/>
    <n v="1"/>
    <s v="A"/>
    <x v="25"/>
    <s v="FORTALEZA"/>
  </r>
  <r>
    <x v="675"/>
    <n v="0"/>
    <x v="1753"/>
    <s v="30732111000153"/>
    <x v="116"/>
    <d v="2021-04-13T00:00:00"/>
    <n v="90"/>
    <n v="1364.17"/>
    <s v="1/302505"/>
    <n v="1"/>
    <s v="A"/>
    <x v="4"/>
    <s v="PACAJUS"/>
  </r>
  <r>
    <x v="675"/>
    <n v="0"/>
    <x v="1754"/>
    <s v="30732111000153"/>
    <x v="116"/>
    <d v="2021-04-28T00:00:00"/>
    <n v="75"/>
    <n v="819.97"/>
    <s v="1/304419"/>
    <n v="1"/>
    <s v="A"/>
    <x v="4"/>
    <s v="PACAJUS"/>
  </r>
  <r>
    <x v="675"/>
    <n v="0"/>
    <x v="1755"/>
    <s v="30732111000153"/>
    <x v="116"/>
    <d v="2021-05-28T00:00:00"/>
    <n v="45"/>
    <n v="362.42"/>
    <s v="1/308911"/>
    <n v="1"/>
    <s v="A"/>
    <x v="4"/>
    <s v="PACAJUS"/>
  </r>
  <r>
    <x v="675"/>
    <n v="0"/>
    <x v="1756"/>
    <s v="21578080000137"/>
    <x v="113"/>
    <d v="2021-04-13T00:00:00"/>
    <n v="90"/>
    <n v="1907.3"/>
    <s v="1/302518"/>
    <n v="1"/>
    <s v="A"/>
    <x v="4"/>
    <s v="HORIZONTE"/>
  </r>
  <r>
    <x v="675"/>
    <n v="0"/>
    <x v="1757"/>
    <s v="36515271000127"/>
    <x v="142"/>
    <d v="2021-04-28T00:00:00"/>
    <n v="75"/>
    <n v="774.82"/>
    <s v="1/304406"/>
    <n v="1"/>
    <s v="A"/>
    <x v="4"/>
    <s v="MORADA NOVA"/>
  </r>
  <r>
    <x v="676"/>
    <n v="0"/>
    <x v="1758"/>
    <s v="30511783000139"/>
    <x v="125"/>
    <d v="2021-04-19T00:00:00"/>
    <n v="85"/>
    <n v="1191.4100000000001"/>
    <s v="1/303407"/>
    <n v="1"/>
    <s v="A"/>
    <x v="4"/>
    <s v="REDENÇÃO"/>
  </r>
  <r>
    <x v="676"/>
    <n v="0"/>
    <x v="1759"/>
    <s v="30511783000139"/>
    <x v="125"/>
    <d v="2021-04-29T00:00:00"/>
    <n v="75"/>
    <n v="574.91"/>
    <s v="1/304651"/>
    <n v="1"/>
    <s v="A"/>
    <x v="4"/>
    <s v="REDENÇÃO"/>
  </r>
  <r>
    <x v="676"/>
    <n v="0"/>
    <x v="1760"/>
    <s v="28041128000112"/>
    <x v="134"/>
    <d v="2021-05-11T00:00:00"/>
    <n v="63"/>
    <n v="503.01"/>
    <s v="1/306336"/>
    <n v="1"/>
    <s v="P"/>
    <x v="17"/>
    <s v="MARACANAU"/>
  </r>
  <r>
    <x v="676"/>
    <n v="0"/>
    <x v="1761"/>
    <s v="10598280000135"/>
    <x v="131"/>
    <d v="2021-05-11T00:00:00"/>
    <n v="63"/>
    <n v="567.76"/>
    <s v="1/306342"/>
    <n v="1"/>
    <s v="P"/>
    <x v="17"/>
    <s v="FORTALEZA"/>
  </r>
  <r>
    <x v="676"/>
    <n v="0"/>
    <x v="1762"/>
    <s v="03024466000115"/>
    <x v="132"/>
    <d v="2021-05-11T00:00:00"/>
    <n v="63"/>
    <n v="76.13"/>
    <s v="1/306350"/>
    <n v="1"/>
    <s v="P"/>
    <x v="17"/>
    <s v="FORTALEZA"/>
  </r>
  <r>
    <x v="676"/>
    <n v="0"/>
    <x v="1763"/>
    <s v="30732111000153"/>
    <x v="116"/>
    <d v="2021-04-29T00:00:00"/>
    <n v="75"/>
    <n v="332.65"/>
    <s v="1/304643"/>
    <n v="1"/>
    <s v="A"/>
    <x v="4"/>
    <s v="PACAJUS"/>
  </r>
  <r>
    <x v="676"/>
    <n v="0"/>
    <x v="1764"/>
    <s v="21578080000137"/>
    <x v="113"/>
    <d v="2021-04-29T00:00:00"/>
    <n v="75"/>
    <n v="378.24"/>
    <s v="1/304630"/>
    <n v="1"/>
    <s v="A"/>
    <x v="4"/>
    <s v="HORIZONTE"/>
  </r>
  <r>
    <x v="676"/>
    <n v="0"/>
    <x v="1765"/>
    <s v="36515271000127"/>
    <x v="142"/>
    <d v="2021-03-30T00:00:00"/>
    <n v="105"/>
    <n v="690.42"/>
    <s v="1/300858"/>
    <n v="1"/>
    <s v="A"/>
    <x v="4"/>
    <s v="MORADA NOVA"/>
  </r>
  <r>
    <x v="676"/>
    <n v="0"/>
    <x v="1766"/>
    <s v="20692655000185"/>
    <x v="124"/>
    <d v="2021-04-14T00:00:00"/>
    <n v="90"/>
    <n v="284.57"/>
    <s v="1/302901"/>
    <n v="1"/>
    <s v="A"/>
    <x v="25"/>
    <s v="FORTALEZA"/>
  </r>
  <r>
    <x v="676"/>
    <n v="0"/>
    <x v="1767"/>
    <s v="09077965000157"/>
    <x v="147"/>
    <d v="2021-05-14T00:00:00"/>
    <n v="60"/>
    <n v="253.78"/>
    <s v="1/306992"/>
    <n v="1"/>
    <s v="A"/>
    <x v="15"/>
    <s v="FORTALEZA"/>
  </r>
  <r>
    <x v="677"/>
    <n v="0"/>
    <x v="1768"/>
    <s v="10899161000112"/>
    <x v="130"/>
    <d v="2021-05-05T00:00:00"/>
    <n v="70"/>
    <n v="733.37"/>
    <s v="1/305527"/>
    <n v="1"/>
    <s v="A"/>
    <x v="4"/>
    <s v="MARACANAU"/>
  </r>
  <r>
    <x v="677"/>
    <n v="0"/>
    <x v="1769"/>
    <s v="10609289000102"/>
    <x v="148"/>
    <d v="2021-05-05T00:00:00"/>
    <n v="70"/>
    <n v="703.34"/>
    <s v="1/305517"/>
    <n v="1"/>
    <s v="A"/>
    <x v="16"/>
    <s v="CARIÚS"/>
  </r>
  <r>
    <x v="677"/>
    <n v="0"/>
    <x v="1770"/>
    <s v="04887406000199"/>
    <x v="137"/>
    <d v="2021-05-05T00:00:00"/>
    <n v="70"/>
    <n v="601.71"/>
    <s v="1/305620"/>
    <n v="1"/>
    <s v="A"/>
    <x v="24"/>
    <s v="PEDRA BRANCA"/>
  </r>
  <r>
    <x v="677"/>
    <n v="0"/>
    <x v="1771"/>
    <s v="21578080000137"/>
    <x v="113"/>
    <d v="2021-04-05T00:00:00"/>
    <n v="100"/>
    <n v="2142.2800000000002"/>
    <s v="1/301516"/>
    <n v="1"/>
    <s v="A"/>
    <x v="4"/>
    <s v="HORIZONTE"/>
  </r>
  <r>
    <x v="677"/>
    <n v="0"/>
    <x v="1772"/>
    <s v="21578080000137"/>
    <x v="113"/>
    <d v="2021-05-05T00:00:00"/>
    <n v="70"/>
    <n v="121.4"/>
    <s v="1/305599"/>
    <n v="1"/>
    <s v="A"/>
    <x v="4"/>
    <s v="HORIZONTE"/>
  </r>
  <r>
    <x v="677"/>
    <n v="0"/>
    <x v="1773"/>
    <s v="10307609000161"/>
    <x v="149"/>
    <d v="2021-04-05T00:00:00"/>
    <n v="100"/>
    <n v="431.18"/>
    <s v="1/301486"/>
    <n v="1"/>
    <s v="A"/>
    <x v="17"/>
    <s v="CAUCAIA"/>
  </r>
  <r>
    <x v="678"/>
    <n v="0"/>
    <x v="1774"/>
    <s v="23576929000169"/>
    <x v="117"/>
    <d v="2021-05-06T00:00:00"/>
    <n v="70"/>
    <n v="289.08"/>
    <s v="1/305702"/>
    <n v="1"/>
    <s v="A"/>
    <x v="17"/>
    <s v="FORTALEZA"/>
  </r>
  <r>
    <x v="678"/>
    <n v="0"/>
    <x v="1775"/>
    <s v="04887406000199"/>
    <x v="137"/>
    <d v="2021-05-26T00:00:00"/>
    <n v="50"/>
    <n v="287.01"/>
    <s v="1/308359"/>
    <n v="1"/>
    <s v="A"/>
    <x v="24"/>
    <s v="PEDRA BRANCA"/>
  </r>
  <r>
    <x v="678"/>
    <n v="0"/>
    <x v="1776"/>
    <s v="32858942000100"/>
    <x v="150"/>
    <d v="2021-05-26T00:00:00"/>
    <n v="50"/>
    <n v="286.63"/>
    <s v="1/308502"/>
    <n v="1"/>
    <s v="A"/>
    <x v="25"/>
    <s v="CAPISTRANO"/>
  </r>
  <r>
    <x v="678"/>
    <n v="0"/>
    <x v="1777"/>
    <s v="30511707000123"/>
    <x v="115"/>
    <d v="2021-04-06T00:00:00"/>
    <n v="100"/>
    <n v="1619.6"/>
    <s v="1/301557"/>
    <n v="1"/>
    <s v="A"/>
    <x v="4"/>
    <s v="HORIZONTE"/>
  </r>
  <r>
    <x v="678"/>
    <n v="0"/>
    <x v="1778"/>
    <s v="30511707000123"/>
    <x v="115"/>
    <d v="2021-04-26T00:00:00"/>
    <n v="80"/>
    <n v="1466.33"/>
    <s v="1/304073"/>
    <n v="1"/>
    <s v="A"/>
    <x v="4"/>
    <s v="HORIZONTE"/>
  </r>
  <r>
    <x v="678"/>
    <n v="0"/>
    <x v="1779"/>
    <s v="01946309000131"/>
    <x v="138"/>
    <d v="2021-05-26T00:00:00"/>
    <n v="50"/>
    <n v="316.57"/>
    <s v="1/308376"/>
    <n v="1"/>
    <s v="A"/>
    <x v="17"/>
    <s v="FORTALEZA"/>
  </r>
  <r>
    <x v="678"/>
    <n v="0"/>
    <x v="1780"/>
    <s v="06741607000370"/>
    <x v="139"/>
    <d v="2021-05-06T00:00:00"/>
    <n v="70"/>
    <n v="266.45"/>
    <s v="1/305651"/>
    <n v="1"/>
    <s v="A"/>
    <x v="24"/>
    <s v="PEDRA BRANCA"/>
  </r>
  <r>
    <x v="678"/>
    <n v="0"/>
    <x v="1781"/>
    <s v="06741607000370"/>
    <x v="139"/>
    <d v="2021-05-21T00:00:00"/>
    <n v="55"/>
    <n v="328.85"/>
    <s v="1/307958"/>
    <n v="1"/>
    <s v="A"/>
    <x v="24"/>
    <s v="PEDRA BRANCA"/>
  </r>
  <r>
    <x v="678"/>
    <n v="0"/>
    <x v="1782"/>
    <s v="10598280000135"/>
    <x v="131"/>
    <d v="2021-05-06T00:00:00"/>
    <n v="70"/>
    <n v="1295.1199999999999"/>
    <s v="1/305763"/>
    <n v="1"/>
    <s v="P"/>
    <x v="17"/>
    <s v="FORTALEZA"/>
  </r>
  <r>
    <x v="678"/>
    <n v="0"/>
    <x v="1783"/>
    <s v="21578080000137"/>
    <x v="113"/>
    <d v="2021-05-26T00:00:00"/>
    <n v="50"/>
    <n v="612.57000000000005"/>
    <s v="1/308450"/>
    <n v="1"/>
    <s v="A"/>
    <x v="4"/>
    <s v="HORIZONTE"/>
  </r>
  <r>
    <x v="678"/>
    <n v="0"/>
    <x v="1784"/>
    <s v="36515271000127"/>
    <x v="142"/>
    <d v="2021-04-16T00:00:00"/>
    <n v="90"/>
    <n v="1368.74"/>
    <s v="1/303216"/>
    <n v="1"/>
    <s v="A"/>
    <x v="4"/>
    <s v="MORADA NOVA"/>
  </r>
  <r>
    <x v="678"/>
    <n v="0"/>
    <x v="1785"/>
    <s v="10307609000161"/>
    <x v="149"/>
    <d v="2021-04-26T00:00:00"/>
    <n v="80"/>
    <n v="586.73"/>
    <s v="1/304141"/>
    <n v="1"/>
    <s v="A"/>
    <x v="17"/>
    <s v="CAUCAIA"/>
  </r>
  <r>
    <x v="678"/>
    <n v="0"/>
    <x v="1786"/>
    <s v="32122621000134"/>
    <x v="140"/>
    <d v="2021-07-01T00:00:00"/>
    <n v="14"/>
    <n v="280.99"/>
    <s v="1/313607"/>
    <n v="1"/>
    <s v="A"/>
    <x v="18"/>
    <s v="ARARENDÁ"/>
  </r>
  <r>
    <x v="678"/>
    <n v="0"/>
    <x v="1787"/>
    <s v="20692655000185"/>
    <x v="124"/>
    <d v="2021-04-26T00:00:00"/>
    <n v="80"/>
    <n v="236.87"/>
    <s v="1/304074"/>
    <n v="1"/>
    <s v="A"/>
    <x v="25"/>
    <s v="FORTALEZA"/>
  </r>
  <r>
    <x v="679"/>
    <n v="0"/>
    <x v="1788"/>
    <s v="23576929000169"/>
    <x v="117"/>
    <d v="2021-05-07T00:00:00"/>
    <n v="70"/>
    <n v="193.38"/>
    <s v="1/305843"/>
    <n v="1"/>
    <s v="A"/>
    <x v="17"/>
    <s v="FORTALEZA"/>
  </r>
  <r>
    <x v="679"/>
    <n v="0"/>
    <x v="1789"/>
    <s v="10899161000112"/>
    <x v="130"/>
    <d v="2021-06-01T00:00:00"/>
    <n v="45"/>
    <n v="577.58000000000004"/>
    <s v="1/309338"/>
    <n v="1"/>
    <s v="A"/>
    <x v="4"/>
    <s v="MARACANAU"/>
  </r>
  <r>
    <x v="679"/>
    <n v="0"/>
    <x v="1790"/>
    <s v="04887406000199"/>
    <x v="137"/>
    <d v="2021-05-12T00:00:00"/>
    <n v="65"/>
    <n v="346.45"/>
    <s v="1/306623"/>
    <n v="1"/>
    <s v="A"/>
    <x v="24"/>
    <s v="PEDRA BRANCA"/>
  </r>
  <r>
    <x v="679"/>
    <n v="0"/>
    <x v="1791"/>
    <s v="07656200000146"/>
    <x v="151"/>
    <d v="2021-05-27T00:00:00"/>
    <n v="50"/>
    <n v="346.62"/>
    <s v="1/308606"/>
    <n v="1"/>
    <s v="A"/>
    <x v="16"/>
    <s v="MILAGRES"/>
  </r>
  <r>
    <x v="679"/>
    <n v="0"/>
    <x v="1792"/>
    <s v="01946309000131"/>
    <x v="138"/>
    <d v="2021-05-12T00:00:00"/>
    <n v="65"/>
    <n v="417"/>
    <s v="1/306462"/>
    <n v="1"/>
    <s v="A"/>
    <x v="17"/>
    <s v="FORTALEZA"/>
  </r>
  <r>
    <x v="679"/>
    <n v="0"/>
    <x v="1793"/>
    <s v="02915680000107"/>
    <x v="152"/>
    <d v="2021-05-12T00:00:00"/>
    <n v="65"/>
    <n v="257.36"/>
    <s v="1/306633"/>
    <n v="1"/>
    <s v="A"/>
    <x v="4"/>
    <s v="FORTALEZA"/>
  </r>
  <r>
    <x v="679"/>
    <n v="0"/>
    <x v="1794"/>
    <s v="06741607000370"/>
    <x v="139"/>
    <d v="2021-05-27T00:00:00"/>
    <n v="50"/>
    <n v="267.89"/>
    <s v="1/308677"/>
    <n v="1"/>
    <s v="A"/>
    <x v="24"/>
    <s v="PEDRA BRANCA"/>
  </r>
  <r>
    <x v="679"/>
    <n v="0"/>
    <x v="1795"/>
    <s v="06741607000370"/>
    <x v="139"/>
    <d v="2021-05-27T00:00:00"/>
    <n v="50"/>
    <n v="296.13"/>
    <s v="1/308727"/>
    <n v="1"/>
    <s v="A"/>
    <x v="24"/>
    <s v="PEDRA BRANCA"/>
  </r>
  <r>
    <x v="679"/>
    <n v="0"/>
    <x v="1796"/>
    <s v="03507600000139"/>
    <x v="144"/>
    <d v="2019-08-02T00:00:00"/>
    <n v="714"/>
    <n v="500"/>
    <s v="1/221656"/>
    <n v="1"/>
    <s v="A"/>
    <x v="25"/>
    <s v="FORTALEZA"/>
  </r>
  <r>
    <x v="679"/>
    <n v="0"/>
    <x v="1797"/>
    <s v="33395192000131"/>
    <x v="153"/>
    <d v="2021-05-12T00:00:00"/>
    <n v="65"/>
    <n v="336.92"/>
    <s v="1/306493"/>
    <n v="1"/>
    <s v="A"/>
    <x v="24"/>
    <s v="OROS"/>
  </r>
  <r>
    <x v="679"/>
    <n v="0"/>
    <x v="1798"/>
    <s v="30732111000153"/>
    <x v="116"/>
    <d v="2021-04-27T00:00:00"/>
    <n v="80"/>
    <n v="1935.78"/>
    <s v="1/304316"/>
    <n v="1"/>
    <s v="A"/>
    <x v="4"/>
    <s v="PACAJUS"/>
  </r>
  <r>
    <x v="679"/>
    <n v="0"/>
    <x v="1799"/>
    <s v="21578080000137"/>
    <x v="113"/>
    <d v="2021-04-27T00:00:00"/>
    <n v="80"/>
    <n v="2535.6"/>
    <s v="1/304309"/>
    <n v="1"/>
    <s v="A"/>
    <x v="4"/>
    <s v="HORIZONTE"/>
  </r>
  <r>
    <x v="679"/>
    <n v="0"/>
    <x v="1800"/>
    <s v="21578080000137"/>
    <x v="113"/>
    <d v="2021-04-27T00:00:00"/>
    <n v="80"/>
    <n v="914.48"/>
    <s v="1/304314"/>
    <n v="1"/>
    <s v="A"/>
    <x v="4"/>
    <s v="HORIZONTE"/>
  </r>
  <r>
    <x v="679"/>
    <n v="0"/>
    <x v="1801"/>
    <s v="06146227000126"/>
    <x v="154"/>
    <d v="2021-05-07T00:00:00"/>
    <n v="70"/>
    <n v="238.7"/>
    <s v="1/305923"/>
    <n v="1"/>
    <s v="A"/>
    <x v="4"/>
    <s v="JAGUARIBARA"/>
  </r>
  <r>
    <x v="679"/>
    <n v="0"/>
    <x v="1802"/>
    <s v="22165546000135"/>
    <x v="155"/>
    <d v="2021-04-27T00:00:00"/>
    <n v="80"/>
    <n v="474.96"/>
    <s v="1/304281"/>
    <n v="1"/>
    <s v="A"/>
    <x v="25"/>
    <s v="ACARAPE"/>
  </r>
  <r>
    <x v="679"/>
    <n v="0"/>
    <x v="1803"/>
    <s v="07035579000177"/>
    <x v="100"/>
    <d v="2021-06-04T00:00:00"/>
    <n v="42"/>
    <n v="187.89"/>
    <s v="1/309796"/>
    <n v="1"/>
    <s v="A"/>
    <x v="18"/>
    <s v="FRECHEIRINHA"/>
  </r>
  <r>
    <x v="679"/>
    <n v="0"/>
    <x v="1804"/>
    <s v="20692655000185"/>
    <x v="124"/>
    <d v="2021-05-17T00:00:00"/>
    <n v="60"/>
    <n v="266.89999999999998"/>
    <s v="1/307166"/>
    <n v="1"/>
    <s v="A"/>
    <x v="25"/>
    <s v="FORTALEZA"/>
  </r>
  <r>
    <x v="680"/>
    <n v="0"/>
    <x v="1805"/>
    <s v="23576929000169"/>
    <x v="117"/>
    <d v="2021-06-07T00:00:00"/>
    <n v="40"/>
    <n v="438.28"/>
    <s v="1/309882"/>
    <n v="1"/>
    <s v="A"/>
    <x v="17"/>
    <s v="FORTALEZA"/>
  </r>
  <r>
    <x v="680"/>
    <n v="0"/>
    <x v="1806"/>
    <s v="04887406000199"/>
    <x v="137"/>
    <d v="2021-04-28T00:00:00"/>
    <n v="80"/>
    <n v="465.94"/>
    <s v="1/304479"/>
    <n v="1"/>
    <s v="A"/>
    <x v="24"/>
    <s v="PEDRA BRANCA"/>
  </r>
  <r>
    <x v="680"/>
    <n v="0"/>
    <x v="1807"/>
    <s v="04887406000199"/>
    <x v="137"/>
    <d v="2021-05-13T00:00:00"/>
    <n v="65"/>
    <n v="259.14"/>
    <s v="1/306712"/>
    <n v="1"/>
    <s v="A"/>
    <x v="24"/>
    <s v="PEDRA BRANCA"/>
  </r>
  <r>
    <x v="680"/>
    <n v="0"/>
    <x v="1808"/>
    <s v="32858942000100"/>
    <x v="150"/>
    <d v="2021-07-07T00:00:00"/>
    <n v="10"/>
    <n v="552.46"/>
    <s v="1/314214"/>
    <n v="1"/>
    <s v="A"/>
    <x v="25"/>
    <s v="CAPISTRANO"/>
  </r>
  <r>
    <x v="680"/>
    <n v="0"/>
    <x v="1809"/>
    <s v="30511707000123"/>
    <x v="115"/>
    <d v="2021-03-29T00:00:00"/>
    <n v="110"/>
    <n v="1345.58"/>
    <s v="1/300616"/>
    <n v="1"/>
    <s v="A"/>
    <x v="4"/>
    <s v="HORIZONTE"/>
  </r>
  <r>
    <x v="680"/>
    <n v="0"/>
    <x v="1810"/>
    <s v="30511707000123"/>
    <x v="115"/>
    <d v="2021-04-28T00:00:00"/>
    <n v="80"/>
    <n v="827.51"/>
    <s v="1/304432"/>
    <n v="1"/>
    <s v="A"/>
    <x v="4"/>
    <s v="HORIZONTE"/>
  </r>
  <r>
    <x v="680"/>
    <n v="0"/>
    <x v="1811"/>
    <s v="30511707000123"/>
    <x v="115"/>
    <d v="2021-05-03T00:00:00"/>
    <n v="75"/>
    <n v="2580.44"/>
    <s v="1/305267"/>
    <n v="1"/>
    <s v="A"/>
    <x v="4"/>
    <s v="HORIZONTE"/>
  </r>
  <r>
    <x v="680"/>
    <n v="0"/>
    <x v="1812"/>
    <s v="30511707000123"/>
    <x v="115"/>
    <d v="2021-05-18T00:00:00"/>
    <n v="60"/>
    <n v="2289.85"/>
    <s v="1/307396"/>
    <n v="1"/>
    <s v="A"/>
    <x v="4"/>
    <s v="HORIZONTE"/>
  </r>
  <r>
    <x v="680"/>
    <n v="0"/>
    <x v="1813"/>
    <s v="73358947000142"/>
    <x v="156"/>
    <d v="2021-05-03T00:00:00"/>
    <n v="75"/>
    <n v="386.41"/>
    <s v="1/305088"/>
    <n v="1"/>
    <s v="A"/>
    <x v="26"/>
    <s v="FORTALEZA"/>
  </r>
  <r>
    <x v="680"/>
    <n v="0"/>
    <x v="1814"/>
    <s v="06741607000370"/>
    <x v="139"/>
    <d v="2021-05-18T00:00:00"/>
    <n v="60"/>
    <n v="358.04"/>
    <s v="1/307323"/>
    <n v="1"/>
    <s v="A"/>
    <x v="24"/>
    <s v="PEDRA BRANCA"/>
  </r>
  <r>
    <x v="680"/>
    <n v="0"/>
    <x v="1815"/>
    <s v="29079945000122"/>
    <x v="146"/>
    <d v="2021-06-02T00:00:00"/>
    <n v="45"/>
    <n v="398.12"/>
    <s v="1/309528"/>
    <n v="1"/>
    <s v="A"/>
    <x v="25"/>
    <s v="FORTALEZA"/>
  </r>
  <r>
    <x v="680"/>
    <n v="0"/>
    <x v="1816"/>
    <s v="17667591000158"/>
    <x v="136"/>
    <d v="2021-05-18T00:00:00"/>
    <n v="60"/>
    <n v="1150.24"/>
    <s v="1/307418"/>
    <n v="1"/>
    <s v="P"/>
    <x v="17"/>
    <s v="FORTALEZA"/>
  </r>
  <r>
    <x v="680"/>
    <n v="0"/>
    <x v="1817"/>
    <s v="33395192000131"/>
    <x v="153"/>
    <d v="2021-04-23T00:00:00"/>
    <n v="85"/>
    <n v="309.99"/>
    <s v="1/303983"/>
    <n v="1"/>
    <s v="A"/>
    <x v="24"/>
    <s v="OROS"/>
  </r>
  <r>
    <x v="680"/>
    <n v="0"/>
    <x v="1818"/>
    <s v="03024466000115"/>
    <x v="132"/>
    <d v="2021-05-18T00:00:00"/>
    <n v="60"/>
    <n v="1739.87"/>
    <s v="1/307422"/>
    <n v="1"/>
    <s v="P"/>
    <x v="17"/>
    <s v="FORTALEZA"/>
  </r>
  <r>
    <x v="680"/>
    <n v="0"/>
    <x v="1819"/>
    <s v="30732111000153"/>
    <x v="116"/>
    <d v="2021-04-08T00:00:00"/>
    <n v="100"/>
    <n v="1338.68"/>
    <s v="1/302060"/>
    <n v="1"/>
    <s v="A"/>
    <x v="4"/>
    <s v="PACAJUS"/>
  </r>
  <r>
    <x v="680"/>
    <n v="0"/>
    <x v="1820"/>
    <s v="21578080000137"/>
    <x v="113"/>
    <d v="2021-03-29T00:00:00"/>
    <n v="110"/>
    <n v="1154.6199999999999"/>
    <s v="1/300618"/>
    <n v="1"/>
    <s v="A"/>
    <x v="4"/>
    <s v="HORIZONTE"/>
  </r>
  <r>
    <x v="680"/>
    <n v="0"/>
    <x v="1821"/>
    <s v="36515271000127"/>
    <x v="142"/>
    <d v="2021-04-28T00:00:00"/>
    <n v="80"/>
    <n v="1440.85"/>
    <s v="1/304539"/>
    <n v="1"/>
    <s v="A"/>
    <x v="4"/>
    <s v="MORADA NOVA"/>
  </r>
  <r>
    <x v="680"/>
    <n v="0"/>
    <x v="1822"/>
    <s v="22165546000135"/>
    <x v="155"/>
    <d v="2021-05-18T00:00:00"/>
    <n v="60"/>
    <n v="385.23"/>
    <s v="1/307373"/>
    <n v="1"/>
    <s v="A"/>
    <x v="25"/>
    <s v="ACARAPE"/>
  </r>
  <r>
    <x v="680"/>
    <n v="0"/>
    <x v="1823"/>
    <s v="20692655000185"/>
    <x v="124"/>
    <d v="2021-05-03T00:00:00"/>
    <n v="75"/>
    <n v="313.73"/>
    <s v="1/305257"/>
    <n v="1"/>
    <s v="A"/>
    <x v="25"/>
    <s v="FORTALEZA"/>
  </r>
  <r>
    <x v="681"/>
    <n v="0"/>
    <x v="1824"/>
    <s v="16852021000175"/>
    <x v="127"/>
    <d v="2021-04-09T00:00:00"/>
    <n v="100"/>
    <n v="390.02"/>
    <s v="1/302299"/>
    <n v="1"/>
    <s v="A"/>
    <x v="25"/>
    <s v="FORTALEZA"/>
  </r>
  <r>
    <x v="681"/>
    <n v="0"/>
    <x v="1825"/>
    <s v="07576904000109"/>
    <x v="135"/>
    <d v="2021-05-14T00:00:00"/>
    <n v="65"/>
    <n v="478.15"/>
    <s v="1/307018"/>
    <n v="1"/>
    <s v="A"/>
    <x v="4"/>
    <s v="EUSEBIO"/>
  </r>
  <r>
    <x v="681"/>
    <n v="0"/>
    <x v="1826"/>
    <s v="04887406000199"/>
    <x v="137"/>
    <d v="2021-05-19T00:00:00"/>
    <n v="60"/>
    <n v="350.26"/>
    <s v="1/307620"/>
    <n v="1"/>
    <s v="A"/>
    <x v="24"/>
    <s v="PEDRA BRANCA"/>
  </r>
  <r>
    <x v="681"/>
    <n v="0"/>
    <x v="1827"/>
    <s v="07656200000146"/>
    <x v="151"/>
    <d v="2021-06-18T00:00:00"/>
    <n v="30"/>
    <n v="396.35"/>
    <s v="1/311864"/>
    <n v="1"/>
    <s v="A"/>
    <x v="16"/>
    <s v="MILAGRES"/>
  </r>
  <r>
    <x v="681"/>
    <n v="0"/>
    <x v="1828"/>
    <s v="30511707000123"/>
    <x v="115"/>
    <d v="2021-04-29T00:00:00"/>
    <n v="80"/>
    <n v="497.68"/>
    <s v="1/304638"/>
    <n v="1"/>
    <s v="A"/>
    <x v="4"/>
    <s v="HORIZONTE"/>
  </r>
  <r>
    <x v="681"/>
    <n v="0"/>
    <x v="1829"/>
    <s v="30511707000123"/>
    <x v="115"/>
    <d v="2021-04-29T00:00:00"/>
    <n v="80"/>
    <n v="703.11"/>
    <s v="1/304642"/>
    <n v="1"/>
    <s v="A"/>
    <x v="4"/>
    <s v="HORIZONTE"/>
  </r>
  <r>
    <x v="681"/>
    <n v="0"/>
    <x v="1830"/>
    <s v="30511707000123"/>
    <x v="115"/>
    <d v="2021-04-29T00:00:00"/>
    <n v="80"/>
    <n v="270.83999999999997"/>
    <s v="1/304720"/>
    <n v="1"/>
    <s v="A"/>
    <x v="4"/>
    <s v="HORIZONTE"/>
  </r>
  <r>
    <x v="681"/>
    <n v="0"/>
    <x v="1831"/>
    <s v="30511783000139"/>
    <x v="125"/>
    <d v="2021-04-09T00:00:00"/>
    <n v="100"/>
    <n v="1073.96"/>
    <s v="1/302261"/>
    <n v="1"/>
    <s v="A"/>
    <x v="4"/>
    <s v="REDENÇÃO"/>
  </r>
  <r>
    <x v="681"/>
    <n v="0"/>
    <x v="1832"/>
    <s v="30511783000139"/>
    <x v="125"/>
    <d v="2021-04-29T00:00:00"/>
    <n v="80"/>
    <n v="327.56"/>
    <s v="1/304632"/>
    <n v="1"/>
    <s v="A"/>
    <x v="4"/>
    <s v="REDENÇÃO"/>
  </r>
  <r>
    <x v="681"/>
    <n v="0"/>
    <x v="1833"/>
    <s v="30511783000139"/>
    <x v="125"/>
    <d v="2021-04-29T00:00:00"/>
    <n v="80"/>
    <n v="270.83999999999997"/>
    <s v="1/304722"/>
    <n v="1"/>
    <s v="A"/>
    <x v="4"/>
    <s v="REDENÇÃO"/>
  </r>
  <r>
    <x v="681"/>
    <n v="0"/>
    <x v="1834"/>
    <s v="01946309000131"/>
    <x v="138"/>
    <d v="2021-05-14T00:00:00"/>
    <n v="65"/>
    <n v="490.63"/>
    <s v="1/307027"/>
    <n v="1"/>
    <s v="A"/>
    <x v="17"/>
    <s v="FORTALEZA"/>
  </r>
  <r>
    <x v="681"/>
    <n v="0"/>
    <x v="1835"/>
    <s v="28041128000112"/>
    <x v="134"/>
    <d v="2021-05-19T00:00:00"/>
    <n v="60"/>
    <n v="779.95"/>
    <s v="1/307481"/>
    <n v="1"/>
    <s v="P"/>
    <x v="17"/>
    <s v="MARACANAU"/>
  </r>
  <r>
    <x v="681"/>
    <n v="0"/>
    <x v="1836"/>
    <s v="10598280000135"/>
    <x v="131"/>
    <d v="2021-05-19T00:00:00"/>
    <n v="60"/>
    <n v="1661.19"/>
    <s v="1/307502"/>
    <n v="1"/>
    <s v="P"/>
    <x v="17"/>
    <s v="FORTALEZA"/>
  </r>
  <r>
    <x v="681"/>
    <n v="0"/>
    <x v="1837"/>
    <s v="30732111000153"/>
    <x v="116"/>
    <d v="2021-04-29T00:00:00"/>
    <n v="80"/>
    <n v="703.11"/>
    <s v="1/304631"/>
    <n v="1"/>
    <s v="A"/>
    <x v="4"/>
    <s v="PACAJUS"/>
  </r>
  <r>
    <x v="681"/>
    <n v="0"/>
    <x v="1838"/>
    <s v="30732111000153"/>
    <x v="116"/>
    <d v="2021-04-29T00:00:00"/>
    <n v="80"/>
    <n v="270.83999999999997"/>
    <s v="1/304721"/>
    <n v="1"/>
    <s v="A"/>
    <x v="4"/>
    <s v="PACAJUS"/>
  </r>
  <r>
    <x v="681"/>
    <n v="0"/>
    <x v="1839"/>
    <s v="21578080000137"/>
    <x v="113"/>
    <d v="2021-04-19T00:00:00"/>
    <n v="90"/>
    <n v="1068.5899999999999"/>
    <s v="1/303432"/>
    <n v="1"/>
    <s v="A"/>
    <x v="4"/>
    <s v="HORIZONTE"/>
  </r>
  <r>
    <x v="681"/>
    <n v="0"/>
    <x v="1840"/>
    <s v="21578080000137"/>
    <x v="113"/>
    <d v="2021-04-29T00:00:00"/>
    <n v="80"/>
    <n v="270.83999999999997"/>
    <s v="1/304724"/>
    <n v="1"/>
    <s v="A"/>
    <x v="4"/>
    <s v="HORIZONTE"/>
  </r>
  <r>
    <x v="681"/>
    <n v="0"/>
    <x v="1841"/>
    <s v="21578080000137"/>
    <x v="113"/>
    <d v="2021-05-04T00:00:00"/>
    <n v="75"/>
    <n v="2731.83"/>
    <s v="1/305469"/>
    <n v="1"/>
    <s v="A"/>
    <x v="4"/>
    <s v="HORIZONTE"/>
  </r>
  <r>
    <x v="681"/>
    <n v="0"/>
    <x v="1842"/>
    <s v="19017352000188"/>
    <x v="157"/>
    <d v="2021-05-19T00:00:00"/>
    <n v="60"/>
    <n v="442.37"/>
    <s v="1/307441"/>
    <n v="1"/>
    <s v="A"/>
    <x v="16"/>
    <s v="PORTEIRAS"/>
  </r>
  <r>
    <x v="681"/>
    <n v="0"/>
    <x v="1843"/>
    <s v="35019206000148"/>
    <x v="99"/>
    <d v="2021-05-19T00:00:00"/>
    <n v="60"/>
    <n v="912.1"/>
    <s v="1/307622"/>
    <n v="1"/>
    <s v="A"/>
    <x v="17"/>
    <s v="FORTALEZA"/>
  </r>
  <r>
    <x v="681"/>
    <n v="0"/>
    <x v="1844"/>
    <s v="10307609000161"/>
    <x v="149"/>
    <d v="2021-04-19T00:00:00"/>
    <n v="90"/>
    <n v="358.55"/>
    <s v="1/303466"/>
    <n v="1"/>
    <s v="A"/>
    <x v="17"/>
    <s v="CAUCAIA"/>
  </r>
  <r>
    <x v="681"/>
    <n v="0"/>
    <x v="1845"/>
    <s v="35043504000173"/>
    <x v="143"/>
    <d v="2021-06-08T00:00:00"/>
    <n v="40"/>
    <n v="308.63"/>
    <s v="1/310132"/>
    <n v="1"/>
    <s v="A"/>
    <x v="18"/>
    <s v="SOBRAL"/>
  </r>
  <r>
    <x v="681"/>
    <n v="0"/>
    <x v="1846"/>
    <s v="35043504000173"/>
    <x v="143"/>
    <d v="2021-06-08T00:00:00"/>
    <n v="40"/>
    <n v="534.99"/>
    <s v="1/310142"/>
    <n v="1"/>
    <s v="A"/>
    <x v="18"/>
    <s v="SOBRAL"/>
  </r>
  <r>
    <x v="682"/>
    <n v="0"/>
    <x v="1847"/>
    <s v="10899161000112"/>
    <x v="130"/>
    <d v="2021-03-31T00:00:00"/>
    <n v="110"/>
    <n v="372.5"/>
    <s v="1/301250"/>
    <n v="1"/>
    <s v="A"/>
    <x v="4"/>
    <s v="MARACANAU"/>
  </r>
  <r>
    <x v="682"/>
    <n v="0"/>
    <x v="1848"/>
    <s v="10899161000112"/>
    <x v="130"/>
    <d v="2021-05-05T00:00:00"/>
    <n v="75"/>
    <n v="733.37"/>
    <s v="1/305527"/>
    <n v="1"/>
    <s v="A"/>
    <x v="4"/>
    <s v="MARACANAU"/>
  </r>
  <r>
    <x v="682"/>
    <n v="0"/>
    <x v="1849"/>
    <s v="04359380000106"/>
    <x v="158"/>
    <d v="2021-05-10T00:00:00"/>
    <n v="70"/>
    <n v="242.36"/>
    <s v="1/306084"/>
    <n v="1"/>
    <s v="A"/>
    <x v="24"/>
    <s v="MOMBACA"/>
  </r>
  <r>
    <x v="682"/>
    <n v="0"/>
    <x v="1850"/>
    <s v="04887406000199"/>
    <x v="137"/>
    <d v="2021-05-20T00:00:00"/>
    <n v="60"/>
    <n v="212.42"/>
    <s v="1/307685"/>
    <n v="1"/>
    <s v="A"/>
    <x v="24"/>
    <s v="PEDRA BRANCA"/>
  </r>
  <r>
    <x v="682"/>
    <n v="0"/>
    <x v="1851"/>
    <s v="30511707000123"/>
    <x v="115"/>
    <d v="2021-04-20T00:00:00"/>
    <n v="90"/>
    <n v="1837.55"/>
    <s v="1/303635"/>
    <n v="1"/>
    <s v="A"/>
    <x v="4"/>
    <s v="HORIZONTE"/>
  </r>
  <r>
    <x v="682"/>
    <n v="0"/>
    <x v="1852"/>
    <s v="30511783000139"/>
    <x v="125"/>
    <d v="2021-05-10T00:00:00"/>
    <n v="70"/>
    <n v="1002.69"/>
    <s v="1/306068"/>
    <n v="1"/>
    <s v="A"/>
    <x v="4"/>
    <s v="REDENÇÃO"/>
  </r>
  <r>
    <x v="682"/>
    <n v="0"/>
    <x v="1853"/>
    <s v="73358947000142"/>
    <x v="156"/>
    <d v="2021-06-04T00:00:00"/>
    <n v="45"/>
    <n v="339.01"/>
    <s v="1/309753"/>
    <n v="1"/>
    <s v="A"/>
    <x v="26"/>
    <s v="FORTALEZA"/>
  </r>
  <r>
    <x v="682"/>
    <n v="0"/>
    <x v="1854"/>
    <s v="01946309000131"/>
    <x v="138"/>
    <d v="2021-03-31T00:00:00"/>
    <n v="110"/>
    <n v="1110.56"/>
    <s v="1/301145"/>
    <n v="1"/>
    <s v="A"/>
    <x v="17"/>
    <s v="FORTALEZA"/>
  </r>
  <r>
    <x v="682"/>
    <n v="0"/>
    <x v="1855"/>
    <s v="02915680000107"/>
    <x v="152"/>
    <d v="2021-05-10T00:00:00"/>
    <n v="70"/>
    <n v="242.72"/>
    <s v="1/306010"/>
    <n v="1"/>
    <s v="A"/>
    <x v="4"/>
    <s v="FORTALEZA"/>
  </r>
  <r>
    <x v="682"/>
    <n v="0"/>
    <x v="1856"/>
    <s v="02915680000107"/>
    <x v="152"/>
    <d v="2021-05-10T00:00:00"/>
    <n v="70"/>
    <n v="240.04"/>
    <s v="1/306033"/>
    <n v="1"/>
    <s v="A"/>
    <x v="4"/>
    <s v="FORTALEZA"/>
  </r>
  <r>
    <x v="682"/>
    <n v="0"/>
    <x v="1857"/>
    <s v="02915680000107"/>
    <x v="152"/>
    <d v="2021-05-10T00:00:00"/>
    <n v="70"/>
    <n v="233.34"/>
    <s v="1/306041"/>
    <n v="1"/>
    <s v="A"/>
    <x v="4"/>
    <s v="FORTALEZA"/>
  </r>
  <r>
    <x v="682"/>
    <n v="0"/>
    <x v="1858"/>
    <s v="02915680000107"/>
    <x v="152"/>
    <d v="2021-05-10T00:00:00"/>
    <n v="70"/>
    <n v="313.63"/>
    <s v="1/306172"/>
    <n v="1"/>
    <s v="A"/>
    <x v="4"/>
    <s v="FORTALEZA"/>
  </r>
  <r>
    <x v="682"/>
    <n v="0"/>
    <x v="1859"/>
    <s v="17667591000158"/>
    <x v="136"/>
    <d v="2021-05-20T00:00:00"/>
    <n v="60"/>
    <n v="472.29"/>
    <s v="1/307710"/>
    <n v="1"/>
    <s v="P"/>
    <x v="17"/>
    <s v="FORTALEZA"/>
  </r>
  <r>
    <x v="682"/>
    <n v="0"/>
    <x v="1860"/>
    <s v="28041128000112"/>
    <x v="134"/>
    <d v="2021-05-20T00:00:00"/>
    <n v="60"/>
    <n v="472.29"/>
    <s v="1/307711"/>
    <n v="1"/>
    <s v="P"/>
    <x v="17"/>
    <s v="MARACANAU"/>
  </r>
  <r>
    <x v="682"/>
    <n v="0"/>
    <x v="1861"/>
    <s v="10598280000135"/>
    <x v="131"/>
    <d v="2021-05-20T00:00:00"/>
    <n v="60"/>
    <n v="472.29"/>
    <s v="1/307709"/>
    <n v="1"/>
    <s v="P"/>
    <x v="17"/>
    <s v="FORTALEZA"/>
  </r>
  <r>
    <x v="682"/>
    <n v="0"/>
    <x v="1862"/>
    <s v="03024466000115"/>
    <x v="132"/>
    <d v="2021-05-20T00:00:00"/>
    <n v="60"/>
    <n v="472.29"/>
    <s v="1/307712"/>
    <n v="1"/>
    <s v="P"/>
    <x v="17"/>
    <s v="FORTALEZA"/>
  </r>
  <r>
    <x v="682"/>
    <n v="0"/>
    <x v="1863"/>
    <s v="30732111000153"/>
    <x v="116"/>
    <d v="2021-05-05T00:00:00"/>
    <n v="75"/>
    <n v="1517.98"/>
    <s v="1/305598"/>
    <n v="1"/>
    <s v="A"/>
    <x v="4"/>
    <s v="PACAJUS"/>
  </r>
  <r>
    <x v="682"/>
    <n v="0"/>
    <x v="1864"/>
    <s v="21578080000137"/>
    <x v="113"/>
    <d v="2021-05-05T00:00:00"/>
    <n v="75"/>
    <n v="558.48"/>
    <s v="1/305502"/>
    <n v="1"/>
    <s v="A"/>
    <x v="4"/>
    <s v="HORIZONTE"/>
  </r>
  <r>
    <x v="682"/>
    <n v="0"/>
    <x v="1865"/>
    <s v="15784350000163"/>
    <x v="89"/>
    <d v="2021-06-14T00:00:00"/>
    <n v="35"/>
    <n v="314.64"/>
    <s v="1/310892"/>
    <n v="1"/>
    <s v="A"/>
    <x v="25"/>
    <s v="FORTALEZA"/>
  </r>
  <r>
    <x v="682"/>
    <n v="0"/>
    <x v="1866"/>
    <s v="20692655000185"/>
    <x v="124"/>
    <d v="2021-05-10T00:00:00"/>
    <n v="70"/>
    <n v="238.38"/>
    <s v="1/306032"/>
    <n v="1"/>
    <s v="A"/>
    <x v="25"/>
    <s v="FORTALEZA"/>
  </r>
  <r>
    <x v="683"/>
    <n v="0"/>
    <x v="1867"/>
    <s v="23576929000169"/>
    <x v="117"/>
    <d v="2021-05-11T00:00:00"/>
    <n v="70"/>
    <n v="471.08"/>
    <s v="1/306229"/>
    <n v="1"/>
    <s v="A"/>
    <x v="17"/>
    <s v="FORTALEZA"/>
  </r>
  <r>
    <x v="683"/>
    <n v="0"/>
    <x v="1868"/>
    <s v="23576929000169"/>
    <x v="117"/>
    <d v="2021-05-11T00:00:00"/>
    <n v="70"/>
    <n v="450.01"/>
    <s v="1/306254"/>
    <n v="1"/>
    <s v="A"/>
    <x v="17"/>
    <s v="FORTALEZA"/>
  </r>
  <r>
    <x v="683"/>
    <n v="0"/>
    <x v="1869"/>
    <s v="23459485000181"/>
    <x v="159"/>
    <d v="2021-05-21T00:00:00"/>
    <n v="60"/>
    <n v="657.1"/>
    <s v="1/307854"/>
    <n v="1"/>
    <s v="A"/>
    <x v="16"/>
    <s v="JUAZEIRO DO NORTE"/>
  </r>
  <r>
    <x v="683"/>
    <n v="0"/>
    <x v="1870"/>
    <s v="23459485000181"/>
    <x v="159"/>
    <d v="2021-05-21T00:00:00"/>
    <n v="60"/>
    <n v="398.78"/>
    <s v="1/307923"/>
    <n v="1"/>
    <s v="A"/>
    <x v="16"/>
    <s v="JUAZEIRO DO NORTE"/>
  </r>
  <r>
    <x v="683"/>
    <n v="0"/>
    <x v="1871"/>
    <s v="04887406000199"/>
    <x v="137"/>
    <d v="2021-05-26T00:00:00"/>
    <n v="55"/>
    <n v="549.5"/>
    <s v="1/308370"/>
    <n v="1"/>
    <s v="A"/>
    <x v="24"/>
    <s v="PEDRA BRANCA"/>
  </r>
  <r>
    <x v="683"/>
    <n v="0"/>
    <x v="1872"/>
    <s v="04887406000199"/>
    <x v="137"/>
    <d v="2021-06-15T00:00:00"/>
    <n v="35"/>
    <n v="732.21"/>
    <s v="1/311275"/>
    <n v="1"/>
    <s v="A"/>
    <x v="24"/>
    <s v="PEDRA BRANCA"/>
  </r>
  <r>
    <x v="683"/>
    <n v="0"/>
    <x v="1873"/>
    <s v="30511707000123"/>
    <x v="115"/>
    <d v="2021-03-22T00:00:00"/>
    <n v="120"/>
    <n v="1225.3699999999999"/>
    <s v="1/299523"/>
    <n v="1"/>
    <s v="A"/>
    <x v="4"/>
    <s v="HORIZONTE"/>
  </r>
  <r>
    <x v="683"/>
    <n v="0"/>
    <x v="1874"/>
    <s v="30511707000123"/>
    <x v="115"/>
    <d v="2021-05-11T00:00:00"/>
    <n v="70"/>
    <n v="2377.79"/>
    <s v="1/306380"/>
    <n v="1"/>
    <s v="A"/>
    <x v="4"/>
    <s v="HORIZONTE"/>
  </r>
  <r>
    <x v="683"/>
    <n v="0"/>
    <x v="1875"/>
    <s v="32286961000109"/>
    <x v="160"/>
    <d v="2021-04-16T00:00:00"/>
    <n v="95"/>
    <n v="677.18"/>
    <s v="1/303245"/>
    <n v="1"/>
    <s v="A"/>
    <x v="4"/>
    <s v="ITAIÇABA"/>
  </r>
  <r>
    <x v="683"/>
    <n v="0"/>
    <x v="1876"/>
    <s v="32286961000109"/>
    <x v="160"/>
    <d v="2021-05-06T00:00:00"/>
    <n v="75"/>
    <n v="1345.75"/>
    <s v="1/305745"/>
    <n v="1"/>
    <s v="A"/>
    <x v="4"/>
    <s v="ITAIÇABA"/>
  </r>
  <r>
    <x v="683"/>
    <n v="0"/>
    <x v="1877"/>
    <s v="32286961000109"/>
    <x v="160"/>
    <d v="2021-05-21T00:00:00"/>
    <n v="60"/>
    <n v="1037.3900000000001"/>
    <s v="1/307926"/>
    <n v="1"/>
    <s v="A"/>
    <x v="4"/>
    <s v="ITAIÇABA"/>
  </r>
  <r>
    <x v="683"/>
    <n v="0"/>
    <x v="1878"/>
    <s v="06741607000370"/>
    <x v="139"/>
    <d v="2021-05-21T00:00:00"/>
    <n v="60"/>
    <n v="308.75"/>
    <s v="1/307973"/>
    <n v="1"/>
    <s v="A"/>
    <x v="24"/>
    <s v="PEDRA BRANCA"/>
  </r>
  <r>
    <x v="683"/>
    <n v="0"/>
    <x v="1879"/>
    <s v="28041128000112"/>
    <x v="134"/>
    <d v="2021-05-11T00:00:00"/>
    <n v="70"/>
    <n v="1036.03"/>
    <s v="1/306349"/>
    <n v="1"/>
    <s v="P"/>
    <x v="17"/>
    <s v="MARACANAU"/>
  </r>
  <r>
    <x v="683"/>
    <n v="0"/>
    <x v="1880"/>
    <s v="10598280000135"/>
    <x v="131"/>
    <d v="2021-05-21T00:00:00"/>
    <n v="60"/>
    <n v="306.51"/>
    <s v="1/307915"/>
    <n v="1"/>
    <s v="P"/>
    <x v="17"/>
    <s v="FORTALEZA"/>
  </r>
  <r>
    <x v="683"/>
    <n v="0"/>
    <x v="1881"/>
    <s v="03024466000115"/>
    <x v="132"/>
    <d v="2021-05-21T00:00:00"/>
    <n v="60"/>
    <n v="305.54000000000002"/>
    <s v="1/307886"/>
    <n v="1"/>
    <s v="P"/>
    <x v="17"/>
    <s v="FORTALEZA"/>
  </r>
  <r>
    <x v="683"/>
    <n v="0"/>
    <x v="1882"/>
    <s v="15784350000163"/>
    <x v="89"/>
    <d v="2021-05-31T00:00:00"/>
    <n v="50"/>
    <n v="222.78"/>
    <s v="1/308994"/>
    <n v="1"/>
    <s v="A"/>
    <x v="25"/>
    <s v="FORTALEZA"/>
  </r>
  <r>
    <x v="683"/>
    <n v="0"/>
    <x v="1883"/>
    <s v="19496225000109"/>
    <x v="129"/>
    <d v="2021-05-21T00:00:00"/>
    <n v="60"/>
    <n v="668.36"/>
    <s v="1/307843"/>
    <n v="1"/>
    <s v="A"/>
    <x v="15"/>
    <s v="FORTALEZA"/>
  </r>
  <r>
    <x v="683"/>
    <n v="0"/>
    <x v="1884"/>
    <s v="40380472000131"/>
    <x v="161"/>
    <d v="2021-07-13T00:00:00"/>
    <n v="7"/>
    <n v="362.87"/>
    <s v="1/314999"/>
    <n v="1"/>
    <s v="A"/>
    <x v="16"/>
    <s v="BARRO"/>
  </r>
  <r>
    <x v="683"/>
    <n v="0"/>
    <x v="1885"/>
    <s v="32470639000127"/>
    <x v="162"/>
    <d v="2021-05-21T00:00:00"/>
    <n v="60"/>
    <n v="265.22000000000003"/>
    <s v="1/307995"/>
    <n v="1"/>
    <s v="A"/>
    <x v="17"/>
    <s v="FORTALEZA"/>
  </r>
  <r>
    <x v="683"/>
    <n v="0"/>
    <x v="1886"/>
    <s v="11658614000181"/>
    <x v="82"/>
    <d v="2021-05-21T00:00:00"/>
    <n v="60"/>
    <n v="390.87"/>
    <s v="1/307940"/>
    <n v="1"/>
    <s v="A"/>
    <x v="25"/>
    <s v="REDENÇÃO"/>
  </r>
  <r>
    <x v="683"/>
    <n v="0"/>
    <x v="1887"/>
    <s v="38351833000170"/>
    <x v="163"/>
    <d v="2021-05-21T00:00:00"/>
    <n v="60"/>
    <n v="561.88"/>
    <s v="1/307865"/>
    <n v="1"/>
    <s v="A"/>
    <x v="16"/>
    <s v="JUAZEIRO DO NORTE"/>
  </r>
  <r>
    <x v="683"/>
    <n v="0"/>
    <x v="1888"/>
    <s v="41464579000120"/>
    <x v="164"/>
    <d v="2021-05-11T00:00:00"/>
    <n v="70"/>
    <n v="337.25"/>
    <s v="1/306246"/>
    <n v="1"/>
    <s v="A"/>
    <x v="17"/>
    <s v="FORTALEZA"/>
  </r>
  <r>
    <x v="683"/>
    <n v="0"/>
    <x v="1889"/>
    <s v="41464579000120"/>
    <x v="164"/>
    <d v="2021-05-21T00:00:00"/>
    <n v="60"/>
    <n v="608.48"/>
    <s v="1/307846"/>
    <n v="1"/>
    <s v="A"/>
    <x v="17"/>
    <s v="FORTALEZA"/>
  </r>
  <r>
    <x v="684"/>
    <n v="0"/>
    <x v="1890"/>
    <s v="30320062000141"/>
    <x v="145"/>
    <d v="2021-05-12T00:00:00"/>
    <n v="70"/>
    <n v="343.32"/>
    <s v="1/306508"/>
    <n v="1"/>
    <s v="A"/>
    <x v="16"/>
    <s v="TARRAFAS"/>
  </r>
  <r>
    <x v="684"/>
    <n v="0"/>
    <x v="1891"/>
    <s v="39714242000182"/>
    <x v="165"/>
    <d v="2021-07-06T00:00:00"/>
    <n v="15"/>
    <n v="425.68"/>
    <s v="1/314147"/>
    <n v="1"/>
    <s v="A"/>
    <x v="26"/>
    <s v="PARAIPABA"/>
  </r>
  <r>
    <x v="684"/>
    <n v="0"/>
    <x v="1892"/>
    <s v="26436496000134"/>
    <x v="92"/>
    <d v="2021-04-22T00:00:00"/>
    <n v="90"/>
    <n v="2943.79"/>
    <s v="1/303754"/>
    <n v="1"/>
    <s v="A"/>
    <x v="15"/>
    <s v="FORTALEZA"/>
  </r>
  <r>
    <x v="684"/>
    <n v="0"/>
    <x v="1893"/>
    <s v="26436496000134"/>
    <x v="92"/>
    <d v="2021-04-27T00:00:00"/>
    <n v="85"/>
    <n v="714.13"/>
    <s v="1/304360"/>
    <n v="1"/>
    <s v="A"/>
    <x v="15"/>
    <s v="FORTALEZA"/>
  </r>
  <r>
    <x v="684"/>
    <n v="0"/>
    <x v="1894"/>
    <s v="23576929000169"/>
    <x v="117"/>
    <d v="2021-06-01T00:00:00"/>
    <n v="50"/>
    <n v="513.53"/>
    <s v="1/309382"/>
    <n v="1"/>
    <s v="A"/>
    <x v="17"/>
    <s v="FORTALEZA"/>
  </r>
  <r>
    <x v="684"/>
    <n v="0"/>
    <x v="1895"/>
    <s v="07576904000109"/>
    <x v="135"/>
    <d v="2021-05-27T00:00:00"/>
    <n v="55"/>
    <n v="724.52"/>
    <s v="1/308590"/>
    <n v="1"/>
    <s v="A"/>
    <x v="4"/>
    <s v="EUSEBIO"/>
  </r>
  <r>
    <x v="684"/>
    <n v="0"/>
    <x v="1896"/>
    <s v="04887406000199"/>
    <x v="137"/>
    <d v="2021-05-12T00:00:00"/>
    <n v="70"/>
    <n v="547.49"/>
    <s v="1/306471"/>
    <n v="1"/>
    <s v="A"/>
    <x v="24"/>
    <s v="PEDRA BRANCA"/>
  </r>
  <r>
    <x v="684"/>
    <n v="0"/>
    <x v="1897"/>
    <s v="04887406000199"/>
    <x v="137"/>
    <d v="2021-05-12T00:00:00"/>
    <n v="70"/>
    <n v="257.14999999999998"/>
    <s v="1/306483"/>
    <n v="1"/>
    <s v="A"/>
    <x v="24"/>
    <s v="PEDRA BRANCA"/>
  </r>
  <r>
    <x v="684"/>
    <n v="0"/>
    <x v="1898"/>
    <s v="30511707000123"/>
    <x v="115"/>
    <d v="2021-04-12T00:00:00"/>
    <n v="100"/>
    <n v="1752.32"/>
    <s v="1/302416"/>
    <n v="1"/>
    <s v="A"/>
    <x v="4"/>
    <s v="HORIZONTE"/>
  </r>
  <r>
    <x v="684"/>
    <n v="0"/>
    <x v="1899"/>
    <s v="32286961000109"/>
    <x v="160"/>
    <d v="2021-04-07T00:00:00"/>
    <n v="105"/>
    <n v="773.79"/>
    <s v="1/301906"/>
    <n v="1"/>
    <s v="A"/>
    <x v="4"/>
    <s v="ITAIÇABA"/>
  </r>
  <r>
    <x v="684"/>
    <n v="0"/>
    <x v="1900"/>
    <s v="30511783000139"/>
    <x v="125"/>
    <d v="2021-04-27T00:00:00"/>
    <n v="85"/>
    <n v="1075.18"/>
    <s v="1/304329"/>
    <n v="1"/>
    <s v="A"/>
    <x v="4"/>
    <s v="REDENÇÃO"/>
  </r>
  <r>
    <x v="684"/>
    <n v="0"/>
    <x v="1901"/>
    <s v="01946309000131"/>
    <x v="138"/>
    <d v="2021-05-07T00:00:00"/>
    <n v="75"/>
    <n v="490.74"/>
    <s v="1/305920"/>
    <n v="1"/>
    <s v="A"/>
    <x v="17"/>
    <s v="FORTALEZA"/>
  </r>
  <r>
    <x v="684"/>
    <n v="0"/>
    <x v="1902"/>
    <s v="01946309000131"/>
    <x v="138"/>
    <d v="2021-06-11T00:00:00"/>
    <n v="40"/>
    <n v="889.51"/>
    <s v="1/310756"/>
    <n v="1"/>
    <s v="A"/>
    <x v="17"/>
    <s v="FORTALEZA"/>
  </r>
  <r>
    <x v="684"/>
    <n v="0"/>
    <x v="1903"/>
    <s v="02915680000107"/>
    <x v="152"/>
    <d v="2021-05-07T00:00:00"/>
    <n v="75"/>
    <n v="450.76"/>
    <s v="1/305781"/>
    <n v="1"/>
    <s v="A"/>
    <x v="4"/>
    <s v="FORTALEZA"/>
  </r>
  <r>
    <x v="684"/>
    <n v="0"/>
    <x v="1904"/>
    <s v="02915680000107"/>
    <x v="152"/>
    <d v="2021-05-17T00:00:00"/>
    <n v="65"/>
    <n v="358.62"/>
    <s v="1/307167"/>
    <n v="1"/>
    <s v="A"/>
    <x v="4"/>
    <s v="FORTALEZA"/>
  </r>
  <r>
    <x v="684"/>
    <n v="0"/>
    <x v="1905"/>
    <s v="21578080000137"/>
    <x v="113"/>
    <d v="2021-05-12T00:00:00"/>
    <n v="70"/>
    <n v="1448.74"/>
    <s v="1/306495"/>
    <n v="1"/>
    <s v="A"/>
    <x v="4"/>
    <s v="HORIZONTE"/>
  </r>
  <r>
    <x v="684"/>
    <n v="0"/>
    <x v="1906"/>
    <s v="36515271000127"/>
    <x v="142"/>
    <d v="2021-04-07T00:00:00"/>
    <n v="105"/>
    <n v="958.12"/>
    <s v="1/301864"/>
    <n v="1"/>
    <s v="A"/>
    <x v="4"/>
    <s v="MORADA NOVA"/>
  </r>
  <r>
    <x v="684"/>
    <n v="0"/>
    <x v="1907"/>
    <s v="36515271000127"/>
    <x v="142"/>
    <d v="2021-05-07T00:00:00"/>
    <n v="75"/>
    <n v="1254.26"/>
    <s v="1/305835"/>
    <n v="1"/>
    <s v="A"/>
    <x v="4"/>
    <s v="MORADA NOVA"/>
  </r>
  <r>
    <x v="684"/>
    <n v="0"/>
    <x v="1908"/>
    <s v="17387587000136"/>
    <x v="166"/>
    <d v="2021-06-01T00:00:00"/>
    <n v="50"/>
    <n v="344.17"/>
    <s v="1/309349"/>
    <n v="1"/>
    <s v="A"/>
    <x v="4"/>
    <s v="FORTALEZA"/>
  </r>
  <r>
    <x v="685"/>
    <n v="0"/>
    <x v="1909"/>
    <s v="30320062000141"/>
    <x v="145"/>
    <d v="2021-06-02T00:00:00"/>
    <n v="50"/>
    <n v="306.27"/>
    <s v="1/309593"/>
    <n v="1"/>
    <s v="A"/>
    <x v="16"/>
    <s v="TARRAFAS"/>
  </r>
  <r>
    <x v="685"/>
    <n v="0"/>
    <x v="1910"/>
    <s v="72486178000103"/>
    <x v="167"/>
    <d v="2021-06-02T00:00:00"/>
    <n v="50"/>
    <n v="238.36"/>
    <s v="1/309447"/>
    <n v="1"/>
    <s v="A"/>
    <x v="24"/>
    <s v="CRATEUS"/>
  </r>
  <r>
    <x v="685"/>
    <n v="0"/>
    <x v="1911"/>
    <s v="04887406000199"/>
    <x v="137"/>
    <d v="2021-05-13T00:00:00"/>
    <n v="70"/>
    <n v="303.7"/>
    <s v="1/306714"/>
    <n v="1"/>
    <s v="A"/>
    <x v="24"/>
    <s v="PEDRA BRANCA"/>
  </r>
  <r>
    <x v="685"/>
    <n v="0"/>
    <x v="1912"/>
    <s v="04887406000199"/>
    <x v="137"/>
    <d v="2021-06-02T00:00:00"/>
    <n v="50"/>
    <n v="717.56"/>
    <s v="1/309576"/>
    <n v="1"/>
    <s v="A"/>
    <x v="24"/>
    <s v="PEDRA BRANCA"/>
  </r>
  <r>
    <x v="685"/>
    <n v="0"/>
    <x v="1913"/>
    <s v="04887406000199"/>
    <x v="137"/>
    <d v="2021-06-02T00:00:00"/>
    <n v="50"/>
    <n v="386.95"/>
    <s v="1/309607"/>
    <n v="1"/>
    <s v="A"/>
    <x v="24"/>
    <s v="PEDRA BRANCA"/>
  </r>
  <r>
    <x v="685"/>
    <n v="0"/>
    <x v="1914"/>
    <s v="32286961000109"/>
    <x v="160"/>
    <d v="2021-04-28T00:00:00"/>
    <n v="85"/>
    <n v="637.46"/>
    <s v="1/304454"/>
    <n v="1"/>
    <s v="A"/>
    <x v="4"/>
    <s v="ITAIÇABA"/>
  </r>
  <r>
    <x v="685"/>
    <n v="0"/>
    <x v="1915"/>
    <s v="73358947000142"/>
    <x v="156"/>
    <d v="2021-05-13T00:00:00"/>
    <n v="70"/>
    <n v="380.78"/>
    <s v="1/306715"/>
    <n v="1"/>
    <s v="A"/>
    <x v="26"/>
    <s v="FORTALEZA"/>
  </r>
  <r>
    <x v="685"/>
    <n v="0"/>
    <x v="1916"/>
    <s v="73358947000142"/>
    <x v="156"/>
    <d v="2021-05-13T00:00:00"/>
    <n v="70"/>
    <n v="323.33999999999997"/>
    <s v="1/306834"/>
    <n v="1"/>
    <s v="A"/>
    <x v="26"/>
    <s v="FORTALEZA"/>
  </r>
  <r>
    <x v="685"/>
    <n v="0"/>
    <x v="1917"/>
    <s v="73358947000142"/>
    <x v="156"/>
    <d v="2021-06-02T00:00:00"/>
    <n v="50"/>
    <n v="286.39"/>
    <s v="1/309516"/>
    <n v="1"/>
    <s v="A"/>
    <x v="26"/>
    <s v="FORTALEZA"/>
  </r>
  <r>
    <x v="685"/>
    <n v="0"/>
    <x v="1918"/>
    <s v="06741607000370"/>
    <x v="139"/>
    <d v="2021-05-13T00:00:00"/>
    <n v="70"/>
    <n v="219.61"/>
    <s v="1/306798"/>
    <n v="1"/>
    <s v="A"/>
    <x v="24"/>
    <s v="PEDRA BRANCA"/>
  </r>
  <r>
    <x v="685"/>
    <n v="0"/>
    <x v="1919"/>
    <s v="29079945000122"/>
    <x v="146"/>
    <d v="2021-05-13T00:00:00"/>
    <n v="70"/>
    <n v="465.91"/>
    <s v="1/306690"/>
    <n v="1"/>
    <s v="A"/>
    <x v="25"/>
    <s v="FORTALEZA"/>
  </r>
  <r>
    <x v="685"/>
    <n v="0"/>
    <x v="1920"/>
    <s v="33395192000131"/>
    <x v="153"/>
    <d v="2021-05-28T00:00:00"/>
    <n v="55"/>
    <n v="232.76"/>
    <s v="1/308976"/>
    <n v="1"/>
    <s v="A"/>
    <x v="24"/>
    <s v="OROS"/>
  </r>
  <r>
    <x v="685"/>
    <n v="0"/>
    <x v="1921"/>
    <s v="30732111000153"/>
    <x v="116"/>
    <d v="2021-04-28T00:00:00"/>
    <n v="85"/>
    <n v="709.67"/>
    <s v="1/304419"/>
    <n v="1"/>
    <s v="A"/>
    <x v="4"/>
    <s v="PACAJUS"/>
  </r>
  <r>
    <x v="685"/>
    <n v="0"/>
    <x v="1922"/>
    <s v="30732111000153"/>
    <x v="116"/>
    <d v="2021-05-13T00:00:00"/>
    <n v="70"/>
    <n v="1792.83"/>
    <s v="1/306748"/>
    <n v="1"/>
    <s v="A"/>
    <x v="4"/>
    <s v="PACAJUS"/>
  </r>
  <r>
    <x v="685"/>
    <n v="0"/>
    <x v="1923"/>
    <s v="21578080000137"/>
    <x v="113"/>
    <d v="2021-04-13T00:00:00"/>
    <n v="100"/>
    <n v="1907.3"/>
    <s v="1/302518"/>
    <n v="1"/>
    <s v="A"/>
    <x v="4"/>
    <s v="HORIZONTE"/>
  </r>
  <r>
    <x v="685"/>
    <n v="0"/>
    <x v="1924"/>
    <s v="36515271000127"/>
    <x v="142"/>
    <d v="2021-04-28T00:00:00"/>
    <n v="85"/>
    <n v="670.62"/>
    <s v="1/304406"/>
    <n v="1"/>
    <s v="A"/>
    <x v="4"/>
    <s v="MORADA NOVA"/>
  </r>
  <r>
    <x v="685"/>
    <n v="0"/>
    <x v="1925"/>
    <s v="17387587000136"/>
    <x v="166"/>
    <d v="2021-04-23T00:00:00"/>
    <n v="90"/>
    <n v="343.05"/>
    <s v="1/303991"/>
    <n v="1"/>
    <s v="A"/>
    <x v="4"/>
    <s v="FORTALEZA"/>
  </r>
  <r>
    <x v="685"/>
    <n v="0"/>
    <x v="1926"/>
    <s v="17387587000136"/>
    <x v="166"/>
    <d v="2021-05-18T00:00:00"/>
    <n v="65"/>
    <n v="400.26"/>
    <s v="1/307290"/>
    <n v="1"/>
    <s v="A"/>
    <x v="4"/>
    <s v="FORTALEZA"/>
  </r>
  <r>
    <x v="685"/>
    <n v="0"/>
    <x v="1927"/>
    <s v="17387587000136"/>
    <x v="166"/>
    <d v="2021-06-07T00:00:00"/>
    <n v="45"/>
    <n v="340"/>
    <s v="1/309837"/>
    <n v="1"/>
    <s v="A"/>
    <x v="4"/>
    <s v="FORTALEZA"/>
  </r>
  <r>
    <x v="685"/>
    <n v="0"/>
    <x v="1928"/>
    <s v="17387587000136"/>
    <x v="166"/>
    <d v="2021-07-02T00:00:00"/>
    <n v="20"/>
    <n v="575.6"/>
    <s v="1/313733"/>
    <n v="1"/>
    <s v="A"/>
    <x v="4"/>
    <s v="FORTALEZA"/>
  </r>
  <r>
    <x v="685"/>
    <n v="0"/>
    <x v="1929"/>
    <s v="11658614000181"/>
    <x v="82"/>
    <d v="2021-05-13T00:00:00"/>
    <n v="70"/>
    <n v="319.81"/>
    <s v="1/306753"/>
    <n v="1"/>
    <s v="A"/>
    <x v="25"/>
    <s v="REDENÇÃO"/>
  </r>
  <r>
    <x v="685"/>
    <n v="0"/>
    <x v="1930"/>
    <s v="11658614000181"/>
    <x v="82"/>
    <d v="2021-06-02T00:00:00"/>
    <n v="50"/>
    <n v="327.72"/>
    <s v="1/309590"/>
    <n v="1"/>
    <s v="A"/>
    <x v="25"/>
    <s v="REDENÇÃO"/>
  </r>
  <r>
    <x v="685"/>
    <n v="0"/>
    <x v="1931"/>
    <s v="10307609000161"/>
    <x v="149"/>
    <d v="2021-05-03T00:00:00"/>
    <n v="80"/>
    <n v="378.46"/>
    <s v="1/305221"/>
    <n v="1"/>
    <s v="A"/>
    <x v="17"/>
    <s v="CAUCAIA"/>
  </r>
  <r>
    <x v="685"/>
    <n v="0"/>
    <x v="1932"/>
    <s v="10307609000161"/>
    <x v="149"/>
    <d v="2021-05-03T00:00:00"/>
    <n v="80"/>
    <n v="263.62"/>
    <s v="1/305242"/>
    <n v="1"/>
    <s v="A"/>
    <x v="17"/>
    <s v="CAUCAIA"/>
  </r>
  <r>
    <x v="685"/>
    <n v="0"/>
    <x v="1933"/>
    <s v="41464579000120"/>
    <x v="164"/>
    <d v="2021-06-02T00:00:00"/>
    <n v="50"/>
    <n v="275.76"/>
    <s v="1/309480"/>
    <n v="1"/>
    <s v="A"/>
    <x v="17"/>
    <s v="FORTALEZA"/>
  </r>
  <r>
    <x v="686"/>
    <n v="0"/>
    <x v="1934"/>
    <s v="30511707000123"/>
    <x v="115"/>
    <d v="2021-05-04T00:00:00"/>
    <n v="80"/>
    <n v="310.04000000000002"/>
    <s v="1/305360"/>
    <n v="1"/>
    <s v="A"/>
    <x v="4"/>
    <s v="HORIZONTE"/>
  </r>
  <r>
    <x v="686"/>
    <n v="0"/>
    <x v="1935"/>
    <s v="30511783000139"/>
    <x v="125"/>
    <d v="2021-04-19T00:00:00"/>
    <n v="95"/>
    <n v="1191.4100000000001"/>
    <s v="1/303407"/>
    <n v="1"/>
    <s v="A"/>
    <x v="4"/>
    <s v="REDENÇÃO"/>
  </r>
  <r>
    <x v="686"/>
    <n v="0"/>
    <x v="1936"/>
    <s v="30511783000139"/>
    <x v="125"/>
    <d v="2021-04-29T00:00:00"/>
    <n v="85"/>
    <n v="497.68"/>
    <s v="1/304651"/>
    <n v="1"/>
    <s v="A"/>
    <x v="4"/>
    <s v="REDENÇÃO"/>
  </r>
  <r>
    <x v="686"/>
    <n v="0"/>
    <x v="1937"/>
    <s v="30511783000139"/>
    <x v="125"/>
    <d v="2021-05-04T00:00:00"/>
    <n v="80"/>
    <n v="299.37"/>
    <s v="1/305362"/>
    <n v="1"/>
    <s v="A"/>
    <x v="4"/>
    <s v="REDENÇÃO"/>
  </r>
  <r>
    <x v="686"/>
    <n v="0"/>
    <x v="1938"/>
    <s v="30511783000139"/>
    <x v="125"/>
    <d v="2021-05-14T00:00:00"/>
    <n v="70"/>
    <n v="194.25"/>
    <s v="1/306962"/>
    <n v="1"/>
    <s v="A"/>
    <x v="4"/>
    <s v="REDENÇÃO"/>
  </r>
  <r>
    <x v="686"/>
    <n v="0"/>
    <x v="1939"/>
    <s v="30511783000139"/>
    <x v="125"/>
    <d v="2021-06-18T00:00:00"/>
    <n v="35"/>
    <n v="499.29"/>
    <s v="1/311717"/>
    <n v="1"/>
    <s v="A"/>
    <x v="4"/>
    <s v="REDENÇÃO"/>
  </r>
  <r>
    <x v="686"/>
    <n v="0"/>
    <x v="1940"/>
    <s v="73358947000142"/>
    <x v="156"/>
    <d v="2021-05-24T00:00:00"/>
    <n v="60"/>
    <n v="586.65"/>
    <s v="1/308041"/>
    <n v="1"/>
    <s v="A"/>
    <x v="26"/>
    <s v="FORTALEZA"/>
  </r>
  <r>
    <x v="686"/>
    <n v="0"/>
    <x v="1941"/>
    <s v="03507600000139"/>
    <x v="144"/>
    <d v="2019-08-07T00:00:00"/>
    <n v="716"/>
    <n v="500"/>
    <s v="1/222055"/>
    <n v="1"/>
    <s v="A"/>
    <x v="25"/>
    <s v="FORTALEZA"/>
  </r>
  <r>
    <x v="686"/>
    <n v="0"/>
    <x v="1942"/>
    <s v="30732111000153"/>
    <x v="116"/>
    <d v="2021-04-29T00:00:00"/>
    <n v="85"/>
    <n v="332.66"/>
    <s v="1/304643"/>
    <n v="1"/>
    <s v="A"/>
    <x v="4"/>
    <s v="PACAJUS"/>
  </r>
  <r>
    <x v="686"/>
    <n v="0"/>
    <x v="1943"/>
    <s v="30732111000153"/>
    <x v="116"/>
    <d v="2021-05-04T00:00:00"/>
    <n v="80"/>
    <n v="310.05"/>
    <s v="1/305369"/>
    <n v="1"/>
    <s v="A"/>
    <x v="4"/>
    <s v="PACAJUS"/>
  </r>
  <r>
    <x v="686"/>
    <n v="0"/>
    <x v="1944"/>
    <s v="30732111000153"/>
    <x v="116"/>
    <d v="2021-05-14T00:00:00"/>
    <n v="70"/>
    <n v="194.25"/>
    <s v="1/306957"/>
    <n v="1"/>
    <s v="A"/>
    <x v="4"/>
    <s v="PACAJUS"/>
  </r>
  <r>
    <x v="686"/>
    <n v="0"/>
    <x v="1945"/>
    <s v="21578080000137"/>
    <x v="113"/>
    <d v="2021-04-29T00:00:00"/>
    <n v="85"/>
    <n v="327.56"/>
    <s v="1/304630"/>
    <n v="1"/>
    <s v="A"/>
    <x v="4"/>
    <s v="HORIZONTE"/>
  </r>
  <r>
    <x v="686"/>
    <n v="0"/>
    <x v="1946"/>
    <s v="21578080000137"/>
    <x v="113"/>
    <d v="2021-05-04T00:00:00"/>
    <n v="80"/>
    <n v="308.97000000000003"/>
    <s v="1/305365"/>
    <n v="1"/>
    <s v="A"/>
    <x v="4"/>
    <s v="HORIZONTE"/>
  </r>
  <r>
    <x v="686"/>
    <n v="0"/>
    <x v="1947"/>
    <s v="21578080000137"/>
    <x v="113"/>
    <d v="2021-05-14T00:00:00"/>
    <n v="70"/>
    <n v="194.25"/>
    <s v="1/306954"/>
    <n v="1"/>
    <s v="A"/>
    <x v="4"/>
    <s v="HORIZONTE"/>
  </r>
  <r>
    <x v="686"/>
    <n v="0"/>
    <x v="1948"/>
    <s v="35524927000105"/>
    <x v="168"/>
    <d v="2021-04-19T00:00:00"/>
    <n v="95"/>
    <n v="627.54"/>
    <s v="1/303439"/>
    <n v="1"/>
    <s v="A"/>
    <x v="4"/>
    <s v="PALHANO"/>
  </r>
  <r>
    <x v="686"/>
    <n v="0"/>
    <x v="1949"/>
    <s v="35524927000105"/>
    <x v="168"/>
    <d v="2021-04-29T00:00:00"/>
    <n v="85"/>
    <n v="1279.31"/>
    <s v="1/304769"/>
    <n v="1"/>
    <s v="A"/>
    <x v="4"/>
    <s v="PALHANO"/>
  </r>
  <r>
    <x v="686"/>
    <n v="0"/>
    <x v="1950"/>
    <s v="35524927000105"/>
    <x v="168"/>
    <d v="2021-04-29T00:00:00"/>
    <n v="85"/>
    <n v="1463.41"/>
    <s v="1/304778"/>
    <n v="1"/>
    <s v="A"/>
    <x v="4"/>
    <s v="PALHANO"/>
  </r>
  <r>
    <x v="686"/>
    <n v="0"/>
    <x v="1951"/>
    <s v="17387587000136"/>
    <x v="166"/>
    <d v="2021-05-04T00:00:00"/>
    <n v="80"/>
    <n v="322.58999999999997"/>
    <s v="1/305395"/>
    <n v="1"/>
    <s v="A"/>
    <x v="4"/>
    <s v="FORTALEZA"/>
  </r>
  <r>
    <x v="686"/>
    <n v="0"/>
    <x v="1952"/>
    <s v="17387587000136"/>
    <x v="166"/>
    <d v="2021-05-14T00:00:00"/>
    <n v="70"/>
    <n v="246.18"/>
    <s v="1/306933"/>
    <n v="1"/>
    <s v="A"/>
    <x v="4"/>
    <s v="FORTALEZA"/>
  </r>
  <r>
    <x v="686"/>
    <n v="0"/>
    <x v="1953"/>
    <s v="10307609000161"/>
    <x v="149"/>
    <d v="2021-05-04T00:00:00"/>
    <n v="80"/>
    <n v="275.10000000000002"/>
    <s v="1/305378"/>
    <n v="1"/>
    <s v="A"/>
    <x v="17"/>
    <s v="CAUCAIA"/>
  </r>
  <r>
    <x v="686"/>
    <n v="0"/>
    <x v="1954"/>
    <s v="38351833000170"/>
    <x v="163"/>
    <d v="2021-05-24T00:00:00"/>
    <n v="60"/>
    <n v="375.13"/>
    <s v="1/308155"/>
    <n v="1"/>
    <s v="A"/>
    <x v="16"/>
    <s v="JUAZEIRO DO NORTE"/>
  </r>
  <r>
    <x v="686"/>
    <n v="0"/>
    <x v="1955"/>
    <s v="06943666000160"/>
    <x v="169"/>
    <d v="2021-05-04T00:00:00"/>
    <n v="80"/>
    <n v="882.14"/>
    <s v="1/305430"/>
    <n v="1"/>
    <s v="A"/>
    <x v="18"/>
    <s v="SOBRAL"/>
  </r>
  <r>
    <x v="687"/>
    <n v="0"/>
    <x v="1956"/>
    <s v="10899161000112"/>
    <x v="130"/>
    <d v="2021-05-05T00:00:00"/>
    <n v="80"/>
    <n v="733.37"/>
    <s v="1/305527"/>
    <n v="1"/>
    <s v="A"/>
    <x v="4"/>
    <s v="MARACANAU"/>
  </r>
  <r>
    <x v="687"/>
    <n v="0"/>
    <x v="1957"/>
    <s v="10609289000102"/>
    <x v="148"/>
    <d v="2021-06-04T00:00:00"/>
    <n v="50"/>
    <n v="329.36"/>
    <s v="1/309798"/>
    <n v="1"/>
    <s v="A"/>
    <x v="16"/>
    <s v="CARIÚS"/>
  </r>
  <r>
    <x v="687"/>
    <n v="0"/>
    <x v="1958"/>
    <s v="04887406000199"/>
    <x v="137"/>
    <d v="2021-05-05T00:00:00"/>
    <n v="80"/>
    <n v="601.73"/>
    <s v="1/305620"/>
    <n v="1"/>
    <s v="A"/>
    <x v="24"/>
    <s v="PEDRA BRANCA"/>
  </r>
  <r>
    <x v="687"/>
    <n v="0"/>
    <x v="1959"/>
    <s v="04887406000199"/>
    <x v="137"/>
    <d v="2021-06-09T00:00:00"/>
    <n v="45"/>
    <n v="626.89"/>
    <s v="1/310358"/>
    <n v="1"/>
    <s v="A"/>
    <x v="24"/>
    <s v="PEDRA BRANCA"/>
  </r>
  <r>
    <x v="687"/>
    <n v="0"/>
    <x v="1960"/>
    <s v="04887406000199"/>
    <x v="137"/>
    <d v="2021-06-09T00:00:00"/>
    <n v="45"/>
    <n v="528.48"/>
    <s v="1/310361"/>
    <n v="1"/>
    <s v="A"/>
    <x v="24"/>
    <s v="PEDRA BRANCA"/>
  </r>
  <r>
    <x v="687"/>
    <n v="0"/>
    <x v="1961"/>
    <s v="04887406000199"/>
    <x v="137"/>
    <d v="2021-06-09T00:00:00"/>
    <n v="45"/>
    <n v="590.87"/>
    <s v="1/310364"/>
    <n v="1"/>
    <s v="A"/>
    <x v="24"/>
    <s v="PEDRA BRANCA"/>
  </r>
  <r>
    <x v="687"/>
    <n v="0"/>
    <x v="1962"/>
    <s v="07530330000138"/>
    <x v="170"/>
    <d v="2021-06-04T00:00:00"/>
    <n v="50"/>
    <n v="866.68"/>
    <s v="1/309793"/>
    <n v="1"/>
    <s v="A"/>
    <x v="18"/>
    <s v="IPU"/>
  </r>
  <r>
    <x v="687"/>
    <n v="0"/>
    <x v="1963"/>
    <s v="30511707000123"/>
    <x v="115"/>
    <d v="2021-05-05T00:00:00"/>
    <n v="80"/>
    <n v="518.79"/>
    <s v="1/305493"/>
    <n v="1"/>
    <s v="A"/>
    <x v="4"/>
    <s v="HORIZONTE"/>
  </r>
  <r>
    <x v="687"/>
    <n v="0"/>
    <x v="1964"/>
    <s v="30511707000123"/>
    <x v="115"/>
    <d v="2021-05-05T00:00:00"/>
    <n v="80"/>
    <n v="631.70000000000005"/>
    <s v="1/305593"/>
    <n v="1"/>
    <s v="A"/>
    <x v="4"/>
    <s v="HORIZONTE"/>
  </r>
  <r>
    <x v="687"/>
    <n v="0"/>
    <x v="1965"/>
    <s v="30511783000139"/>
    <x v="125"/>
    <d v="2021-05-05T00:00:00"/>
    <n v="80"/>
    <n v="631.70000000000005"/>
    <s v="1/305596"/>
    <n v="1"/>
    <s v="A"/>
    <x v="4"/>
    <s v="REDENÇÃO"/>
  </r>
  <r>
    <x v="687"/>
    <n v="0"/>
    <x v="1966"/>
    <s v="01946309000131"/>
    <x v="138"/>
    <d v="2021-05-20T00:00:00"/>
    <n v="65"/>
    <n v="656.91"/>
    <s v="1/307626"/>
    <n v="1"/>
    <s v="A"/>
    <x v="17"/>
    <s v="FORTALEZA"/>
  </r>
  <r>
    <x v="687"/>
    <n v="0"/>
    <x v="1967"/>
    <s v="30038762000148"/>
    <x v="141"/>
    <d v="2021-05-25T00:00:00"/>
    <n v="60"/>
    <n v="439.72"/>
    <s v="1/308284"/>
    <n v="1"/>
    <s v="A"/>
    <x v="18"/>
    <s v="SOBRAL"/>
  </r>
  <r>
    <x v="687"/>
    <n v="0"/>
    <x v="1968"/>
    <s v="30732111000153"/>
    <x v="116"/>
    <d v="2021-05-05T00:00:00"/>
    <n v="80"/>
    <n v="518.79"/>
    <s v="1/305494"/>
    <n v="1"/>
    <s v="A"/>
    <x v="4"/>
    <s v="PACAJUS"/>
  </r>
  <r>
    <x v="687"/>
    <n v="0"/>
    <x v="1969"/>
    <s v="30732111000153"/>
    <x v="116"/>
    <d v="2021-05-05T00:00:00"/>
    <n v="80"/>
    <n v="631.70000000000005"/>
    <s v="1/305591"/>
    <n v="1"/>
    <s v="A"/>
    <x v="4"/>
    <s v="PACAJUS"/>
  </r>
  <r>
    <x v="687"/>
    <n v="0"/>
    <x v="1970"/>
    <s v="21578080000137"/>
    <x v="113"/>
    <d v="2021-04-05T00:00:00"/>
    <n v="110"/>
    <n v="2142.27"/>
    <s v="1/301516"/>
    <n v="1"/>
    <s v="A"/>
    <x v="4"/>
    <s v="HORIZONTE"/>
  </r>
  <r>
    <x v="687"/>
    <n v="0"/>
    <x v="1971"/>
    <s v="21578080000137"/>
    <x v="113"/>
    <d v="2021-05-05T00:00:00"/>
    <n v="80"/>
    <n v="631.70000000000005"/>
    <s v="1/305594"/>
    <n v="1"/>
    <s v="A"/>
    <x v="4"/>
    <s v="HORIZONTE"/>
  </r>
  <r>
    <x v="687"/>
    <n v="0"/>
    <x v="1972"/>
    <s v="21578080000137"/>
    <x v="113"/>
    <d v="2021-05-10T00:00:00"/>
    <n v="75"/>
    <n v="2189.81"/>
    <s v="1/306135"/>
    <n v="1"/>
    <s v="A"/>
    <x v="4"/>
    <s v="HORIZONTE"/>
  </r>
  <r>
    <x v="687"/>
    <n v="0"/>
    <x v="1973"/>
    <s v="33633393000120"/>
    <x v="171"/>
    <d v="2021-06-28T00:00:00"/>
    <n v="26"/>
    <n v="618.34"/>
    <s v="1/312927"/>
    <n v="1"/>
    <s v="A"/>
    <x v="26"/>
    <s v="GENERAL SAMPAIO"/>
  </r>
  <r>
    <x v="687"/>
    <n v="0"/>
    <x v="1974"/>
    <s v="17387587000136"/>
    <x v="166"/>
    <d v="2021-04-20T00:00:00"/>
    <n v="95"/>
    <n v="236.14"/>
    <s v="1/303543"/>
    <n v="1"/>
    <s v="A"/>
    <x v="4"/>
    <s v="FORTALEZA"/>
  </r>
  <r>
    <x v="687"/>
    <n v="0"/>
    <x v="1975"/>
    <s v="17387587000136"/>
    <x v="166"/>
    <d v="2021-06-18T00:00:00"/>
    <n v="36"/>
    <n v="272.3"/>
    <s v="1/311738"/>
    <n v="1"/>
    <s v="A"/>
    <x v="4"/>
    <s v="FORTALEZA"/>
  </r>
  <r>
    <x v="687"/>
    <n v="0"/>
    <x v="1976"/>
    <s v="32470639000127"/>
    <x v="162"/>
    <d v="2021-06-04T00:00:00"/>
    <n v="50"/>
    <n v="271.22000000000003"/>
    <s v="1/309767"/>
    <n v="1"/>
    <s v="A"/>
    <x v="17"/>
    <s v="FORTALEZA"/>
  </r>
  <r>
    <x v="687"/>
    <n v="0"/>
    <x v="1977"/>
    <s v="11658614000181"/>
    <x v="82"/>
    <d v="2021-05-25T00:00:00"/>
    <n v="60"/>
    <n v="451.06"/>
    <s v="1/308292"/>
    <n v="1"/>
    <s v="A"/>
    <x v="25"/>
    <s v="REDENÇÃO"/>
  </r>
  <r>
    <x v="687"/>
    <n v="0"/>
    <x v="1978"/>
    <s v="10307609000161"/>
    <x v="149"/>
    <d v="2021-04-15T00:00:00"/>
    <n v="100"/>
    <n v="291"/>
    <s v="1/302955"/>
    <n v="1"/>
    <s v="A"/>
    <x v="17"/>
    <s v="CAUCAIA"/>
  </r>
  <r>
    <x v="687"/>
    <n v="0"/>
    <x v="1979"/>
    <s v="38351833000170"/>
    <x v="163"/>
    <d v="2021-05-25T00:00:00"/>
    <n v="60"/>
    <n v="521.91"/>
    <s v="1/308299"/>
    <n v="1"/>
    <s v="A"/>
    <x v="16"/>
    <s v="JUAZEIRO DO NORTE"/>
  </r>
  <r>
    <x v="688"/>
    <n v="0"/>
    <x v="1980"/>
    <s v="24966918000158"/>
    <x v="172"/>
    <d v="2021-06-10T00:00:00"/>
    <n v="45"/>
    <n v="398.8"/>
    <s v="1/310511"/>
    <n v="1"/>
    <s v="A"/>
    <x v="26"/>
    <s v="PARACURU"/>
  </r>
  <r>
    <x v="688"/>
    <n v="0"/>
    <x v="1981"/>
    <s v="23576929000169"/>
    <x v="117"/>
    <d v="2021-05-26T00:00:00"/>
    <n v="60"/>
    <n v="423.71"/>
    <s v="1/308422"/>
    <n v="1"/>
    <s v="A"/>
    <x v="17"/>
    <s v="FORTALEZA"/>
  </r>
  <r>
    <x v="688"/>
    <n v="0"/>
    <x v="1982"/>
    <s v="07576904000109"/>
    <x v="135"/>
    <d v="2021-05-26T00:00:00"/>
    <n v="60"/>
    <n v="289.05"/>
    <s v="1/308420"/>
    <n v="1"/>
    <s v="A"/>
    <x v="4"/>
    <s v="EUSEBIO"/>
  </r>
  <r>
    <x v="688"/>
    <n v="0"/>
    <x v="1983"/>
    <s v="07885082000148"/>
    <x v="173"/>
    <d v="2021-05-21T00:00:00"/>
    <n v="65"/>
    <n v="287.42"/>
    <s v="1/307927"/>
    <n v="1"/>
    <s v="A"/>
    <x v="18"/>
    <s v="VARJOTA"/>
  </r>
  <r>
    <x v="688"/>
    <n v="0"/>
    <x v="1984"/>
    <s v="04887406000199"/>
    <x v="137"/>
    <d v="2021-05-26T00:00:00"/>
    <n v="60"/>
    <n v="444.97"/>
    <s v="1/308367"/>
    <n v="1"/>
    <s v="A"/>
    <x v="24"/>
    <s v="PEDRA BRANCA"/>
  </r>
  <r>
    <x v="688"/>
    <n v="0"/>
    <x v="1985"/>
    <s v="30511707000123"/>
    <x v="115"/>
    <d v="2021-04-06T00:00:00"/>
    <n v="110"/>
    <n v="1619.6"/>
    <s v="1/301557"/>
    <n v="1"/>
    <s v="A"/>
    <x v="4"/>
    <s v="HORIZONTE"/>
  </r>
  <r>
    <x v="688"/>
    <n v="0"/>
    <x v="1986"/>
    <s v="30511707000123"/>
    <x v="115"/>
    <d v="2021-04-26T00:00:00"/>
    <n v="90"/>
    <n v="1466.33"/>
    <s v="1/304073"/>
    <n v="1"/>
    <s v="A"/>
    <x v="4"/>
    <s v="HORIZONTE"/>
  </r>
  <r>
    <x v="688"/>
    <n v="0"/>
    <x v="1987"/>
    <s v="30511707000123"/>
    <x v="115"/>
    <d v="2021-05-26T00:00:00"/>
    <n v="60"/>
    <n v="833.95"/>
    <s v="1/308459"/>
    <n v="1"/>
    <s v="A"/>
    <x v="4"/>
    <s v="HORIZONTE"/>
  </r>
  <r>
    <x v="688"/>
    <n v="0"/>
    <x v="1988"/>
    <s v="03024466000115"/>
    <x v="132"/>
    <d v="2021-05-21T00:00:00"/>
    <n v="65"/>
    <n v="413.23"/>
    <s v="1/307887"/>
    <n v="1"/>
    <s v="P"/>
    <x v="17"/>
    <s v="FORTALEZA"/>
  </r>
  <r>
    <x v="688"/>
    <n v="0"/>
    <x v="1989"/>
    <s v="21578080000137"/>
    <x v="113"/>
    <d v="2021-06-10T00:00:00"/>
    <n v="45"/>
    <n v="578.30999999999995"/>
    <s v="1/310548"/>
    <n v="1"/>
    <s v="A"/>
    <x v="4"/>
    <s v="HORIZONTE"/>
  </r>
  <r>
    <x v="688"/>
    <n v="0"/>
    <x v="1990"/>
    <s v="10908192000273"/>
    <x v="119"/>
    <d v="2021-06-10T00:00:00"/>
    <n v="45"/>
    <n v="338.11"/>
    <s v="1/310466"/>
    <n v="1"/>
    <s v="A"/>
    <x v="11"/>
    <s v="FORTALEZA"/>
  </r>
  <r>
    <x v="688"/>
    <n v="0"/>
    <x v="1991"/>
    <s v="36515271000127"/>
    <x v="142"/>
    <d v="2021-04-16T00:00:00"/>
    <n v="100"/>
    <n v="1368.74"/>
    <s v="1/303216"/>
    <n v="1"/>
    <s v="A"/>
    <x v="4"/>
    <s v="MORADA NOVA"/>
  </r>
  <r>
    <x v="688"/>
    <n v="0"/>
    <x v="1992"/>
    <s v="17387587000136"/>
    <x v="166"/>
    <d v="2021-04-16T00:00:00"/>
    <n v="100"/>
    <n v="227.4"/>
    <s v="1/303248"/>
    <n v="1"/>
    <s v="A"/>
    <x v="4"/>
    <s v="FORTALEZA"/>
  </r>
  <r>
    <x v="688"/>
    <n v="0"/>
    <x v="1993"/>
    <s v="17387587000136"/>
    <x v="166"/>
    <d v="2021-05-11T00:00:00"/>
    <n v="75"/>
    <n v="382.64"/>
    <s v="1/306345"/>
    <n v="1"/>
    <s v="A"/>
    <x v="4"/>
    <s v="FORTALEZA"/>
  </r>
  <r>
    <x v="688"/>
    <n v="0"/>
    <x v="1994"/>
    <s v="17387587000136"/>
    <x v="166"/>
    <d v="2021-05-21T00:00:00"/>
    <n v="65"/>
    <n v="314.77"/>
    <s v="1/307884"/>
    <n v="1"/>
    <s v="A"/>
    <x v="4"/>
    <s v="FORTALEZA"/>
  </r>
  <r>
    <x v="688"/>
    <n v="0"/>
    <x v="1995"/>
    <s v="17387587000136"/>
    <x v="166"/>
    <d v="2021-05-31T00:00:00"/>
    <n v="55"/>
    <n v="319.99"/>
    <s v="1/309238"/>
    <n v="1"/>
    <s v="A"/>
    <x v="4"/>
    <s v="FORTALEZA"/>
  </r>
  <r>
    <x v="688"/>
    <n v="0"/>
    <x v="1996"/>
    <s v="26795271000174"/>
    <x v="174"/>
    <d v="2021-06-15T00:00:00"/>
    <n v="40"/>
    <n v="236.22"/>
    <s v="1/311171"/>
    <n v="1"/>
    <s v="A"/>
    <x v="4"/>
    <s v="RUSSAS"/>
  </r>
  <r>
    <x v="688"/>
    <n v="0"/>
    <x v="1997"/>
    <s v="10307609000161"/>
    <x v="149"/>
    <d v="2021-04-26T00:00:00"/>
    <n v="90"/>
    <n v="489.81"/>
    <s v="1/304141"/>
    <n v="1"/>
    <s v="A"/>
    <x v="17"/>
    <s v="CAUCAIA"/>
  </r>
  <r>
    <x v="688"/>
    <n v="0"/>
    <x v="1998"/>
    <s v="30591371000156"/>
    <x v="175"/>
    <d v="2021-06-10T00:00:00"/>
    <n v="45"/>
    <n v="467.69"/>
    <s v="1/310571"/>
    <n v="1"/>
    <s v="A"/>
    <x v="18"/>
    <s v="SÃO BENEDITO"/>
  </r>
  <r>
    <x v="689"/>
    <n v="0"/>
    <x v="1999"/>
    <s v="10899161000112"/>
    <x v="130"/>
    <d v="2021-06-01T00:00:00"/>
    <n v="55"/>
    <n v="577.58000000000004"/>
    <s v="1/309338"/>
    <n v="1"/>
    <s v="A"/>
    <x v="4"/>
    <s v="MARACANAU"/>
  </r>
  <r>
    <x v="689"/>
    <n v="0"/>
    <x v="2000"/>
    <s v="32583492000181"/>
    <x v="176"/>
    <d v="2021-05-27T00:00:00"/>
    <n v="60"/>
    <n v="583.59"/>
    <s v="1/308589"/>
    <n v="1"/>
    <s v="A"/>
    <x v="17"/>
    <s v="FORTALEZA"/>
  </r>
  <r>
    <x v="689"/>
    <n v="0"/>
    <x v="2001"/>
    <s v="16852021000175"/>
    <x v="127"/>
    <d v="2021-05-27T00:00:00"/>
    <n v="60"/>
    <n v="300.63"/>
    <s v="1/308565"/>
    <n v="1"/>
    <s v="A"/>
    <x v="25"/>
    <s v="FORTALEZA"/>
  </r>
  <r>
    <x v="689"/>
    <n v="0"/>
    <x v="2002"/>
    <s v="04887406000199"/>
    <x v="137"/>
    <d v="2021-05-12T00:00:00"/>
    <n v="75"/>
    <n v="346.43"/>
    <s v="1/306623"/>
    <n v="1"/>
    <s v="A"/>
    <x v="24"/>
    <s v="PEDRA BRANCA"/>
  </r>
  <r>
    <x v="689"/>
    <n v="0"/>
    <x v="2003"/>
    <s v="30511783000139"/>
    <x v="125"/>
    <d v="2021-05-12T00:00:00"/>
    <n v="75"/>
    <n v="954.28"/>
    <s v="1/306557"/>
    <n v="1"/>
    <s v="A"/>
    <x v="4"/>
    <s v="REDENÇÃO"/>
  </r>
  <r>
    <x v="689"/>
    <n v="0"/>
    <x v="2004"/>
    <s v="01946309000131"/>
    <x v="138"/>
    <d v="2021-05-12T00:00:00"/>
    <n v="75"/>
    <n v="364.71"/>
    <s v="1/306462"/>
    <n v="1"/>
    <s v="A"/>
    <x v="17"/>
    <s v="FORTALEZA"/>
  </r>
  <r>
    <x v="689"/>
    <n v="0"/>
    <x v="2005"/>
    <s v="07184782000105"/>
    <x v="177"/>
    <d v="2021-06-11T00:00:00"/>
    <n v="45"/>
    <n v="427.85"/>
    <s v="1/310741"/>
    <n v="1"/>
    <s v="A"/>
    <x v="16"/>
    <s v="CARIRIAÇU"/>
  </r>
  <r>
    <x v="689"/>
    <n v="0"/>
    <x v="2006"/>
    <s v="02915680000107"/>
    <x v="152"/>
    <d v="2021-05-12T00:00:00"/>
    <n v="75"/>
    <n v="257.37"/>
    <s v="1/306633"/>
    <n v="1"/>
    <s v="A"/>
    <x v="4"/>
    <s v="FORTALEZA"/>
  </r>
  <r>
    <x v="689"/>
    <n v="0"/>
    <x v="2007"/>
    <s v="02915680000107"/>
    <x v="152"/>
    <d v="2021-06-11T00:00:00"/>
    <n v="45"/>
    <n v="426.35"/>
    <s v="1/310718"/>
    <n v="1"/>
    <s v="A"/>
    <x v="4"/>
    <s v="FORTALEZA"/>
  </r>
  <r>
    <x v="689"/>
    <n v="0"/>
    <x v="2008"/>
    <s v="06741607000370"/>
    <x v="139"/>
    <d v="2021-05-27T00:00:00"/>
    <n v="60"/>
    <n v="241.27"/>
    <s v="1/308727"/>
    <n v="1"/>
    <s v="A"/>
    <x v="24"/>
    <s v="PEDRA BRANCA"/>
  </r>
  <r>
    <x v="689"/>
    <n v="0"/>
    <x v="2009"/>
    <s v="33395192000131"/>
    <x v="153"/>
    <d v="2021-05-12T00:00:00"/>
    <n v="75"/>
    <n v="336.92"/>
    <s v="1/306493"/>
    <n v="1"/>
    <s v="A"/>
    <x v="24"/>
    <s v="OROS"/>
  </r>
  <r>
    <x v="689"/>
    <n v="0"/>
    <x v="2010"/>
    <s v="30732111000153"/>
    <x v="116"/>
    <d v="2021-04-27T00:00:00"/>
    <n v="90"/>
    <n v="1935.78"/>
    <s v="1/304316"/>
    <n v="1"/>
    <s v="A"/>
    <x v="4"/>
    <s v="PACAJUS"/>
  </r>
  <r>
    <x v="689"/>
    <n v="0"/>
    <x v="2011"/>
    <s v="21578080000137"/>
    <x v="113"/>
    <d v="2021-04-27T00:00:00"/>
    <n v="90"/>
    <n v="1882.8"/>
    <s v="1/304309"/>
    <n v="1"/>
    <s v="A"/>
    <x v="4"/>
    <s v="HORIZONTE"/>
  </r>
  <r>
    <x v="689"/>
    <n v="0"/>
    <x v="2012"/>
    <s v="23549389000124"/>
    <x v="178"/>
    <d v="2021-04-27T00:00:00"/>
    <n v="90"/>
    <n v="1980.73"/>
    <s v="1/304158"/>
    <n v="1"/>
    <s v="A"/>
    <x v="17"/>
    <s v="FORTALEZA"/>
  </r>
  <r>
    <x v="689"/>
    <n v="0"/>
    <x v="2013"/>
    <s v="31460541000126"/>
    <x v="179"/>
    <d v="2021-05-27T00:00:00"/>
    <n v="60"/>
    <n v="585.80999999999995"/>
    <s v="1/308646"/>
    <n v="1"/>
    <s v="A"/>
    <x v="16"/>
    <s v="JUAZEIRO DO NORTE"/>
  </r>
  <r>
    <x v="689"/>
    <n v="0"/>
    <x v="2014"/>
    <s v="17387587000136"/>
    <x v="166"/>
    <d v="2021-06-11T00:00:00"/>
    <n v="45"/>
    <n v="363.45"/>
    <s v="1/310751"/>
    <n v="1"/>
    <s v="A"/>
    <x v="4"/>
    <s v="FORTALEZA"/>
  </r>
  <r>
    <x v="689"/>
    <n v="0"/>
    <x v="2015"/>
    <s v="17387587000136"/>
    <x v="166"/>
    <d v="2021-07-06T00:00:00"/>
    <n v="20"/>
    <n v="590.89"/>
    <s v="1/314053"/>
    <n v="1"/>
    <s v="A"/>
    <x v="4"/>
    <s v="FORTALEZA"/>
  </r>
  <r>
    <x v="689"/>
    <n v="0"/>
    <x v="2016"/>
    <s v="11658614000181"/>
    <x v="82"/>
    <d v="2021-05-07T00:00:00"/>
    <n v="80"/>
    <n v="325.76"/>
    <s v="1/305941"/>
    <n v="1"/>
    <s v="A"/>
    <x v="25"/>
    <s v="REDENÇÃO"/>
  </r>
  <r>
    <x v="689"/>
    <n v="0"/>
    <x v="2017"/>
    <s v="10307609000161"/>
    <x v="149"/>
    <d v="2021-04-27T00:00:00"/>
    <n v="90"/>
    <n v="354.87"/>
    <s v="1/304303"/>
    <n v="1"/>
    <s v="A"/>
    <x v="17"/>
    <s v="CAUCAIA"/>
  </r>
  <r>
    <x v="690"/>
    <n v="0"/>
    <x v="2018"/>
    <s v="10899161000112"/>
    <x v="130"/>
    <d v="2021-04-23T00:00:00"/>
    <n v="95"/>
    <n v="523.13"/>
    <s v="1/303923"/>
    <n v="1"/>
    <s v="A"/>
    <x v="4"/>
    <s v="MARACANAU"/>
  </r>
  <r>
    <x v="690"/>
    <n v="0"/>
    <x v="2019"/>
    <s v="32583492000181"/>
    <x v="176"/>
    <d v="2021-04-23T00:00:00"/>
    <n v="95"/>
    <n v="384.41"/>
    <s v="1/303858"/>
    <n v="1"/>
    <s v="A"/>
    <x v="17"/>
    <s v="FORTALEZA"/>
  </r>
  <r>
    <x v="690"/>
    <n v="0"/>
    <x v="2020"/>
    <s v="32583492000181"/>
    <x v="176"/>
    <d v="2021-05-03T00:00:00"/>
    <n v="85"/>
    <n v="440.22"/>
    <s v="1/305292"/>
    <n v="1"/>
    <s v="A"/>
    <x v="17"/>
    <s v="FORTALEZA"/>
  </r>
  <r>
    <x v="690"/>
    <n v="0"/>
    <x v="2021"/>
    <s v="32583492000181"/>
    <x v="176"/>
    <d v="2021-06-07T00:00:00"/>
    <n v="50"/>
    <n v="508.44"/>
    <s v="1/309971"/>
    <n v="1"/>
    <s v="A"/>
    <x v="17"/>
    <s v="FORTALEZA"/>
  </r>
  <r>
    <x v="690"/>
    <n v="0"/>
    <x v="2022"/>
    <s v="16852021000175"/>
    <x v="127"/>
    <d v="2021-04-08T00:00:00"/>
    <n v="110"/>
    <n v="278.55"/>
    <s v="1/302087"/>
    <n v="1"/>
    <s v="A"/>
    <x v="25"/>
    <s v="FORTALEZA"/>
  </r>
  <r>
    <x v="690"/>
    <n v="0"/>
    <x v="2023"/>
    <s v="16852021000175"/>
    <x v="127"/>
    <d v="2021-05-18T00:00:00"/>
    <n v="70"/>
    <n v="279.24"/>
    <s v="1/307423"/>
    <n v="1"/>
    <s v="A"/>
    <x v="25"/>
    <s v="FORTALEZA"/>
  </r>
  <r>
    <x v="690"/>
    <n v="0"/>
    <x v="2024"/>
    <s v="16852021000175"/>
    <x v="127"/>
    <d v="2021-05-28T00:00:00"/>
    <n v="60"/>
    <n v="340.99"/>
    <s v="1/308755"/>
    <n v="1"/>
    <s v="A"/>
    <x v="25"/>
    <s v="FORTALEZA"/>
  </r>
  <r>
    <x v="690"/>
    <n v="0"/>
    <x v="2025"/>
    <s v="23459485000262"/>
    <x v="180"/>
    <d v="2021-06-17T00:00:00"/>
    <n v="40"/>
    <n v="468.24"/>
    <s v="1/311524"/>
    <n v="1"/>
    <s v="A"/>
    <x v="16"/>
    <s v="JUAZEIRO DO NORTE"/>
  </r>
  <r>
    <x v="690"/>
    <n v="0"/>
    <x v="2026"/>
    <s v="23459485000181"/>
    <x v="159"/>
    <d v="2021-06-17T00:00:00"/>
    <n v="40"/>
    <n v="468.24"/>
    <s v="1/311523"/>
    <n v="1"/>
    <s v="A"/>
    <x v="16"/>
    <s v="JUAZEIRO DO NORTE"/>
  </r>
  <r>
    <x v="690"/>
    <n v="0"/>
    <x v="2027"/>
    <s v="04887406000199"/>
    <x v="137"/>
    <d v="2021-05-13T00:00:00"/>
    <n v="75"/>
    <n v="259.14"/>
    <s v="1/306712"/>
    <n v="1"/>
    <s v="A"/>
    <x v="24"/>
    <s v="PEDRA BRANCA"/>
  </r>
  <r>
    <x v="690"/>
    <n v="0"/>
    <x v="2028"/>
    <s v="32858942000100"/>
    <x v="150"/>
    <d v="2021-07-07T00:00:00"/>
    <n v="20"/>
    <n v="399.35"/>
    <s v="1/314214"/>
    <n v="1"/>
    <s v="A"/>
    <x v="25"/>
    <s v="CAPISTRANO"/>
  </r>
  <r>
    <x v="690"/>
    <n v="0"/>
    <x v="2029"/>
    <s v="30511707000123"/>
    <x v="115"/>
    <d v="2021-05-03T00:00:00"/>
    <n v="85"/>
    <n v="2015.67"/>
    <s v="1/305267"/>
    <n v="1"/>
    <s v="A"/>
    <x v="4"/>
    <s v="HORIZONTE"/>
  </r>
  <r>
    <x v="690"/>
    <n v="0"/>
    <x v="2030"/>
    <s v="30511707000123"/>
    <x v="115"/>
    <d v="2021-05-18T00:00:00"/>
    <n v="70"/>
    <n v="1657.75"/>
    <s v="1/307396"/>
    <n v="1"/>
    <s v="A"/>
    <x v="4"/>
    <s v="HORIZONTE"/>
  </r>
  <r>
    <x v="690"/>
    <n v="0"/>
    <x v="2031"/>
    <s v="32286961000109"/>
    <x v="160"/>
    <d v="2021-04-28T00:00:00"/>
    <n v="90"/>
    <n v="1424.16"/>
    <s v="1/304489"/>
    <n v="1"/>
    <s v="A"/>
    <x v="4"/>
    <s v="ITAIÇABA"/>
  </r>
  <r>
    <x v="690"/>
    <n v="0"/>
    <x v="2032"/>
    <s v="73358947000142"/>
    <x v="156"/>
    <d v="2021-05-03T00:00:00"/>
    <n v="85"/>
    <n v="386.41"/>
    <s v="1/305088"/>
    <n v="1"/>
    <s v="A"/>
    <x v="26"/>
    <s v="FORTALEZA"/>
  </r>
  <r>
    <x v="690"/>
    <n v="0"/>
    <x v="2033"/>
    <s v="73358947000142"/>
    <x v="156"/>
    <d v="2021-06-07T00:00:00"/>
    <n v="50"/>
    <n v="430.79"/>
    <s v="1/309952"/>
    <n v="1"/>
    <s v="A"/>
    <x v="26"/>
    <s v="FORTALEZA"/>
  </r>
  <r>
    <x v="690"/>
    <n v="0"/>
    <x v="2034"/>
    <s v="06741607000370"/>
    <x v="139"/>
    <d v="2021-05-18T00:00:00"/>
    <n v="70"/>
    <n v="191.99"/>
    <s v="1/307374"/>
    <n v="1"/>
    <s v="A"/>
    <x v="24"/>
    <s v="PEDRA BRANCA"/>
  </r>
  <r>
    <x v="690"/>
    <n v="0"/>
    <x v="2035"/>
    <s v="06741607000370"/>
    <x v="139"/>
    <d v="2021-05-28T00:00:00"/>
    <n v="60"/>
    <n v="351.49"/>
    <s v="1/308868"/>
    <n v="1"/>
    <s v="A"/>
    <x v="24"/>
    <s v="PEDRA BRANCA"/>
  </r>
  <r>
    <x v="690"/>
    <n v="0"/>
    <x v="2036"/>
    <s v="29079945000122"/>
    <x v="146"/>
    <d v="2021-06-02T00:00:00"/>
    <n v="55"/>
    <n v="304.52"/>
    <s v="1/309528"/>
    <n v="1"/>
    <s v="A"/>
    <x v="25"/>
    <s v="FORTALEZA"/>
  </r>
  <r>
    <x v="690"/>
    <n v="0"/>
    <x v="2037"/>
    <s v="17667591000158"/>
    <x v="136"/>
    <d v="2021-05-18T00:00:00"/>
    <n v="70"/>
    <n v="940.09"/>
    <s v="1/307418"/>
    <n v="1"/>
    <s v="P"/>
    <x v="17"/>
    <s v="FORTALEZA"/>
  </r>
  <r>
    <x v="690"/>
    <n v="0"/>
    <x v="2038"/>
    <s v="03024466000115"/>
    <x v="132"/>
    <d v="2021-05-18T00:00:00"/>
    <n v="70"/>
    <n v="1419.72"/>
    <s v="1/307422"/>
    <n v="1"/>
    <s v="P"/>
    <x v="17"/>
    <s v="FORTALEZA"/>
  </r>
  <r>
    <x v="690"/>
    <n v="0"/>
    <x v="2039"/>
    <s v="03024466000115"/>
    <x v="132"/>
    <d v="2021-05-28T00:00:00"/>
    <n v="60"/>
    <n v="386.45"/>
    <s v="1/308857"/>
    <n v="1"/>
    <s v="P"/>
    <x v="17"/>
    <s v="FORTALEZA"/>
  </r>
  <r>
    <x v="690"/>
    <n v="0"/>
    <x v="2040"/>
    <s v="30732111000153"/>
    <x v="116"/>
    <d v="2021-04-08T00:00:00"/>
    <n v="110"/>
    <n v="1338.68"/>
    <s v="1/302060"/>
    <n v="1"/>
    <s v="A"/>
    <x v="4"/>
    <s v="PACAJUS"/>
  </r>
  <r>
    <x v="690"/>
    <n v="0"/>
    <x v="2041"/>
    <s v="21578080000137"/>
    <x v="113"/>
    <d v="2021-03-29T00:00:00"/>
    <n v="120"/>
    <n v="1154.6199999999999"/>
    <s v="1/300618"/>
    <n v="1"/>
    <s v="A"/>
    <x v="4"/>
    <s v="HORIZONTE"/>
  </r>
  <r>
    <x v="690"/>
    <n v="0"/>
    <x v="2042"/>
    <s v="21578080000137"/>
    <x v="113"/>
    <d v="2021-04-28T00:00:00"/>
    <n v="90"/>
    <n v="827.51"/>
    <s v="1/304496"/>
    <n v="1"/>
    <s v="A"/>
    <x v="4"/>
    <s v="HORIZONTE"/>
  </r>
  <r>
    <x v="690"/>
    <n v="0"/>
    <x v="2043"/>
    <s v="21578080000137"/>
    <x v="113"/>
    <d v="2021-05-18T00:00:00"/>
    <n v="70"/>
    <n v="2569.48"/>
    <s v="1/307359"/>
    <n v="1"/>
    <s v="A"/>
    <x v="4"/>
    <s v="HORIZONTE"/>
  </r>
  <r>
    <x v="690"/>
    <n v="0"/>
    <x v="2044"/>
    <s v="09184811000164"/>
    <x v="181"/>
    <d v="2021-05-28T00:00:00"/>
    <n v="60"/>
    <n v="678.91"/>
    <s v="1/308819"/>
    <n v="1"/>
    <s v="A"/>
    <x v="16"/>
    <s v="JUAZEIRO DO NORTE"/>
  </r>
  <r>
    <x v="690"/>
    <n v="0"/>
    <x v="2045"/>
    <s v="08822485000100"/>
    <x v="182"/>
    <d v="2021-05-18T00:00:00"/>
    <n v="70"/>
    <n v="226.83"/>
    <s v="1/307392"/>
    <n v="1"/>
    <s v="A"/>
    <x v="24"/>
    <s v="ITATIRA"/>
  </r>
  <r>
    <x v="690"/>
    <n v="0"/>
    <x v="2046"/>
    <s v="35524927000105"/>
    <x v="168"/>
    <d v="2021-05-03T00:00:00"/>
    <n v="85"/>
    <n v="341.38"/>
    <s v="1/305157"/>
    <n v="1"/>
    <s v="A"/>
    <x v="4"/>
    <s v="PALHANO"/>
  </r>
  <r>
    <x v="690"/>
    <n v="0"/>
    <x v="2047"/>
    <s v="35524927000105"/>
    <x v="168"/>
    <d v="2021-05-03T00:00:00"/>
    <n v="85"/>
    <n v="667.08"/>
    <s v="1/305263"/>
    <n v="1"/>
    <s v="A"/>
    <x v="4"/>
    <s v="PALHANO"/>
  </r>
  <r>
    <x v="690"/>
    <n v="0"/>
    <x v="2048"/>
    <s v="36515271000127"/>
    <x v="142"/>
    <d v="2021-04-28T00:00:00"/>
    <n v="90"/>
    <n v="1440.85"/>
    <s v="1/304539"/>
    <n v="1"/>
    <s v="A"/>
    <x v="4"/>
    <s v="MORADA NOVA"/>
  </r>
  <r>
    <x v="690"/>
    <n v="0"/>
    <x v="2049"/>
    <s v="17387587000136"/>
    <x v="166"/>
    <d v="2021-04-28T00:00:00"/>
    <n v="90"/>
    <n v="422.25"/>
    <s v="1/304404"/>
    <n v="1"/>
    <s v="A"/>
    <x v="4"/>
    <s v="FORTALEZA"/>
  </r>
  <r>
    <x v="690"/>
    <n v="0"/>
    <x v="2050"/>
    <s v="17387587000136"/>
    <x v="166"/>
    <d v="2021-05-18T00:00:00"/>
    <n v="70"/>
    <n v="400.26"/>
    <s v="1/307290"/>
    <n v="1"/>
    <s v="A"/>
    <x v="4"/>
    <s v="FORTALEZA"/>
  </r>
  <r>
    <x v="690"/>
    <n v="0"/>
    <x v="2051"/>
    <s v="17387587000136"/>
    <x v="166"/>
    <d v="2021-06-02T00:00:00"/>
    <n v="55"/>
    <n v="403.13"/>
    <s v="1/309461"/>
    <n v="1"/>
    <s v="A"/>
    <x v="4"/>
    <s v="FORTALEZA"/>
  </r>
  <r>
    <x v="690"/>
    <n v="0"/>
    <x v="2052"/>
    <s v="17387587000136"/>
    <x v="166"/>
    <d v="2021-06-07T00:00:00"/>
    <n v="50"/>
    <n v="340"/>
    <s v="1/309837"/>
    <n v="1"/>
    <s v="A"/>
    <x v="4"/>
    <s v="FORTALEZA"/>
  </r>
  <r>
    <x v="690"/>
    <n v="0"/>
    <x v="2053"/>
    <s v="31700225000184"/>
    <x v="183"/>
    <d v="2021-06-22T00:00:00"/>
    <n v="35"/>
    <n v="288.41000000000003"/>
    <s v="1/312061"/>
    <n v="1"/>
    <s v="A"/>
    <x v="16"/>
    <s v="CRATO"/>
  </r>
  <r>
    <x v="690"/>
    <n v="0"/>
    <x v="2054"/>
    <s v="39932260000130"/>
    <x v="184"/>
    <d v="2021-05-28T00:00:00"/>
    <n v="60"/>
    <n v="422.19"/>
    <s v="1/308909"/>
    <n v="1"/>
    <s v="A"/>
    <x v="16"/>
    <s v="JUAZEIRO DO NORTE"/>
  </r>
  <r>
    <x v="690"/>
    <n v="0"/>
    <x v="2055"/>
    <s v="35095645000130"/>
    <x v="185"/>
    <d v="2021-05-18T00:00:00"/>
    <n v="70"/>
    <n v="475.97"/>
    <s v="1/307281"/>
    <n v="1"/>
    <s v="A"/>
    <x v="16"/>
    <s v="VARZEA ALEGRE"/>
  </r>
  <r>
    <x v="690"/>
    <n v="0"/>
    <x v="2056"/>
    <s v="22165546000135"/>
    <x v="155"/>
    <d v="2021-05-18T00:00:00"/>
    <n v="70"/>
    <n v="338.61"/>
    <s v="1/307337"/>
    <n v="1"/>
    <s v="A"/>
    <x v="25"/>
    <s v="ACARAPE"/>
  </r>
  <r>
    <x v="690"/>
    <n v="0"/>
    <x v="2057"/>
    <s v="22165546000135"/>
    <x v="155"/>
    <d v="2021-05-18T00:00:00"/>
    <n v="70"/>
    <n v="385.23"/>
    <s v="1/307373"/>
    <n v="1"/>
    <s v="A"/>
    <x v="25"/>
    <s v="ACARAPE"/>
  </r>
  <r>
    <x v="690"/>
    <n v="0"/>
    <x v="2058"/>
    <s v="22165546000135"/>
    <x v="155"/>
    <d v="2021-05-28T00:00:00"/>
    <n v="60"/>
    <n v="814.79"/>
    <s v="1/308799"/>
    <n v="1"/>
    <s v="A"/>
    <x v="25"/>
    <s v="ACARAPE"/>
  </r>
  <r>
    <x v="690"/>
    <n v="0"/>
    <x v="2059"/>
    <s v="11658614000181"/>
    <x v="82"/>
    <d v="2021-05-18T00:00:00"/>
    <n v="70"/>
    <n v="223.9"/>
    <s v="1/307395"/>
    <n v="1"/>
    <s v="A"/>
    <x v="25"/>
    <s v="REDENÇÃO"/>
  </r>
  <r>
    <x v="690"/>
    <n v="0"/>
    <x v="2060"/>
    <s v="11658614000181"/>
    <x v="82"/>
    <d v="2021-06-07T00:00:00"/>
    <n v="50"/>
    <n v="386.33"/>
    <s v="1/309975"/>
    <n v="1"/>
    <s v="A"/>
    <x v="25"/>
    <s v="REDENÇÃO"/>
  </r>
  <r>
    <x v="690"/>
    <n v="0"/>
    <x v="2061"/>
    <s v="20692655000185"/>
    <x v="124"/>
    <d v="2021-05-03T00:00:00"/>
    <n v="85"/>
    <n v="313.73"/>
    <s v="1/305257"/>
    <n v="1"/>
    <s v="A"/>
    <x v="25"/>
    <s v="FORTALEZA"/>
  </r>
  <r>
    <x v="691"/>
    <n v="0"/>
    <x v="2062"/>
    <s v="16852021000175"/>
    <x v="127"/>
    <d v="2021-05-14T00:00:00"/>
    <n v="75"/>
    <n v="346.33"/>
    <s v="1/306877"/>
    <n v="1"/>
    <s v="A"/>
    <x v="25"/>
    <s v="FORTALEZA"/>
  </r>
  <r>
    <x v="691"/>
    <n v="0"/>
    <x v="2063"/>
    <s v="07576904000109"/>
    <x v="135"/>
    <d v="2021-05-14T00:00:00"/>
    <n v="75"/>
    <n v="478.15"/>
    <s v="1/307018"/>
    <n v="1"/>
    <s v="A"/>
    <x v="4"/>
    <s v="EUSEBIO"/>
  </r>
  <r>
    <x v="691"/>
    <n v="0"/>
    <x v="2064"/>
    <s v="04887406000199"/>
    <x v="137"/>
    <d v="2021-05-19T00:00:00"/>
    <n v="70"/>
    <n v="350.26"/>
    <s v="1/307620"/>
    <n v="1"/>
    <s v="A"/>
    <x v="24"/>
    <s v="PEDRA BRANCA"/>
  </r>
  <r>
    <x v="691"/>
    <n v="0"/>
    <x v="2065"/>
    <s v="04887406000199"/>
    <x v="137"/>
    <d v="2021-07-21T00:00:00"/>
    <n v="7"/>
    <n v="350.99"/>
    <s v="1/316034"/>
    <n v="1"/>
    <s v="A"/>
    <x v="24"/>
    <s v="PEDRA BRANCA"/>
  </r>
  <r>
    <x v="691"/>
    <n v="0"/>
    <x v="2066"/>
    <s v="30511783000139"/>
    <x v="125"/>
    <d v="2021-04-09T00:00:00"/>
    <n v="110"/>
    <n v="1073.96"/>
    <s v="1/302261"/>
    <n v="1"/>
    <s v="A"/>
    <x v="4"/>
    <s v="REDENÇÃO"/>
  </r>
  <r>
    <x v="691"/>
    <n v="0"/>
    <x v="2067"/>
    <s v="01946309000131"/>
    <x v="138"/>
    <d v="2021-05-14T00:00:00"/>
    <n v="75"/>
    <n v="488.17"/>
    <s v="1/307027"/>
    <n v="1"/>
    <s v="A"/>
    <x v="17"/>
    <s v="FORTALEZA"/>
  </r>
  <r>
    <x v="691"/>
    <n v="0"/>
    <x v="2068"/>
    <s v="28863639000110"/>
    <x v="186"/>
    <d v="2021-05-19T00:00:00"/>
    <n v="70"/>
    <n v="197.56"/>
    <s v="1/307618"/>
    <n v="1"/>
    <s v="A"/>
    <x v="24"/>
    <s v="ICO"/>
  </r>
  <r>
    <x v="691"/>
    <n v="0"/>
    <x v="2069"/>
    <s v="06741607000370"/>
    <x v="139"/>
    <d v="2021-06-08T00:00:00"/>
    <n v="50"/>
    <n v="214.14"/>
    <s v="1/310040"/>
    <n v="1"/>
    <s v="A"/>
    <x v="24"/>
    <s v="PEDRA BRANCA"/>
  </r>
  <r>
    <x v="691"/>
    <n v="0"/>
    <x v="2070"/>
    <s v="06741607000370"/>
    <x v="139"/>
    <d v="2021-06-08T00:00:00"/>
    <n v="50"/>
    <n v="294.44"/>
    <s v="1/310112"/>
    <n v="1"/>
    <s v="A"/>
    <x v="24"/>
    <s v="PEDRA BRANCA"/>
  </r>
  <r>
    <x v="691"/>
    <n v="0"/>
    <x v="2071"/>
    <s v="17667591000158"/>
    <x v="136"/>
    <d v="2021-05-19T00:00:00"/>
    <n v="70"/>
    <n v="363.56"/>
    <s v="1/307474"/>
    <n v="1"/>
    <s v="P"/>
    <x v="17"/>
    <s v="FORTALEZA"/>
  </r>
  <r>
    <x v="691"/>
    <n v="0"/>
    <x v="2072"/>
    <s v="10598280000135"/>
    <x v="131"/>
    <d v="2021-05-19T00:00:00"/>
    <n v="70"/>
    <n v="1437.37"/>
    <s v="1/307502"/>
    <n v="1"/>
    <s v="P"/>
    <x v="17"/>
    <s v="FORTALEZA"/>
  </r>
  <r>
    <x v="691"/>
    <n v="0"/>
    <x v="2073"/>
    <s v="33395192000131"/>
    <x v="153"/>
    <d v="2021-06-08T00:00:00"/>
    <n v="50"/>
    <n v="389.3"/>
    <s v="1/310098"/>
    <n v="1"/>
    <s v="A"/>
    <x v="24"/>
    <s v="OROS"/>
  </r>
  <r>
    <x v="691"/>
    <n v="0"/>
    <x v="2074"/>
    <s v="03024466000115"/>
    <x v="132"/>
    <d v="2021-05-19T00:00:00"/>
    <n v="70"/>
    <n v="1360.93"/>
    <s v="1/307482"/>
    <n v="1"/>
    <s v="P"/>
    <x v="17"/>
    <s v="FORTALEZA"/>
  </r>
  <r>
    <x v="691"/>
    <n v="0"/>
    <x v="2075"/>
    <s v="21578080000137"/>
    <x v="113"/>
    <d v="2021-05-04T00:00:00"/>
    <n v="85"/>
    <n v="2101.56"/>
    <s v="1/305469"/>
    <n v="1"/>
    <s v="A"/>
    <x v="4"/>
    <s v="HORIZONTE"/>
  </r>
  <r>
    <x v="691"/>
    <n v="0"/>
    <x v="2076"/>
    <s v="07322787000157"/>
    <x v="187"/>
    <d v="2021-06-08T00:00:00"/>
    <n v="50"/>
    <n v="391.59"/>
    <s v="1/310038"/>
    <n v="1"/>
    <s v="A"/>
    <x v="16"/>
    <s v="ASSARE"/>
  </r>
  <r>
    <x v="691"/>
    <n v="0"/>
    <x v="2077"/>
    <s v="24669704000110"/>
    <x v="188"/>
    <d v="2021-04-19T00:00:00"/>
    <n v="100"/>
    <n v="258.97000000000003"/>
    <s v="1/303321"/>
    <n v="1"/>
    <s v="A"/>
    <x v="18"/>
    <s v="SOBRAL"/>
  </r>
  <r>
    <x v="691"/>
    <n v="0"/>
    <x v="2078"/>
    <s v="15784350000163"/>
    <x v="89"/>
    <d v="2021-06-28T00:00:00"/>
    <n v="30"/>
    <n v="266.49"/>
    <s v="1/312779"/>
    <n v="1"/>
    <s v="A"/>
    <x v="25"/>
    <s v="FORTALEZA"/>
  </r>
  <r>
    <x v="691"/>
    <n v="0"/>
    <x v="2079"/>
    <s v="20615333000132"/>
    <x v="189"/>
    <d v="2021-05-19T00:00:00"/>
    <n v="70"/>
    <n v="367.52"/>
    <s v="1/307598"/>
    <n v="1"/>
    <s v="A"/>
    <x v="24"/>
    <s v="ITATIRA"/>
  </r>
  <r>
    <x v="691"/>
    <n v="0"/>
    <x v="2080"/>
    <s v="29108444000127"/>
    <x v="190"/>
    <d v="2021-05-19T00:00:00"/>
    <n v="70"/>
    <n v="281.61"/>
    <s v="1/307615"/>
    <n v="1"/>
    <s v="A"/>
    <x v="16"/>
    <s v="JUAZEIRO DO NORTE"/>
  </r>
  <r>
    <x v="691"/>
    <n v="0"/>
    <x v="2081"/>
    <s v="08420175000160"/>
    <x v="191"/>
    <d v="2021-05-19T00:00:00"/>
    <n v="70"/>
    <n v="235.34"/>
    <s v="1/307595"/>
    <n v="1"/>
    <s v="A"/>
    <x v="4"/>
    <s v="JAGUARUANA"/>
  </r>
  <r>
    <x v="691"/>
    <n v="0"/>
    <x v="2082"/>
    <s v="14678176000101"/>
    <x v="192"/>
    <d v="2021-06-08T00:00:00"/>
    <n v="50"/>
    <n v="308.04000000000002"/>
    <s v="1/310109"/>
    <n v="1"/>
    <s v="A"/>
    <x v="16"/>
    <s v="CAMPOS SALES"/>
  </r>
  <r>
    <x v="691"/>
    <n v="0"/>
    <x v="2083"/>
    <s v="17387587000136"/>
    <x v="166"/>
    <d v="2021-05-04T00:00:00"/>
    <n v="85"/>
    <n v="322.58999999999997"/>
    <s v="1/305395"/>
    <n v="1"/>
    <s v="A"/>
    <x v="4"/>
    <s v="FORTALEZA"/>
  </r>
  <r>
    <x v="691"/>
    <n v="0"/>
    <x v="2084"/>
    <s v="17387587000136"/>
    <x v="166"/>
    <d v="2021-06-15T00:00:00"/>
    <n v="43"/>
    <n v="286.11"/>
    <s v="1/311132"/>
    <n v="1"/>
    <s v="A"/>
    <x v="4"/>
    <s v="FORTALEZA"/>
  </r>
  <r>
    <x v="691"/>
    <n v="0"/>
    <x v="2085"/>
    <s v="17387587000136"/>
    <x v="166"/>
    <d v="2021-06-22T00:00:00"/>
    <n v="36"/>
    <n v="338.2"/>
    <s v="1/312112"/>
    <n v="1"/>
    <s v="A"/>
    <x v="4"/>
    <s v="FORTALEZA"/>
  </r>
  <r>
    <x v="691"/>
    <n v="0"/>
    <x v="2086"/>
    <s v="26387797000115"/>
    <x v="193"/>
    <d v="2021-06-08T00:00:00"/>
    <n v="50"/>
    <n v="632.62"/>
    <s v="1/310062"/>
    <n v="1"/>
    <s v="A"/>
    <x v="17"/>
    <s v="CAUCAIA"/>
  </r>
  <r>
    <x v="691"/>
    <n v="0"/>
    <x v="2087"/>
    <s v="07646276000190"/>
    <x v="194"/>
    <d v="2021-04-29T00:00:00"/>
    <n v="90"/>
    <n v="562.64"/>
    <s v="1/304634"/>
    <n v="1"/>
    <s v="A"/>
    <x v="18"/>
    <s v="SOBRAL"/>
  </r>
  <r>
    <x v="691"/>
    <n v="0"/>
    <x v="2088"/>
    <s v="35043504000173"/>
    <x v="143"/>
    <d v="2021-06-08T00:00:00"/>
    <n v="50"/>
    <n v="308.63"/>
    <s v="1/310132"/>
    <n v="1"/>
    <s v="A"/>
    <x v="18"/>
    <s v="SOBRAL"/>
  </r>
  <r>
    <x v="691"/>
    <n v="0"/>
    <x v="2089"/>
    <s v="35043504000173"/>
    <x v="143"/>
    <d v="2021-06-08T00:00:00"/>
    <n v="50"/>
    <n v="993.7"/>
    <s v="1/310142"/>
    <n v="1"/>
    <s v="A"/>
    <x v="18"/>
    <s v="SOBRAL"/>
  </r>
  <r>
    <x v="691"/>
    <n v="0"/>
    <x v="2090"/>
    <s v="69355782000188"/>
    <x v="195"/>
    <d v="2021-05-19T00:00:00"/>
    <n v="70"/>
    <n v="264.91000000000003"/>
    <s v="1/307437"/>
    <n v="1"/>
    <s v="A"/>
    <x v="18"/>
    <s v="TIANGUA"/>
  </r>
  <r>
    <x v="692"/>
    <n v="0"/>
    <x v="2091"/>
    <s v="30429749000110"/>
    <x v="196"/>
    <d v="2021-06-09T00:00:00"/>
    <n v="50"/>
    <n v="450.65"/>
    <s v="1/310293"/>
    <n v="1"/>
    <s v="A"/>
    <x v="24"/>
    <s v="TAUÁ"/>
  </r>
  <r>
    <x v="692"/>
    <n v="0"/>
    <x v="2092"/>
    <s v="35828910000141"/>
    <x v="197"/>
    <d v="2021-07-08T00:00:00"/>
    <n v="21"/>
    <n v="170.85"/>
    <s v="1/314421"/>
    <n v="1"/>
    <s v="A"/>
    <x v="25"/>
    <s v="CANINDÉ"/>
  </r>
  <r>
    <x v="692"/>
    <n v="0"/>
    <x v="2093"/>
    <s v="09001510000158"/>
    <x v="198"/>
    <d v="2021-01-20T00:00:00"/>
    <n v="190"/>
    <n v="798.64"/>
    <s v="1/291370"/>
    <n v="1"/>
    <s v="A"/>
    <x v="4"/>
    <s v="PINDORETAMA"/>
  </r>
  <r>
    <x v="692"/>
    <n v="0"/>
    <x v="2094"/>
    <s v="09001510000158"/>
    <x v="198"/>
    <d v="2021-06-09T00:00:00"/>
    <n v="50"/>
    <n v="558.46"/>
    <s v="1/310338"/>
    <n v="1"/>
    <s v="A"/>
    <x v="4"/>
    <s v="PINDORETAMA"/>
  </r>
  <r>
    <x v="692"/>
    <n v="0"/>
    <x v="2095"/>
    <s v="26436496000134"/>
    <x v="92"/>
    <d v="2021-03-26T00:00:00"/>
    <n v="125"/>
    <n v="2427.4299999999998"/>
    <s v="1/300174"/>
    <n v="1"/>
    <s v="A"/>
    <x v="15"/>
    <s v="FORTALEZA"/>
  </r>
  <r>
    <x v="692"/>
    <n v="0"/>
    <x v="2096"/>
    <s v="26436496000134"/>
    <x v="92"/>
    <d v="2021-04-30T00:00:00"/>
    <n v="90"/>
    <n v="744.8"/>
    <s v="1/305016"/>
    <n v="1"/>
    <s v="A"/>
    <x v="15"/>
    <s v="FORTALEZA"/>
  </r>
  <r>
    <x v="692"/>
    <n v="0"/>
    <x v="2097"/>
    <s v="10899161000112"/>
    <x v="130"/>
    <d v="2021-05-05T00:00:00"/>
    <n v="85"/>
    <n v="733.37"/>
    <s v="1/305527"/>
    <n v="1"/>
    <s v="A"/>
    <x v="4"/>
    <s v="MARACANAU"/>
  </r>
  <r>
    <x v="692"/>
    <n v="0"/>
    <x v="2098"/>
    <s v="38029819000154"/>
    <x v="199"/>
    <d v="2021-04-30T00:00:00"/>
    <n v="90"/>
    <n v="1652.33"/>
    <s v="1/304830"/>
    <n v="1"/>
    <s v="A"/>
    <x v="18"/>
    <s v="FORTALEZA"/>
  </r>
  <r>
    <x v="692"/>
    <n v="0"/>
    <x v="2099"/>
    <s v="26705153000128"/>
    <x v="200"/>
    <d v="2021-06-09T00:00:00"/>
    <n v="50"/>
    <n v="247.81"/>
    <s v="1/310210"/>
    <n v="1"/>
    <s v="A"/>
    <x v="25"/>
    <s v="OCARA"/>
  </r>
  <r>
    <x v="692"/>
    <n v="0"/>
    <x v="2100"/>
    <s v="16852021000175"/>
    <x v="127"/>
    <d v="2021-04-30T00:00:00"/>
    <n v="90"/>
    <n v="311.52999999999997"/>
    <s v="1/304834"/>
    <n v="1"/>
    <s v="A"/>
    <x v="25"/>
    <s v="FORTALEZA"/>
  </r>
  <r>
    <x v="692"/>
    <n v="0"/>
    <x v="2101"/>
    <s v="16852021000175"/>
    <x v="127"/>
    <d v="2021-05-10T00:00:00"/>
    <n v="80"/>
    <n v="204.8"/>
    <s v="1/306147"/>
    <n v="1"/>
    <s v="A"/>
    <x v="25"/>
    <s v="FORTALEZA"/>
  </r>
  <r>
    <x v="692"/>
    <n v="0"/>
    <x v="2102"/>
    <s v="28730710000196"/>
    <x v="201"/>
    <d v="2021-05-25T00:00:00"/>
    <n v="65"/>
    <n v="226.09"/>
    <s v="1/308336"/>
    <n v="1"/>
    <s v="A"/>
    <x v="24"/>
    <s v="CRATEUS"/>
  </r>
  <r>
    <x v="692"/>
    <n v="0"/>
    <x v="2103"/>
    <s v="04887406000199"/>
    <x v="137"/>
    <d v="2021-06-09T00:00:00"/>
    <n v="50"/>
    <n v="289.31"/>
    <s v="1/310370"/>
    <n v="1"/>
    <s v="A"/>
    <x v="24"/>
    <s v="PEDRA BRANCA"/>
  </r>
  <r>
    <x v="692"/>
    <n v="0"/>
    <x v="2104"/>
    <s v="04887406000199"/>
    <x v="137"/>
    <d v="2021-06-09T00:00:00"/>
    <n v="50"/>
    <n v="370.66"/>
    <s v="1/310381"/>
    <n v="1"/>
    <s v="A"/>
    <x v="24"/>
    <s v="PEDRA BRANCA"/>
  </r>
  <r>
    <x v="692"/>
    <n v="0"/>
    <x v="2105"/>
    <s v="04887406000199"/>
    <x v="137"/>
    <d v="2021-06-09T00:00:00"/>
    <n v="50"/>
    <n v="368.41"/>
    <s v="1/310383"/>
    <n v="1"/>
    <s v="A"/>
    <x v="24"/>
    <s v="PEDRA BRANCA"/>
  </r>
  <r>
    <x v="692"/>
    <n v="0"/>
    <x v="2106"/>
    <s v="07530330000138"/>
    <x v="170"/>
    <d v="2021-06-04T00:00:00"/>
    <n v="55"/>
    <n v="627.69000000000005"/>
    <s v="1/309804"/>
    <n v="1"/>
    <s v="A"/>
    <x v="18"/>
    <s v="IPU"/>
  </r>
  <r>
    <x v="692"/>
    <n v="0"/>
    <x v="2107"/>
    <s v="30511707000123"/>
    <x v="115"/>
    <d v="2021-04-20T00:00:00"/>
    <n v="100"/>
    <n v="1837.55"/>
    <s v="1/303635"/>
    <n v="1"/>
    <s v="A"/>
    <x v="4"/>
    <s v="HORIZONTE"/>
  </r>
  <r>
    <x v="692"/>
    <n v="0"/>
    <x v="2108"/>
    <s v="30511707000123"/>
    <x v="115"/>
    <d v="2021-05-10T00:00:00"/>
    <n v="80"/>
    <n v="550.73"/>
    <s v="1/306011"/>
    <n v="1"/>
    <s v="A"/>
    <x v="4"/>
    <s v="HORIZONTE"/>
  </r>
  <r>
    <x v="692"/>
    <n v="0"/>
    <x v="2109"/>
    <s v="30511707000123"/>
    <x v="115"/>
    <d v="2021-06-14T00:00:00"/>
    <n v="45"/>
    <n v="796.71"/>
    <s v="1/310989"/>
    <n v="1"/>
    <s v="A"/>
    <x v="4"/>
    <s v="HORIZONTE"/>
  </r>
  <r>
    <x v="692"/>
    <n v="0"/>
    <x v="2110"/>
    <s v="30511783000139"/>
    <x v="125"/>
    <d v="2021-05-10T00:00:00"/>
    <n v="80"/>
    <n v="519.78"/>
    <s v="1/306016"/>
    <n v="1"/>
    <s v="A"/>
    <x v="4"/>
    <s v="REDENÇÃO"/>
  </r>
  <r>
    <x v="692"/>
    <n v="0"/>
    <x v="2111"/>
    <s v="30511783000139"/>
    <x v="125"/>
    <d v="2021-05-10T00:00:00"/>
    <n v="80"/>
    <n v="1001.29"/>
    <s v="1/306068"/>
    <n v="1"/>
    <s v="A"/>
    <x v="4"/>
    <s v="REDENÇÃO"/>
  </r>
  <r>
    <x v="692"/>
    <n v="0"/>
    <x v="2112"/>
    <s v="01946309000131"/>
    <x v="138"/>
    <d v="2021-03-31T00:00:00"/>
    <n v="120"/>
    <n v="1110.56"/>
    <s v="1/301145"/>
    <n v="1"/>
    <s v="A"/>
    <x v="17"/>
    <s v="FORTALEZA"/>
  </r>
  <r>
    <x v="692"/>
    <n v="0"/>
    <x v="2113"/>
    <s v="01946309000131"/>
    <x v="138"/>
    <d v="2021-05-27T00:00:00"/>
    <n v="63"/>
    <n v="442.89"/>
    <s v="1/308654"/>
    <n v="1"/>
    <s v="A"/>
    <x v="17"/>
    <s v="FORTALEZA"/>
  </r>
  <r>
    <x v="692"/>
    <n v="0"/>
    <x v="2114"/>
    <s v="35222033000160"/>
    <x v="202"/>
    <d v="2021-06-09T00:00:00"/>
    <n v="50"/>
    <n v="269.88"/>
    <s v="1/310399"/>
    <n v="1"/>
    <s v="A"/>
    <x v="26"/>
    <s v="TEJUÇUOCA"/>
  </r>
  <r>
    <x v="692"/>
    <n v="0"/>
    <x v="2115"/>
    <s v="38118356000105"/>
    <x v="203"/>
    <d v="2021-05-20T00:00:00"/>
    <n v="70"/>
    <n v="368.76"/>
    <s v="1/307746"/>
    <n v="1"/>
    <s v="A"/>
    <x v="18"/>
    <s v="SOBRAL"/>
  </r>
  <r>
    <x v="692"/>
    <n v="0"/>
    <x v="2116"/>
    <s v="30732111000153"/>
    <x v="116"/>
    <d v="2021-05-05T00:00:00"/>
    <n v="85"/>
    <n v="1176.67"/>
    <s v="1/305598"/>
    <n v="1"/>
    <s v="A"/>
    <x v="4"/>
    <s v="PACAJUS"/>
  </r>
  <r>
    <x v="692"/>
    <n v="0"/>
    <x v="2117"/>
    <s v="30732111000153"/>
    <x v="116"/>
    <d v="2021-05-10T00:00:00"/>
    <n v="80"/>
    <n v="519.78"/>
    <s v="1/306015"/>
    <n v="1"/>
    <s v="A"/>
    <x v="4"/>
    <s v="PACAJUS"/>
  </r>
  <r>
    <x v="692"/>
    <n v="0"/>
    <x v="2118"/>
    <s v="21578080000137"/>
    <x v="113"/>
    <d v="2021-05-05T00:00:00"/>
    <n v="85"/>
    <n v="483.49"/>
    <s v="1/305502"/>
    <n v="1"/>
    <s v="A"/>
    <x v="4"/>
    <s v="HORIZONTE"/>
  </r>
  <r>
    <x v="692"/>
    <n v="0"/>
    <x v="2119"/>
    <s v="21578080000137"/>
    <x v="113"/>
    <d v="2021-05-10T00:00:00"/>
    <n v="80"/>
    <n v="251.67"/>
    <s v="1/306134"/>
    <n v="1"/>
    <s v="A"/>
    <x v="4"/>
    <s v="HORIZONTE"/>
  </r>
  <r>
    <x v="692"/>
    <n v="0"/>
    <x v="2120"/>
    <s v="28140968000132"/>
    <x v="204"/>
    <d v="2021-05-20T00:00:00"/>
    <n v="70"/>
    <n v="205.74"/>
    <s v="1/307624"/>
    <n v="1"/>
    <s v="A"/>
    <x v="4"/>
    <s v="FORTALEZA"/>
  </r>
  <r>
    <x v="692"/>
    <n v="0"/>
    <x v="2121"/>
    <s v="15784350000163"/>
    <x v="89"/>
    <d v="2021-06-14T00:00:00"/>
    <n v="45"/>
    <n v="272.56"/>
    <s v="1/310892"/>
    <n v="1"/>
    <s v="A"/>
    <x v="25"/>
    <s v="FORTALEZA"/>
  </r>
  <r>
    <x v="692"/>
    <n v="0"/>
    <x v="2122"/>
    <s v="15784350000163"/>
    <x v="89"/>
    <d v="2021-06-29T00:00:00"/>
    <n v="30"/>
    <n v="579.55999999999995"/>
    <s v="1/313073"/>
    <n v="1"/>
    <s v="A"/>
    <x v="25"/>
    <s v="FORTALEZA"/>
  </r>
  <r>
    <x v="692"/>
    <n v="0"/>
    <x v="2123"/>
    <s v="40029318000110"/>
    <x v="205"/>
    <d v="2021-06-09T00:00:00"/>
    <n v="50"/>
    <n v="362.17"/>
    <s v="1/310213"/>
    <n v="1"/>
    <s v="A"/>
    <x v="18"/>
    <s v="GRANJA"/>
  </r>
  <r>
    <x v="692"/>
    <n v="0"/>
    <x v="2124"/>
    <s v="35524927000105"/>
    <x v="168"/>
    <d v="2021-05-10T00:00:00"/>
    <n v="80"/>
    <n v="525.47"/>
    <s v="1/306132"/>
    <n v="1"/>
    <s v="A"/>
    <x v="4"/>
    <s v="PALHANO"/>
  </r>
  <r>
    <x v="692"/>
    <n v="0"/>
    <x v="2125"/>
    <s v="15692803000121"/>
    <x v="206"/>
    <d v="2021-05-20T00:00:00"/>
    <n v="70"/>
    <n v="236.13"/>
    <s v="1/307623"/>
    <n v="1"/>
    <s v="A"/>
    <x v="4"/>
    <s v="FORTALEZA"/>
  </r>
  <r>
    <x v="692"/>
    <n v="0"/>
    <x v="2126"/>
    <s v="36515271000127"/>
    <x v="142"/>
    <d v="2021-05-20T00:00:00"/>
    <n v="70"/>
    <n v="1704.88"/>
    <s v="1/307705"/>
    <n v="1"/>
    <s v="A"/>
    <x v="4"/>
    <s v="MORADA NOVA"/>
  </r>
  <r>
    <x v="692"/>
    <n v="0"/>
    <x v="2127"/>
    <s v="36515271000127"/>
    <x v="142"/>
    <d v="2021-05-20T00:00:00"/>
    <n v="70"/>
    <n v="1705.66"/>
    <s v="1/307706"/>
    <n v="1"/>
    <s v="A"/>
    <x v="4"/>
    <s v="MORADA NOVA"/>
  </r>
  <r>
    <x v="692"/>
    <n v="0"/>
    <x v="2128"/>
    <s v="17387587000136"/>
    <x v="166"/>
    <d v="2021-05-25T00:00:00"/>
    <n v="65"/>
    <n v="263.26"/>
    <s v="1/308248"/>
    <n v="1"/>
    <s v="A"/>
    <x v="4"/>
    <s v="FORTALEZA"/>
  </r>
  <r>
    <x v="692"/>
    <n v="0"/>
    <x v="2129"/>
    <s v="17387587000136"/>
    <x v="166"/>
    <d v="2021-06-04T00:00:00"/>
    <n v="55"/>
    <n v="302.08"/>
    <s v="1/309670"/>
    <n v="1"/>
    <s v="A"/>
    <x v="4"/>
    <s v="FORTALEZA"/>
  </r>
  <r>
    <x v="692"/>
    <n v="0"/>
    <x v="2130"/>
    <s v="17387587000136"/>
    <x v="166"/>
    <d v="2021-06-29T00:00:00"/>
    <n v="30"/>
    <n v="790.17"/>
    <s v="1/313066"/>
    <n v="1"/>
    <s v="A"/>
    <x v="4"/>
    <s v="FORTALEZA"/>
  </r>
  <r>
    <x v="692"/>
    <n v="0"/>
    <x v="2131"/>
    <s v="17387587000136"/>
    <x v="166"/>
    <d v="2021-07-09T00:00:00"/>
    <n v="20"/>
    <n v="735.16"/>
    <s v="1/314633"/>
    <n v="1"/>
    <s v="A"/>
    <x v="4"/>
    <s v="FORTALEZA"/>
  </r>
  <r>
    <x v="692"/>
    <n v="0"/>
    <x v="2132"/>
    <s v="10688523000126"/>
    <x v="207"/>
    <d v="2021-06-09T00:00:00"/>
    <n v="50"/>
    <n v="329.79"/>
    <s v="1/310380"/>
    <n v="1"/>
    <s v="A"/>
    <x v="16"/>
    <s v="BREJO SANTO"/>
  </r>
  <r>
    <x v="692"/>
    <n v="0"/>
    <x v="2133"/>
    <s v="22165546000135"/>
    <x v="155"/>
    <d v="2021-05-10T00:00:00"/>
    <n v="80"/>
    <n v="286.26"/>
    <s v="1/306145"/>
    <n v="1"/>
    <s v="A"/>
    <x v="25"/>
    <s v="ACARAPE"/>
  </r>
  <r>
    <x v="692"/>
    <n v="0"/>
    <x v="2134"/>
    <s v="11658614000181"/>
    <x v="82"/>
    <d v="2021-06-09T00:00:00"/>
    <n v="50"/>
    <n v="256.18"/>
    <s v="1/310392"/>
    <n v="1"/>
    <s v="A"/>
    <x v="25"/>
    <s v="REDENÇÃO"/>
  </r>
  <r>
    <x v="693"/>
    <n v="0"/>
    <x v="2135"/>
    <s v="03299183000186"/>
    <x v="208"/>
    <d v="2021-06-30T00:00:00"/>
    <n v="30"/>
    <n v="305.20999999999998"/>
    <s v="1/313267"/>
    <n v="1"/>
    <s v="A"/>
    <x v="26"/>
    <s v="URUBURETAMA"/>
  </r>
  <r>
    <x v="693"/>
    <n v="0"/>
    <x v="2136"/>
    <s v="41319377000195"/>
    <x v="209"/>
    <d v="2021-05-21T00:00:00"/>
    <n v="70"/>
    <n v="224.86"/>
    <s v="1/307965"/>
    <n v="1"/>
    <s v="A"/>
    <x v="17"/>
    <s v="CAUCAIA"/>
  </r>
  <r>
    <x v="693"/>
    <n v="0"/>
    <x v="2137"/>
    <s v="23576929000169"/>
    <x v="117"/>
    <d v="2021-05-11T00:00:00"/>
    <n v="80"/>
    <n v="471.08"/>
    <s v="1/306229"/>
    <n v="1"/>
    <s v="A"/>
    <x v="17"/>
    <s v="FORTALEZA"/>
  </r>
  <r>
    <x v="693"/>
    <n v="0"/>
    <x v="2138"/>
    <s v="34974187000146"/>
    <x v="210"/>
    <d v="2021-05-31T00:00:00"/>
    <n v="60"/>
    <n v="385.21"/>
    <s v="1/309089"/>
    <n v="1"/>
    <s v="A"/>
    <x v="17"/>
    <s v="FORTALEZA"/>
  </r>
  <r>
    <x v="693"/>
    <n v="0"/>
    <x v="2139"/>
    <s v="32583492000181"/>
    <x v="176"/>
    <d v="2021-05-21T00:00:00"/>
    <n v="70"/>
    <n v="373.07"/>
    <s v="1/307988"/>
    <n v="1"/>
    <s v="A"/>
    <x v="17"/>
    <s v="FORTALEZA"/>
  </r>
  <r>
    <x v="693"/>
    <n v="0"/>
    <x v="2140"/>
    <s v="32583492000181"/>
    <x v="176"/>
    <d v="2021-06-10T00:00:00"/>
    <n v="50"/>
    <n v="565.62"/>
    <s v="1/310663"/>
    <n v="1"/>
    <s v="A"/>
    <x v="17"/>
    <s v="FORTALEZA"/>
  </r>
  <r>
    <x v="693"/>
    <n v="0"/>
    <x v="2141"/>
    <s v="16852021000175"/>
    <x v="127"/>
    <d v="2021-05-21T00:00:00"/>
    <n v="70"/>
    <n v="311.22000000000003"/>
    <s v="1/307883"/>
    <n v="1"/>
    <s v="A"/>
    <x v="25"/>
    <s v="FORTALEZA"/>
  </r>
  <r>
    <x v="693"/>
    <n v="0"/>
    <x v="2142"/>
    <s v="23459485000181"/>
    <x v="159"/>
    <d v="2021-05-21T00:00:00"/>
    <n v="70"/>
    <n v="657.1"/>
    <s v="1/307854"/>
    <n v="1"/>
    <s v="A"/>
    <x v="16"/>
    <s v="JUAZEIRO DO NORTE"/>
  </r>
  <r>
    <x v="693"/>
    <n v="0"/>
    <x v="2143"/>
    <s v="04887406000199"/>
    <x v="137"/>
    <d v="2021-05-26T00:00:00"/>
    <n v="65"/>
    <n v="549.5"/>
    <s v="1/308370"/>
    <n v="1"/>
    <s v="A"/>
    <x v="24"/>
    <s v="PEDRA BRANCA"/>
  </r>
  <r>
    <x v="693"/>
    <n v="0"/>
    <x v="2144"/>
    <s v="04887406000199"/>
    <x v="137"/>
    <d v="2021-06-15T00:00:00"/>
    <n v="45"/>
    <n v="513.02"/>
    <s v="1/311275"/>
    <n v="1"/>
    <s v="A"/>
    <x v="24"/>
    <s v="PEDRA BRANCA"/>
  </r>
  <r>
    <x v="693"/>
    <n v="0"/>
    <x v="2145"/>
    <s v="30511707000123"/>
    <x v="115"/>
    <d v="2021-03-22T00:00:00"/>
    <n v="130"/>
    <n v="1225.4000000000001"/>
    <s v="1/299523"/>
    <n v="1"/>
    <s v="A"/>
    <x v="4"/>
    <s v="HORIZONTE"/>
  </r>
  <r>
    <x v="693"/>
    <n v="0"/>
    <x v="2146"/>
    <s v="30511707000123"/>
    <x v="115"/>
    <d v="2021-05-11T00:00:00"/>
    <n v="80"/>
    <n v="1607.2"/>
    <s v="1/306380"/>
    <n v="1"/>
    <s v="A"/>
    <x v="4"/>
    <s v="HORIZONTE"/>
  </r>
  <r>
    <x v="693"/>
    <n v="0"/>
    <x v="2147"/>
    <s v="32286961000109"/>
    <x v="160"/>
    <d v="2021-04-16T00:00:00"/>
    <n v="105"/>
    <n v="677.17"/>
    <s v="1/303245"/>
    <n v="1"/>
    <s v="A"/>
    <x v="4"/>
    <s v="ITAIÇABA"/>
  </r>
  <r>
    <x v="693"/>
    <n v="0"/>
    <x v="2148"/>
    <s v="32286961000109"/>
    <x v="160"/>
    <d v="2021-05-06T00:00:00"/>
    <n v="85"/>
    <n v="1033.24"/>
    <s v="1/305745"/>
    <n v="1"/>
    <s v="A"/>
    <x v="4"/>
    <s v="ITAIÇABA"/>
  </r>
  <r>
    <x v="693"/>
    <n v="0"/>
    <x v="2149"/>
    <s v="32286961000109"/>
    <x v="160"/>
    <d v="2021-05-21T00:00:00"/>
    <n v="70"/>
    <n v="1037.3900000000001"/>
    <s v="1/307926"/>
    <n v="1"/>
    <s v="A"/>
    <x v="4"/>
    <s v="ITAIÇABA"/>
  </r>
  <r>
    <x v="693"/>
    <n v="0"/>
    <x v="2150"/>
    <s v="32286961000109"/>
    <x v="160"/>
    <d v="2021-05-31T00:00:00"/>
    <n v="60"/>
    <n v="1954.64"/>
    <s v="1/309193"/>
    <n v="1"/>
    <s v="A"/>
    <x v="4"/>
    <s v="ITAIÇABA"/>
  </r>
  <r>
    <x v="693"/>
    <n v="0"/>
    <x v="2151"/>
    <s v="30511783000139"/>
    <x v="125"/>
    <d v="2021-05-21T00:00:00"/>
    <n v="70"/>
    <n v="1503.77"/>
    <s v="1/307827"/>
    <n v="1"/>
    <s v="A"/>
    <x v="4"/>
    <s v="REDENÇÃO"/>
  </r>
  <r>
    <x v="693"/>
    <n v="0"/>
    <x v="2152"/>
    <s v="17138061000201"/>
    <x v="36"/>
    <d v="2021-05-21T00:00:00"/>
    <n v="70"/>
    <n v="443.71"/>
    <s v="1/308010"/>
    <n v="1"/>
    <s v="A"/>
    <x v="25"/>
    <s v="FORTALEZA"/>
  </r>
  <r>
    <x v="693"/>
    <n v="0"/>
    <x v="2153"/>
    <s v="02915680000107"/>
    <x v="152"/>
    <d v="2021-06-10T00:00:00"/>
    <n v="50"/>
    <n v="359.88"/>
    <s v="1/310578"/>
    <n v="1"/>
    <s v="A"/>
    <x v="4"/>
    <s v="FORTALEZA"/>
  </r>
  <r>
    <x v="693"/>
    <n v="0"/>
    <x v="2154"/>
    <s v="06741607000370"/>
    <x v="139"/>
    <d v="2021-05-21T00:00:00"/>
    <n v="70"/>
    <n v="308.75"/>
    <s v="1/307973"/>
    <n v="1"/>
    <s v="A"/>
    <x v="24"/>
    <s v="PEDRA BRANCA"/>
  </r>
  <r>
    <x v="693"/>
    <n v="0"/>
    <x v="2155"/>
    <s v="06741607000370"/>
    <x v="139"/>
    <d v="2021-05-31T00:00:00"/>
    <n v="60"/>
    <n v="397.89"/>
    <s v="1/309070"/>
    <n v="1"/>
    <s v="A"/>
    <x v="24"/>
    <s v="PEDRA BRANCA"/>
  </r>
  <r>
    <x v="693"/>
    <n v="0"/>
    <x v="2156"/>
    <s v="06741607000370"/>
    <x v="139"/>
    <d v="2021-06-15T00:00:00"/>
    <n v="45"/>
    <n v="387.13"/>
    <s v="1/311277"/>
    <n v="1"/>
    <s v="A"/>
    <x v="24"/>
    <s v="PEDRA BRANCA"/>
  </r>
  <r>
    <x v="693"/>
    <n v="0"/>
    <x v="2157"/>
    <s v="03507600000139"/>
    <x v="144"/>
    <d v="2019-08-13T00:00:00"/>
    <n v="717"/>
    <n v="500"/>
    <s v="1/222529"/>
    <n v="1"/>
    <s v="A"/>
    <x v="25"/>
    <s v="FORTALEZA"/>
  </r>
  <r>
    <x v="693"/>
    <n v="0"/>
    <x v="2158"/>
    <s v="07724693000104"/>
    <x v="211"/>
    <d v="2021-04-26T00:00:00"/>
    <n v="95"/>
    <n v="410.61"/>
    <s v="1/304033"/>
    <n v="1"/>
    <s v="A"/>
    <x v="18"/>
    <s v="SANTA QUITERIA"/>
  </r>
  <r>
    <x v="693"/>
    <n v="0"/>
    <x v="2159"/>
    <s v="37741496000164"/>
    <x v="121"/>
    <d v="2021-05-06T00:00:00"/>
    <n v="85"/>
    <n v="772.21"/>
    <s v="1/305716"/>
    <n v="1"/>
    <s v="A"/>
    <x v="18"/>
    <s v="VARJOTA"/>
  </r>
  <r>
    <x v="693"/>
    <n v="0"/>
    <x v="2160"/>
    <s v="37741496000164"/>
    <x v="121"/>
    <d v="2021-05-21T00:00:00"/>
    <n v="70"/>
    <n v="1460.94"/>
    <s v="1/307950"/>
    <n v="1"/>
    <s v="A"/>
    <x v="18"/>
    <s v="VARJOTA"/>
  </r>
  <r>
    <x v="693"/>
    <n v="0"/>
    <x v="2161"/>
    <s v="37741496000164"/>
    <x v="121"/>
    <d v="2021-05-21T00:00:00"/>
    <n v="70"/>
    <n v="2443"/>
    <s v="1/308012"/>
    <n v="1"/>
    <s v="A"/>
    <x v="18"/>
    <s v="VARJOTA"/>
  </r>
  <r>
    <x v="693"/>
    <n v="0"/>
    <x v="2162"/>
    <s v="37741496000164"/>
    <x v="121"/>
    <d v="2021-05-31T00:00:00"/>
    <n v="60"/>
    <n v="2232.5300000000002"/>
    <s v="1/309231"/>
    <n v="1"/>
    <s v="A"/>
    <x v="18"/>
    <s v="VARJOTA"/>
  </r>
  <r>
    <x v="693"/>
    <n v="0"/>
    <x v="2163"/>
    <s v="63384309000142"/>
    <x v="212"/>
    <d v="2021-06-30T00:00:00"/>
    <n v="30"/>
    <n v="289.60000000000002"/>
    <s v="1/313392"/>
    <n v="1"/>
    <s v="A"/>
    <x v="17"/>
    <s v="FORTALEZA"/>
  </r>
  <r>
    <x v="693"/>
    <n v="0"/>
    <x v="2164"/>
    <s v="40029318000110"/>
    <x v="205"/>
    <d v="2021-06-10T00:00:00"/>
    <n v="50"/>
    <n v="545.71"/>
    <s v="1/310609"/>
    <n v="1"/>
    <s v="A"/>
    <x v="18"/>
    <s v="GRANJA"/>
  </r>
  <r>
    <x v="693"/>
    <n v="0"/>
    <x v="2165"/>
    <s v="13613825000123"/>
    <x v="213"/>
    <d v="2021-05-31T00:00:00"/>
    <n v="60"/>
    <n v="400.22"/>
    <s v="1/309026"/>
    <n v="1"/>
    <s v="A"/>
    <x v="18"/>
    <s v="HIDROLANDIA"/>
  </r>
  <r>
    <x v="693"/>
    <n v="0"/>
    <x v="2166"/>
    <s v="26905090000153"/>
    <x v="126"/>
    <d v="2021-05-11T00:00:00"/>
    <n v="80"/>
    <n v="544.26"/>
    <s v="1/306303"/>
    <n v="1"/>
    <s v="A"/>
    <x v="18"/>
    <s v="GRANJA"/>
  </r>
  <r>
    <x v="693"/>
    <n v="0"/>
    <x v="2167"/>
    <s v="12216222000125"/>
    <x v="214"/>
    <d v="2021-06-10T00:00:00"/>
    <n v="50"/>
    <n v="258.60000000000002"/>
    <s v="1/310634"/>
    <n v="1"/>
    <s v="A"/>
    <x v="24"/>
    <s v="BOA VIAGEM"/>
  </r>
  <r>
    <x v="693"/>
    <n v="0"/>
    <x v="2168"/>
    <s v="38263271000102"/>
    <x v="215"/>
    <d v="2021-05-11T00:00:00"/>
    <n v="80"/>
    <n v="485.26"/>
    <s v="1/306399"/>
    <n v="1"/>
    <s v="A"/>
    <x v="18"/>
    <s v="MUCAMBO"/>
  </r>
  <r>
    <x v="693"/>
    <n v="0"/>
    <x v="2169"/>
    <s v="33633393000120"/>
    <x v="171"/>
    <d v="2021-07-15T00:00:00"/>
    <n v="15"/>
    <n v="1190.3399999999999"/>
    <s v="1/315315"/>
    <n v="1"/>
    <s v="A"/>
    <x v="26"/>
    <s v="GENERAL SAMPAIO"/>
  </r>
  <r>
    <x v="693"/>
    <n v="0"/>
    <x v="2170"/>
    <s v="19496225000109"/>
    <x v="129"/>
    <d v="2021-05-21T00:00:00"/>
    <n v="70"/>
    <n v="766.35"/>
    <s v="1/307843"/>
    <n v="1"/>
    <s v="A"/>
    <x v="15"/>
    <s v="FORTALEZA"/>
  </r>
  <r>
    <x v="693"/>
    <n v="0"/>
    <x v="2171"/>
    <s v="17387587000136"/>
    <x v="166"/>
    <d v="2021-05-11T00:00:00"/>
    <n v="80"/>
    <n v="382.64"/>
    <s v="1/306345"/>
    <n v="1"/>
    <s v="A"/>
    <x v="4"/>
    <s v="FORTALEZA"/>
  </r>
  <r>
    <x v="693"/>
    <n v="0"/>
    <x v="2172"/>
    <s v="17387587000136"/>
    <x v="166"/>
    <d v="2021-05-21T00:00:00"/>
    <n v="70"/>
    <n v="314.77"/>
    <s v="1/307884"/>
    <n v="1"/>
    <s v="A"/>
    <x v="4"/>
    <s v="FORTALEZA"/>
  </r>
  <r>
    <x v="693"/>
    <n v="0"/>
    <x v="2173"/>
    <s v="17387587000136"/>
    <x v="166"/>
    <d v="2021-05-26T00:00:00"/>
    <n v="65"/>
    <n v="240.15"/>
    <s v="1/308491"/>
    <n v="1"/>
    <s v="A"/>
    <x v="4"/>
    <s v="FORTALEZA"/>
  </r>
  <r>
    <x v="693"/>
    <n v="0"/>
    <x v="2174"/>
    <s v="30376426000105"/>
    <x v="216"/>
    <d v="2021-05-31T00:00:00"/>
    <n v="60"/>
    <n v="118.32"/>
    <s v="1/309042"/>
    <n v="1"/>
    <s v="A"/>
    <x v="18"/>
    <s v="MARTINOPOLE"/>
  </r>
  <r>
    <x v="693"/>
    <n v="0"/>
    <x v="2175"/>
    <s v="26387797000115"/>
    <x v="193"/>
    <d v="2021-05-31T00:00:00"/>
    <n v="60"/>
    <n v="451.87"/>
    <s v="1/309172"/>
    <n v="1"/>
    <s v="A"/>
    <x v="17"/>
    <s v="CAUCAIA"/>
  </r>
  <r>
    <x v="693"/>
    <n v="0"/>
    <x v="2176"/>
    <s v="73456808000151"/>
    <x v="217"/>
    <d v="2021-06-15T00:00:00"/>
    <n v="45"/>
    <n v="683.67"/>
    <s v="1/311222"/>
    <n v="1"/>
    <s v="A"/>
    <x v="26"/>
    <s v="PARAIPABA"/>
  </r>
  <r>
    <x v="693"/>
    <n v="0"/>
    <x v="2177"/>
    <s v="11770310000101"/>
    <x v="218"/>
    <d v="2021-05-31T00:00:00"/>
    <n v="60"/>
    <n v="469.49"/>
    <s v="1/309165"/>
    <n v="1"/>
    <s v="A"/>
    <x v="24"/>
    <s v="CRATEUS"/>
  </r>
  <r>
    <x v="693"/>
    <n v="0"/>
    <x v="2178"/>
    <s v="32113092000102"/>
    <x v="219"/>
    <d v="2021-07-16T00:00:00"/>
    <n v="14"/>
    <n v="292.22000000000003"/>
    <s v="1/315484"/>
    <n v="1"/>
    <s v="A"/>
    <x v="17"/>
    <s v="FORTALEZA"/>
  </r>
  <r>
    <x v="693"/>
    <n v="0"/>
    <x v="2179"/>
    <s v="33614145000131"/>
    <x v="220"/>
    <d v="2021-05-31T00:00:00"/>
    <n v="60"/>
    <n v="380.26"/>
    <s v="1/309180"/>
    <n v="1"/>
    <s v="A"/>
    <x v="16"/>
    <s v="BARBALHA"/>
  </r>
  <r>
    <x v="693"/>
    <n v="0"/>
    <x v="2180"/>
    <s v="10307609000161"/>
    <x v="149"/>
    <d v="2021-05-11T00:00:00"/>
    <n v="80"/>
    <n v="395.32"/>
    <s v="1/306224"/>
    <n v="1"/>
    <s v="A"/>
    <x v="17"/>
    <s v="CAUCAIA"/>
  </r>
  <r>
    <x v="693"/>
    <n v="0"/>
    <x v="2181"/>
    <s v="10307609000161"/>
    <x v="149"/>
    <d v="2021-05-21T00:00:00"/>
    <n v="70"/>
    <n v="327.68"/>
    <s v="1/307869"/>
    <n v="1"/>
    <s v="A"/>
    <x v="17"/>
    <s v="CAUCAIA"/>
  </r>
  <r>
    <x v="693"/>
    <n v="0"/>
    <x v="2182"/>
    <s v="30591371000156"/>
    <x v="175"/>
    <d v="2021-05-31T00:00:00"/>
    <n v="60"/>
    <n v="441.02"/>
    <s v="1/309191"/>
    <n v="1"/>
    <s v="A"/>
    <x v="18"/>
    <s v="SÃO BENEDITO"/>
  </r>
  <r>
    <x v="693"/>
    <n v="0"/>
    <x v="2183"/>
    <s v="30591371000156"/>
    <x v="175"/>
    <d v="2021-06-10T00:00:00"/>
    <n v="50"/>
    <n v="317.23"/>
    <s v="1/310617"/>
    <n v="1"/>
    <s v="A"/>
    <x v="18"/>
    <s v="SÃO BENEDITO"/>
  </r>
  <r>
    <x v="693"/>
    <n v="0"/>
    <x v="2184"/>
    <s v="35564096000103"/>
    <x v="221"/>
    <d v="2021-06-10T00:00:00"/>
    <n v="50"/>
    <n v="1203.33"/>
    <s v="1/310487"/>
    <n v="1"/>
    <s v="A"/>
    <x v="17"/>
    <s v="CAUCAIA"/>
  </r>
  <r>
    <x v="693"/>
    <n v="0"/>
    <x v="2185"/>
    <s v="33958192000100"/>
    <x v="222"/>
    <d v="2021-05-31T00:00:00"/>
    <n v="60"/>
    <n v="468.11"/>
    <s v="1/309113"/>
    <n v="1"/>
    <s v="A"/>
    <x v="18"/>
    <s v="MUCAMBO"/>
  </r>
  <r>
    <x v="693"/>
    <n v="0"/>
    <x v="2186"/>
    <s v="33958192000100"/>
    <x v="222"/>
    <d v="2021-05-31T00:00:00"/>
    <n v="60"/>
    <n v="433.15"/>
    <s v="1/309129"/>
    <n v="1"/>
    <s v="A"/>
    <x v="18"/>
    <s v="MUCAMBO"/>
  </r>
  <r>
    <x v="693"/>
    <n v="0"/>
    <x v="2187"/>
    <s v="38351833000170"/>
    <x v="163"/>
    <d v="2021-05-31T00:00:00"/>
    <n v="60"/>
    <n v="406.04"/>
    <s v="1/309217"/>
    <n v="1"/>
    <s v="A"/>
    <x v="16"/>
    <s v="JUAZEIRO DO NORTE"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68"/>
    <n v="0"/>
    <x v="2189"/>
    <s v="36515271000127"/>
    <x v="142"/>
    <d v="2021-04-16T00:00:00"/>
    <n v="80"/>
    <n v="1368.74"/>
    <s v="1/303216"/>
    <n v="1"/>
    <s v="A"/>
    <x v="4"/>
    <s v="MORADA NOVA"/>
  </r>
  <r>
    <x v="668"/>
    <n v="0"/>
    <x v="2190"/>
    <s v="17387587000136"/>
    <x v="166"/>
    <d v="2021-03-12T00:00:00"/>
    <n v="115"/>
    <n v="253.32"/>
    <s v="1/298291"/>
    <n v="1"/>
    <s v="A"/>
    <x v="4"/>
    <s v="FORTALEZA"/>
  </r>
  <r>
    <x v="668"/>
    <n v="0"/>
    <x v="2191"/>
    <s v="17387587000136"/>
    <x v="166"/>
    <d v="2021-04-06T00:00:00"/>
    <n v="90"/>
    <n v="485.98"/>
    <s v="1/301728"/>
    <n v="1"/>
    <s v="A"/>
    <x v="4"/>
    <s v="FORTALEZA"/>
  </r>
  <r>
    <x v="668"/>
    <n v="0"/>
    <x v="2192"/>
    <s v="17387587000136"/>
    <x v="166"/>
    <d v="2021-04-16T00:00:00"/>
    <n v="80"/>
    <n v="386.19"/>
    <s v="1/303215"/>
    <n v="1"/>
    <s v="A"/>
    <x v="4"/>
    <s v="FORTALEZA"/>
  </r>
  <r>
    <x v="668"/>
    <n v="0"/>
    <x v="2193"/>
    <s v="17387587000136"/>
    <x v="166"/>
    <d v="2021-04-16T00:00:00"/>
    <n v="80"/>
    <n v="227.42"/>
    <s v="1/303248"/>
    <n v="1"/>
    <s v="A"/>
    <x v="4"/>
    <s v="FORTALEZA"/>
  </r>
  <r>
    <x v="668"/>
    <n v="0"/>
    <x v="2194"/>
    <s v="17387587000136"/>
    <x v="166"/>
    <d v="2021-05-11T00:00:00"/>
    <n v="55"/>
    <n v="382.64"/>
    <s v="1/306345"/>
    <n v="1"/>
    <s v="A"/>
    <x v="4"/>
    <s v="FORTALEZA"/>
  </r>
  <r>
    <x v="668"/>
    <n v="0"/>
    <x v="2195"/>
    <s v="17387587000136"/>
    <x v="166"/>
    <d v="2021-05-21T00:00:00"/>
    <n v="45"/>
    <n v="314.77"/>
    <s v="1/307884"/>
    <n v="1"/>
    <s v="A"/>
    <x v="4"/>
    <s v="FORTALEZA"/>
  </r>
  <r>
    <x v="668"/>
    <n v="0"/>
    <x v="2196"/>
    <s v="17387587000136"/>
    <x v="166"/>
    <d v="2021-05-31T00:00:00"/>
    <n v="35"/>
    <n v="319.99"/>
    <s v="1/309238"/>
    <n v="1"/>
    <s v="A"/>
    <x v="4"/>
    <s v="FORTALEZA"/>
  </r>
  <r>
    <x v="668"/>
    <n v="0"/>
    <x v="2197"/>
    <s v="10688523000126"/>
    <x v="207"/>
    <d v="2021-04-16T00:00:00"/>
    <n v="80"/>
    <n v="396.57"/>
    <s v="1/303141"/>
    <n v="1"/>
    <s v="A"/>
    <x v="16"/>
    <s v="BREJO SANTO"/>
  </r>
  <r>
    <x v="668"/>
    <n v="0"/>
    <x v="2198"/>
    <s v="10688523000126"/>
    <x v="207"/>
    <d v="2021-05-26T00:00:00"/>
    <n v="40"/>
    <n v="448.71"/>
    <s v="1/308350"/>
    <n v="1"/>
    <s v="A"/>
    <x v="16"/>
    <s v="BREJO SANTO"/>
  </r>
  <r>
    <x v="668"/>
    <n v="0"/>
    <x v="2199"/>
    <s v="08976845000200"/>
    <x v="224"/>
    <d v="2021-05-06T00:00:00"/>
    <n v="60"/>
    <n v="402.99"/>
    <s v="1/305721"/>
    <n v="1"/>
    <s v="A"/>
    <x v="26"/>
    <s v="PARACURU"/>
  </r>
  <r>
    <x v="668"/>
    <n v="0"/>
    <x v="2200"/>
    <s v="22165546000135"/>
    <x v="155"/>
    <d v="2021-04-06T00:00:00"/>
    <n v="90"/>
    <n v="438.85"/>
    <s v="1/301671"/>
    <n v="1"/>
    <s v="A"/>
    <x v="25"/>
    <s v="ACARAPE"/>
  </r>
  <r>
    <x v="668"/>
    <n v="0"/>
    <x v="2201"/>
    <s v="10307609000161"/>
    <x v="149"/>
    <d v="2021-04-06T00:00:00"/>
    <n v="90"/>
    <n v="464.3"/>
    <s v="1/301572"/>
    <n v="1"/>
    <s v="A"/>
    <x v="17"/>
    <s v="CAUCAIA"/>
  </r>
  <r>
    <x v="668"/>
    <n v="0"/>
    <x v="2202"/>
    <s v="10307609000161"/>
    <x v="149"/>
    <d v="2021-04-06T00:00:00"/>
    <n v="90"/>
    <n v="472.18"/>
    <s v="1/301754"/>
    <n v="1"/>
    <s v="A"/>
    <x v="17"/>
    <s v="CAUCAIA"/>
  </r>
  <r>
    <x v="668"/>
    <n v="0"/>
    <x v="2203"/>
    <s v="30591371000156"/>
    <x v="175"/>
    <d v="2021-05-26T00:00:00"/>
    <n v="40"/>
    <n v="367.15"/>
    <s v="1/308477"/>
    <n v="1"/>
    <s v="A"/>
    <x v="18"/>
    <s v="SÃO BENEDITO"/>
  </r>
  <r>
    <x v="668"/>
    <n v="0"/>
    <x v="1654"/>
    <s v="32122621000134"/>
    <x v="140"/>
    <d v="2021-06-21T00:00:00"/>
    <n v="14"/>
    <n v="711.61"/>
    <s v="1/311953"/>
    <n v="1"/>
    <s v="A"/>
    <x v="18"/>
    <s v="ARARENDÁ"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  <r>
    <x v="694"/>
    <m/>
    <x v="2188"/>
    <m/>
    <x v="223"/>
    <m/>
    <m/>
    <m/>
    <m/>
    <m/>
    <m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C1A90-A68F-4774-A094-BBF1721F1276}" name="Tabela dinâmica4" cacheId="0" applyNumberFormats="0" applyBorderFormats="0" applyFontFormats="0" applyPatternFormats="0" applyAlignmentFormats="0" applyWidthHeightFormats="1" dataCaption="Valores" grandTotalCaption="Inadimp" updatedVersion="8" minRefreshableVersion="3" useAutoFormatting="1" itemPrintTitles="1" createdVersion="6" indent="0" outline="1" outlineData="1" multipleFieldFilters="0" rowHeaderCaption="Mês" colHeaderCaption="Inad">
  <location ref="B21:N36" firstHeaderRow="1" firstDataRow="2" firstDataCol="1"/>
  <pivotFields count="15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3" showAll="0"/>
    <pivotField showAll="0"/>
    <pivotField showAll="0"/>
    <pivotField showAll="0"/>
    <pivotField numFmtId="14" showAll="0"/>
    <pivotField numFmtId="3" showAll="0"/>
    <pivotField dataField="1" numFmtId="4" showAll="0"/>
    <pivotField showAll="0"/>
    <pivotField numFmtId="3" showAll="0"/>
    <pivotField showAll="0"/>
    <pivotField showAll="0"/>
    <pivotField showAll="0"/>
    <pivotField showAll="0" defaultSubtotal="0"/>
    <pivotField axis="axisCol" showAll="0" defaultSubtotal="0">
      <items count="12">
        <item x="1"/>
        <item x="2"/>
        <item x="3"/>
        <item x="4"/>
        <item x="5"/>
        <item x="6"/>
        <item x="7"/>
        <item x="8"/>
        <item x="9"/>
        <item x="0"/>
        <item x="10"/>
        <item x="11"/>
      </items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4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Vencido" fld="7" baseField="14" baseItem="1" numFmtId="43"/>
  </dataFields>
  <formats count="11">
    <format dxfId="299">
      <pivotArea outline="0" collapsedLevelsAreSubtotals="1" fieldPosition="0"/>
    </format>
    <format dxfId="298">
      <pivotArea dataOnly="0" labelOnly="1" fieldPosition="0">
        <references count="1">
          <reference field="1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97">
      <pivotArea dataOnly="0" labelOnly="1" grandCol="1" outline="0" fieldPosition="0"/>
    </format>
    <format dxfId="296">
      <pivotArea grandRow="1" outline="0" collapsedLevelsAreSubtotals="1" fieldPosition="0"/>
    </format>
    <format dxfId="295">
      <pivotArea dataOnly="0" labelOnly="1" grandRow="1" outline="0" fieldPosition="0"/>
    </format>
    <format dxfId="294">
      <pivotArea grandRow="1" outline="0" collapsedLevelsAreSubtotals="1" fieldPosition="0"/>
    </format>
    <format dxfId="293">
      <pivotArea dataOnly="0" labelOnly="1" grandRow="1" outline="0" fieldPosition="0"/>
    </format>
    <format dxfId="292">
      <pivotArea grandRow="1" outline="0" collapsedLevelsAreSubtotals="1" fieldPosition="0"/>
    </format>
    <format dxfId="291">
      <pivotArea dataOnly="0" labelOnly="1" grandRow="1" outline="0" fieldPosition="0"/>
    </format>
    <format dxfId="290">
      <pivotArea grandRow="1" outline="0" collapsedLevelsAreSubtotals="1" fieldPosition="0"/>
    </format>
    <format dxfId="28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A304A6-B509-465E-9D21-9679D111B5D2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4" rowHeaderCaption="Período">
  <location ref="B5:D17" firstHeaderRow="0" firstDataRow="1" firstDataCol="1"/>
  <pivotFields count="15">
    <pivotField axis="axisRow" numFmtId="14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numFmtId="3" showAll="0"/>
    <pivotField axis="axisRow" showAll="0">
      <items count="8001">
        <item m="1" x="3418"/>
        <item m="1" x="3170"/>
        <item m="1" x="5885"/>
        <item m="1" x="5566"/>
        <item m="1" x="5233"/>
        <item m="1" x="4925"/>
        <item x="39"/>
        <item x="44"/>
        <item m="1" x="7302"/>
        <item m="1" x="6963"/>
        <item m="1" x="4969"/>
        <item m="1" x="4686"/>
        <item m="1" x="7846"/>
        <item m="1" x="5841"/>
        <item m="1" x="6355"/>
        <item m="1" x="2404"/>
        <item m="1" x="7790"/>
        <item m="1" x="7452"/>
        <item m="1" x="7126"/>
        <item m="1" x="6829"/>
        <item m="1" x="3905"/>
        <item m="1" x="3289"/>
        <item m="1" x="7017"/>
        <item m="1" x="6497"/>
        <item m="1" x="6204"/>
        <item m="1" x="5840"/>
        <item m="1" x="5523"/>
        <item m="1" x="2449"/>
        <item m="1" x="4404"/>
        <item m="1" x="4086"/>
        <item m="1" x="3795"/>
        <item m="1" x="7875"/>
        <item m="1" x="7589"/>
        <item m="1" x="6986"/>
        <item m="1" x="6721"/>
        <item m="1" x="6398"/>
        <item m="1" x="3471"/>
        <item m="1" x="3223"/>
        <item m="1" x="2944"/>
        <item m="1" x="6981"/>
        <item m="1" x="6984"/>
        <item m="1" x="4399"/>
        <item m="1" x="7552"/>
        <item m="1" x="6622"/>
        <item m="1" x="6627"/>
        <item m="1" x="6632"/>
        <item m="1" x="3561"/>
        <item m="1" x="3563"/>
        <item m="1" x="7139"/>
        <item m="1" x="7142"/>
        <item m="1" x="7148"/>
        <item m="1" x="5057"/>
        <item m="1" x="5059"/>
        <item m="1" x="5061"/>
        <item m="1" x="3930"/>
        <item m="1" x="3936"/>
        <item m="1" x="4625"/>
        <item m="1" x="4627"/>
        <item m="1" x="4629"/>
        <item m="1" x="6466"/>
        <item m="1" x="6471"/>
        <item m="1" x="6473"/>
        <item m="1" x="6474"/>
        <item m="1" x="6475"/>
        <item m="1" x="6476"/>
        <item m="1" x="7797"/>
        <item m="1" x="5806"/>
        <item m="1" x="5188"/>
        <item m="1" x="2699"/>
        <item m="1" x="2706"/>
        <item m="1" x="5431"/>
        <item m="1" x="5434"/>
        <item m="1" x="5439"/>
        <item m="1" x="5443"/>
        <item m="1" x="5446"/>
        <item m="1" x="5448"/>
        <item m="1" x="4262"/>
        <item m="1" x="6674"/>
        <item m="1" x="5811"/>
        <item m="1" x="6537"/>
        <item m="1" x="6544"/>
        <item m="1" x="6546"/>
        <item m="1" x="6548"/>
        <item m="1" x="6552"/>
        <item m="1" x="4278"/>
        <item m="1" x="4814"/>
        <item m="1" x="4994"/>
        <item m="1" x="4999"/>
        <item m="1" x="4150"/>
        <item m="1" x="3860"/>
        <item m="1" x="3865"/>
        <item m="1" x="3869"/>
        <item m="1" x="3874"/>
        <item m="1" x="4011"/>
        <item m="1" x="4988"/>
        <item m="1" x="7374"/>
        <item m="1" x="4986"/>
        <item m="1" x="7753"/>
        <item m="1" x="5214"/>
        <item m="1" x="5219"/>
        <item m="1" x="5384"/>
        <item m="1" x="5389"/>
        <item m="1" x="7938"/>
        <item m="1" x="7944"/>
        <item m="1" x="7810"/>
        <item m="1" x="7811"/>
        <item m="1" x="6630"/>
        <item m="1" x="6634"/>
        <item m="1" x="6448"/>
        <item m="1" x="6452"/>
        <item m="1" x="6455"/>
        <item m="1" x="7798"/>
        <item m="1" x="6697"/>
        <item m="1" x="6702"/>
        <item m="1" x="4277"/>
        <item m="1" x="3785"/>
        <item m="1" x="3786"/>
        <item m="1" x="7463"/>
        <item m="1" x="2615"/>
        <item m="1" x="3752"/>
        <item m="1" x="6383"/>
        <item m="1" x="6388"/>
        <item m="1" x="6392"/>
        <item m="1" x="7241"/>
        <item m="1" x="7247"/>
        <item m="1" x="7251"/>
        <item m="1" x="5731"/>
        <item m="1" x="5734"/>
        <item m="1" x="5740"/>
        <item m="1" x="5392"/>
        <item m="1" x="5397"/>
        <item m="1" x="6610"/>
        <item m="1" x="2515"/>
        <item m="1" x="7991"/>
        <item m="1" x="4295"/>
        <item m="1" x="4302"/>
        <item m="1" x="5901"/>
        <item m="1" x="5904"/>
        <item m="1" x="5906"/>
        <item m="1" x="4815"/>
        <item m="1" x="4821"/>
        <item m="1" x="4824"/>
        <item m="1" x="6555"/>
        <item m="1" x="6558"/>
        <item m="1" x="6560"/>
        <item m="1" x="6563"/>
        <item m="1" x="3830"/>
        <item m="1" x="3834"/>
        <item m="1" x="2420"/>
        <item m="1" x="2233"/>
        <item m="1" x="2236"/>
        <item m="1" x="2241"/>
        <item m="1" x="2205"/>
        <item m="1" x="4829"/>
        <item m="1" x="4833"/>
        <item m="1" x="4839"/>
        <item m="1" x="2520"/>
        <item m="1" x="2522"/>
        <item m="1" x="4006"/>
        <item m="1" x="4008"/>
        <item m="1" x="4010"/>
        <item m="1" x="2280"/>
        <item m="1" x="6751"/>
        <item m="1" x="6755"/>
        <item m="1" x="6758"/>
        <item m="1" x="6760"/>
        <item m="1" x="6154"/>
        <item m="1" x="6161"/>
        <item m="1" x="6623"/>
        <item m="1" x="7900"/>
        <item m="1" x="5390"/>
        <item m="1" x="7646"/>
        <item m="1" x="7653"/>
        <item m="1" x="7659"/>
        <item m="1" x="2393"/>
        <item m="1" x="2396"/>
        <item m="1" x="2397"/>
        <item m="1" x="6949"/>
        <item m="1" x="4879"/>
        <item m="1" x="4882"/>
        <item m="1" x="6263"/>
        <item m="1" x="2244"/>
        <item m="1" x="2247"/>
        <item m="1" x="2252"/>
        <item m="1" x="2255"/>
        <item m="1" x="7661"/>
        <item m="1" x="7666"/>
        <item m="1" x="6037"/>
        <item m="1" x="6042"/>
        <item m="1" x="6044"/>
        <item m="1" x="4172"/>
        <item m="1" x="4178"/>
        <item m="1" x="4182"/>
        <item m="1" x="4187"/>
        <item m="1" x="7090"/>
        <item m="1" x="7096"/>
        <item m="1" x="7100"/>
        <item m="1" x="6677"/>
        <item m="1" x="6422"/>
        <item m="1" x="5321"/>
        <item m="1" x="5323"/>
        <item m="1" x="5324"/>
        <item m="1" x="5202"/>
        <item m="1" x="6946"/>
        <item m="1" x="6947"/>
        <item m="1" x="4481"/>
        <item m="1" x="4482"/>
        <item m="1" x="4484"/>
        <item m="1" x="7039"/>
        <item m="1" x="7043"/>
        <item m="1" x="7047"/>
        <item m="1" x="2901"/>
        <item m="1" x="2904"/>
        <item m="1" x="4809"/>
        <item m="1" x="4810"/>
        <item m="1" x="5934"/>
        <item m="1" x="5074"/>
        <item m="1" x="5008"/>
        <item m="1" x="5012"/>
        <item m="1" x="5016"/>
        <item m="1" x="5022"/>
        <item m="1" x="2409"/>
        <item m="1" x="2412"/>
        <item m="1" x="3989"/>
        <item m="1" x="3991"/>
        <item m="1" x="3993"/>
        <item m="1" x="4291"/>
        <item m="1" x="3705"/>
        <item m="1" x="3707"/>
        <item m="1" x="3710"/>
        <item m="1" x="3714"/>
        <item m="1" x="3720"/>
        <item m="1" x="3723"/>
        <item m="1" x="3729"/>
        <item m="1" x="2407"/>
        <item m="1" x="5116"/>
        <item m="1" x="5119"/>
        <item m="1" x="5124"/>
        <item m="1" x="3554"/>
        <item m="1" x="6692"/>
        <item m="1" x="4113"/>
        <item m="1" x="4118"/>
        <item m="1" x="4125"/>
        <item m="1" x="4309"/>
        <item m="1" x="4311"/>
        <item m="1" x="7821"/>
        <item m="1" x="7823"/>
        <item m="1" x="7825"/>
        <item m="1" x="7828"/>
        <item m="1" x="2650"/>
        <item m="1" x="7932"/>
        <item m="1" x="3810"/>
        <item m="1" x="5300"/>
        <item m="1" x="7522"/>
        <item m="1" x="4772"/>
        <item m="1" x="4778"/>
        <item m="1" x="4737"/>
        <item m="1" x="4740"/>
        <item m="1" x="4412"/>
        <item m="1" x="5120"/>
        <item m="1" x="4659"/>
        <item m="1" x="4660"/>
        <item m="1" x="3510"/>
        <item m="1" x="6009"/>
        <item m="1" x="6014"/>
        <item m="1" x="6021"/>
        <item m="1" x="6027"/>
        <item m="1" x="6034"/>
        <item m="1" x="6038"/>
        <item m="1" x="7757"/>
        <item m="1" x="2957"/>
        <item m="1" x="7556"/>
        <item m="1" x="7588"/>
        <item m="1" x="3685"/>
        <item m="1" x="3687"/>
        <item m="1" x="3694"/>
        <item m="1" x="3699"/>
        <item m="1" x="3702"/>
        <item m="1" x="3144"/>
        <item m="1" x="6601"/>
        <item m="1" x="6604"/>
        <item m="1" x="6219"/>
        <item m="1" x="4917"/>
        <item m="1" x="4921"/>
        <item m="1" x="4173"/>
        <item m="1" x="4001"/>
        <item m="1" x="4005"/>
        <item m="1" x="3995"/>
        <item m="1" x="6125"/>
        <item m="1" x="4321"/>
        <item m="1" x="2817"/>
        <item m="1" x="6842"/>
        <item m="1" x="6845"/>
        <item m="1" x="6850"/>
        <item m="1" x="5054"/>
        <item m="1" x="5056"/>
        <item m="1" x="3920"/>
        <item m="1" x="3924"/>
        <item m="1" x="3929"/>
        <item m="1" x="3368"/>
        <item m="1" x="3369"/>
        <item m="1" x="7977"/>
        <item m="1" x="7980"/>
        <item m="1" x="7983"/>
        <item m="1" x="4281"/>
        <item m="1" x="3682"/>
        <item m="1" x="6281"/>
        <item m="1" x="6284"/>
        <item m="1" x="6287"/>
        <item m="1" x="6291"/>
        <item m="1" x="6293"/>
        <item m="1" x="3766"/>
        <item m="1" x="3768"/>
        <item m="1" x="5792"/>
        <item m="1" x="5795"/>
        <item m="1" x="5800"/>
        <item m="1" x="4131"/>
        <item m="1" x="4750"/>
        <item m="1" x="7783"/>
        <item m="1" x="7786"/>
        <item m="1" x="7789"/>
        <item m="1" x="2380"/>
        <item m="1" x="2385"/>
        <item m="1" x="2387"/>
        <item m="1" x="2390"/>
        <item m="1" x="3564"/>
        <item m="1" x="3566"/>
        <item m="1" x="3569"/>
        <item m="1" x="3572"/>
        <item m="1" x="7185"/>
        <item m="1" x="2630"/>
        <item m="1" x="2632"/>
        <item m="1" x="2637"/>
        <item m="1" x="2639"/>
        <item m="1" x="2643"/>
        <item m="1" x="2645"/>
        <item m="1" x="7501"/>
        <item m="1" x="5017"/>
        <item m="1" x="7130"/>
        <item m="1" x="3032"/>
        <item m="1" x="3034"/>
        <item m="1" x="4588"/>
        <item m="1" x="5602"/>
        <item m="1" x="5605"/>
        <item m="1" x="5611"/>
        <item m="1" x="5614"/>
        <item m="1" x="5619"/>
        <item m="1" x="4154"/>
        <item m="1" x="4155"/>
        <item m="1" x="7464"/>
        <item m="1" x="7468"/>
        <item m="1" x="7470"/>
        <item m="1" x="7475"/>
        <item m="1" x="3264"/>
        <item m="1" x="3270"/>
        <item m="1" x="3274"/>
        <item m="1" x="3279"/>
        <item m="1" x="6458"/>
        <item m="1" x="6462"/>
        <item m="1" x="7471"/>
        <item m="1" x="7476"/>
        <item m="1" x="7482"/>
        <item m="1" x="7487"/>
        <item m="1" x="7491"/>
        <item m="1" x="6131"/>
        <item m="1" x="6135"/>
        <item m="1" x="6139"/>
        <item m="1" x="3364"/>
        <item m="1" x="3365"/>
        <item m="1" x="7929"/>
        <item m="1" x="7934"/>
        <item m="1" x="7936"/>
        <item m="1" x="6148"/>
        <item m="1" x="6157"/>
        <item m="1" x="6514"/>
        <item m="1" x="6517"/>
        <item m="1" x="6522"/>
        <item m="1" x="6526"/>
        <item m="1" x="6532"/>
        <item m="1" x="6541"/>
        <item m="1" x="4792"/>
        <item m="1" x="4795"/>
        <item m="1" x="3751"/>
        <item m="1" x="3753"/>
        <item m="1" x="3757"/>
        <item m="1" x="3591"/>
        <item m="1" x="3595"/>
        <item m="1" x="3602"/>
        <item m="1" x="3605"/>
        <item m="1" x="6572"/>
        <item m="1" x="6575"/>
        <item m="1" x="6577"/>
        <item m="1" x="2872"/>
        <item m="1" x="2875"/>
        <item m="1" x="2878"/>
        <item m="1" x="2332"/>
        <item m="1" x="7370"/>
        <item m="1" x="7372"/>
        <item m="1" x="7375"/>
        <item m="1" x="4219"/>
        <item m="1" x="4224"/>
        <item m="1" x="5347"/>
        <item m="1" x="5350"/>
        <item m="1" x="5767"/>
        <item m="1" x="5773"/>
        <item m="1" x="5774"/>
        <item m="1" x="5778"/>
        <item m="1" x="7896"/>
        <item m="1" x="5403"/>
        <item m="1" x="5406"/>
        <item m="1" x="5410"/>
        <item m="1" x="5414"/>
        <item m="1" x="6765"/>
        <item m="1" x="6768"/>
        <item m="1" x="6773"/>
        <item m="1" x="6777"/>
        <item m="1" x="4896"/>
        <item m="1" x="4898"/>
        <item m="1" x="4899"/>
        <item m="1" x="4904"/>
        <item m="1" x="7919"/>
        <item m="1" x="7921"/>
        <item m="1" x="7926"/>
        <item m="1" x="7876"/>
        <item m="1" x="4844"/>
        <item m="1" x="4849"/>
        <item m="1" x="4853"/>
        <item m="1" x="4855"/>
        <item m="1" x="3420"/>
        <item m="1" x="3424"/>
        <item m="1" x="3426"/>
        <item m="1" x="3427"/>
        <item m="1" x="5890"/>
        <item m="1" x="5894"/>
        <item m="1" x="7199"/>
        <item m="1" x="5772"/>
        <item m="1" x="4714"/>
        <item m="1" x="5243"/>
        <item m="1" x="5245"/>
        <item m="1" x="6426"/>
        <item m="1" x="4175"/>
        <item m="1" x="4180"/>
        <item m="1" x="4185"/>
        <item m="1" x="7378"/>
        <item m="1" x="7382"/>
        <item m="1" x="5229"/>
        <item m="1" x="4806"/>
        <item m="1" x="4807"/>
        <item m="1" x="4092"/>
        <item m="1" x="4542"/>
        <item m="1" x="7070"/>
        <item m="1" x="6859"/>
        <item m="1" x="6863"/>
        <item m="1" x="4069"/>
        <item m="1" x="4074"/>
        <item m="1" x="7780"/>
        <item m="1" x="2477"/>
        <item m="1" x="2480"/>
        <item m="1" x="2485"/>
        <item m="1" x="4455"/>
        <item m="1" x="2354"/>
        <item m="1" x="2360"/>
        <item m="1" x="5432"/>
        <item m="1" x="5435"/>
        <item m="1" x="5440"/>
        <item m="1" x="5444"/>
        <item m="1" x="7854"/>
        <item m="1" x="7075"/>
        <item m="1" x="7081"/>
        <item m="1" x="7085"/>
        <item m="1" x="3677"/>
        <item m="1" x="3678"/>
        <item m="1" x="3683"/>
        <item m="1" x="6766"/>
        <item m="1" x="6772"/>
        <item m="1" x="6952"/>
        <item m="1" x="6948"/>
        <item m="1" x="6950"/>
        <item x="22"/>
        <item x="23"/>
        <item m="1" x="2281"/>
        <item m="1" x="2284"/>
        <item m="1" x="6614"/>
        <item m="1" x="6619"/>
        <item m="1" x="5303"/>
        <item m="1" x="5571"/>
        <item m="1" x="2804"/>
        <item m="1" x="2756"/>
        <item m="1" x="2759"/>
        <item m="1" x="2761"/>
        <item m="1" x="3950"/>
        <item m="1" x="3952"/>
        <item m="1" x="3955"/>
        <item m="1" x="3957"/>
        <item m="1" x="3959"/>
        <item m="1" x="3961"/>
        <item m="1" x="3393"/>
        <item m="1" x="3394"/>
        <item m="1" x="4761"/>
        <item m="1" x="4768"/>
        <item m="1" x="4200"/>
        <item m="1" x="4203"/>
        <item m="1" x="7956"/>
        <item m="1" x="7958"/>
        <item m="1" x="7960"/>
        <item m="1" x="7962"/>
        <item m="1" x="7963"/>
        <item m="1" x="7664"/>
        <item m="1" x="7669"/>
        <item m="1" x="7670"/>
        <item m="1" x="7672"/>
        <item m="1" x="7673"/>
        <item m="1" x="7677"/>
        <item m="1" x="3140"/>
        <item m="1" x="3968"/>
        <item m="1" x="3971"/>
        <item m="1" x="6097"/>
        <item m="1" x="6102"/>
        <item m="1" x="4987"/>
        <item m="1" x="7579"/>
        <item m="1" x="7583"/>
        <item m="1" x="7586"/>
        <item m="1" x="4550"/>
        <item m="1" x="4554"/>
        <item m="1" x="2812"/>
        <item m="1" x="2815"/>
        <item m="1" x="2818"/>
        <item m="1" x="4375"/>
        <item m="1" x="3124"/>
        <item m="1" x="3127"/>
        <item m="1" x="3129"/>
        <item m="1" x="6794"/>
        <item m="1" x="6797"/>
        <item m="1" x="6800"/>
        <item m="1" x="4858"/>
        <item m="1" x="6801"/>
        <item m="1" x="6807"/>
        <item m="1" x="6810"/>
        <item m="1" x="4459"/>
        <item m="1" x="4463"/>
        <item m="1" x="3126"/>
        <item m="1" x="3128"/>
        <item m="1" x="3452"/>
        <item m="1" x="2976"/>
        <item m="1" x="6128"/>
        <item m="1" x="6130"/>
        <item m="1" x="6134"/>
        <item m="1" x="4486"/>
        <item m="1" x="5273"/>
        <item m="1" x="5278"/>
        <item m="1" x="5283"/>
        <item m="1" x="7905"/>
        <item m="1" x="7907"/>
        <item m="1" x="7911"/>
        <item m="1" x="7882"/>
        <item m="1" x="7889"/>
        <item m="1" x="7837"/>
        <item m="1" x="2954"/>
        <item m="1" x="2961"/>
        <item m="1" x="2964"/>
        <item m="1" x="2968"/>
        <item m="1" x="3299"/>
        <item m="1" x="3301"/>
        <item m="1" x="5079"/>
        <item m="1" x="5086"/>
        <item m="1" x="5090"/>
        <item m="1" x="2248"/>
        <item m="1" x="6456"/>
        <item m="1" x="6459"/>
        <item m="1" x="5942"/>
        <item m="1" x="5944"/>
        <item m="1" x="5948"/>
        <item m="1" x="4865"/>
        <item m="1" x="4871"/>
        <item m="1" x="4875"/>
        <item m="1" x="6605"/>
        <item m="1" x="6606"/>
        <item m="1" x="2472"/>
        <item m="1" x="6792"/>
        <item m="1" x="6253"/>
        <item m="1" x="7624"/>
        <item m="1" x="7392"/>
        <item m="1" x="2623"/>
        <item m="1" x="2625"/>
        <item m="1" x="3787"/>
        <item m="1" x="6507"/>
        <item m="1" x="2453"/>
        <item m="1" x="4593"/>
        <item m="1" x="4634"/>
        <item m="1" x="6489"/>
        <item m="1" x="2749"/>
        <item m="1" x="3648"/>
        <item m="1" x="7324"/>
        <item m="1" x="5173"/>
        <item m="1" x="2242"/>
        <item m="1" x="4902"/>
        <item m="1" x="2952"/>
        <item m="1" x="2958"/>
        <item m="1" x="2963"/>
        <item m="1" x="3408"/>
        <item m="1" x="3412"/>
        <item m="1" x="7937"/>
        <item m="1" x="7940"/>
        <item m="1" x="4033"/>
        <item m="1" x="4035"/>
        <item m="1" x="5893"/>
        <item m="1" x="2999"/>
        <item m="1" x="3976"/>
        <item m="1" x="3377"/>
        <item m="1" x="5845"/>
        <item m="1" x="5639"/>
        <item m="1" x="6199"/>
        <item m="1" x="4773"/>
        <item m="1" x="2613"/>
        <item m="1" x="6441"/>
        <item m="1" x="6553"/>
        <item m="1" x="3098"/>
        <item m="1" x="6111"/>
        <item m="1" x="3143"/>
        <item m="1" x="3148"/>
        <item m="1" x="3914"/>
        <item m="1" x="3919"/>
        <item m="1" x="3922"/>
        <item m="1" x="3927"/>
        <item m="1" x="5102"/>
        <item m="1" x="4617"/>
        <item m="1" x="4621"/>
        <item m="1" x="5378"/>
        <item m="1" x="5383"/>
        <item m="1" x="6647"/>
        <item m="1" x="6651"/>
        <item m="1" x="6654"/>
        <item m="1" x="6658"/>
        <item m="1" x="3827"/>
        <item m="1" x="6124"/>
        <item m="1" x="6127"/>
        <item m="1" x="3084"/>
        <item m="1" x="3087"/>
        <item m="1" x="3091"/>
        <item m="1" x="7950"/>
        <item m="1" x="4319"/>
        <item m="1" x="4323"/>
        <item m="1" x="4327"/>
        <item m="1" x="4331"/>
        <item m="1" x="2793"/>
        <item m="1" x="2796"/>
        <item m="1" x="2798"/>
        <item m="1" x="2800"/>
        <item m="1" x="2802"/>
        <item m="1" x="5457"/>
        <item m="1" x="5461"/>
        <item m="1" x="7410"/>
        <item m="1" x="7413"/>
        <item m="1" x="4475"/>
        <item m="1" x="2960"/>
        <item m="1" x="2966"/>
        <item m="1" x="6722"/>
        <item m="1" x="6726"/>
        <item m="1" x="6729"/>
        <item m="1" x="6730"/>
        <item m="1" x="6733"/>
        <item m="1" x="6735"/>
        <item m="1" x="2838"/>
        <item m="1" x="2841"/>
        <item m="1" x="5710"/>
        <item m="1" x="2333"/>
        <item m="1" x="2337"/>
        <item m="1" x="7143"/>
        <item m="1" x="7149"/>
        <item m="1" x="7151"/>
        <item m="1" x="7154"/>
        <item m="1" x="3616"/>
        <item m="1" x="3622"/>
        <item m="1" x="3623"/>
        <item m="1" x="2470"/>
        <item m="1" x="2474"/>
        <item m="1" x="3261"/>
        <item m="1" x="3265"/>
        <item m="1" x="3271"/>
        <item m="1" x="3275"/>
        <item m="1" x="7681"/>
        <item m="1" x="7393"/>
        <item m="1" x="7399"/>
        <item m="1" x="7601"/>
        <item m="1" x="6039"/>
        <item x="37"/>
        <item m="1" x="7421"/>
        <item m="1" x="3625"/>
        <item m="1" x="3631"/>
        <item m="1" x="6151"/>
        <item m="1" x="5005"/>
        <item m="1" x="5006"/>
        <item m="1" x="5009"/>
        <item m="1" x="5013"/>
        <item m="1" x="4518"/>
        <item m="1" x="7732"/>
        <item m="1" x="5062"/>
        <item m="1" x="5066"/>
        <item m="1" x="5427"/>
        <item m="1" x="3428"/>
        <item m="1" x="7511"/>
        <item m="1" x="4483"/>
        <item m="1" x="4485"/>
        <item m="1" x="4488"/>
        <item m="1" x="4964"/>
        <item m="1" x="4966"/>
        <item m="1" x="6715"/>
        <item m="1" x="5627"/>
        <item m="1" x="5629"/>
        <item m="1" x="4603"/>
        <item m="1" x="4607"/>
        <item m="1" x="4610"/>
        <item m="1" x="4613"/>
        <item m="1" x="4337"/>
        <item m="1" x="4343"/>
        <item m="1" x="4349"/>
        <item m="1" x="4352"/>
        <item m="1" x="5259"/>
        <item m="1" x="5280"/>
        <item m="1" x="5286"/>
        <item m="1" x="5289"/>
        <item m="1" x="5292"/>
        <item m="1" x="7778"/>
        <item m="1" x="7779"/>
        <item m="1" x="2417"/>
        <item m="1" x="7817"/>
        <item m="1" x="7489"/>
        <item m="1" x="6564"/>
        <item m="1" x="5076"/>
        <item m="1" x="5080"/>
        <item m="1" x="5087"/>
        <item m="1" x="5091"/>
        <item m="1" x="7222"/>
        <item m="1" x="7230"/>
        <item m="1" x="7003"/>
        <item m="1" x="7006"/>
        <item m="1" x="7011"/>
        <item m="1" x="7014"/>
        <item m="1" x="4783"/>
        <item m="1" x="4785"/>
        <item m="1" x="6812"/>
        <item m="1" x="6814"/>
        <item m="1" x="6817"/>
        <item m="1" x="6819"/>
        <item m="1" x="6825"/>
        <item m="1" x="3906"/>
        <item m="1" x="3907"/>
        <item x="38"/>
        <item m="1" x="4933"/>
        <item m="1" x="4934"/>
        <item m="1" x="5106"/>
        <item m="1" x="2536"/>
        <item m="1" x="2539"/>
        <item m="1" x="7515"/>
        <item m="1" x="4159"/>
        <item m="1" x="4161"/>
        <item m="1" x="5329"/>
        <item m="1" x="5332"/>
        <item m="1" x="6203"/>
        <item x="40"/>
        <item x="41"/>
        <item x="42"/>
        <item x="43"/>
        <item m="1" x="5513"/>
        <item m="1" x="5519"/>
        <item m="1" x="7590"/>
        <item m="1" x="7593"/>
        <item m="1" x="4579"/>
        <item m="1" x="4580"/>
        <item m="1" x="4583"/>
        <item m="1" x="4283"/>
        <item m="1" x="3997"/>
        <item m="1" x="3711"/>
        <item m="1" x="3715"/>
        <item m="1" x="3415"/>
        <item m="1" x="6015"/>
        <item m="1" x="6022"/>
        <item m="1" x="6028"/>
        <item m="1" x="3611"/>
        <item m="1" x="3614"/>
        <item m="1" x="3617"/>
        <item m="1" x="2797"/>
        <item m="1" x="3652"/>
        <item m="1" x="3658"/>
        <item m="1" x="5382"/>
        <item m="1" x="5386"/>
        <item m="1" x="5393"/>
        <item x="47"/>
        <item m="1" x="3805"/>
        <item m="1" x="3806"/>
        <item m="1" x="3809"/>
        <item x="46"/>
        <item x="48"/>
        <item x="49"/>
        <item x="50"/>
        <item x="52"/>
        <item m="1" x="7049"/>
        <item m="1" x="2919"/>
        <item x="45"/>
        <item m="1" x="7436"/>
        <item x="55"/>
        <item x="54"/>
        <item x="53"/>
        <item m="1" x="4464"/>
        <item x="51"/>
        <item x="57"/>
        <item x="61"/>
        <item m="1" x="7220"/>
        <item m="1" x="7228"/>
        <item x="59"/>
        <item x="63"/>
        <item x="56"/>
        <item x="58"/>
        <item x="64"/>
        <item x="60"/>
        <item x="62"/>
        <item x="65"/>
        <item m="1" x="5048"/>
        <item x="71"/>
        <item m="1" x="7176"/>
        <item m="1" x="7179"/>
        <item x="66"/>
        <item x="72"/>
        <item x="67"/>
        <item x="73"/>
        <item x="74"/>
        <item x="75"/>
        <item x="68"/>
        <item x="70"/>
        <item x="69"/>
        <item x="91"/>
        <item x="76"/>
        <item x="77"/>
        <item x="80"/>
        <item x="83"/>
        <item x="88"/>
        <item x="93"/>
        <item x="81"/>
        <item x="84"/>
        <item x="89"/>
        <item x="94"/>
        <item x="79"/>
        <item x="86"/>
        <item m="1" x="5198"/>
        <item x="101"/>
        <item x="107"/>
        <item x="78"/>
        <item x="85"/>
        <item x="90"/>
        <item x="96"/>
        <item x="100"/>
        <item x="98"/>
        <item x="82"/>
        <item x="95"/>
        <item m="1" x="5756"/>
        <item m="1" x="5758"/>
        <item m="1" x="6233"/>
        <item m="1" x="6239"/>
        <item x="92"/>
        <item x="105"/>
        <item x="87"/>
        <item x="97"/>
        <item m="1" x="5475"/>
        <item m="1" x="5480"/>
        <item m="1" x="5483"/>
        <item m="1" x="5486"/>
        <item m="1" x="5489"/>
        <item m="1" x="5495"/>
        <item m="1" x="5499"/>
        <item x="104"/>
        <item m="1" x="6889"/>
        <item m="1" x="6893"/>
        <item m="1" x="6894"/>
        <item m="1" x="6896"/>
        <item x="103"/>
        <item x="109"/>
        <item x="115"/>
        <item x="124"/>
        <item x="133"/>
        <item x="144"/>
        <item x="148"/>
        <item x="108"/>
        <item x="114"/>
        <item m="1" x="4245"/>
        <item x="99"/>
        <item x="106"/>
        <item x="112"/>
        <item x="121"/>
        <item x="127"/>
        <item x="110"/>
        <item x="117"/>
        <item x="125"/>
        <item m="1" x="6582"/>
        <item m="1" x="6586"/>
        <item m="1" x="6588"/>
        <item m="1" x="6591"/>
        <item x="118"/>
        <item x="126"/>
        <item x="134"/>
        <item x="113"/>
        <item x="122"/>
        <item x="128"/>
        <item x="141"/>
        <item x="149"/>
        <item x="132"/>
        <item x="143"/>
        <item x="102"/>
        <item x="111"/>
        <item x="116"/>
        <item x="123"/>
        <item x="120"/>
        <item x="129"/>
        <item x="140"/>
        <item x="146"/>
        <item x="152"/>
        <item x="153"/>
        <item x="154"/>
        <item x="119"/>
        <item x="139"/>
        <item x="138"/>
        <item m="1" x="2521"/>
        <item m="1" x="2523"/>
        <item m="1" x="2529"/>
        <item x="131"/>
        <item x="142"/>
        <item x="150"/>
        <item x="135"/>
        <item x="130"/>
        <item x="136"/>
        <item x="137"/>
        <item x="145"/>
        <item x="147"/>
        <item x="151"/>
        <item x="155"/>
        <item x="157"/>
        <item x="156"/>
        <item x="187"/>
        <item x="178"/>
        <item x="188"/>
        <item x="193"/>
        <item x="197"/>
        <item x="159"/>
        <item x="163"/>
        <item x="169"/>
        <item x="181"/>
        <item x="198"/>
        <item x="161"/>
        <item x="174"/>
        <item x="189"/>
        <item x="160"/>
        <item x="168"/>
        <item x="173"/>
        <item x="184"/>
        <item x="171"/>
        <item x="164"/>
        <item x="182"/>
        <item x="170"/>
        <item x="199"/>
        <item x="165"/>
        <item x="179"/>
        <item x="205"/>
        <item x="200"/>
        <item x="206"/>
        <item x="167"/>
        <item x="196"/>
        <item x="166"/>
        <item x="195"/>
        <item x="194"/>
        <item m="1" x="5898"/>
        <item m="1" x="5899"/>
        <item m="1" x="5902"/>
        <item x="158"/>
        <item x="209"/>
        <item x="192"/>
        <item x="210"/>
        <item x="175"/>
        <item x="180"/>
        <item x="190"/>
        <item x="208"/>
        <item x="201"/>
        <item x="172"/>
        <item x="183"/>
        <item x="191"/>
        <item x="213"/>
        <item x="214"/>
        <item x="216"/>
        <item x="162"/>
        <item x="177"/>
        <item x="186"/>
        <item x="202"/>
        <item x="215"/>
        <item x="212"/>
        <item x="176"/>
        <item x="185"/>
        <item x="207"/>
        <item x="217"/>
        <item x="218"/>
        <item x="211"/>
        <item x="219"/>
        <item x="221"/>
        <item x="224"/>
        <item x="227"/>
        <item x="222"/>
        <item x="203"/>
        <item x="240"/>
        <item x="204"/>
        <item x="220"/>
        <item x="226"/>
        <item x="237"/>
        <item x="230"/>
        <item x="249"/>
        <item x="229"/>
        <item x="228"/>
        <item x="225"/>
        <item x="223"/>
        <item x="231"/>
        <item x="241"/>
        <item x="252"/>
        <item x="250"/>
        <item x="245"/>
        <item x="233"/>
        <item x="247"/>
        <item x="251"/>
        <item x="235"/>
        <item x="258"/>
        <item m="1" x="7044"/>
        <item x="242"/>
        <item x="248"/>
        <item x="260"/>
        <item x="253"/>
        <item x="256"/>
        <item x="238"/>
        <item x="244"/>
        <item x="264"/>
        <item x="267"/>
        <item x="265"/>
        <item x="268"/>
        <item x="269"/>
        <item x="232"/>
        <item x="239"/>
        <item x="273"/>
        <item x="272"/>
        <item x="275"/>
        <item x="276"/>
        <item x="277"/>
        <item x="255"/>
        <item x="262"/>
        <item x="263"/>
        <item x="236"/>
        <item x="234"/>
        <item x="279"/>
        <item x="266"/>
        <item x="257"/>
        <item x="280"/>
        <item x="270"/>
        <item x="282"/>
        <item x="259"/>
        <item x="274"/>
        <item x="246"/>
        <item x="271"/>
        <item x="278"/>
        <item x="283"/>
        <item x="281"/>
        <item x="284"/>
        <item x="243"/>
        <item x="254"/>
        <item x="261"/>
        <item x="290"/>
        <item m="1" x="6970"/>
        <item m="1" x="5951"/>
        <item m="1" x="3405"/>
        <item x="293"/>
        <item x="299"/>
        <item m="1" x="5656"/>
        <item m="1" x="6078"/>
        <item m="1" x="6080"/>
        <item m="1" x="6085"/>
        <item m="1" x="6089"/>
        <item m="1" x="6616"/>
        <item m="1" x="6624"/>
        <item x="291"/>
        <item x="297"/>
        <item x="287"/>
        <item x="294"/>
        <item x="300"/>
        <item x="308"/>
        <item x="304"/>
        <item x="311"/>
        <item x="316"/>
        <item x="298"/>
        <item x="317"/>
        <item x="307"/>
        <item x="288"/>
        <item x="295"/>
        <item x="301"/>
        <item x="309"/>
        <item x="319"/>
        <item m="1" x="6341"/>
        <item m="1" x="2440"/>
        <item m="1" x="2444"/>
        <item m="1" x="4705"/>
        <item m="1" x="4708"/>
        <item m="1" x="4711"/>
        <item m="1" x="4717"/>
        <item x="305"/>
        <item x="313"/>
        <item x="321"/>
        <item x="314"/>
        <item x="289"/>
        <item x="296"/>
        <item x="302"/>
        <item x="310"/>
        <item x="320"/>
        <item x="327"/>
        <item x="337"/>
        <item x="342"/>
        <item x="306"/>
        <item x="322"/>
        <item m="1" x="4878"/>
        <item m="1" x="4881"/>
        <item m="1" x="4883"/>
        <item m="1" x="4886"/>
        <item m="1" x="4889"/>
        <item x="292"/>
        <item m="1" x="5098"/>
        <item x="285"/>
        <item x="286"/>
        <item m="1" x="3474"/>
        <item x="318"/>
        <item x="333"/>
        <item x="323"/>
        <item x="326"/>
        <item x="335"/>
        <item m="1" x="4270"/>
        <item x="336"/>
        <item x="339"/>
        <item x="330"/>
        <item x="315"/>
        <item x="325"/>
        <item x="331"/>
        <item x="324"/>
        <item x="329"/>
        <item x="341"/>
        <item x="334"/>
        <item m="1" x="5301"/>
        <item m="1" x="5308"/>
        <item m="1" x="5315"/>
        <item m="1" x="5317"/>
        <item m="1" x="6113"/>
        <item m="1" x="6118"/>
        <item x="328"/>
        <item x="340"/>
        <item x="345"/>
        <item x="303"/>
        <item x="312"/>
        <item x="338"/>
        <item x="344"/>
        <item x="346"/>
        <item m="1" x="6052"/>
        <item m="1" x="6054"/>
        <item m="1" x="6056"/>
        <item m="1" x="6059"/>
        <item m="1" x="6728"/>
        <item m="1" x="7386"/>
        <item m="1" x="7387"/>
        <item x="347"/>
        <item m="1" x="7866"/>
        <item m="1" x="7867"/>
        <item m="1" x="7870"/>
        <item m="1" x="7872"/>
        <item x="343"/>
        <item x="348"/>
        <item x="350"/>
        <item m="1" x="3709"/>
        <item m="1" x="5505"/>
        <item m="1" x="5508"/>
        <item m="1" x="5511"/>
        <item m="1" x="5514"/>
        <item m="1" x="5279"/>
        <item m="1" x="5284"/>
        <item m="1" x="5288"/>
        <item m="1" x="5291"/>
        <item m="1" x="5293"/>
        <item x="351"/>
        <item x="352"/>
        <item x="354"/>
        <item x="332"/>
        <item x="349"/>
        <item x="353"/>
        <item x="355"/>
        <item x="356"/>
        <item x="357"/>
        <item m="1" x="7675"/>
        <item x="358"/>
        <item x="359"/>
        <item x="360"/>
        <item x="361"/>
        <item x="362"/>
        <item m="1" x="3309"/>
        <item m="1" x="3311"/>
        <item m="1" x="3315"/>
        <item m="1" x="3318"/>
        <item m="1" x="3321"/>
        <item x="363"/>
        <item m="1" x="6361"/>
        <item x="364"/>
        <item m="1" x="7902"/>
        <item m="1" x="6964"/>
        <item x="366"/>
        <item x="367"/>
        <item x="368"/>
        <item m="1" x="2580"/>
        <item m="1" x="2584"/>
        <item m="1" x="2588"/>
        <item m="1" x="2594"/>
        <item m="1" x="2939"/>
        <item m="1" x="2940"/>
        <item x="370"/>
        <item x="372"/>
        <item m="1" x="5989"/>
        <item x="373"/>
        <item x="365"/>
        <item m="1" x="5472"/>
        <item m="1" x="4961"/>
        <item m="1" x="3885"/>
        <item m="1" x="6813"/>
        <item m="1" x="6815"/>
        <item m="1" x="6818"/>
        <item m="1" x="6820"/>
        <item x="369"/>
        <item x="371"/>
        <item x="377"/>
        <item x="380"/>
        <item x="374"/>
        <item x="376"/>
        <item x="375"/>
        <item x="379"/>
        <item m="1" x="5234"/>
        <item m="1" x="5236"/>
        <item m="1" x="4704"/>
        <item x="381"/>
        <item x="383"/>
        <item m="1" x="6271"/>
        <item m="1" x="6276"/>
        <item x="384"/>
        <item m="1" x="7969"/>
        <item m="1" x="7971"/>
        <item x="385"/>
        <item m="1" x="7046"/>
        <item x="378"/>
        <item m="1" x="2685"/>
        <item x="396"/>
        <item x="403"/>
        <item m="1" x="4779"/>
        <item m="1" x="5542"/>
        <item m="1" x="5544"/>
        <item m="1" x="5545"/>
        <item m="1" x="5551"/>
        <item x="386"/>
        <item x="393"/>
        <item x="401"/>
        <item x="389"/>
        <item x="400"/>
        <item x="404"/>
        <item m="1" x="7982"/>
        <item m="1" x="7984"/>
        <item m="1" x="7986"/>
        <item m="1" x="7992"/>
        <item x="387"/>
        <item x="390"/>
        <item x="398"/>
        <item x="410"/>
        <item x="388"/>
        <item x="391"/>
        <item m="1" x="6317"/>
        <item x="397"/>
        <item x="395"/>
        <item x="405"/>
        <item x="414"/>
        <item m="1" x="4165"/>
        <item m="1" x="3891"/>
        <item m="1" x="3893"/>
        <item x="407"/>
        <item x="392"/>
        <item x="399"/>
        <item x="411"/>
        <item x="394"/>
        <item x="402"/>
        <item m="1" x="2400"/>
        <item x="406"/>
        <item x="415"/>
        <item x="422"/>
        <item x="436"/>
        <item x="418"/>
        <item x="409"/>
        <item x="417"/>
        <item x="429"/>
        <item x="382"/>
        <item m="1" x="6493"/>
        <item m="1" x="6498"/>
        <item m="1" x="7576"/>
        <item m="1" x="7582"/>
        <item m="1" x="5657"/>
        <item m="1" x="5660"/>
        <item m="1" x="5665"/>
        <item m="1" x="4950"/>
        <item m="1" x="4954"/>
        <item m="1" x="4959"/>
        <item x="427"/>
        <item x="413"/>
        <item x="421"/>
        <item x="431"/>
        <item x="412"/>
        <item x="432"/>
        <item m="1" x="5585"/>
        <item m="1" x="5589"/>
        <item x="419"/>
        <item x="426"/>
        <item x="439"/>
        <item x="408"/>
        <item x="428"/>
        <item m="1" x="6501"/>
        <item m="1" x="6503"/>
        <item m="1" x="6506"/>
        <item m="1" x="7041"/>
        <item x="430"/>
        <item m="1" x="3760"/>
        <item m="1" x="3763"/>
        <item x="416"/>
        <item x="423"/>
        <item x="437"/>
        <item m="1" x="4101"/>
        <item m="1" x="4105"/>
        <item x="424"/>
        <item x="420"/>
        <item x="433"/>
        <item m="1" x="6299"/>
        <item m="1" x="2556"/>
        <item m="1" x="7909"/>
        <item m="1" x="7912"/>
        <item m="1" x="7916"/>
        <item x="425"/>
        <item x="438"/>
        <item x="434"/>
        <item m="1" x="3244"/>
        <item m="1" x="2983"/>
        <item m="1" x="7930"/>
        <item m="1" x="7941"/>
        <item x="435"/>
        <item m="1" x="2660"/>
        <item m="1" x="3442"/>
        <item m="1" x="3446"/>
        <item m="1" x="4702"/>
        <item m="1" x="4706"/>
        <item m="1" x="5041"/>
        <item m="1" x="5043"/>
        <item m="1" x="7332"/>
        <item m="1" x="7335"/>
        <item x="442"/>
        <item m="1" x="7632"/>
        <item m="1" x="5971"/>
        <item m="1" x="5977"/>
        <item m="1" x="3668"/>
        <item m="1" x="3670"/>
        <item m="1" x="6196"/>
        <item m="1" x="6858"/>
        <item x="441"/>
        <item x="446"/>
        <item x="444"/>
        <item m="1" x="4572"/>
        <item m="1" x="4869"/>
        <item m="1" x="4874"/>
        <item m="1" x="7890"/>
        <item m="1" x="7893"/>
        <item m="1" x="7897"/>
        <item m="1" x="7903"/>
        <item m="1" x="7906"/>
        <item m="1" x="5704"/>
        <item m="1" x="6861"/>
        <item m="1" x="6865"/>
        <item m="1" x="2206"/>
        <item m="1" x="2208"/>
        <item m="1" x="2218"/>
        <item m="1" x="2221"/>
        <item m="1" x="4194"/>
        <item m="1" x="4197"/>
        <item m="1" x="4199"/>
        <item m="1" x="4202"/>
        <item m="1" x="6101"/>
        <item m="1" x="2431"/>
        <item m="1" x="2433"/>
        <item m="1" x="2435"/>
        <item m="1" x="5138"/>
        <item x="440"/>
        <item m="1" x="6869"/>
        <item m="1" x="6872"/>
        <item x="447"/>
        <item x="450"/>
        <item x="453"/>
        <item m="1" x="5100"/>
        <item m="1" x="5101"/>
        <item m="1" x="5103"/>
        <item m="1" x="6639"/>
        <item m="1" x="3799"/>
        <item m="1" x="3801"/>
        <item x="443"/>
        <item x="445"/>
        <item m="1" x="7880"/>
        <item m="1" x="7883"/>
        <item m="1" x="7887"/>
        <item m="1" x="4834"/>
        <item x="451"/>
        <item x="448"/>
        <item x="449"/>
        <item m="1" x="3161"/>
        <item m="1" x="3165"/>
        <item m="1" x="3167"/>
        <item m="1" x="6530"/>
        <item m="1" x="6536"/>
        <item m="1" x="6543"/>
        <item m="1" x="4398"/>
        <item m="1" x="2323"/>
        <item x="452"/>
        <item x="455"/>
        <item x="458"/>
        <item x="456"/>
        <item x="457"/>
        <item x="463"/>
        <item x="465"/>
        <item x="459"/>
        <item x="464"/>
        <item x="462"/>
        <item x="461"/>
        <item x="460"/>
        <item m="1" x="6174"/>
        <item x="467"/>
        <item x="469"/>
        <item x="468"/>
        <item x="466"/>
        <item m="1" x="5849"/>
        <item m="1" x="5853"/>
        <item x="470"/>
        <item x="472"/>
        <item x="479"/>
        <item x="474"/>
        <item x="477"/>
        <item x="475"/>
        <item x="478"/>
        <item x="480"/>
        <item x="476"/>
        <item x="473"/>
        <item x="454"/>
        <item x="481"/>
        <item x="498"/>
        <item x="521"/>
        <item x="483"/>
        <item x="482"/>
        <item x="485"/>
        <item x="484"/>
        <item x="486"/>
        <item m="1" x="2379"/>
        <item m="1" x="2384"/>
        <item m="1" x="2386"/>
        <item x="494"/>
        <item x="496"/>
        <item x="495"/>
        <item x="491"/>
        <item x="492"/>
        <item x="489"/>
        <item x="490"/>
        <item x="493"/>
        <item x="497"/>
        <item x="501"/>
        <item x="499"/>
        <item x="502"/>
        <item x="503"/>
        <item x="500"/>
        <item x="504"/>
        <item m="1" x="4900"/>
        <item m="1" x="4905"/>
        <item m="1" x="4907"/>
        <item x="505"/>
        <item m="1" x="6152"/>
        <item m="1" x="6160"/>
        <item m="1" x="6167"/>
        <item m="1" x="5574"/>
        <item m="1" x="5576"/>
        <item x="506"/>
        <item x="508"/>
        <item x="510"/>
        <item x="509"/>
        <item x="507"/>
        <item x="515"/>
        <item x="512"/>
        <item x="514"/>
        <item x="519"/>
        <item x="513"/>
        <item x="518"/>
        <item x="520"/>
        <item x="517"/>
        <item x="516"/>
        <item m="1" x="4249"/>
        <item m="1" x="4252"/>
        <item m="1" x="6771"/>
        <item m="1" x="6775"/>
        <item m="1" x="6779"/>
        <item m="1" x="3931"/>
        <item m="1" x="3937"/>
        <item m="1" x="3939"/>
        <item m="1" x="3941"/>
        <item m="1" x="3946"/>
        <item x="530"/>
        <item m="1" x="5812"/>
        <item x="528"/>
        <item x="532"/>
        <item x="541"/>
        <item x="536"/>
        <item x="534"/>
        <item x="537"/>
        <item x="525"/>
        <item x="542"/>
        <item x="531"/>
        <item x="529"/>
        <item x="539"/>
        <item x="524"/>
        <item x="533"/>
        <item x="538"/>
        <item x="535"/>
        <item x="526"/>
        <item x="540"/>
        <item x="527"/>
        <item x="523"/>
        <item x="543"/>
        <item x="487"/>
        <item m="1" x="4076"/>
        <item m="1" x="4077"/>
        <item m="1" x="7430"/>
        <item m="1" x="7433"/>
        <item m="1" x="7440"/>
        <item x="544"/>
        <item x="548"/>
        <item x="546"/>
        <item x="552"/>
        <item x="547"/>
        <item x="551"/>
        <item x="550"/>
        <item x="545"/>
        <item x="549"/>
        <item x="553"/>
        <item x="561"/>
        <item x="554"/>
        <item x="555"/>
        <item x="560"/>
        <item x="557"/>
        <item m="1" x="3163"/>
        <item x="559"/>
        <item x="558"/>
        <item x="556"/>
        <item m="1" x="2263"/>
        <item m="1" x="2266"/>
        <item m="1" x="2278"/>
        <item x="566"/>
        <item x="567"/>
        <item x="564"/>
        <item x="569"/>
        <item x="565"/>
        <item x="563"/>
        <item x="568"/>
        <item m="1" x="5437"/>
        <item m="1" x="5854"/>
        <item x="562"/>
        <item x="570"/>
        <item x="471"/>
        <item x="488"/>
        <item x="511"/>
        <item x="522"/>
        <item m="1" x="6011"/>
        <item m="1" x="6023"/>
        <item m="1" x="6029"/>
        <item m="1" x="6040"/>
        <item x="711"/>
        <item m="1" x="4353"/>
        <item m="1" x="4356"/>
        <item m="1" x="2445"/>
        <item m="1" x="7131"/>
        <item m="1" x="6538"/>
        <item m="1" x="3819"/>
        <item m="1" x="3828"/>
        <item m="1" x="7192"/>
        <item m="1" x="7196"/>
        <item m="1" x="7205"/>
        <item m="1" x="7212"/>
        <item m="1" x="7224"/>
        <item m="1" x="7232"/>
        <item m="1" x="7239"/>
        <item m="1" x="2777"/>
        <item m="1" x="2784"/>
        <item m="1" x="2786"/>
        <item m="1" x="2789"/>
        <item m="1" x="5167"/>
        <item m="1" x="5170"/>
        <item m="1" x="6953"/>
        <item m="1" x="6957"/>
        <item m="1" x="6961"/>
        <item m="1" x="2549"/>
        <item m="1" x="2552"/>
        <item m="1" x="2553"/>
        <item m="1" x="2557"/>
        <item m="1" x="2560"/>
        <item m="1" x="7679"/>
        <item x="573"/>
        <item m="1" x="2315"/>
        <item m="1" x="2320"/>
        <item m="1" x="2324"/>
        <item m="1" x="2331"/>
        <item x="571"/>
        <item m="1" x="3998"/>
        <item m="1" x="4000"/>
        <item m="1" x="4003"/>
        <item m="1" x="7292"/>
        <item x="572"/>
        <item m="1" x="2572"/>
        <item m="1" x="7724"/>
        <item x="587"/>
        <item x="576"/>
        <item x="588"/>
        <item x="586"/>
        <item x="589"/>
        <item x="591"/>
        <item x="593"/>
        <item x="592"/>
        <item x="590"/>
        <item x="575"/>
        <item m="1" x="7642"/>
        <item m="1" x="7649"/>
        <item m="1" x="7656"/>
        <item x="582"/>
        <item x="583"/>
        <item x="577"/>
        <item x="597"/>
        <item x="579"/>
        <item x="585"/>
        <item x="600"/>
        <item x="580"/>
        <item x="578"/>
        <item x="581"/>
        <item x="584"/>
        <item x="618"/>
        <item x="596"/>
        <item x="595"/>
        <item x="594"/>
        <item x="603"/>
        <item x="602"/>
        <item x="601"/>
        <item x="599"/>
        <item m="1" x="7989"/>
        <item x="619"/>
        <item m="1" x="6718"/>
        <item m="1" x="6719"/>
        <item x="604"/>
        <item x="574"/>
        <item x="605"/>
        <item x="607"/>
        <item x="606"/>
        <item x="611"/>
        <item x="609"/>
        <item x="608"/>
        <item x="614"/>
        <item x="613"/>
        <item x="612"/>
        <item x="616"/>
        <item x="615"/>
        <item x="617"/>
        <item x="610"/>
        <item x="598"/>
        <item m="1" x="3706"/>
        <item m="1" x="3708"/>
        <item m="1" x="2738"/>
        <item m="1" x="2743"/>
        <item m="1" x="7505"/>
        <item m="1" x="7510"/>
        <item m="1" x="7644"/>
        <item x="621"/>
        <item x="634"/>
        <item x="644"/>
        <item x="622"/>
        <item x="635"/>
        <item x="645"/>
        <item x="623"/>
        <item x="636"/>
        <item x="646"/>
        <item x="624"/>
        <item x="647"/>
        <item x="625"/>
        <item x="637"/>
        <item x="648"/>
        <item x="626"/>
        <item x="649"/>
        <item x="638"/>
        <item x="627"/>
        <item x="650"/>
        <item x="628"/>
        <item x="651"/>
        <item x="620"/>
        <item x="633"/>
        <item x="643"/>
        <item x="656"/>
        <item x="639"/>
        <item x="640"/>
        <item x="629"/>
        <item x="652"/>
        <item x="630"/>
        <item x="641"/>
        <item x="653"/>
        <item x="631"/>
        <item x="654"/>
        <item x="632"/>
        <item x="655"/>
        <item x="657"/>
        <item m="1" x="2827"/>
        <item m="1" x="4981"/>
        <item x="642"/>
        <item m="1" x="5517"/>
        <item m="1" x="5521"/>
        <item x="676"/>
        <item m="1" x="5142"/>
        <item x="658"/>
        <item x="659"/>
        <item x="660"/>
        <item x="661"/>
        <item m="1" x="4208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m="1" x="5226"/>
        <item m="1" x="5230"/>
        <item m="1" x="3490"/>
        <item m="1" x="7073"/>
        <item x="662"/>
        <item x="675"/>
        <item m="1" x="4425"/>
        <item m="1" x="4428"/>
        <item m="1" x="4434"/>
        <item m="1" x="4446"/>
        <item m="1" x="4450"/>
        <item m="1" x="4453"/>
        <item m="1" x="5990"/>
        <item m="1" x="5993"/>
        <item m="1" x="5995"/>
        <item m="1" x="5996"/>
        <item x="691"/>
        <item x="693"/>
        <item x="697"/>
        <item x="687"/>
        <item m="1" x="3565"/>
        <item m="1" x="3567"/>
        <item x="678"/>
        <item x="679"/>
        <item x="685"/>
        <item x="689"/>
        <item x="694"/>
        <item x="695"/>
        <item x="674"/>
        <item x="677"/>
        <item m="1" x="5623"/>
        <item x="690"/>
        <item x="696"/>
        <item m="1" x="7987"/>
        <item m="1" x="7454"/>
        <item m="1" x="6057"/>
        <item m="1" x="6060"/>
        <item m="1" x="6064"/>
        <item x="684"/>
        <item m="1" x="3502"/>
        <item x="681"/>
        <item x="811"/>
        <item x="828"/>
        <item x="841"/>
        <item x="854"/>
        <item x="865"/>
        <item m="1" x="3022"/>
        <item m="1" x="3027"/>
        <item m="1" x="3031"/>
        <item m="1" x="3033"/>
        <item m="1" x="3035"/>
        <item x="680"/>
        <item m="1" x="3078"/>
        <item m="1" x="2768"/>
        <item m="1" x="2771"/>
        <item x="692"/>
        <item x="698"/>
        <item x="702"/>
        <item m="1" x="7221"/>
        <item m="1" x="4407"/>
        <item x="682"/>
        <item x="686"/>
        <item x="683"/>
        <item m="1" x="6987"/>
        <item m="1" x="6991"/>
        <item m="1" x="6993"/>
        <item m="1" x="6997"/>
        <item x="813"/>
        <item m="1" x="7529"/>
        <item m="1" x="7533"/>
        <item m="1" x="7537"/>
        <item m="1" x="7541"/>
        <item m="1" x="5485"/>
        <item m="1" x="4108"/>
        <item m="1" x="4114"/>
        <item m="1" x="4119"/>
        <item x="688"/>
        <item m="1" x="2724"/>
        <item m="1" x="2728"/>
        <item m="1" x="2731"/>
        <item m="1" x="2735"/>
        <item m="1" x="6642"/>
        <item m="1" x="6644"/>
        <item m="1" x="6648"/>
        <item m="1" x="6652"/>
        <item m="1" x="5295"/>
        <item m="1" x="5297"/>
        <item m="1" x="5298"/>
        <item m="1" x="4856"/>
        <item m="1" x="7390"/>
        <item m="1" x="7448"/>
        <item m="1" x="7455"/>
        <item x="797"/>
        <item x="808"/>
        <item m="1" x="3186"/>
        <item m="1" x="3187"/>
        <item m="1" x="4396"/>
        <item m="1" x="4225"/>
        <item m="1" x="6979"/>
        <item m="1" x="6982"/>
        <item m="1" x="3445"/>
        <item m="1" x="3449"/>
        <item m="1" x="3451"/>
        <item m="1" x="2763"/>
        <item m="1" x="2765"/>
        <item x="798"/>
        <item x="809"/>
        <item x="824"/>
        <item x="836"/>
        <item m="1" x="3303"/>
        <item m="1" x="6769"/>
        <item m="1" x="6774"/>
        <item m="1" x="6778"/>
        <item x="704"/>
        <item x="710"/>
        <item m="1" x="2304"/>
        <item m="1" x="2306"/>
        <item m="1" x="2308"/>
        <item m="1" x="2313"/>
        <item x="823"/>
        <item x="838"/>
        <item m="1" x="6741"/>
        <item m="1" x="2375"/>
        <item x="699"/>
        <item x="701"/>
        <item x="703"/>
        <item x="713"/>
        <item x="799"/>
        <item x="810"/>
        <item x="827"/>
        <item x="840"/>
        <item x="853"/>
        <item x="864"/>
        <item m="1" x="4841"/>
        <item m="1" x="4303"/>
        <item m="1" x="4305"/>
        <item x="719"/>
        <item x="705"/>
        <item m="1" x="4913"/>
        <item m="1" x="4914"/>
        <item m="1" x="4564"/>
        <item x="821"/>
        <item x="837"/>
        <item x="852"/>
        <item x="862"/>
        <item x="871"/>
        <item x="875"/>
        <item x="708"/>
        <item x="720"/>
        <item m="1" x="7031"/>
        <item m="1" x="7033"/>
        <item m="1" x="7037"/>
        <item x="715"/>
        <item x="700"/>
        <item x="706"/>
        <item m="1" x="7617"/>
        <item m="1" x="7620"/>
        <item m="1" x="7626"/>
        <item x="709"/>
        <item x="718"/>
        <item x="727"/>
        <item x="717"/>
        <item x="712"/>
        <item x="722"/>
        <item m="1" x="6659"/>
        <item m="1" x="7007"/>
        <item m="1" x="5823"/>
        <item m="1" x="2358"/>
        <item m="1" x="2364"/>
        <item x="721"/>
        <item x="728"/>
        <item x="735"/>
        <item m="1" x="2424"/>
        <item m="1" x="5415"/>
        <item m="1" x="5418"/>
        <item m="1" x="4915"/>
        <item m="1" x="6611"/>
        <item m="1" x="5918"/>
        <item m="1" x="5920"/>
        <item m="1" x="5923"/>
        <item m="1" x="4665"/>
        <item x="707"/>
        <item x="716"/>
        <item x="724"/>
        <item x="729"/>
        <item x="714"/>
        <item x="723"/>
        <item x="731"/>
        <item x="741"/>
        <item m="1" x="7726"/>
        <item x="818"/>
        <item x="832"/>
        <item x="850"/>
        <item x="857"/>
        <item x="868"/>
        <item m="1" x="3669"/>
        <item m="1" x="3673"/>
        <item m="1" x="3748"/>
        <item x="725"/>
        <item x="732"/>
        <item x="743"/>
        <item m="1" x="3478"/>
        <item m="1" x="6615"/>
        <item m="1" x="5975"/>
        <item m="1" x="5982"/>
        <item x="733"/>
        <item m="1" x="4365"/>
        <item m="1" x="4368"/>
        <item m="1" x="4372"/>
        <item m="1" x="4376"/>
        <item m="1" x="4480"/>
        <item m="1" x="5750"/>
        <item m="1" x="7062"/>
        <item m="1" x="2772"/>
        <item m="1" x="2669"/>
        <item m="1" x="4307"/>
        <item m="1" x="4013"/>
        <item m="1" x="4016"/>
        <item x="872"/>
        <item x="876"/>
        <item x="877"/>
        <item x="878"/>
        <item x="880"/>
        <item x="726"/>
        <item x="734"/>
        <item x="744"/>
        <item x="751"/>
        <item x="737"/>
        <item m="1" x="3012"/>
        <item m="1" x="3014"/>
        <item m="1" x="3017"/>
        <item m="1" x="5884"/>
        <item m="1" x="5891"/>
        <item m="1" x="3480"/>
        <item m="1" x="2657"/>
        <item m="1" x="2414"/>
        <item m="1" x="2366"/>
        <item m="1" x="6389"/>
        <item m="1" x="6394"/>
        <item x="742"/>
        <item x="730"/>
        <item x="736"/>
        <item x="746"/>
        <item x="754"/>
        <item m="1" x="3661"/>
        <item m="1" x="3663"/>
        <item m="1" x="2215"/>
        <item x="738"/>
        <item x="750"/>
        <item x="745"/>
        <item m="1" x="3943"/>
        <item m="1" x="3947"/>
        <item m="1" x="3949"/>
        <item m="1" x="3650"/>
        <item m="1" x="3653"/>
        <item m="1" x="2213"/>
        <item x="807"/>
        <item x="819"/>
        <item x="834"/>
        <item x="848"/>
        <item x="861"/>
        <item m="1" x="7706"/>
        <item m="1" x="3517"/>
        <item m="1" x="3521"/>
        <item m="1" x="2708"/>
        <item m="1" x="7120"/>
        <item m="1" x="7122"/>
        <item m="1" x="7124"/>
        <item m="1" x="3454"/>
        <item x="739"/>
        <item x="749"/>
        <item m="1" x="6119"/>
        <item m="1" x="7402"/>
        <item m="1" x="4944"/>
        <item m="1" x="4946"/>
        <item m="1" x="4949"/>
        <item m="1" x="5285"/>
        <item x="756"/>
        <item x="759"/>
        <item m="1" x="5155"/>
        <item m="1" x="5159"/>
        <item m="1" x="5166"/>
        <item m="1" x="3674"/>
        <item m="1" x="2457"/>
        <item m="1" x="2463"/>
        <item m="1" x="7605"/>
        <item x="753"/>
        <item m="1" x="7913"/>
        <item m="1" x="3188"/>
        <item m="1" x="6661"/>
        <item m="1" x="5339"/>
        <item m="1" x="4487"/>
        <item m="1" x="6112"/>
        <item m="1" x="4363"/>
        <item m="1" x="2712"/>
        <item m="1" x="2721"/>
        <item m="1" x="2725"/>
        <item m="1" x="6122"/>
        <item m="1" x="7516"/>
        <item m="1" x="7520"/>
        <item m="1" x="7525"/>
        <item m="1" x="5208"/>
        <item m="1" x="5211"/>
        <item m="1" x="5213"/>
        <item m="1" x="5216"/>
        <item m="1" x="6295"/>
        <item x="757"/>
        <item x="752"/>
        <item x="758"/>
        <item x="763"/>
        <item x="762"/>
        <item m="1" x="2329"/>
        <item m="1" x="7554"/>
        <item m="1" x="7558"/>
        <item m="1" x="7194"/>
        <item m="1" x="2836"/>
        <item m="1" x="2839"/>
        <item m="1" x="2842"/>
        <item m="1" x="5084"/>
        <item m="1" x="5886"/>
        <item x="765"/>
        <item x="755"/>
        <item m="1" x="3239"/>
        <item m="1" x="3241"/>
        <item m="1" x="6181"/>
        <item m="1" x="6183"/>
        <item m="1" x="6185"/>
        <item m="1" x="6187"/>
        <item x="766"/>
        <item m="1" x="4018"/>
        <item x="767"/>
        <item m="1" x="2253"/>
        <item m="1" x="6856"/>
        <item m="1" x="2689"/>
        <item x="804"/>
        <item x="816"/>
        <item x="833"/>
        <item x="847"/>
        <item x="859"/>
        <item m="1" x="6635"/>
        <item m="1" x="4998"/>
        <item m="1" x="7952"/>
        <item m="1" x="7953"/>
        <item m="1" x="7957"/>
        <item m="1" x="7959"/>
        <item x="747"/>
        <item x="764"/>
        <item m="1" x="4442"/>
        <item m="1" x="3654"/>
        <item m="1" x="3662"/>
        <item m="1" x="3665"/>
        <item x="760"/>
        <item x="772"/>
        <item x="770"/>
        <item x="769"/>
        <item m="1" x="7266"/>
        <item m="1" x="3175"/>
        <item m="1" x="3178"/>
        <item m="1" x="3182"/>
        <item m="1" x="7683"/>
        <item m="1" x="7686"/>
        <item m="1" x="2665"/>
        <item m="1" x="2670"/>
        <item m="1" x="2374"/>
        <item m="1" x="7389"/>
        <item m="1" x="5827"/>
        <item m="1" x="5828"/>
        <item m="1" x="5833"/>
        <item m="1" x="5836"/>
        <item x="761"/>
        <item m="1" x="5260"/>
        <item m="1" x="5263"/>
        <item m="1" x="3512"/>
        <item m="1" x="3514"/>
        <item m="1" x="3518"/>
        <item m="1" x="3522"/>
        <item m="1" x="3266"/>
        <item x="776"/>
        <item m="1" x="4406"/>
        <item x="777"/>
        <item m="1" x="4188"/>
        <item m="1" x="4190"/>
        <item m="1" x="4193"/>
        <item m="1" x="3594"/>
        <item m="1" x="4540"/>
        <item m="1" x="4045"/>
        <item x="740"/>
        <item m="1" x="3486"/>
        <item m="1" x="3491"/>
        <item m="1" x="3493"/>
        <item m="1" x="3494"/>
        <item m="1" x="3496"/>
        <item m="1" x="5686"/>
        <item m="1" x="5690"/>
        <item m="1" x="5694"/>
        <item m="1" x="5696"/>
        <item m="1" x="6083"/>
        <item m="1" x="6087"/>
        <item m="1" x="6090"/>
        <item m="1" x="4476"/>
        <item m="1" x="5401"/>
        <item m="1" x="5404"/>
        <item m="1" x="5409"/>
        <item m="1" x="5413"/>
        <item m="1" x="5487"/>
        <item x="748"/>
        <item x="774"/>
        <item m="1" x="5552"/>
        <item m="1" x="5930"/>
        <item m="1" x="5932"/>
        <item m="1" x="5933"/>
        <item m="1" x="5936"/>
        <item m="1" x="5938"/>
        <item x="768"/>
        <item x="773"/>
        <item m="1" x="6229"/>
        <item m="1" x="7859"/>
        <item m="1" x="7862"/>
        <item m="1" x="7864"/>
        <item m="1" x="7865"/>
        <item m="1" x="2667"/>
        <item x="775"/>
        <item x="786"/>
        <item m="1" x="6103"/>
        <item m="1" x="5154"/>
        <item m="1" x="5158"/>
        <item m="1" x="5162"/>
        <item m="1" x="6901"/>
        <item m="1" x="6905"/>
        <item m="1" x="6748"/>
        <item m="1" x="6435"/>
        <item m="1" x="6041"/>
        <item x="778"/>
        <item x="779"/>
        <item x="781"/>
        <item m="1" x="6581"/>
        <item x="780"/>
        <item m="1" x="6091"/>
        <item m="1" x="6094"/>
        <item m="1" x="6096"/>
        <item m="1" x="6098"/>
        <item x="771"/>
        <item x="782"/>
        <item x="796"/>
        <item x="842"/>
        <item x="783"/>
        <item m="1" x="6486"/>
        <item m="1" x="6490"/>
        <item m="1" x="6494"/>
        <item m="1" x="6500"/>
        <item m="1" x="6502"/>
        <item x="793"/>
        <item x="800"/>
        <item x="815"/>
        <item x="825"/>
        <item x="843"/>
        <item m="1" x="4876"/>
        <item m="1" x="5368"/>
        <item m="1" x="4216"/>
        <item m="1" x="4220"/>
        <item m="1" x="4226"/>
        <item m="1" x="4227"/>
        <item m="1" x="4229"/>
        <item x="789"/>
        <item x="794"/>
        <item m="1" x="2537"/>
        <item m="1" x="2541"/>
        <item m="1" x="2543"/>
        <item m="1" x="2546"/>
        <item m="1" x="2551"/>
        <item m="1" x="3058"/>
        <item m="1" x="3158"/>
        <item m="1" x="3160"/>
        <item m="1" x="4766"/>
        <item m="1" x="4774"/>
        <item m="1" x="5707"/>
        <item m="1" x="5708"/>
        <item m="1" x="5713"/>
        <item m="1" x="5717"/>
        <item m="1" x="4259"/>
        <item m="1" x="7762"/>
        <item m="1" x="7830"/>
        <item m="1" x="7832"/>
        <item m="1" x="7836"/>
        <item m="1" x="7838"/>
        <item m="1" x="7842"/>
        <item m="1" x="6580"/>
        <item m="1" x="6583"/>
        <item x="784"/>
        <item x="788"/>
        <item x="791"/>
        <item x="803"/>
        <item m="1" x="7735"/>
        <item m="1" x="7738"/>
        <item m="1" x="7740"/>
        <item m="1" x="3910"/>
        <item m="1" x="3912"/>
        <item m="1" x="3915"/>
        <item m="1" x="4787"/>
        <item m="1" x="5862"/>
        <item m="1" x="5864"/>
        <item m="1" x="5865"/>
        <item m="1" x="3744"/>
        <item m="1" x="3746"/>
        <item m="1" x="3749"/>
        <item m="1" x="5908"/>
        <item m="1" x="3226"/>
        <item m="1" x="3229"/>
        <item m="1" x="3233"/>
        <item m="1" x="3236"/>
        <item x="792"/>
        <item m="1" x="7444"/>
        <item m="1" x="7449"/>
        <item m="1" x="7456"/>
        <item x="830"/>
        <item x="879"/>
        <item m="1" x="6197"/>
        <item m="1" x="7457"/>
        <item m="1" x="4975"/>
        <item x="787"/>
        <item x="801"/>
        <item x="785"/>
        <item x="790"/>
        <item x="795"/>
        <item x="806"/>
        <item m="1" x="5631"/>
        <item m="1" x="5635"/>
        <item m="1" x="7356"/>
        <item m="1" x="7034"/>
        <item m="1" x="3972"/>
        <item x="802"/>
        <item x="817"/>
        <item x="829"/>
        <item x="844"/>
        <item m="1" x="2527"/>
        <item m="1" x="2530"/>
        <item m="1" x="2532"/>
        <item m="1" x="6875"/>
        <item m="1" x="5604"/>
        <item m="1" x="5609"/>
        <item m="1" x="5613"/>
        <item m="1" x="5617"/>
        <item m="1" x="5257"/>
        <item m="1" x="5261"/>
        <item m="1" x="5264"/>
        <item m="1" x="5269"/>
        <item x="814"/>
        <item m="1" x="2355"/>
        <item m="1" x="2361"/>
        <item m="1" x="3928"/>
        <item x="805"/>
        <item x="822"/>
        <item x="835"/>
        <item m="1" x="4595"/>
        <item m="1" x="4597"/>
        <item m="1" x="4599"/>
        <item x="812"/>
        <item x="826"/>
        <item m="1" x="5829"/>
        <item m="1" x="5834"/>
        <item m="1" x="5837"/>
        <item m="1" x="5842"/>
        <item x="820"/>
        <item x="851"/>
        <item x="845"/>
        <item x="858"/>
        <item x="869"/>
        <item x="846"/>
        <item x="860"/>
        <item x="870"/>
        <item m="1" x="3609"/>
        <item m="1" x="6556"/>
        <item x="839"/>
        <item x="863"/>
        <item x="855"/>
        <item x="866"/>
        <item x="873"/>
        <item x="831"/>
        <item x="849"/>
        <item x="856"/>
        <item x="867"/>
        <item x="874"/>
        <item m="1" x="4784"/>
        <item m="1" x="3716"/>
        <item m="1" x="4543"/>
        <item m="1" x="5336"/>
        <item m="1" x="5338"/>
        <item m="1" x="5341"/>
        <item m="1" x="5344"/>
        <item m="1" x="3367"/>
        <item m="1" x="4152"/>
        <item m="1" x="3608"/>
        <item m="1" x="3847"/>
        <item m="1" x="6342"/>
        <item m="1" x="7480"/>
        <item m="1" x="7923"/>
        <item m="1" x="5972"/>
        <item x="886"/>
        <item x="883"/>
        <item m="1" x="5754"/>
        <item x="884"/>
        <item x="881"/>
        <item x="887"/>
        <item x="892"/>
        <item m="1" x="2349"/>
        <item x="889"/>
        <item x="885"/>
        <item x="893"/>
        <item m="1" x="3371"/>
        <item m="1" x="3372"/>
        <item m="1" x="3373"/>
        <item x="882"/>
        <item x="890"/>
        <item m="1" x="7329"/>
        <item m="1" x="2437"/>
        <item x="900"/>
        <item m="1" x="5044"/>
        <item x="891"/>
        <item x="901"/>
        <item m="1" x="5036"/>
        <item x="894"/>
        <item x="895"/>
        <item m="1" x="2295"/>
        <item m="1" x="3028"/>
        <item m="1" x="3094"/>
        <item m="1" x="3917"/>
        <item m="1" x="3488"/>
        <item x="888"/>
        <item x="899"/>
        <item x="906"/>
        <item m="1" x="4970"/>
        <item m="1" x="4973"/>
        <item m="1" x="4976"/>
        <item m="1" x="3528"/>
        <item m="1" x="3534"/>
        <item m="1" x="3539"/>
        <item m="1" x="2475"/>
        <item m="1" x="2479"/>
        <item m="1" x="2398"/>
        <item x="902"/>
        <item x="896"/>
        <item x="907"/>
        <item x="897"/>
        <item x="908"/>
        <item m="1" x="7881"/>
        <item m="1" x="7884"/>
        <item m="1" x="7888"/>
        <item m="1" x="3954"/>
        <item x="904"/>
        <item x="920"/>
        <item x="909"/>
        <item m="1" x="3325"/>
        <item m="1" x="3328"/>
        <item m="1" x="3332"/>
        <item x="903"/>
        <item x="911"/>
        <item x="914"/>
        <item m="1" x="4339"/>
        <item m="1" x="4344"/>
        <item m="1" x="7380"/>
        <item m="1" x="7384"/>
        <item m="1" x="6783"/>
        <item m="1" x="6785"/>
        <item m="1" x="6786"/>
        <item m="1" x="6063"/>
        <item m="1" x="6067"/>
        <item m="1" x="5711"/>
        <item m="1" x="5715"/>
        <item m="1" x="5721"/>
        <item m="1" x="6296"/>
        <item x="919"/>
        <item x="934"/>
        <item m="1" x="3166"/>
        <item m="1" x="6512"/>
        <item m="1" x="6515"/>
        <item m="1" x="6519"/>
        <item m="1" x="6524"/>
        <item m="1" x="6528"/>
        <item x="898"/>
        <item x="910"/>
        <item m="1" x="5628"/>
        <item m="1" x="5630"/>
        <item m="1" x="7928"/>
        <item m="1" x="6256"/>
        <item m="1" x="6259"/>
        <item x="912"/>
        <item x="905"/>
        <item x="913"/>
        <item x="915"/>
        <item m="1" x="3800"/>
        <item m="1" x="5575"/>
        <item m="1" x="2690"/>
        <item m="1" x="2694"/>
        <item m="1" x="2696"/>
        <item x="926"/>
        <item m="1" x="7850"/>
        <item m="1" x="3638"/>
        <item m="1" x="4022"/>
        <item m="1" x="2849"/>
        <item m="1" x="7990"/>
        <item m="1" x="3597"/>
        <item x="916"/>
        <item m="1" x="4990"/>
        <item m="1" x="3854"/>
        <item m="1" x="3857"/>
        <item m="1" x="3329"/>
        <item m="1" x="3333"/>
        <item m="1" x="3336"/>
        <item m="1" x="5835"/>
        <item m="1" x="6045"/>
        <item m="1" x="6482"/>
        <item x="923"/>
        <item m="1" x="3612"/>
        <item m="1" x="4031"/>
        <item m="1" x="4751"/>
        <item m="1" x="4752"/>
        <item m="1" x="4697"/>
        <item m="1" x="3198"/>
        <item m="1" x="2614"/>
        <item m="1" x="4310"/>
        <item m="1" x="6567"/>
        <item m="1" x="5909"/>
        <item m="1" x="6890"/>
        <item m="1" x="7935"/>
        <item m="1" x="5340"/>
        <item m="1" x="5040"/>
        <item m="1" x="4195"/>
        <item m="1" x="6413"/>
        <item m="1" x="3048"/>
        <item m="1" x="7942"/>
        <item x="927"/>
        <item m="1" x="7637"/>
        <item m="1" x="6371"/>
        <item x="931"/>
        <item m="1" x="2239"/>
        <item m="1" x="2243"/>
        <item m="1" x="2245"/>
        <item m="1" x="7278"/>
        <item m="1" x="7279"/>
        <item m="1" x="3803"/>
        <item m="1" x="3379"/>
        <item m="1" x="4854"/>
        <item m="1" x="5240"/>
        <item m="1" x="6767"/>
        <item m="1" x="2930"/>
        <item m="1" x="2627"/>
        <item m="1" x="7718"/>
        <item m="1" x="7453"/>
        <item m="1" x="5867"/>
        <item m="1" x="5871"/>
        <item m="1" x="3392"/>
        <item m="1" x="3251"/>
        <item m="1" x="7267"/>
        <item m="1" x="6922"/>
        <item m="1" x="6656"/>
        <item m="1" x="7423"/>
        <item m="1" x="7426"/>
        <item m="1" x="7428"/>
        <item m="1" x="7431"/>
        <item m="1" x="7434"/>
        <item m="1" x="7437"/>
        <item m="1" x="7441"/>
        <item m="1" x="7445"/>
        <item m="1" x="7450"/>
        <item m="1" x="2744"/>
        <item m="1" x="5826"/>
        <item m="1" x="6916"/>
        <item m="1" x="2577"/>
        <item x="940"/>
        <item m="1" x="6951"/>
        <item m="1" x="4793"/>
        <item m="1" x="4796"/>
        <item x="921"/>
        <item x="933"/>
        <item x="944"/>
        <item m="1" x="4244"/>
        <item x="930"/>
        <item m="1" x="7135"/>
        <item m="1" x="7357"/>
        <item m="1" x="7362"/>
        <item m="1" x="7366"/>
        <item m="1" x="7036"/>
        <item m="1" x="7040"/>
        <item m="1" x="5857"/>
        <item m="1" x="7539"/>
        <item m="1" x="7274"/>
        <item m="1" x="7275"/>
        <item m="1" x="7277"/>
        <item m="1" x="2902"/>
        <item m="1" x="2376"/>
        <item x="943"/>
        <item m="1" x="6484"/>
        <item x="946"/>
        <item x="924"/>
        <item x="935"/>
        <item m="1" x="6547"/>
        <item m="1" x="3500"/>
        <item m="1" x="4083"/>
        <item m="1" x="4087"/>
        <item m="1" x="4090"/>
        <item m="1" x="5992"/>
        <item m="1" x="5994"/>
        <item m="1" x="3155"/>
        <item m="1" x="5622"/>
        <item m="1" x="5104"/>
        <item m="1" x="7820"/>
        <item m="1" x="7822"/>
        <item m="1" x="4646"/>
        <item m="1" x="7295"/>
        <item m="1" x="2350"/>
        <item m="1" x="2415"/>
        <item m="1" x="2834"/>
        <item x="922"/>
        <item x="936"/>
        <item x="945"/>
        <item m="1" x="5931"/>
        <item m="1" x="4955"/>
        <item m="1" x="3252"/>
        <item m="1" x="6477"/>
        <item m="1" x="2658"/>
        <item m="1" x="3632"/>
        <item m="1" x="2701"/>
        <item m="1" x="7000"/>
        <item m="1" x="7592"/>
        <item m="1" x="5305"/>
        <item m="1" x="5312"/>
        <item m="1" x="4700"/>
        <item m="1" x="7293"/>
        <item m="1" x="6693"/>
        <item m="1" x="6375"/>
        <item m="1" x="5722"/>
        <item x="937"/>
        <item m="1" x="3610"/>
        <item m="1" x="3613"/>
        <item x="925"/>
        <item x="938"/>
        <item x="948"/>
        <item x="932"/>
        <item x="941"/>
        <item x="947"/>
        <item m="1" x="3737"/>
        <item m="1" x="3738"/>
        <item m="1" x="3741"/>
        <item m="1" x="3431"/>
        <item m="1" x="3434"/>
        <item m="1" x="3437"/>
        <item m="1" x="3440"/>
        <item m="1" x="3441"/>
        <item m="1" x="7685"/>
        <item m="1" x="7692"/>
        <item m="1" x="4231"/>
        <item m="1" x="7803"/>
        <item m="1" x="7809"/>
        <item m="1" x="3090"/>
        <item m="1" x="3197"/>
        <item m="1" x="5134"/>
        <item m="1" x="7103"/>
        <item m="1" x="7106"/>
        <item m="1" x="7465"/>
        <item m="1" x="7469"/>
        <item m="1" x="7136"/>
        <item m="1" x="7138"/>
        <item m="1" x="7954"/>
        <item m="1" x="2631"/>
        <item m="1" x="2634"/>
        <item m="1" x="7282"/>
        <item m="1" x="6943"/>
        <item m="1" x="6365"/>
        <item m="1" x="6048"/>
        <item m="1" x="3324"/>
        <item m="1" x="4529"/>
        <item m="1" x="4534"/>
        <item m="1" x="3131"/>
        <item m="1" x="3307"/>
        <item m="1" x="3310"/>
        <item m="1" x="3314"/>
        <item m="1" x="2870"/>
        <item m="1" x="2874"/>
        <item m="1" x="2877"/>
        <item m="1" x="7967"/>
        <item m="1" x="3018"/>
        <item m="1" x="5960"/>
        <item m="1" x="6421"/>
        <item m="1" x="5123"/>
        <item m="1" x="3072"/>
        <item m="1" x="7891"/>
        <item m="1" x="7894"/>
        <item m="1" x="4242"/>
        <item m="1" x="7808"/>
        <item m="1" x="3984"/>
        <item x="917"/>
        <item x="928"/>
        <item x="939"/>
        <item m="1" x="6554"/>
        <item x="918"/>
        <item x="929"/>
        <item x="942"/>
        <item m="1" x="7920"/>
        <item m="1" x="7348"/>
        <item m="1" x="2454"/>
        <item m="1" x="3656"/>
        <item m="1" x="2890"/>
        <item m="1" x="2600"/>
        <item m="1" x="2602"/>
        <item m="1" x="6248"/>
        <item m="1" x="5661"/>
        <item m="1" x="5666"/>
        <item m="1" x="7314"/>
        <item m="1" x="4138"/>
        <item m="1" x="3151"/>
        <item m="1" x="3153"/>
        <item m="1" x="3742"/>
        <item m="1" x="2575"/>
        <item m="1" x="4123"/>
        <item m="1" x="7498"/>
        <item m="1" x="4945"/>
        <item m="1" x="3421"/>
        <item m="1" x="2882"/>
        <item m="1" x="2887"/>
        <item m="1" x="5877"/>
        <item m="1" x="3825"/>
        <item m="1" x="5125"/>
        <item m="1" x="4513"/>
        <item m="1" x="4847"/>
        <item m="1" x="4851"/>
        <item m="1" x="7337"/>
        <item m="1" x="7341"/>
        <item m="1" x="5429"/>
        <item m="1" x="7831"/>
        <item m="1" x="3380"/>
        <item m="1" x="3382"/>
        <item m="1" x="7369"/>
        <item m="1" x="5275"/>
        <item m="1" x="7350"/>
        <item m="1" x="7352"/>
        <item m="1" x="2893"/>
        <item m="1" x="4938"/>
        <item m="1" x="2347"/>
        <item m="1" x="7229"/>
        <item m="1" x="7634"/>
        <item m="1" x="6425"/>
        <item m="1" x="3248"/>
        <item m="1" x="2558"/>
        <item m="1" x="2915"/>
        <item m="1" x="4678"/>
        <item m="1" x="5249"/>
        <item m="1" x="4391"/>
        <item m="1" x="3205"/>
        <item m="1" x="3209"/>
        <item m="1" x="3215"/>
        <item m="1" x="2403"/>
        <item m="1" x="2408"/>
        <item m="1" x="5345"/>
        <item m="1" x="4951"/>
        <item m="1" x="6931"/>
        <item m="1" x="2540"/>
        <item m="1" x="2220"/>
        <item m="1" x="4741"/>
        <item m="1" x="6114"/>
        <item m="1" x="6561"/>
        <item m="1" x="5163"/>
        <item m="1" x="5168"/>
        <item m="1" x="5171"/>
        <item m="1" x="7134"/>
        <item m="1" x="7924"/>
        <item m="1" x="6047"/>
        <item m="1" x="3504"/>
        <item m="1" x="5764"/>
        <item m="1" x="4801"/>
        <item m="1" x="4556"/>
        <item m="1" x="4268"/>
        <item m="1" x="4271"/>
        <item m="1" x="2460"/>
        <item m="1" x="6913"/>
        <item m="1" x="7240"/>
        <item m="1" x="4817"/>
        <item m="1" x="4213"/>
        <item m="1" x="3621"/>
        <item m="1" x="2780"/>
        <item m="1" x="2782"/>
        <item m="1" x="3200"/>
        <item m="1" x="2918"/>
        <item m="1" x="6839"/>
        <item m="1" x="6551"/>
        <item m="1" x="6557"/>
        <item m="1" x="6954"/>
        <item m="1" x="6958"/>
        <item m="1" x="6694"/>
        <item m="1" x="6700"/>
        <item m="1" x="6377"/>
        <item m="1" x="6381"/>
        <item m="1" x="6072"/>
        <item m="1" x="6077"/>
        <item m="1" x="3356"/>
        <item m="1" x="7619"/>
        <item m="1" x="7625"/>
        <item m="1" x="4024"/>
        <item m="1" x="6823"/>
        <item m="1" x="5755"/>
        <item m="1" x="6326"/>
        <item m="1" x="3038"/>
        <item m="1" x="6225"/>
        <item m="1" x="4373"/>
        <item m="1" x="4377"/>
        <item m="1" x="3627"/>
        <item m="1" x="3628"/>
        <item m="1" x="6427"/>
        <item m="1" x="3327"/>
        <item m="1" x="3330"/>
        <item m="1" x="3335"/>
        <item m="1" x="3337"/>
        <item m="1" x="3342"/>
        <item m="1" x="3346"/>
        <item m="1" x="3349"/>
        <item m="1" x="3353"/>
        <item m="1" x="2231"/>
        <item m="1" x="2979"/>
        <item m="1" x="3100"/>
        <item m="1" x="4390"/>
        <item m="1" x="4073"/>
        <item m="1" x="6662"/>
        <item m="1" x="6666"/>
        <item m="1" x="2873"/>
        <item m="1" x="3212"/>
        <item m="1" x="2461"/>
        <item m="1" x="4514"/>
        <item m="1" x="3988"/>
        <item m="1" x="4630"/>
        <item m="1" x="3438"/>
        <item m="1" x="5577"/>
        <item m="1" x="7997"/>
        <item m="1" x="7317"/>
        <item m="1" x="6366"/>
        <item m="1" x="2805"/>
        <item m="1" x="3718"/>
        <item m="1" x="2578"/>
        <item m="1" x="7158"/>
        <item m="1" x="2734"/>
        <item m="1" x="3871"/>
        <item m="1" x="7174"/>
        <item m="1" x="7178"/>
        <item m="1" x="7180"/>
        <item m="1" x="7183"/>
        <item m="1" x="3944"/>
        <item m="1" x="7502"/>
        <item m="1" x="5669"/>
        <item m="1" x="5107"/>
        <item m="1" x="7146"/>
        <item m="1" x="4049"/>
        <item m="1" x="5065"/>
        <item m="1" x="4261"/>
        <item m="1" x="3589"/>
        <item m="1" x="3323"/>
        <item m="1" x="3075"/>
        <item m="1" x="2762"/>
        <item m="1" x="2464"/>
        <item m="1" x="3125"/>
        <item m="1" x="2935"/>
        <item m="1" x="4725"/>
        <item m="1" x="4479"/>
        <item m="1" x="4162"/>
        <item m="1" x="3888"/>
        <item m="1" x="3579"/>
        <item m="1" x="3312"/>
        <item m="1" x="3063"/>
        <item m="1" x="2752"/>
        <item m="1" x="7048"/>
        <item m="1" x="6770"/>
        <item m="1" x="6451"/>
        <item m="1" x="6176"/>
        <item m="1" x="5810"/>
        <item m="1" x="5477"/>
        <item m="1" x="5161"/>
        <item m="1" x="4838"/>
        <item m="1" x="4587"/>
        <item m="1" x="4299"/>
        <item m="1" x="4007"/>
        <item m="1" x="3722"/>
        <item m="1" x="3419"/>
        <item x="17"/>
        <item m="1" x="7599"/>
        <item m="1" x="7259"/>
        <item m="1" x="6917"/>
        <item m="1" x="6649"/>
        <item m="1" x="6337"/>
        <item m="1" x="6006"/>
        <item m="1" x="5676"/>
        <item m="1" x="5333"/>
        <item m="1" x="5031"/>
        <item m="1" x="4733"/>
        <item m="1" x="5597"/>
        <item m="1" x="5255"/>
        <item m="1" x="4952"/>
        <item m="1" x="7572"/>
        <item m="1" x="5201"/>
        <item m="1" x="4897"/>
        <item m="1" x="5937"/>
        <item m="1" x="5272"/>
        <item m="1" x="4967"/>
        <item m="1" x="4685"/>
        <item m="1" x="7022"/>
        <item m="1" x="2687"/>
        <item m="1" x="2391"/>
        <item m="1" x="4729"/>
        <item m="1" x="7741"/>
        <item m="1" x="7381"/>
        <item m="1" x="7056"/>
        <item m="1" x="4137"/>
        <item m="1" x="3846"/>
        <item m="1" x="3551"/>
        <item m="1" x="3296"/>
        <item m="1" x="3036"/>
        <item m="1" x="2722"/>
        <item m="1" x="2428"/>
        <item m="1" x="5370"/>
        <item m="1" x="5068"/>
        <item m="1" x="4753"/>
        <item m="1" x="4506"/>
        <item m="1" x="4218"/>
        <item m="1" x="3916"/>
        <item m="1" x="3634"/>
        <item m="1" x="3362"/>
        <item m="1" x="3097"/>
        <item m="1" x="2795"/>
        <item m="1" x="6754"/>
        <item m="1" x="6433"/>
        <item m="1" x="6153"/>
        <item m="1" x="5787"/>
        <item m="1" x="5458"/>
        <item m="1" x="5144"/>
        <item m="1" x="4820"/>
        <item m="1" x="4576"/>
        <item m="1" x="4276"/>
        <item m="1" x="3994"/>
        <item m="1" x="7785"/>
        <item m="1" x="7443"/>
        <item m="1" x="7123"/>
        <item m="1" x="6824"/>
        <item m="1" x="6521"/>
        <item m="1" x="6216"/>
        <item m="1" x="5873"/>
        <item m="1" x="2392"/>
        <item m="1" x="2473"/>
        <item m="1" x="2309"/>
        <item m="1" x="4780"/>
        <item m="1" x="3636"/>
        <item m="1" x="6607"/>
        <item m="1" x="3206"/>
        <item m="1" x="2920"/>
        <item m="1" x="2317"/>
        <item m="1" x="7717"/>
        <item m="1" x="7358"/>
        <item m="1" x="4432"/>
        <item m="1" x="7773"/>
        <item m="1" x="7110"/>
        <item m="1" x="6806"/>
        <item m="1" x="6205"/>
        <item m="1" x="5847"/>
        <item m="1" x="5528"/>
        <item x="3"/>
        <item x="7"/>
        <item x="10"/>
        <item x="12"/>
        <item x="14"/>
        <item x="16"/>
        <item x="19"/>
        <item x="6"/>
        <item x="9"/>
        <item x="5"/>
        <item x="2"/>
        <item x="1"/>
        <item x="4"/>
        <item x="8"/>
        <item x="11"/>
        <item x="13"/>
        <item x="15"/>
        <item x="18"/>
        <item x="20"/>
        <item x="21"/>
        <item x="24"/>
        <item x="25"/>
        <item x="26"/>
        <item x="0"/>
        <item x="36"/>
        <item x="35"/>
        <item x="34"/>
        <item x="33"/>
        <item x="32"/>
        <item x="31"/>
        <item x="30"/>
        <item x="29"/>
        <item x="28"/>
        <item x="27"/>
        <item m="1" x="4811"/>
        <item m="1" x="7922"/>
        <item m="1" x="6092"/>
        <item m="1" x="7025"/>
        <item m="1" x="5860"/>
        <item m="1" x="3077"/>
        <item m="1" x="4097"/>
        <item m="1" x="6363"/>
        <item m="1" x="4536"/>
        <item m="1" x="7155"/>
        <item m="1" x="2866"/>
        <item m="1" x="5311"/>
        <item m="1" x="3139"/>
        <item m="1" x="5612"/>
        <item m="1" x="5858"/>
        <item m="1" x="6609"/>
        <item m="1" x="2319"/>
        <item x="2188"/>
        <item x="949"/>
        <item m="1" x="3435"/>
        <item m="1" x="7193"/>
        <item m="1" x="6335"/>
        <item m="1" x="2608"/>
        <item m="1" x="2293"/>
        <item m="1" x="2921"/>
        <item m="1" x="2843"/>
        <item m="1" x="2785"/>
        <item m="1" x="6430"/>
        <item m="1" x="6822"/>
        <item x="950"/>
        <item m="1" x="2894"/>
        <item m="1" x="2965"/>
        <item m="1" x="7186"/>
        <item m="1" x="2891"/>
        <item m="1" x="6672"/>
        <item m="1" x="2876"/>
        <item m="1" x="4516"/>
        <item m="1" x="6142"/>
        <item m="1" x="5182"/>
        <item m="1" x="4054"/>
        <item m="1" x="5765"/>
        <item m="1" x="7108"/>
        <item m="1" x="7839"/>
        <item m="1" x="4415"/>
        <item m="1" x="4676"/>
        <item x="951"/>
        <item x="952"/>
        <item x="953"/>
        <item x="954"/>
        <item m="1" x="4490"/>
        <item m="1" x="6046"/>
        <item m="1" x="7280"/>
        <item m="1" x="2969"/>
        <item m="1" x="3383"/>
        <item m="1" x="2219"/>
        <item m="1" x="3317"/>
        <item m="1" x="4903"/>
        <item m="1" x="2881"/>
        <item m="1" x="4639"/>
        <item m="1" x="6328"/>
        <item m="1" x="5342"/>
        <item m="1" x="3444"/>
        <item x="955"/>
        <item x="956"/>
        <item m="1" x="7898"/>
        <item m="1" x="7197"/>
        <item m="1" x="6338"/>
        <item m="1" x="5445"/>
        <item m="1" x="5127"/>
        <item m="1" x="4799"/>
        <item m="1" x="4142"/>
        <item m="1" x="6379"/>
        <item m="1" x="3792"/>
        <item m="1" x="2899"/>
        <item m="1" x="6074"/>
        <item m="1" x="4205"/>
        <item m="1" x="5374"/>
        <item m="1" x="2495"/>
        <item m="1" x="5725"/>
        <item m="1" x="3357"/>
        <item x="957"/>
        <item m="1" x="2867"/>
        <item m="1" x="4059"/>
        <item m="1" x="2788"/>
        <item m="1" x="4383"/>
        <item m="1" x="3104"/>
        <item m="1" x="3199"/>
        <item m="1" x="6750"/>
        <item m="1" x="6940"/>
        <item m="1" x="7628"/>
        <item m="1" x="6683"/>
        <item m="1" x="2975"/>
        <item x="958"/>
        <item m="1" x="2895"/>
        <item m="1" x="6675"/>
        <item m="1" x="2879"/>
        <item m="1" x="4519"/>
        <item m="1" x="7699"/>
        <item m="1" x="7927"/>
        <item m="1" x="2484"/>
        <item m="1" x="4551"/>
        <item m="1" x="3948"/>
        <item m="1" x="6578"/>
        <item m="1" x="3807"/>
        <item m="1" x="5050"/>
        <item m="1" x="5071"/>
        <item m="1" x="3258"/>
        <item m="1" x="5743"/>
        <item m="1" x="3319"/>
        <item m="1" x="6049"/>
        <item m="1" x="4906"/>
        <item m="1" x="7233"/>
        <item m="1" x="2886"/>
        <item m="1" x="7283"/>
        <item m="1" x="4641"/>
        <item m="1" x="4272"/>
        <item m="1" x="2446"/>
        <item m="1" x="3385"/>
        <item m="1" x="2823"/>
        <item m="1" x="4098"/>
        <item m="1" x="6706"/>
        <item m="1" x="3247"/>
        <item x="959"/>
        <item x="960"/>
        <item m="1" x="4387"/>
        <item m="1" x="6190"/>
        <item m="1" x="3796"/>
        <item x="961"/>
        <item m="1" x="5716"/>
        <item m="1" x="7201"/>
        <item m="1" x="6339"/>
        <item m="1" x="2845"/>
        <item m="1" x="2582"/>
        <item m="1" x="2791"/>
        <item m="1" x="3202"/>
        <item m="1" x="6434"/>
        <item m="1" x="6826"/>
        <item m="1" x="7743"/>
        <item m="1" x="6687"/>
        <item m="1" x="6137"/>
        <item x="962"/>
        <item m="1" x="7198"/>
        <item m="1" x="2900"/>
        <item m="1" x="6679"/>
        <item m="1" x="2883"/>
        <item m="1" x="2688"/>
        <item m="1" x="2998"/>
        <item m="1" x="6740"/>
        <item m="1" x="7976"/>
        <item m="1" x="6412"/>
        <item m="1" x="5583"/>
        <item m="1" x="2548"/>
        <item m="1" x="2274"/>
        <item m="1" x="5463"/>
        <item m="1" x="3162"/>
        <item m="1" x="5964"/>
        <item m="1" x="5683"/>
        <item m="1" x="4747"/>
        <item m="1" x="2622"/>
        <item x="963"/>
        <item x="964"/>
        <item x="965"/>
        <item x="966"/>
        <item m="1" x="4522"/>
        <item m="1" x="4867"/>
        <item m="1" x="5548"/>
        <item m="1" x="7931"/>
        <item m="1" x="2488"/>
        <item m="1" x="7694"/>
        <item m="1" x="5876"/>
        <item m="1" x="2533"/>
        <item m="1" x="2671"/>
        <item m="1" x="5175"/>
        <item m="1" x="6053"/>
        <item m="1" x="5640"/>
        <item m="1" x="6612"/>
        <item m="1" x="5139"/>
        <item m="1" x="3515"/>
        <item m="1" x="7202"/>
        <item m="1" x="5258"/>
        <item m="1" x="5407"/>
        <item m="1" x="2222"/>
        <item m="1" x="2528"/>
        <item m="1" x="4562"/>
        <item m="1" x="4448"/>
        <item m="1" x="7631"/>
        <item m="1" x="2330"/>
        <item m="1" x="6050"/>
        <item m="1" x="2847"/>
        <item m="1" x="6308"/>
        <item m="1" x="4287"/>
        <item m="1" x="6618"/>
        <item m="1" x="4995"/>
        <item m="1" x="7305"/>
        <item m="1" x="7597"/>
        <item m="1" x="2624"/>
        <item m="1" x="4872"/>
        <item m="1" x="2467"/>
        <item m="1" x="2741"/>
        <item m="1" x="4507"/>
        <item m="1" x="5181"/>
        <item m="1" x="5580"/>
        <item m="1" x="7728"/>
        <item m="1" x="3743"/>
        <item m="1" x="7242"/>
        <item m="1" x="6140"/>
        <item m="1" x="5217"/>
        <item m="1" x="5547"/>
        <item m="1" x="6116"/>
        <item x="967"/>
        <item m="1" x="5113"/>
        <item m="1" x="5916"/>
        <item m="1" x="2985"/>
        <item m="1" x="6621"/>
        <item m="1" x="5020"/>
        <item m="1" x="7269"/>
        <item m="1" x="3023"/>
        <item m="1" x="5072"/>
        <item m="1" x="6723"/>
        <item m="1" x="7745"/>
        <item m="1" x="4744"/>
        <item m="1" x="4275"/>
        <item m="1" x="7645"/>
        <item m="1" x="6988"/>
        <item m="1" x="5746"/>
        <item m="1" x="2287"/>
        <item m="1" x="4802"/>
        <item m="1" x="3540"/>
        <item m="1" x="3797"/>
        <item m="1" x="5075"/>
        <item m="1" x="6261"/>
        <item m="1" x="4559"/>
        <item m="1" x="3858"/>
        <item m="1" x="5966"/>
        <item m="1" x="7300"/>
        <item m="1" x="3584"/>
        <item x="968"/>
        <item m="1" x="7207"/>
        <item m="1" x="2903"/>
        <item m="1" x="2794"/>
        <item m="1" x="6682"/>
        <item m="1" x="2971"/>
        <item m="1" x="4029"/>
        <item m="1" x="4110"/>
        <item m="1" x="3208"/>
        <item m="1" x="6720"/>
        <item m="1" x="4078"/>
        <item m="1" x="3530"/>
        <item m="1" x="7895"/>
        <item m="1" x="4548"/>
        <item m="1" x="5687"/>
        <item m="1" x="5578"/>
        <item m="1" x="3533"/>
        <item m="1" x="4382"/>
        <item m="1" x="2217"/>
        <item m="1" x="4451"/>
        <item m="1" x="5111"/>
        <item m="1" x="6387"/>
        <item m="1" x="2896"/>
        <item m="1" x="6180"/>
        <item m="1" x="4515"/>
        <item m="1" x="7144"/>
        <item m="1" x="7346"/>
        <item m="1" x="4378"/>
        <item m="1" x="3463"/>
        <item m="1" x="6084"/>
        <item m="1" x="2356"/>
        <item m="1" x="4748"/>
        <item m="1" x="2628"/>
        <item m="1" x="3999"/>
        <item m="1" x="4877"/>
        <item m="1" x="7021"/>
        <item m="1" x="3923"/>
        <item m="1" x="3462"/>
        <item m="1" x="5647"/>
        <item m="1" x="2336"/>
        <item m="1" x="4093"/>
        <item m="1" x="7243"/>
        <item m="1" x="3030"/>
        <item m="1" x="6663"/>
        <item m="1" x="5525"/>
        <item m="1" x="7812"/>
        <item m="1" x="7858"/>
        <item m="1" x="4746"/>
        <item m="1" x="2378"/>
        <item m="1" x="2492"/>
        <item m="1" x="6099"/>
        <item x="969"/>
        <item m="1" x="7951"/>
        <item m="1" x="5644"/>
        <item m="1" x="7647"/>
        <item m="1" x="6832"/>
        <item m="1" x="7689"/>
        <item x="970"/>
        <item m="1" x="5262"/>
        <item m="1" x="6234"/>
        <item m="1" x="7562"/>
        <item m="1" x="7206"/>
        <item m="1" x="3207"/>
        <item m="1" x="3281"/>
        <item m="1" x="6626"/>
        <item m="1" x="2276"/>
        <item m="1" x="2491"/>
        <item m="1" x="3416"/>
        <item m="1" x="3039"/>
        <item m="1" x="2335"/>
        <item m="1" x="5588"/>
        <item m="1" x="2729"/>
        <item m="1" x="4755"/>
        <item m="1" x="6787"/>
        <item x="971"/>
        <item x="972"/>
        <item m="1" x="7518"/>
        <item m="1" x="5199"/>
        <item m="1" x="3644"/>
        <item m="1" x="3263"/>
        <item m="1" x="4163"/>
        <item m="1" x="6144"/>
        <item m="1" x="7086"/>
        <item m="1" x="3042"/>
        <item x="973"/>
        <item m="1" x="3835"/>
        <item m="1" x="3525"/>
        <item m="1" x="5582"/>
        <item m="1" x="7731"/>
        <item m="1" x="7654"/>
        <item m="1" x="4565"/>
        <item m="1" x="6990"/>
        <item m="1" x="7248"/>
        <item m="1" x="7177"/>
        <item m="1" x="6352"/>
        <item m="1" x="4647"/>
        <item m="1" x="5642"/>
        <item m="1" x="5728"/>
        <item m="1" x="6613"/>
        <item m="1" x="6309"/>
        <item m="1" x="3519"/>
        <item m="1" x="6625"/>
        <item m="1" x="7214"/>
        <item m="1" x="5568"/>
        <item m="1" x="5411"/>
        <item m="1" x="5510"/>
        <item m="1" x="2764"/>
        <item m="1" x="2770"/>
        <item m="1" x="2801"/>
        <item m="1" x="6539"/>
        <item m="1" x="3485"/>
        <item m="1" x="5105"/>
        <item m="1" x="2926"/>
        <item m="1" x="6504"/>
        <item m="1" x="5769"/>
        <item m="1" x="7418"/>
        <item m="1" x="3585"/>
        <item m="1" x="5732"/>
        <item m="1" x="7077"/>
        <item x="974"/>
        <item m="1" x="5714"/>
        <item m="1" x="7270"/>
        <item m="1" x="5203"/>
        <item m="1" x="4157"/>
        <item m="1" x="7847"/>
        <item m="1" x="6310"/>
        <item m="1" x="7355"/>
        <item m="1" x="3276"/>
        <item m="1" x="3880"/>
        <item m="1" x="4085"/>
        <item m="1" x="6707"/>
        <item m="1" x="4707"/>
        <item m="1" x="7712"/>
        <item m="1" x="2982"/>
        <item m="1" x="4115"/>
        <item m="1" x="5266"/>
        <item m="1" x="3213"/>
        <item m="1" x="7566"/>
        <item m="1" x="7213"/>
        <item m="1" x="5691"/>
        <item m="1" x="3538"/>
        <item m="1" x="4769"/>
        <item m="1" x="7458"/>
        <item m="1" x="4285"/>
        <item m="1" x="7746"/>
        <item m="1" x="2727"/>
        <item m="1" x="5375"/>
        <item x="975"/>
        <item m="1" x="6690"/>
        <item m="1" x="4691"/>
        <item m="1" x="3305"/>
        <item m="1" x="3489"/>
        <item m="1" x="3900"/>
        <item m="1" x="2766"/>
        <item m="1" x="5943"/>
        <item m="1" x="7217"/>
        <item m="1" x="2905"/>
        <item m="1" x="5558"/>
        <item m="1" x="3536"/>
        <item m="1" x="2478"/>
        <item m="1" x="5596"/>
        <item m="1" x="5664"/>
        <item m="1" x="2787"/>
        <item m="1" x="6390"/>
        <item m="1" x="2776"/>
        <item m="1" x="2226"/>
        <item m="1" x="5999"/>
        <item m="1" x="7080"/>
        <item m="1" x="4631"/>
        <item m="1" x="3726"/>
        <item m="1" x="3818"/>
        <item m="1" x="7265"/>
        <item m="1" x="6330"/>
        <item m="1" x="2590"/>
        <item m="1" x="6001"/>
        <item m="1" x="3575"/>
        <item m="1" x="4068"/>
        <item m="1" x="5194"/>
        <item m="1" x="6665"/>
        <item m="1" x="3884"/>
        <item m="1" x="3465"/>
        <item m="1" x="5652"/>
        <item m="1" x="4232"/>
        <item m="1" x="2850"/>
        <item m="1" x="2232"/>
        <item m="1" x="7477"/>
        <item m="1" x="3883"/>
        <item m="1" x="6930"/>
        <item m="1" x="3889"/>
        <item m="1" x="2561"/>
        <item m="1" x="5205"/>
        <item m="1" x="4106"/>
        <item m="1" x="6230"/>
        <item m="1" x="5077"/>
        <item m="1" x="6095"/>
        <item m="1" x="7701"/>
        <item x="976"/>
        <item m="1" x="7209"/>
        <item m="1" x="4963"/>
        <item m="1" x="6460"/>
        <item m="1" x="5538"/>
        <item m="1" x="5748"/>
        <item m="1" x="2806"/>
        <item m="1" x="5395"/>
        <item m="1" x="6442"/>
        <item m="1" x="5002"/>
        <item m="1" x="5594"/>
        <item m="1" x="4329"/>
        <item m="1" x="3754"/>
        <item m="1" x="5045"/>
        <item m="1" x="4166"/>
        <item m="1" x="3580"/>
        <item m="1" x="4457"/>
        <item m="1" x="5768"/>
        <item m="1" x="5373"/>
        <item m="1" x="3243"/>
        <item m="1" x="2980"/>
        <item m="1" x="6835"/>
        <item m="1" x="4394"/>
        <item m="1" x="4315"/>
        <item m="1" x="5953"/>
        <item m="1" x="3172"/>
        <item m="1" x="7307"/>
        <item m="1" x="5265"/>
        <item m="1" x="2679"/>
        <item m="1" x="7697"/>
        <item m="1" x="6406"/>
        <item m="1" x="2587"/>
        <item x="977"/>
        <item x="978"/>
        <item m="1" x="5003"/>
        <item m="1" x="5770"/>
        <item m="1" x="4500"/>
        <item m="1" x="6897"/>
        <item m="1" x="4511"/>
        <item m="1" x="5459"/>
        <item m="1" x="3130"/>
        <item m="1" x="7985"/>
        <item m="1" x="2321"/>
        <item m="1" x="6163"/>
        <item m="1" x="6545"/>
        <item m="1" x="6830"/>
        <item m="1" x="7354"/>
        <item m="1" x="5645"/>
        <item m="1" x="3400"/>
        <item m="1" x="6617"/>
        <item m="1" x="7791"/>
        <item m="1" x="3523"/>
        <item m="1" x="2923"/>
        <item m="1" x="7219"/>
        <item m="1" x="7833"/>
        <item m="1" x="7071"/>
        <item m="1" x="5416"/>
        <item m="1" x="4837"/>
        <item m="1" x="2534"/>
        <item m="1" x="5897"/>
        <item m="1" x="6834"/>
        <item m="1" x="7289"/>
        <item m="1" x="2928"/>
        <item m="1" x="4264"/>
        <item m="1" x="7564"/>
        <item m="1" x="4657"/>
        <item m="1" x="4333"/>
        <item m="1" x="4164"/>
        <item m="1" x="6246"/>
        <item m="1" x="4569"/>
        <item m="1" x="7816"/>
        <item m="1" x="3840"/>
        <item m="1" x="3960"/>
        <item m="1" x="5561"/>
        <item m="1" x="6312"/>
        <item m="1" x="6631"/>
        <item m="1" x="5000"/>
        <item m="1" x="5420"/>
        <item m="1" x="5512"/>
        <item x="979"/>
        <item m="1" x="7503"/>
        <item m="1" x="5271"/>
        <item m="1" x="7573"/>
        <item m="1" x="7216"/>
        <item m="1" x="2476"/>
        <item m="1" x="2746"/>
        <item m="1" x="4822"/>
        <item m="1" x="5939"/>
        <item m="1" x="2234"/>
        <item m="1" x="5586"/>
        <item m="1" x="7733"/>
        <item m="1" x="3571"/>
        <item m="1" x="6358"/>
        <item m="1" x="5554"/>
        <item m="1" x="7252"/>
        <item m="1" x="7560"/>
        <item m="1" x="5878"/>
        <item m="1" x="2562"/>
        <item m="1" x="6724"/>
        <item m="1" x="5117"/>
        <item m="1" x="5921"/>
        <item m="1" x="2992"/>
        <item m="1" x="5700"/>
        <item m="1" x="6132"/>
        <item m="1" x="2348"/>
        <item m="1" x="2779"/>
        <item m="1" x="4047"/>
        <item m="1" x="7878"/>
        <item m="1" x="6518"/>
        <item m="1" x="2931"/>
        <item m="1" x="4326"/>
        <item m="1" x="6265"/>
        <item m="1" x="4257"/>
        <item m="1" x="2767"/>
        <item m="1" x="5112"/>
        <item m="1" x="4719"/>
        <item m="1" x="3588"/>
        <item m="1" x="5739"/>
        <item x="980"/>
        <item m="1" x="5718"/>
        <item m="1" x="5196"/>
        <item m="1" x="3881"/>
        <item m="1" x="6727"/>
        <item m="1" x="7715"/>
        <item m="1" x="6043"/>
        <item m="1" x="2816"/>
        <item m="1" x="4504"/>
        <item m="1" x="3675"/>
        <item m="1" x="3242"/>
        <item m="1" x="4786"/>
        <item m="1" x="4777"/>
        <item m="1" x="5206"/>
        <item m="1" x="6976"/>
        <item m="1" x="3029"/>
        <item m="1" x="4443"/>
        <item m="1" x="2448"/>
        <item x="981"/>
        <item m="1" x="5081"/>
        <item m="1" x="3470"/>
        <item m="1" x="5997"/>
        <item m="1" x="7050"/>
        <item m="1" x="7849"/>
        <item x="982"/>
        <item m="1" x="6395"/>
        <item m="1" x="7886"/>
        <item m="1" x="2270"/>
        <item m="1" x="6232"/>
        <item m="1" x="3483"/>
        <item m="1" x="2290"/>
        <item m="1" x="5408"/>
        <item m="1" x="6402"/>
        <item m="1" x="2228"/>
        <item m="1" x="2987"/>
        <item m="1" x="6994"/>
        <item m="1" x="4581"/>
        <item m="1" x="7084"/>
        <item m="1" x="4596"/>
        <item m="1" x="4635"/>
        <item m="1" x="3544"/>
        <item m="1" x="2381"/>
        <item m="1" x="2719"/>
        <item m="1" x="4693"/>
        <item m="1" x="4241"/>
        <item m="1" x="5861"/>
        <item m="1" x="3886"/>
        <item m="1" x="3747"/>
        <item m="1" x="4920"/>
        <item m="1" x="7349"/>
        <item m="1" x="4712"/>
        <item m="1" x="6710"/>
        <item m="1" x="3203"/>
        <item m="1" x="3067"/>
        <item m="1" x="7339"/>
        <item m="1" x="6333"/>
        <item m="1" x="3823"/>
        <item m="1" x="5352"/>
        <item m="1" x="6093"/>
        <item m="1" x="3384"/>
        <item m="1" x="5097"/>
        <item m="1" x="7998"/>
        <item m="1" x="3901"/>
        <item m="1" x="5973"/>
        <item m="1" x="7767"/>
        <item m="1" x="3359"/>
        <item m="1" x="5744"/>
        <item m="1" x="5600"/>
        <item m="1" x="2986"/>
        <item m="1" x="3578"/>
        <item m="1" x="4520"/>
        <item m="1" x="7225"/>
        <item m="1" x="4247"/>
        <item m="1" x="2907"/>
        <item m="1" x="4942"/>
        <item m="1" x="2399"/>
        <item m="1" x="3154"/>
        <item m="1" x="4120"/>
        <item m="1" x="5423"/>
        <item m="1" x="3217"/>
        <item m="1" x="6671"/>
        <item m="1" x="5028"/>
        <item m="1" x="6784"/>
        <item m="1" x="5563"/>
        <item m="1" x="4081"/>
        <item m="1" x="5655"/>
        <item m="1" x="2862"/>
        <item m="1" x="5110"/>
        <item m="1" x="6680"/>
        <item m="1" x="5256"/>
        <item m="1" x="7485"/>
        <item m="1" x="6867"/>
        <item m="1" x="3541"/>
        <item m="1" x="2933"/>
        <item m="1" x="6485"/>
        <item m="1" x="7725"/>
        <item m="1" x="7057"/>
        <item m="1" x="5004"/>
        <item m="1" x="6933"/>
        <item m="1" x="2828"/>
        <item m="1" x="6673"/>
        <item m="1" x="6463"/>
        <item m="1" x="3092"/>
        <item m="1" x="6449"/>
        <item m="1" x="3913"/>
        <item m="1" x="7861"/>
        <item m="1" x="5060"/>
        <item m="1" x="4462"/>
        <item m="1" x="2383"/>
        <item m="1" x="7208"/>
        <item m="1" x="2502"/>
        <item m="1" x="4471"/>
        <item m="1" x="5326"/>
        <item m="1" x="5379"/>
        <item m="1" x="6836"/>
        <item m="1" x="7700"/>
        <item m="1" x="2261"/>
        <item m="1" x="3843"/>
        <item m="1" x="3099"/>
        <item m="1" x="3216"/>
        <item m="1" x="3284"/>
        <item m="1" x="6992"/>
        <item m="1" x="3704"/>
        <item m="1" x="2418"/>
        <item m="1" x="3892"/>
        <item m="1" x="4109"/>
        <item m="1" x="4919"/>
        <item m="1" x="6223"/>
        <item m="1" x="2568"/>
        <item m="1" x="2686"/>
        <item m="1" x="7818"/>
        <item m="1" x="4158"/>
        <item m="1" x="6149"/>
        <item m="1" x="7377"/>
        <item m="1" x="7868"/>
        <item m="1" x="5598"/>
        <item m="1" x="5955"/>
        <item m="1" x="7323"/>
        <item m="1" x="5673"/>
        <item x="983"/>
        <item m="1" x="5277"/>
        <item m="1" x="7747"/>
        <item m="1" x="7577"/>
        <item m="1" x="7218"/>
        <item m="1" x="7359"/>
        <item m="1" x="4979"/>
        <item m="1" x="7285"/>
        <item m="1" x="3456"/>
        <item m="1" x="5209"/>
        <item x="984"/>
        <item m="1" x="5049"/>
        <item m="1" x="4169"/>
        <item m="1" x="3728"/>
        <item m="1" x="4397"/>
        <item m="1" x="5095"/>
        <item m="1" x="4317"/>
        <item m="1" x="6781"/>
        <item x="985"/>
        <item m="1" x="4055"/>
        <item m="1" x="5688"/>
        <item m="1" x="2563"/>
        <item m="1" x="4679"/>
        <item m="1" x="6962"/>
        <item m="1" x="5419"/>
        <item m="1" x="7570"/>
        <item m="1" x="4051"/>
        <item m="1" x="4623"/>
        <item m="1" x="5088"/>
        <item m="1" x="4168"/>
        <item x="986"/>
        <item m="1" x="7736"/>
        <item m="1" x="3964"/>
        <item m="1" x="5556"/>
        <item m="1" x="6523"/>
        <item m="1" x="5309"/>
        <item m="1" x="5422"/>
        <item m="1" x="7563"/>
        <item m="1" x="4721"/>
        <item m="1" x="5515"/>
        <item m="1" x="5880"/>
        <item m="1" x="2565"/>
        <item m="1" x="5130"/>
        <item x="987"/>
        <item x="988"/>
        <item m="1" x="5380"/>
        <item m="1" x="2238"/>
        <item m="1" x="3513"/>
        <item m="1" x="5212"/>
        <item m="1" x="7255"/>
        <item m="1" x="7304"/>
        <item m="1" x="4538"/>
        <item m="1" x="6628"/>
        <item m="1" x="3425"/>
        <item m="1" x="6857"/>
        <item m="1" x="7253"/>
        <item m="1" x="2990"/>
        <item m="1" x="3724"/>
        <item m="1" x="3764"/>
        <item m="1" x="5010"/>
        <item m="1" x="4251"/>
        <item m="1" x="3220"/>
        <item m="1" x="7111"/>
        <item m="1" x="3942"/>
        <item m="1" x="4782"/>
        <item x="989"/>
        <item m="1" x="6241"/>
        <item m="1" x="5354"/>
        <item m="1" x="3903"/>
        <item m="1" x="2981"/>
        <item m="1" x="2909"/>
        <item m="1" x="5424"/>
        <item m="1" x="4147"/>
        <item m="1" x="3545"/>
        <item m="1" x="4726"/>
        <item m="1" x="6533"/>
        <item m="1" x="6000"/>
        <item m="1" x="4652"/>
        <item m="1" x="6356"/>
        <item m="1" x="5351"/>
        <item m="1" x="4246"/>
        <item m="1" x="2808"/>
        <item m="1" x="3833"/>
        <item m="1" x="7770"/>
        <item m="1" x="5603"/>
        <item m="1" x="3582"/>
        <item m="1" x="3689"/>
        <item m="1" x="3887"/>
        <item x="990"/>
        <item m="1" x="6935"/>
        <item m="1" x="5892"/>
        <item m="1" x="6235"/>
        <item m="1" x="3141"/>
        <item m="1" x="6676"/>
        <item m="1" x="4764"/>
        <item m="1" x="2616"/>
        <item m="1" x="5541"/>
        <item m="1" x="5063"/>
        <item m="1" x="4466"/>
        <item m="1" x="2991"/>
        <item m="1" x="7702"/>
        <item x="991"/>
        <item m="1" x="4501"/>
        <item m="1" x="4145"/>
        <item m="1" x="4718"/>
        <item m="1" x="3894"/>
        <item m="1" x="5215"/>
        <item m="1" x="4923"/>
        <item m="1" x="4402"/>
        <item m="1" x="6331"/>
        <item m="1" x="7667"/>
        <item m="1" x="6070"/>
        <item m="1" x="3180"/>
        <item m="1" x="3527"/>
        <item m="1" x="5092"/>
        <item m="1" x="6100"/>
        <item m="1" x="2430"/>
        <item m="1" x="6535"/>
        <item m="1" x="3132"/>
        <item m="1" x="4972"/>
        <item m="1" x="3977"/>
        <item m="1" x="7705"/>
        <item m="1" x="5557"/>
        <item m="1" x="5737"/>
        <item m="1" x="4332"/>
        <item m="1" x="2807"/>
        <item m="1" x="7994"/>
        <item m="1" x="6158"/>
        <item m="1" x="2978"/>
        <item m="1" x="5052"/>
        <item m="1" x="4176"/>
        <item m="1" x="2566"/>
        <item m="1" x="2325"/>
        <item m="1" x="7315"/>
        <item m="1" x="4460"/>
        <item m="1" x="7978"/>
        <item m="1" x="5007"/>
        <item m="1" x="5701"/>
        <item m="1" x="4107"/>
        <item m="1" x="6269"/>
        <item m="1" x="6184"/>
        <item m="1" x="4215"/>
        <item m="1" x="4228"/>
        <item m="1" x="7234"/>
        <item m="1" x="6549"/>
        <item m="1" x="4400"/>
        <item m="1" x="4320"/>
        <item m="1" x="6353"/>
        <item m="1" x="5958"/>
        <item m="1" x="5276"/>
        <item m="1" x="5366"/>
        <item m="1" x="4080"/>
        <item m="1" x="4060"/>
        <item m="1" x="5775"/>
        <item m="1" x="7547"/>
        <item m="1" x="5742"/>
        <item m="1" x="7078"/>
        <item m="1" x="4927"/>
        <item m="1" x="3676"/>
        <item m="1" x="3501"/>
        <item m="1" x="7264"/>
        <item m="1" x="4848"/>
        <item m="1" x="7534"/>
        <item m="1" x="3505"/>
        <item m="1" x="6906"/>
        <item m="1" x="2538"/>
        <item m="1" x="5900"/>
        <item m="1" x="6838"/>
        <item m="1" x="4388"/>
        <item m="1" x="6955"/>
        <item m="1" x="4758"/>
        <item m="1" x="4445"/>
        <item m="1" x="5133"/>
        <item m="1" x="2481"/>
        <item m="1" x="3221"/>
        <item m="1" x="7427"/>
        <item m="1" x="7112"/>
        <item m="1" x="3257"/>
        <item m="1" x="2503"/>
        <item m="1" x="4827"/>
        <item m="1" x="3775"/>
        <item m="1" x="7574"/>
        <item m="1" x="5039"/>
        <item m="1" x="2487"/>
        <item m="1" x="4626"/>
        <item m="1" x="2250"/>
        <item m="1" x="3844"/>
        <item m="1" x="5184"/>
        <item m="1" x="5132"/>
        <item m="1" x="7231"/>
        <item m="1" x="2262"/>
        <item x="992"/>
        <item m="1" x="6811"/>
        <item m="1" x="2483"/>
        <item m="1" x="2753"/>
        <item m="1" x="4826"/>
        <item m="1" x="4494"/>
        <item m="1" x="7650"/>
        <item m="1" x="5073"/>
        <item m="1" x="5911"/>
        <item m="1" x="2285"/>
        <item m="1" x="4584"/>
        <item m="1" x="5562"/>
        <item m="1" x="5771"/>
        <item m="1" x="3146"/>
        <item m="1" x="5991"/>
        <item m="1" x="7567"/>
        <item m="1" x="5882"/>
        <item m="1" x="5126"/>
        <item m="1" x="5925"/>
        <item m="1" x="4598"/>
        <item m="1" x="6215"/>
        <item m="1" x="6136"/>
        <item m="1" x="7568"/>
        <item m="1" x="5813"/>
        <item m="1" x="6853"/>
        <item m="1" x="6527"/>
        <item m="1" x="5210"/>
        <item m="1" x="6495"/>
        <item m="1" x="7330"/>
        <item m="1" x="4624"/>
        <item m="1" x="7166"/>
        <item m="1" x="3890"/>
        <item m="1" x="6731"/>
        <item m="1" x="5569"/>
        <item m="1" x="6051"/>
        <item m="1" x="4371"/>
        <item m="1" x="7604"/>
        <item m="1" x="5108"/>
        <item m="1" x="5220"/>
        <item m="1" x="3423"/>
        <item m="1" x="2265"/>
        <item m="1" x="6105"/>
        <item m="1" x="2292"/>
        <item m="1" x="6404"/>
        <item m="1" x="4230"/>
        <item m="1" x="5115"/>
        <item m="1" x="7391"/>
        <item m="1" x="4566"/>
        <item m="1" x="7795"/>
        <item m="1" x="5872"/>
        <item m="1" x="4724"/>
        <item m="1" x="7874"/>
        <item m="1" x="3814"/>
        <item m="1" x="7254"/>
        <item m="1" x="4330"/>
        <item m="1" x="6141"/>
        <item m="1" x="4545"/>
        <item m="1" x="4524"/>
        <item m="1" x="2423"/>
        <item m="1" x="4962"/>
        <item m="1" x="4149"/>
        <item m="1" x="6898"/>
        <item m="1" x="7630"/>
        <item m="1" x="3692"/>
        <item m="1" x="3982"/>
        <item m="1" x="5094"/>
        <item m="1" x="6864"/>
        <item m="1" x="6681"/>
        <item m="1" x="3475"/>
        <item m="1" x="6004"/>
        <item m="1" x="6736"/>
        <item m="1" x="4771"/>
        <item m="1" x="6177"/>
        <item m="1" x="2617"/>
        <item m="1" x="3918"/>
        <item m="1" x="7719"/>
        <item m="1" x="6749"/>
        <item m="1" x="2829"/>
        <item m="1" x="7863"/>
        <item m="1" x="4695"/>
        <item m="1" x="4250"/>
        <item m="1" x="5067"/>
        <item m="1" x="4965"/>
        <item m="1" x="4111"/>
        <item m="1" x="5697"/>
        <item m="1" x="2811"/>
        <item m="1" x="7102"/>
        <item m="1" x="6936"/>
        <item m="1" x="7829"/>
        <item m="1" x="6194"/>
        <item m="1" x="7351"/>
        <item m="1" x="7342"/>
        <item m="1" x="4196"/>
        <item m="1" x="5632"/>
        <item m="1" x="7184"/>
        <item m="1" x="7910"/>
        <item m="1" x="3836"/>
        <item m="1" x="5356"/>
        <item m="1" x="7774"/>
        <item m="1" x="3761"/>
        <item m="1" x="5607"/>
        <item m="1" x="2984"/>
        <item m="1" x="5268"/>
        <item m="1" x="2993"/>
        <item m="1" x="7703"/>
        <item m="1" x="4880"/>
        <item m="1" x="4100"/>
        <item m="1" x="6367"/>
        <item m="1" x="4985"/>
        <item m="1" x="5033"/>
        <item m="1" x="4656"/>
        <item m="1" x="2652"/>
        <item m="1" x="6871"/>
        <item m="1" x="3548"/>
        <item m="1" x="2289"/>
        <item m="1" x="4541"/>
        <item m="1" x="4873"/>
        <item m="1" x="4832"/>
        <item m="1" x="6542"/>
        <item m="1" x="7713"/>
        <item m="1" x="5252"/>
        <item m="1" x="3895"/>
        <item m="1" x="5949"/>
        <item m="1" x="2466"/>
        <item m="1" x="4121"/>
        <item m="1" x="5387"/>
        <item m="1" x="2432"/>
        <item m="1" x="3978"/>
        <item m="1" x="7730"/>
        <item m="1" x="6162"/>
        <item m="1" x="5430"/>
        <item m="1" x="5859"/>
        <item m="1" x="5405"/>
        <item m="1" x="2425"/>
        <item m="1" x="6186"/>
        <item m="1" x="4689"/>
        <item m="1" x="4439"/>
        <item m="1" x="4759"/>
        <item m="1" x="3331"/>
        <item m="1" x="5961"/>
        <item m="1" x="7917"/>
        <item m="1" x="2755"/>
        <item m="1" x="4637"/>
        <item m="1" x="5838"/>
        <item m="1" x="4104"/>
        <item m="1" x="6069"/>
        <item m="1" x="3630"/>
        <item m="1" x="7748"/>
        <item m="1" x="2297"/>
        <item m="1" x="3503"/>
        <item m="1" x="7268"/>
        <item m="1" x="7538"/>
        <item m="1" x="4393"/>
        <item m="1" x="6959"/>
        <item m="1" x="7363"/>
        <item m="1" x="3019"/>
        <item m="1" x="3793"/>
        <item m="1" x="5135"/>
        <item m="1" x="3283"/>
        <item m="1" x="4983"/>
        <item m="1" x="3262"/>
        <item m="1" x="7461"/>
        <item m="1" x="5653"/>
        <item m="1" x="5070"/>
        <item m="1" x="5223"/>
        <item m="1" x="3230"/>
        <item m="1" x="5053"/>
        <item m="1" x="4181"/>
        <item m="1" x="4053"/>
        <item m="1" x="6373"/>
        <item m="1" x="4401"/>
        <item m="1" x="2830"/>
        <item m="1" x="4324"/>
        <item m="1" x="5843"/>
        <item m="1" x="7246"/>
        <item m="1" x="7030"/>
        <item m="1" x="3877"/>
        <item m="1" x="6479"/>
        <item m="1" x="4233"/>
        <item m="1" x="4517"/>
        <item m="1" x="3791"/>
        <item m="1" x="6236"/>
        <item m="1" x="6385"/>
        <item m="1" x="2312"/>
        <item m="1" x="4628"/>
        <item m="1" x="4179"/>
        <item x="993"/>
        <item m="1" x="2569"/>
        <item m="1" x="5227"/>
        <item m="1" x="3255"/>
        <item m="1" x="5096"/>
        <item m="1" x="7260"/>
        <item m="1" x="2621"/>
        <item m="1" x="4589"/>
        <item m="1" x="3635"/>
        <item m="1" x="5914"/>
        <item m="1" x="4586"/>
        <item m="1" x="7394"/>
        <item m="1" x="6534"/>
        <item m="1" x="4884"/>
        <item m="1" x="2508"/>
        <item m="1" x="4570"/>
        <item m="1" x="2388"/>
        <item m="1" x="3133"/>
        <item m="1" x="4461"/>
        <item m="1" x="5564"/>
        <item m="1" x="7257"/>
        <item m="1" x="4335"/>
        <item m="1" x="6145"/>
        <item m="1" x="5782"/>
        <item m="1" x="5025"/>
        <item m="1" x="4094"/>
        <item m="1" x="5572"/>
        <item m="1" x="5385"/>
        <item m="1" x="6903"/>
        <item m="1" x="6573"/>
        <item m="1" x="4788"/>
        <item m="1" x="3476"/>
        <item m="1" x="6752"/>
        <item m="1" x="2831"/>
        <item m="1" x="5709"/>
        <item m="1" x="4971"/>
        <item m="1" x="4117"/>
        <item m="1" x="3272"/>
        <item m="1" x="5698"/>
        <item m="1" x="7749"/>
        <item m="1" x="2656"/>
        <item m="1" x="7105"/>
        <item m="1" x="5636"/>
        <item m="1" x="7187"/>
        <item m="1" x="5359"/>
        <item m="1" x="2988"/>
        <item m="1" x="6061"/>
        <item m="1" x="2598"/>
        <item m="1" x="5615"/>
        <item m="1" x="5274"/>
        <item m="1" x="5365"/>
        <item m="1" x="3520"/>
        <item m="1" x="5319"/>
        <item m="1" x="4186"/>
        <item m="1" x="4658"/>
        <item m="1" x="2659"/>
        <item m="1" x="6866"/>
        <item m="1" x="7722"/>
        <item m="1" x="6173"/>
        <item m="1" x="4943"/>
        <item m="1" x="6171"/>
        <item m="1" x="7345"/>
        <item m="1" x="5979"/>
        <item m="1" x="4012"/>
        <item m="1" x="4989"/>
        <item m="1" x="6576"/>
        <item m="1" x="5668"/>
        <item m="1" x="4861"/>
        <item m="1" x="2938"/>
        <item m="1" x="4300"/>
        <item m="1" x="6240"/>
        <item m="1" x="3145"/>
        <item m="1" x="7793"/>
        <item m="1" x="2620"/>
        <item m="1" x="5634"/>
        <item m="1" x="4418"/>
        <item m="1" x="6019"/>
        <item m="1" x="7704"/>
        <item m="1" x="5349"/>
        <item m="1" x="3407"/>
        <item m="1" x="6155"/>
        <item m="1" x="3896"/>
        <item m="1" x="3184"/>
        <item m="1" x="3532"/>
        <item m="1" x="5394"/>
        <item m="1" x="2434"/>
        <item m="1" x="4732"/>
        <item m="1" x="2647"/>
        <item m="1" x="3980"/>
        <item m="1" x="6168"/>
        <item m="1" x="2438"/>
        <item m="1" x="5954"/>
        <item m="1" x="7150"/>
        <item m="1" x="3429"/>
        <item m="1" x="5703"/>
        <item m="1" x="4217"/>
        <item m="1" x="5980"/>
        <item m="1" x="3817"/>
        <item m="1" x="4762"/>
        <item m="1" x="2427"/>
        <item m="1" x="2737"/>
        <item m="1" x="5967"/>
        <item m="1" x="3645"/>
        <item m="1" x="7026"/>
        <item m="1" x="7542"/>
        <item m="1" x="4395"/>
        <item m="1" x="6965"/>
        <item m="1" x="4449"/>
        <item m="1" x="5137"/>
        <item m="1" x="3287"/>
        <item m="1" x="2310"/>
        <item m="1" x="2916"/>
        <item m="1" x="3334"/>
        <item x="994"/>
        <item m="1" x="4632"/>
        <item m="1" x="2490"/>
        <item m="1" x="5099"/>
        <item m="1" x="4183"/>
        <item m="1" x="6104"/>
        <item m="1" x="6258"/>
        <item m="1" x="6209"/>
        <item m="1" x="2592"/>
        <item m="1" x="3080"/>
        <item m="1" x="6481"/>
        <item m="1" x="2605"/>
        <item m="1" x="4960"/>
        <item m="1" x="5816"/>
        <item m="1" x="2833"/>
        <item m="1" x="5848"/>
        <item m="1" x="3340"/>
        <item m="1" x="3298"/>
        <item m="1" x="6795"/>
        <item m="1" x="6368"/>
        <item m="1" x="2316"/>
        <item m="1" x="5467"/>
        <item m="1" x="7639"/>
        <item m="1" x="3443"/>
        <item m="1" x="7104"/>
        <item m="1" x="7993"/>
        <item m="1" x="6058"/>
        <item m="1" x="4411"/>
        <item m="1" x="6446"/>
        <item m="1" x="7429"/>
        <item m="1" x="4930"/>
        <item x="995"/>
        <item m="1" x="3259"/>
        <item m="1" x="6107"/>
        <item x="996"/>
        <item m="1" x="5946"/>
        <item m="1" x="6026"/>
        <item m="1" x="4887"/>
        <item m="1" x="4571"/>
        <item m="1" x="7716"/>
        <item m="1" x="7734"/>
        <item m="1" x="3292"/>
        <item m="1" x="4338"/>
        <item m="1" x="6147"/>
        <item m="1" x="7172"/>
        <item m="1" x="6804"/>
        <item m="1" x="7636"/>
        <item m="1" x="6688"/>
        <item m="1" x="5296"/>
        <item m="1" x="6033"/>
        <item m="1" x="7970"/>
        <item m="1" x="6570"/>
        <item m="1" x="2264"/>
        <item m="1" x="7153"/>
        <item m="1" x="2513"/>
        <item m="1" x="3062"/>
        <item m="1" x="7813"/>
        <item m="1" x="7483"/>
        <item m="1" x="6562"/>
        <item m="1" x="7587"/>
        <item m="1" x="7925"/>
        <item m="1" x="4974"/>
        <item m="1" x="4124"/>
        <item m="1" x="3278"/>
        <item m="1" x="5702"/>
        <item m="1" x="7751"/>
        <item m="1" x="5363"/>
        <item m="1" x="7543"/>
        <item m="1" x="5620"/>
        <item m="1" x="5281"/>
        <item m="1" x="3174"/>
        <item m="1" x="3524"/>
        <item m="1" x="7076"/>
        <item m="1" x="5320"/>
        <item m="1" x="4843"/>
        <item m="1" x="3466"/>
        <item m="1" x="5398"/>
        <item m="1" x="6686"/>
        <item m="1" x="6007"/>
        <item m="1" x="6262"/>
        <item x="997"/>
        <item m="1" x="2651"/>
        <item m="1" x="2994"/>
        <item m="1" x="7484"/>
        <item m="1" x="4255"/>
        <item m="1" x="5151"/>
        <item m="1" x="6164"/>
        <item m="1" x="3433"/>
        <item m="1" x="4908"/>
        <item m="1" x="3339"/>
        <item m="1" x="2369"/>
        <item m="1" x="4770"/>
        <item m="1" x="4521"/>
        <item m="1" x="4015"/>
        <item m="1" x="2742"/>
        <item m="1" x="5976"/>
        <item m="1" x="4070"/>
        <item m="1" x="6370"/>
        <item m="1" x="5759"/>
        <item m="1" x="2516"/>
        <item m="1" x="4422"/>
        <item m="1" x="7001"/>
        <item m="1" x="4221"/>
        <item m="1" x="4863"/>
        <item m="1" x="6971"/>
        <item m="1" x="7169"/>
        <item m="1" x="2500"/>
        <item m="1" x="3291"/>
        <item m="1" x="2314"/>
        <item m="1" x="2567"/>
        <item m="1" x="6761"/>
        <item m="1" x="2844"/>
        <item m="1" x="7163"/>
        <item x="998"/>
        <item m="1" x="5027"/>
        <item m="1" x="5436"/>
        <item m="1" x="2611"/>
        <item m="1" x="5469"/>
        <item m="1" x="3326"/>
        <item m="1" x="4292"/>
        <item m="1" x="3460"/>
        <item m="1" x="4794"/>
        <item m="1" x="7629"/>
        <item m="1" x="2468"/>
        <item m="1" x="4433"/>
        <item m="1" x="5851"/>
        <item m="1" x="7107"/>
        <item m="1" x="7249"/>
        <item m="1" x="4666"/>
        <item m="1" x="5677"/>
        <item m="1" x="5804"/>
        <item m="1" x="3509"/>
        <item m="1" x="4775"/>
        <item m="1" x="3111"/>
        <item m="1" x="4267"/>
        <item m="1" x="6799"/>
        <item m="1" x="7995"/>
        <item m="1" x="2678"/>
        <item m="1" x="7032"/>
        <item m="1" x="4523"/>
        <item m="1" x="6620"/>
        <item m="1" x="3671"/>
        <item m="1" x="6798"/>
        <item m="1" x="5618"/>
        <item m="1" x="2691"/>
        <item m="1" x="3002"/>
        <item m="1" x="6210"/>
        <item m="1" x="5518"/>
        <item m="1" x="2597"/>
        <item m="1" x="5330"/>
        <item m="1" x="2211"/>
        <item m="1" x="2936"/>
        <item m="1" x="6510"/>
        <item m="1" x="2880"/>
        <item m="1" x="7750"/>
        <item m="1" x="2334"/>
        <item m="1" x="2619"/>
        <item m="1" x="3933"/>
        <item m="1" x="6937"/>
        <item m="1" x="7591"/>
        <item m="1" x="7245"/>
        <item m="1" x="7035"/>
        <item m="1" x="2547"/>
        <item m="1" x="5907"/>
        <item m="1" x="6841"/>
        <item m="1" x="6636"/>
        <item m="1" x="6372"/>
        <item m="1" x="4932"/>
        <item m="1" x="5917"/>
        <item m="1" x="3593"/>
        <item m="1" x="7955"/>
        <item m="1" x="2322"/>
        <item m="1" x="2249"/>
        <item m="1" x="3789"/>
        <item m="1" x="4763"/>
        <item m="1" x="2497"/>
        <item m="1" x="3965"/>
        <item m="1" x="7621"/>
        <item m="1" x="2368"/>
        <item m="1" x="6880"/>
        <item m="1" x="4189"/>
        <item m="1" x="7535"/>
        <item m="1" x="7016"/>
        <item m="1" x="4497"/>
        <item m="1" x="4132"/>
        <item m="1" x="5500"/>
        <item m="1" x="7401"/>
        <item m="1" x="5801"/>
        <item m="1" x="6439"/>
        <item m="1" x="4681"/>
        <item m="1" x="6487"/>
        <item m="1" x="5757"/>
        <item m="1" x="5471"/>
        <item m="1" x="4328"/>
        <item m="1" x="3812"/>
        <item m="1" x="4066"/>
        <item m="1" x="2846"/>
        <item m="1" x="3093"/>
        <item m="1" x="5726"/>
        <item m="1" x="7466"/>
        <item m="1" x="6318"/>
        <item m="1" x="6608"/>
        <item m="1" x="5251"/>
        <item m="1" x="4916"/>
        <item m="1" x="5950"/>
        <item m="1" x="3083"/>
        <item m="1" x="7548"/>
        <item m="1" x="7020"/>
        <item m="1" x="7223"/>
        <item m="1" x="7961"/>
        <item m="1" x="6156"/>
        <item m="1" x="6678"/>
        <item m="1" x="4174"/>
        <item m="1" x="6891"/>
        <item m="1" x="3049"/>
        <item m="1" x="2223"/>
        <item m="1" x="3345"/>
        <item m="1" x="5831"/>
        <item m="1" x="3260"/>
        <item m="1" x="4804"/>
        <item m="1" x="7181"/>
        <item m="1" x="7760"/>
        <item m="1" x="4668"/>
        <item m="1" x="4947"/>
        <item m="1" x="6212"/>
        <item m="1" x="7613"/>
        <item m="1" x="4364"/>
        <item m="1" x="4684"/>
        <item m="1" x="3558"/>
        <item m="1" x="7676"/>
        <item m="1" x="4842"/>
        <item m="1" x="7602"/>
        <item m="1" x="5929"/>
        <item m="1" x="3076"/>
        <item m="1" x="5590"/>
        <item m="1" x="2929"/>
        <item m="1" x="2704"/>
        <item m="1" x="6529"/>
        <item m="1" x="2748"/>
        <item m="1" x="6574"/>
        <item m="1" x="2267"/>
        <item m="1" x="2636"/>
        <item m="1" x="6444"/>
        <item m="1" x="4341"/>
        <item m="1" x="3051"/>
        <item m="1" x="6509"/>
        <item m="1" x="6264"/>
        <item m="1" x="5910"/>
        <item m="1" x="7376"/>
        <item m="1" x="6579"/>
        <item m="1" x="5573"/>
        <item m="1" x="6689"/>
        <item m="1" x="3447"/>
        <item m="1" x="3108"/>
        <item m="1" x="5819"/>
        <item x="999"/>
        <item x="1000"/>
        <item m="1" x="4890"/>
        <item m="1" x="4574"/>
        <item m="1" x="4977"/>
        <item m="1" x="4126"/>
        <item m="1" x="3282"/>
        <item m="1" x="6220"/>
        <item m="1" x="3813"/>
        <item m="1" x="5705"/>
        <item m="1" x="7754"/>
        <item m="1" x="6877"/>
        <item m="1" x="5608"/>
        <item m="1" x="3458"/>
        <item m="1" x="7170"/>
        <item m="1" x="6277"/>
        <item m="1" x="6590"/>
        <item m="1" x="3201"/>
        <item m="1" x="7545"/>
        <item m="1" x="5465"/>
        <item m="1" x="5624"/>
        <item m="1" x="5287"/>
        <item m="1" x="7737"/>
        <item m="1" x="3294"/>
        <item m="1" x="3529"/>
        <item m="1" x="7082"/>
        <item m="1" x="6068"/>
        <item m="1" x="4413"/>
        <item m="1" x="6809"/>
        <item x="1001"/>
        <item x="1002"/>
        <item x="1003"/>
        <item m="1" x="5046"/>
        <item m="1" x="7665"/>
        <item m="1" x="5735"/>
        <item m="1" x="4622"/>
        <item m="1" x="5846"/>
        <item m="1" x="6915"/>
        <item m="1" x="6640"/>
        <item m="1" x="3164"/>
        <item m="1" x="7250"/>
        <item m="1" x="5998"/>
        <item m="1" x="7594"/>
        <item m="1" x="4940"/>
        <item m="1" x="4662"/>
        <item m="1" x="5866"/>
        <item m="1" x="6876"/>
        <item m="1" x="4040"/>
        <item m="1" x="4017"/>
        <item m="1" x="5164"/>
        <item m="1" x="5738"/>
        <item m="1" x="2758"/>
        <item m="1" x="7488"/>
        <item m="1" x="4258"/>
        <item m="1" x="6086"/>
        <item m="1" x="4525"/>
        <item m="1" x="2937"/>
        <item m="1" x="7776"/>
        <item x="1004"/>
        <item m="1" x="4544"/>
        <item x="1005"/>
        <item m="1" x="2996"/>
        <item m="1" x="5863"/>
        <item m="1" x="5539"/>
        <item m="1" x="5724"/>
        <item m="1" x="2745"/>
        <item x="1006"/>
        <item m="1" x="6450"/>
        <item x="1007"/>
        <item m="1" x="5671"/>
        <item m="1" x="2927"/>
        <item m="1" x="2814"/>
        <item m="1" x="4585"/>
        <item m="1" x="5855"/>
        <item m="1" x="7164"/>
        <item x="1008"/>
        <item m="1" x="4667"/>
        <item m="1" x="6910"/>
        <item m="1" x="3085"/>
        <item m="1" x="4336"/>
        <item m="1" x="5334"/>
        <item m="1" x="7550"/>
        <item m="1" x="4456"/>
        <item m="1" x="6480"/>
        <item m="1" x="6511"/>
        <item m="1" x="2695"/>
        <item m="1" x="3450"/>
        <item m="1" x="3347"/>
        <item x="1009"/>
        <item m="1" x="3938"/>
        <item m="1" x="7038"/>
        <item m="1" x="5820"/>
        <item m="1" x="2736"/>
        <item m="1" x="3249"/>
        <item m="1" x="6483"/>
        <item m="1" x="2326"/>
        <item m="1" x="6267"/>
        <item m="1" x="7879"/>
        <item m="1" x="5503"/>
        <item m="1" x="6065"/>
        <item m="1" x="6226"/>
        <item m="1" x="3979"/>
        <item m="1" x="5799"/>
        <item m="1" x="6968"/>
        <item m="1" x="6071"/>
        <item m="1" x="4414"/>
        <item x="1010"/>
        <item m="1" x="3951"/>
        <item m="1" x="5051"/>
        <item m="1" x="5294"/>
        <item x="1011"/>
        <item m="1" x="3268"/>
        <item m="1" x="5741"/>
        <item m="1" x="7281"/>
        <item x="1012"/>
        <item m="1" x="4894"/>
        <item m="1" x="3138"/>
        <item m="1" x="6423"/>
        <item m="1" x="2389"/>
        <item m="1" x="4601"/>
        <item m="1" x="5693"/>
        <item m="1" x="2607"/>
        <item m="1" x="2898"/>
        <item m="1" x="3295"/>
        <item x="1013"/>
        <item m="1" x="3829"/>
        <item m="1" x="3179"/>
        <item m="1" x="2342"/>
        <item m="1" x="4978"/>
        <item m="1" x="4130"/>
        <item m="1" x="3286"/>
        <item m="1" x="3815"/>
        <item m="1" x="5706"/>
        <item m="1" x="7759"/>
        <item m="1" x="7091"/>
        <item m="1" x="6268"/>
        <item m="1" x="5367"/>
        <item m="1" x="3697"/>
        <item m="1" x="2832"/>
        <item m="1" x="6108"/>
        <item m="1" x="4568"/>
        <item m="1" x="6407"/>
        <item m="1" x="7549"/>
        <item m="1" x="3985"/>
        <item m="1" x="2550"/>
        <item m="1" x="5753"/>
        <item m="1" x="4269"/>
        <item m="1" x="4669"/>
        <item m="1" x="3872"/>
        <item m="1" x="5626"/>
        <item m="1" x="5290"/>
        <item m="1" x="3177"/>
        <item m="1" x="3535"/>
        <item m="1" x="7087"/>
        <item m="1" x="3196"/>
        <item x="1014"/>
        <item x="1015"/>
        <item m="1" x="7407"/>
        <item m="1" x="2273"/>
        <item m="1" x="3684"/>
        <item m="1" x="5649"/>
        <item m="1" x="4527"/>
        <item m="1" x="6012"/>
        <item m="1" x="2775"/>
        <item m="1" x="7727"/>
        <item m="1" x="5745"/>
        <item m="1" x="7964"/>
        <item m="1" x="4467"/>
        <item m="1" x="6169"/>
        <item m="1" x="4910"/>
        <item m="1" x="6300"/>
        <item m="1" x="2576"/>
        <item m="1" x="3225"/>
        <item m="1" x="7319"/>
        <item m="1" x="3777"/>
        <item m="1" x="4379"/>
        <item m="1" x="3224"/>
        <item m="1" x="4019"/>
        <item m="1" x="3185"/>
        <item x="1016"/>
        <item m="1" x="2318"/>
        <item m="1" x="5762"/>
        <item m="1" x="7772"/>
        <item m="1" x="2573"/>
        <item m="1" x="5014"/>
        <item m="1" x="2401"/>
        <item x="1017"/>
        <item m="1" x="5535"/>
        <item m="1" x="3468"/>
        <item m="1" x="5672"/>
        <item m="1" x="6902"/>
        <item m="1" x="5524"/>
        <item m="1" x="7059"/>
        <item m="1" x="6396"/>
        <item m="1" x="6270"/>
        <item x="1018"/>
        <item m="1" x="3240"/>
        <item m="1" x="3459"/>
        <item m="1" x="2288"/>
        <item x="1019"/>
        <item m="1" x="6200"/>
        <item m="1" x="6257"/>
        <item m="1" x="3712"/>
        <item m="1" x="7739"/>
        <item m="1" x="5032"/>
        <item m="1" x="4062"/>
        <item m="1" x="7492"/>
        <item m="1" x="7755"/>
        <item m="1" x="5247"/>
        <item m="1" x="4633"/>
        <item m="1" x="4342"/>
        <item m="1" x="2932"/>
        <item m="1" x="3556"/>
        <item m="1" x="6410"/>
        <item m="1" x="6424"/>
        <item m="1" x="2951"/>
        <item m="1" x="6870"/>
        <item m="1" x="6250"/>
        <item m="1" x="7595"/>
        <item m="1" x="3467"/>
        <item m="1" x="7165"/>
        <item m="1" x="5727"/>
        <item m="1" x="6791"/>
        <item m="1" x="2910"/>
        <item m="1" x="6732"/>
        <item m="1" x="4526"/>
        <item m="1" x="2747"/>
        <item m="1" x="5353"/>
        <item m="1" x="7113"/>
        <item m="1" x="5988"/>
        <item m="1" x="7618"/>
        <item x="1020"/>
        <item x="1021"/>
        <item x="1022"/>
        <item m="1" x="4075"/>
        <item m="1" x="4547"/>
        <item m="1" x="3119"/>
        <item m="1" x="2848"/>
        <item m="1" x="3750"/>
        <item m="1" x="3730"/>
        <item m="1" x="4672"/>
        <item m="1" x="5680"/>
        <item m="1" x="4431"/>
        <item m="1" x="6350"/>
        <item m="1" x="3194"/>
        <item m="1" x="2419"/>
        <item m="1" x="5807"/>
        <item m="1" x="7404"/>
        <item m="1" x="3116"/>
        <item m="1" x="7101"/>
        <item m="1" x="4957"/>
        <item m="1" x="5034"/>
        <item m="1" x="7167"/>
        <item m="1" x="4099"/>
        <item m="1" x="6911"/>
        <item m="1" x="3009"/>
        <item m="1" x="6032"/>
        <item m="1" x="4355"/>
        <item m="1" x="3987"/>
        <item m="1" x="7968"/>
        <item m="1" x="4298"/>
        <item m="1" x="2773"/>
        <item m="1" x="4528"/>
        <item m="1" x="6762"/>
        <item m="1" x="6908"/>
        <item m="1" x="6213"/>
        <item m="1" x="6178"/>
        <item m="1" x="7869"/>
        <item m="1" x="2700"/>
        <item m="1" x="2489"/>
        <item m="1" x="7904"/>
        <item m="1" x="2216"/>
        <item m="1" x="4265"/>
        <item m="1" x="3725"/>
        <item m="1" x="4765"/>
        <item m="1" x="6764"/>
        <item m="1" x="5797"/>
        <item m="1" x="6513"/>
        <item m="1" x="6172"/>
        <item m="1" x="2698"/>
        <item x="1023"/>
        <item m="1" x="7752"/>
        <item m="1" x="2339"/>
        <item m="1" x="7328"/>
        <item m="1" x="6938"/>
        <item m="1" x="6602"/>
        <item m="1" x="7042"/>
        <item m="1" x="6848"/>
        <item m="1" x="2365"/>
        <item m="1" x="5174"/>
        <item m="1" x="3861"/>
        <item m="1" x="5922"/>
        <item m="1" x="6660"/>
        <item m="1" x="7580"/>
        <item m="1" x="3598"/>
        <item m="1" x="4663"/>
        <item m="1" x="4314"/>
        <item m="1" x="2300"/>
        <item m="1" x="2257"/>
        <item m="1" x="2507"/>
        <item m="1" x="7411"/>
        <item m="1" x="2240"/>
        <item m="1" x="6496"/>
        <item m="1" x="5476"/>
        <item m="1" x="7473"/>
        <item m="1" x="6319"/>
        <item m="1" x="4922"/>
        <item m="1" x="7553"/>
        <item m="1" x="7023"/>
        <item m="1" x="7236"/>
        <item m="1" x="3739"/>
        <item m="1" x="5760"/>
        <item m="1" x="6928"/>
        <item m="1" x="7622"/>
        <item m="1" x="3350"/>
        <item m="1" x="5839"/>
        <item m="1" x="3269"/>
        <item x="1024"/>
        <item m="1" x="2853"/>
        <item m="1" x="6238"/>
        <item m="1" x="4687"/>
        <item m="1" x="3117"/>
        <item m="1" x="4850"/>
        <item m="1" x="3969"/>
        <item m="1" x="5502"/>
        <item m="1" x="2739"/>
        <item m="1" x="2640"/>
        <item m="1" x="3059"/>
        <item m="1" x="3765"/>
        <item m="1" x="6999"/>
        <item m="1" x="6272"/>
        <item m="1" x="5481"/>
        <item m="1" x="4816"/>
        <item m="1" x="6237"/>
        <item m="1" x="5490"/>
        <item m="1" x="7132"/>
        <item m="1" x="5078"/>
        <item m="1" x="6340"/>
        <item m="1" x="5869"/>
        <item m="1" x="5118"/>
        <item m="1" x="2279"/>
        <item m="1" x="5824"/>
        <item m="1" x="6488"/>
        <item m="1" x="7331"/>
        <item m="1" x="5591"/>
        <item m="1" x="5506"/>
        <item m="1" x="5584"/>
        <item m="1" x="6440"/>
        <item x="1025"/>
        <item x="1026"/>
        <item m="1" x="5956"/>
        <item m="1" x="7707"/>
        <item m="1" x="6231"/>
        <item m="1" x="4140"/>
        <item m="1" x="3552"/>
        <item m="1" x="6002"/>
        <item m="1" x="2367"/>
        <item m="1" x="2411"/>
        <item m="1" x="3940"/>
        <item m="1" x="5470"/>
        <item m="1" x="7365"/>
        <item m="1" x="6076"/>
        <item m="1" x="4416"/>
        <item x="1027"/>
        <item x="1028"/>
        <item m="1" x="3267"/>
        <item m="1" x="3953"/>
        <item m="1" x="7787"/>
        <item m="1" x="2422"/>
        <item m="1" x="6960"/>
        <item m="1" x="5662"/>
        <item m="1" x="5018"/>
        <item m="1" x="7758"/>
        <item m="1" x="7353"/>
        <item m="1" x="4052"/>
        <item m="1" x="6369"/>
        <item m="1" x="3492"/>
        <item m="1" x="3740"/>
        <item m="1" x="2942"/>
        <item m="1" x="7801"/>
        <item x="1029"/>
        <item m="1" x="4531"/>
        <item m="1" x="3484"/>
        <item m="1" x="6018"/>
        <item m="1" x="7271"/>
        <item m="1" x="6742"/>
        <item m="1" x="6275"/>
        <item x="1030"/>
        <item m="1" x="2778"/>
        <item m="1" x="3183"/>
        <item m="1" x="3821"/>
        <item x="1031"/>
        <item x="1032"/>
        <item m="1" x="5399"/>
        <item m="1" x="5747"/>
        <item m="1" x="4386"/>
        <item m="1" x="7658"/>
        <item m="1" x="3290"/>
        <item m="1" x="3820"/>
        <item m="1" x="4470"/>
        <item m="1" x="3142"/>
        <item m="1" x="7764"/>
        <item m="1" x="2439"/>
        <item m="1" x="4348"/>
        <item m="1" x="6274"/>
        <item m="1" x="7607"/>
        <item m="1" x="7819"/>
        <item m="1" x="3398"/>
        <item m="1" x="3601"/>
        <item m="1" x="6165"/>
        <item m="1" x="5306"/>
        <item m="1" x="7121"/>
        <item m="1" x="6907"/>
        <item m="1" x="7054"/>
        <item m="1" x="6302"/>
        <item m="1" x="3448"/>
        <item m="1" x="6411"/>
        <item m="1" x="4380"/>
        <item m="1" x="2962"/>
        <item m="1" x="4605"/>
        <item m="1" x="7860"/>
        <item m="1" x="5152"/>
        <item m="1" x="6837"/>
        <item m="1" x="6188"/>
        <item m="1" x="4828"/>
        <item m="1" x="2774"/>
        <item m="1" x="5887"/>
        <item m="1" x="7094"/>
        <item m="1" x="4020"/>
        <item m="1" x="7115"/>
        <item m="1" x="4351"/>
        <item m="1" x="4895"/>
        <item m="1" x="4798"/>
        <item x="1033"/>
        <item m="1" x="4340"/>
        <item m="1" x="4374"/>
        <item m="1" x="7947"/>
        <item m="1" x="4661"/>
        <item m="1" x="5962"/>
        <item m="1" x="6217"/>
        <item m="1" x="4489"/>
        <item m="1" x="7093"/>
        <item m="1" x="3507"/>
        <item m="1" x="3149"/>
        <item m="1" x="4673"/>
        <item m="1" x="7088"/>
        <item m="1" x="3432"/>
        <item m="1" x="2574"/>
        <item m="1" x="3686"/>
        <item m="1" x="6759"/>
        <item m="1" x="6565"/>
        <item m="1" x="3481"/>
        <item m="1" x="7237"/>
        <item m="1" x="3624"/>
        <item m="1" x="4590"/>
        <item m="1" x="5433"/>
        <item m="1" x="6408"/>
        <item m="1" x="7840"/>
        <item m="1" x="4643"/>
        <item m="1" x="4050"/>
        <item m="1" x="2493"/>
        <item m="1" x="3461"/>
        <item m="1" x="2655"/>
        <item m="1" x="7569"/>
        <item m="1" x="3600"/>
        <item m="1" x="2693"/>
        <item m="1" x="7742"/>
        <item m="1" x="3304"/>
        <item m="1" x="3082"/>
        <item m="1" x="7496"/>
        <item m="1" x="4552"/>
        <item m="1" x="6123"/>
        <item m="1" x="4791"/>
        <item m="1" x="6873"/>
        <item m="1" x="4731"/>
        <item m="1" x="7596"/>
        <item m="1" x="3168"/>
        <item m="1" x="7513"/>
        <item m="1" x="5195"/>
        <item m="1" x="7168"/>
        <item m="1" x="4530"/>
        <item m="1" x="6301"/>
        <item m="1" x="2710"/>
        <item m="1" x="3218"/>
        <item m="1" x="7504"/>
        <item m="1" x="3404"/>
        <item m="1" x="3003"/>
        <item m="1" x="5592"/>
        <item m="1" x="3344"/>
        <item m="1" x="3732"/>
        <item m="1" x="6336"/>
        <item m="1" x="3681"/>
        <item m="1" x="4437"/>
        <item m="1" x="6357"/>
        <item m="1" x="6115"/>
        <item m="1" x="6202"/>
        <item m="1" x="3649"/>
        <item m="1" x="2210"/>
        <item m="1" x="7405"/>
        <item m="1" x="5238"/>
        <item m="1" x="3859"/>
        <item m="1" x="3231"/>
        <item m="1" x="5343"/>
        <item m="1" x="5310"/>
        <item m="1" x="4135"/>
        <item m="1" x="2740"/>
        <item m="1" x="7460"/>
        <item m="1" x="7555"/>
        <item x="1034"/>
        <item x="1035"/>
        <item m="1" x="5156"/>
        <item x="1036"/>
        <item m="1" x="5250"/>
        <item m="1" x="4636"/>
        <item m="1" x="3559"/>
        <item m="1" x="5729"/>
        <item m="1" x="6734"/>
        <item m="1" x="2750"/>
        <item m="1" x="5355"/>
        <item x="1037"/>
        <item m="1" x="5504"/>
        <item m="1" x="6566"/>
        <item m="1" x="4642"/>
        <item m="1" x="2641"/>
        <item m="1" x="6454"/>
        <item m="1" x="4063"/>
        <item m="1" x="7761"/>
        <item m="1" x="7097"/>
        <item m="1" x="2912"/>
        <item m="1" x="6643"/>
        <item m="1" x="3052"/>
        <item x="1038"/>
        <item m="1" x="3121"/>
        <item m="1" x="6914"/>
        <item m="1" x="7415"/>
        <item m="1" x="4982"/>
        <item m="1" x="2579"/>
        <item m="1" x="5109"/>
        <item m="1" x="6909"/>
        <item m="1" x="2410"/>
        <item m="1" x="7190"/>
        <item m="1" x="6243"/>
        <item m="1" x="2707"/>
        <item m="1" x="2494"/>
        <item m="1" x="4458"/>
        <item m="1" x="4198"/>
        <item m="1" x="5957"/>
        <item m="1" x="4739"/>
        <item m="1" x="3256"/>
        <item m="1" x="5638"/>
        <item m="1" x="2705"/>
        <item m="1" x="4694"/>
        <item m="1" x="6298"/>
        <item x="1039"/>
        <item m="1" x="2340"/>
        <item m="1" x="4430"/>
        <item m="1" x="3866"/>
        <item m="1" x="5667"/>
        <item m="1" x="5023"/>
        <item m="1" x="6211"/>
        <item m="1" x="6805"/>
        <item m="1" x="3211"/>
        <item m="1" x="3195"/>
        <item m="1" x="4084"/>
        <item m="1" x="6280"/>
        <item m="1" x="7200"/>
        <item m="1" x="5484"/>
        <item m="1" x="4823"/>
        <item m="1" x="4935"/>
        <item m="1" x="6242"/>
        <item m="1" x="6445"/>
        <item x="1040"/>
        <item m="1" x="7709"/>
        <item m="1" x="7055"/>
        <item m="1" x="7478"/>
        <item m="1" x="4359"/>
        <item m="1" x="7173"/>
        <item m="1" x="6638"/>
        <item m="1" x="6109"/>
        <item m="1" x="5496"/>
        <item m="1" x="7133"/>
        <item m="1" x="4929"/>
        <item m="1" x="3983"/>
        <item m="1" x="3555"/>
        <item m="1" x="7527"/>
        <item m="1" x="3848"/>
        <item m="1" x="4602"/>
        <item m="1" x="2372"/>
        <item m="1" x="7578"/>
        <item m="1" x="5818"/>
        <item m="1" x="5083"/>
        <item m="1" x="5267"/>
        <item m="1" x="2934"/>
        <item m="1" x="4690"/>
        <item m="1" x="7294"/>
        <item m="1" x="4696"/>
        <item m="1" x="3354"/>
        <item m="1" x="6079"/>
        <item m="1" x="4417"/>
        <item m="1" x="7117"/>
        <item m="1" x="3273"/>
        <item x="1041"/>
        <item m="1" x="2855"/>
        <item m="1" x="6386"/>
        <item m="1" x="5122"/>
        <item m="1" x="3219"/>
        <item m="1" x="2531"/>
        <item m="1" x="7671"/>
        <item m="1" x="3934"/>
        <item m="1" x="3464"/>
        <item m="1" x="6966"/>
        <item m="1" x="3189"/>
        <item m="1" x="3253"/>
        <item m="1" x="6492"/>
        <item m="1" x="6593"/>
        <item m="1" x="6802"/>
        <item m="1" x="7834"/>
        <item m="1" x="3767"/>
        <item m="1" x="7333"/>
        <item m="1" x="6279"/>
        <item m="1" x="2946"/>
        <item m="1" x="5082"/>
        <item m="1" x="7272"/>
        <item m="1" x="7288"/>
        <item x="1042"/>
        <item m="1" x="2820"/>
        <item m="1" x="6491"/>
        <item m="1" x="4389"/>
        <item m="1" x="7662"/>
        <item m="1" x="3147"/>
        <item m="1" x="2441"/>
        <item m="1" x="5314"/>
        <item m="1" x="6244"/>
        <item m="1" x="3088"/>
        <item m="1" x="4384"/>
        <item m="1" x="2442"/>
        <item m="1" x="4996"/>
        <item m="1" x="2633"/>
        <item m="1" x="4151"/>
        <item m="1" x="6198"/>
        <item m="1" x="5183"/>
        <item m="1" x="6221"/>
        <item m="1" x="4491"/>
        <item m="1" x="3436"/>
        <item m="1" x="4079"/>
        <item m="1" x="5808"/>
        <item m="1" x="5850"/>
        <item m="1" x="7835"/>
        <item m="1" x="3878"/>
        <item m="1" x="3487"/>
        <item m="1" x="6743"/>
        <item m="1" x="6790"/>
        <item m="1" x="2343"/>
        <item m="1" x="7145"/>
        <item m="1" x="5648"/>
        <item m="1" x="2604"/>
        <item m="1" x="3453"/>
        <item x="1043"/>
        <item m="1" x="6024"/>
        <item m="1" x="5507"/>
        <item m="1" x="6569"/>
        <item m="1" x="3690"/>
        <item m="1" x="4911"/>
        <item m="1" x="6374"/>
        <item m="1" x="4535"/>
        <item m="1" x="6025"/>
        <item x="1044"/>
        <item m="1" x="2781"/>
        <item m="1" x="2305"/>
        <item x="1045"/>
        <item m="1" x="7805"/>
        <item m="1" x="4472"/>
        <item m="1" x="6305"/>
        <item m="1" x="6415"/>
        <item m="1" x="4143"/>
        <item m="1" x="7623"/>
        <item m="1" x="4701"/>
        <item m="1" x="5559"/>
        <item m="1" x="5225"/>
        <item x="1046"/>
        <item m="1" x="4346"/>
        <item m="1" x="7714"/>
        <item m="1" x="4508"/>
        <item m="1" x="4492"/>
        <item m="1" x="7744"/>
        <item m="1" x="3308"/>
        <item m="1" x="7500"/>
        <item m="1" x="6062"/>
        <item m="1" x="3769"/>
        <item m="1" x="4781"/>
        <item m="1" x="7171"/>
        <item m="1" x="3378"/>
        <item m="1" x="3651"/>
        <item m="1" x="6788"/>
        <item m="1" x="3005"/>
        <item m="1" x="4436"/>
        <item m="1" x="7298"/>
        <item x="1047"/>
        <item x="1048"/>
        <item m="1" x="2555"/>
        <item m="1" x="5670"/>
        <item m="1" x="4419"/>
        <item m="1" x="2405"/>
        <item m="1" x="5011"/>
        <item m="1" x="4644"/>
        <item m="1" x="5114"/>
        <item m="1" x="3439"/>
        <item m="1" x="7853"/>
        <item m="1" x="2644"/>
        <item m="1" x="3643"/>
        <item m="1" x="6397"/>
        <item m="1" x="6283"/>
        <item m="1" x="3794"/>
        <item m="1" x="3837"/>
        <item m="1" x="3479"/>
        <item m="1" x="5940"/>
        <item m="1" x="6568"/>
        <item m="1" x="7933"/>
        <item m="1" x="5160"/>
        <item m="1" x="2413"/>
        <item m="1" x="7195"/>
        <item x="1049"/>
        <item m="1" x="2697"/>
        <item m="1" x="3007"/>
        <item m="1" x="6182"/>
        <item m="1" x="3228"/>
        <item m="1" x="6594"/>
        <item m="1" x="6297"/>
        <item m="1" x="7326"/>
        <item m="1" x="4469"/>
        <item m="1" x="4136"/>
        <item m="1" x="2713"/>
        <item m="1" x="5037"/>
        <item m="1" x="2709"/>
        <item m="1" x="2499"/>
        <item m="1" x="6278"/>
        <item m="1" x="7092"/>
        <item m="1" x="4345"/>
        <item m="1" x="5253"/>
        <item m="1" x="4638"/>
        <item m="1" x="5388"/>
        <item m="1" x="5282"/>
        <item m="1" x="4095"/>
        <item m="1" x="6417"/>
        <item m="1" x="7514"/>
        <item m="1" x="4146"/>
        <item m="1" x="3469"/>
        <item m="1" x="2821"/>
        <item m="1" x="3735"/>
        <item m="1" x="4127"/>
        <item m="1" x="5736"/>
        <item m="1" x="2913"/>
        <item m="1" x="6645"/>
        <item m="1" x="3008"/>
        <item m="1" x="5228"/>
        <item m="1" x="4191"/>
        <item m="1" x="3109"/>
        <item m="1" x="7065"/>
        <item m="1" x="5357"/>
        <item m="1" x="7005"/>
        <item m="1" x="4403"/>
        <item m="1" x="4805"/>
        <item m="1" x="7432"/>
        <item m="1" x="7804"/>
        <item m="1" x="3169"/>
        <item m="1" x="4864"/>
        <item m="1" x="2803"/>
        <item x="1050"/>
        <item x="1051"/>
        <item m="1" x="3122"/>
        <item m="1" x="7723"/>
        <item m="1" x="5468"/>
        <item m="1" x="2498"/>
        <item m="1" x="5529"/>
        <item m="1" x="5913"/>
        <item x="1052"/>
        <item m="1" x="6307"/>
        <item m="1" x="7414"/>
        <item m="1" x="2371"/>
        <item m="1" x="6516"/>
        <item m="1" x="5587"/>
        <item m="1" x="6110"/>
        <item m="1" x="4797"/>
        <item m="1" x="2618"/>
        <item m="1" x="2338"/>
        <item m="1" x="4308"/>
        <item m="1" x="5438"/>
        <item m="1" x="7419"/>
        <item m="1" x="7379"/>
        <item m="1" x="4304"/>
        <item m="1" x="6669"/>
        <item m="1" x="7584"/>
        <item m="1" x="4358"/>
        <item m="1" x="3780"/>
        <item m="1" x="2947"/>
        <item m="1" x="7690"/>
        <item m="1" x="7972"/>
        <item m="1" x="6874"/>
        <item x="1053"/>
        <item m="1" x="2857"/>
        <item m="1" x="6282"/>
        <item m="1" x="5844"/>
        <item m="1" x="2851"/>
        <item x="1054"/>
        <item x="1055"/>
        <item x="1056"/>
        <item m="1" x="6571"/>
        <item m="1" x="7338"/>
        <item m="1" x="4885"/>
        <item m="1" x="3557"/>
        <item m="1" x="6349"/>
        <item m="1" x="6081"/>
        <item m="1" x="4420"/>
        <item x="1057"/>
        <item x="1058"/>
        <item m="1" x="6972"/>
        <item m="1" x="4234"/>
        <item m="1" x="3664"/>
        <item x="1059"/>
        <item m="1" x="7668"/>
        <item m="1" x="7557"/>
        <item m="1" x="3770"/>
        <item m="1" x="7800"/>
        <item m="1" x="6206"/>
        <item m="1" x="4153"/>
        <item m="1" x="3863"/>
        <item m="1" x="5874"/>
        <item m="1" x="3511"/>
        <item m="1" x="7523"/>
        <item m="1" x="4441"/>
        <item x="1060"/>
        <item m="1" x="7388"/>
        <item m="1" x="4058"/>
        <item m="1" x="6376"/>
        <item m="1" x="3306"/>
        <item m="1" x="6031"/>
        <item m="1" x="6286"/>
        <item m="1" x="7769"/>
        <item x="1061"/>
        <item x="1062"/>
        <item m="1" x="6010"/>
        <item m="1" x="6013"/>
        <item m="1" x="3879"/>
        <item m="1" x="5579"/>
        <item x="1063"/>
        <item m="1" x="4474"/>
        <item m="1" x="2609"/>
        <item m="1" x="2212"/>
        <item m="1" x="7627"/>
        <item m="1" x="5358"/>
        <item m="1" x="5473"/>
        <item m="1" x="4575"/>
        <item m="1" x="5058"/>
        <item m="1" x="7507"/>
        <item x="1064"/>
        <item m="1" x="6030"/>
        <item x="1065"/>
        <item x="1066"/>
        <item m="1" x="4901"/>
        <item m="1" x="6323"/>
        <item m="1" x="5200"/>
        <item m="1" x="6763"/>
        <item m="1" x="5821"/>
        <item m="1" x="3235"/>
        <item m="1" x="4423"/>
        <item m="1" x="3341"/>
        <item m="1" x="5015"/>
        <item m="1" x="4350"/>
        <item m="1" x="4640"/>
        <item m="1" x="6684"/>
        <item m="1" x="3010"/>
        <item m="1" x="6143"/>
        <item m="1" x="5361"/>
        <item m="1" x="5522"/>
        <item x="1067"/>
        <item m="1" x="7051"/>
        <item m="1" x="2949"/>
        <item m="1" x="2648"/>
        <item m="1" x="6399"/>
        <item m="1" x="3232"/>
        <item m="1" x="6457"/>
        <item m="1" x="6255"/>
        <item m="1" x="7843"/>
        <item m="1" x="5231"/>
        <item m="1" x="5360"/>
        <item m="1" x="3056"/>
        <item m="1" x="4790"/>
        <item m="1" x="4532"/>
        <item m="1" x="7069"/>
        <item m="1" x="4405"/>
        <item m="1" x="5442"/>
        <item x="1068"/>
        <item m="1" x="4273"/>
        <item m="1" x="2583"/>
        <item m="1" x="5761"/>
        <item m="1" x="3647"/>
        <item x="1069"/>
        <item m="1" x="5376"/>
        <item m="1" x="2504"/>
        <item m="1" x="7684"/>
        <item m="1" x="3455"/>
        <item m="1" x="6929"/>
        <item m="1" x="5684"/>
        <item x="1070"/>
        <item m="1" x="6251"/>
        <item m="1" x="7210"/>
        <item m="1" x="3079"/>
        <item m="1" x="6082"/>
        <item m="1" x="5254"/>
        <item m="1" x="7490"/>
        <item m="1" x="7182"/>
        <item m="1" x="6364"/>
        <item m="1" x="6878"/>
        <item m="1" x="6347"/>
        <item m="1" x="7914"/>
        <item m="1" x="2296"/>
        <item x="1071"/>
        <item m="1" x="4444"/>
        <item m="1" x="6393"/>
        <item m="1" x="6075"/>
        <item m="1" x="7028"/>
        <item m="1" x="3190"/>
        <item x="1072"/>
        <item m="1" x="6285"/>
        <item m="1" x="3053"/>
        <item m="1" x="7140"/>
        <item m="1" x="4014"/>
        <item m="1" x="2852"/>
        <item m="1" x="2955"/>
        <item m="1" x="5650"/>
        <item m="1" x="3302"/>
        <item m="1" x="7276"/>
        <item m="1" x="6290"/>
        <item m="1" x="5516"/>
        <item m="1" x="2751"/>
        <item m="1" x="3389"/>
        <item m="1" x="2783"/>
        <item m="1" x="5193"/>
        <item m="1" x="4754"/>
        <item m="1" x="4502"/>
        <item m="1" x="4263"/>
        <item m="1" x="4362"/>
        <item m="1" x="5625"/>
        <item m="1" x="7781"/>
        <item m="1" x="4888"/>
        <item m="1" x="3560"/>
        <item m="1" x="6320"/>
        <item m="1" x="4021"/>
        <item m="1" x="7508"/>
        <item m="1" x="6254"/>
        <item m="1" x="2344"/>
        <item m="1" x="7284"/>
        <item m="1" x="7261"/>
        <item m="1" x="4392"/>
        <item m="1" x="6273"/>
        <item m="1" x="6322"/>
        <item m="1" x="4235"/>
        <item m="1" x="6208"/>
        <item m="1" x="4692"/>
        <item m="1" x="7729"/>
        <item m="1" x="4426"/>
        <item m="1" x="7530"/>
        <item m="1" x="2858"/>
        <item m="1" x="7119"/>
        <item m="1" x="5903"/>
        <item m="1" x="6201"/>
        <item x="1073"/>
        <item m="1" x="7024"/>
        <item m="1" x="4452"/>
        <item m="1" x="3756"/>
        <item x="1074"/>
        <item x="1075"/>
        <item m="1" x="7873"/>
        <item m="1" x="6840"/>
        <item m="1" x="3173"/>
        <item m="1" x="6453"/>
        <item m="1" x="4956"/>
        <item m="1" x="4061"/>
        <item m="1" x="7996"/>
        <item m="1" x="3849"/>
        <item m="1" x="7663"/>
        <item m="1" x="6245"/>
        <item m="1" x="4953"/>
        <item m="1" x="5204"/>
        <item m="1" x="2469"/>
        <item m="1" x="6977"/>
        <item x="1076"/>
        <item m="1" x="6443"/>
        <item m="1" x="5244"/>
        <item m="1" x="6414"/>
        <item m="1" x="7766"/>
        <item m="1" x="2298"/>
        <item m="1" x="4688"/>
        <item m="1" x="3897"/>
        <item m="1" x="3358"/>
        <item m="1" x="6420"/>
        <item m="1" x="5325"/>
        <item m="1" x="3288"/>
        <item m="1" x="5019"/>
        <item m="1" x="2591"/>
        <item x="1077"/>
        <item m="1" x="5478"/>
        <item x="1078"/>
        <item m="1" x="6035"/>
        <item x="1079"/>
        <item x="1080"/>
        <item x="1081"/>
        <item m="1" x="3553"/>
        <item m="1" x="3222"/>
        <item m="1" x="3841"/>
        <item m="1" x="2394"/>
        <item m="1" x="5362"/>
        <item m="1" x="4749"/>
        <item x="1082"/>
        <item x="1083"/>
        <item x="1084"/>
        <item x="1085"/>
        <item m="1" x="4354"/>
        <item m="1" x="6146"/>
        <item m="1" x="6191"/>
        <item x="1086"/>
        <item m="1" x="4447"/>
        <item x="1087"/>
        <item m="1" x="4064"/>
        <item x="1088"/>
        <item m="1" x="7098"/>
        <item m="1" x="7844"/>
        <item m="1" x="6343"/>
        <item m="1" x="7009"/>
        <item m="1" x="4408"/>
        <item x="1089"/>
        <item x="1090"/>
        <item x="1091"/>
        <item m="1" x="3057"/>
        <item m="1" x="4757"/>
        <item m="1" x="6324"/>
        <item m="1" x="2860"/>
        <item m="1" x="6175"/>
        <item m="1" x="4891"/>
        <item m="1" x="3562"/>
        <item m="1" x="4023"/>
        <item m="1" x="4429"/>
        <item x="1092"/>
        <item x="1093"/>
        <item m="1" x="7383"/>
        <item m="1" x="6980"/>
        <item m="1" x="7536"/>
        <item x="1094"/>
        <item m="1" x="7400"/>
        <item x="1095"/>
        <item m="1" x="5682"/>
        <item x="1096"/>
        <item x="1097"/>
        <item x="1098"/>
        <item m="1" x="4357"/>
        <item m="1" x="6756"/>
        <item x="1099"/>
        <item m="1" x="3603"/>
        <item m="1" x="2666"/>
        <item m="1" x="4578"/>
        <item m="1" x="5527"/>
        <item x="1100"/>
        <item m="1" x="5235"/>
        <item x="1101"/>
        <item m="1" x="3348"/>
        <item m="1" x="7141"/>
        <item m="1" x="4065"/>
        <item m="1" x="4549"/>
        <item m="1" x="2345"/>
        <item m="1" x="7083"/>
        <item m="1" x="4409"/>
        <item x="1102"/>
        <item m="1" x="6776"/>
        <item m="1" x="7286"/>
        <item x="1103"/>
        <item m="1" x="2509"/>
        <item m="1" x="6346"/>
        <item m="1" x="7691"/>
        <item m="1" x="6016"/>
        <item x="1104"/>
        <item m="1" x="7474"/>
        <item m="1" x="6698"/>
        <item m="1" x="6881"/>
        <item x="1105"/>
        <item m="1" x="3061"/>
        <item m="1" x="6189"/>
        <item m="1" x="4760"/>
        <item m="1" x="6325"/>
        <item m="1" x="2941"/>
        <item m="1" x="2863"/>
        <item m="1" x="4306"/>
        <item x="1106"/>
        <item m="1" x="5146"/>
        <item m="1" x="7403"/>
        <item m="1" x="3758"/>
        <item m="1" x="4025"/>
        <item m="1" x="4600"/>
        <item m="1" x="4435"/>
        <item m="1" x="7540"/>
        <item m="1" x="5685"/>
        <item x="1107"/>
        <item x="1108"/>
        <item m="1" x="6983"/>
        <item x="1109"/>
        <item x="1110"/>
        <item m="1" x="5346"/>
        <item m="1" x="5530"/>
        <item x="1111"/>
        <item m="1" x="3351"/>
        <item m="1" x="3375"/>
        <item x="1112"/>
        <item m="1" x="7519"/>
        <item m="1" x="3659"/>
        <item x="1113"/>
        <item m="1" x="2672"/>
        <item m="1" x="6879"/>
        <item m="1" x="3000"/>
        <item m="1" x="5550"/>
        <item x="1114"/>
        <item m="1" x="4360"/>
        <item x="1115"/>
        <item m="1" x="4067"/>
        <item m="1" x="2351"/>
        <item m="1" x="7089"/>
        <item m="1" x="4410"/>
        <item x="1116"/>
        <item x="1117"/>
        <item m="1" x="7287"/>
        <item m="1" x="6703"/>
        <item m="1" x="2328"/>
        <item m="1" x="3064"/>
        <item m="1" x="4612"/>
        <item m="1" x="4316"/>
        <item m="1" x="5218"/>
        <item x="1118"/>
        <item m="1" x="7109"/>
        <item m="1" x="3101"/>
        <item m="1" x="7494"/>
        <item m="1" x="5391"/>
        <item m="1" x="4253"/>
        <item m="1" x="5488"/>
        <item m="1" x="7189"/>
        <item m="1" x="2511"/>
        <item m="1" x="6327"/>
        <item m="1" x="2945"/>
        <item m="1" x="3531"/>
        <item m="1" x="6351"/>
        <item m="1" x="6883"/>
        <item x="1119"/>
        <item m="1" x="4677"/>
        <item m="1" x="2864"/>
        <item m="1" x="5526"/>
        <item m="1" x="5785"/>
        <item x="1120"/>
        <item x="1121"/>
        <item x="1122"/>
        <item m="1" x="5856"/>
        <item x="1123"/>
        <item m="1" x="3781"/>
        <item m="1" x="7340"/>
        <item m="1" x="3868"/>
        <item m="1" x="6294"/>
        <item m="1" x="5299"/>
        <item m="1" x="5140"/>
        <item m="1" x="6827"/>
        <item m="1" x="4027"/>
        <item m="1" x="4440"/>
        <item m="1" x="7060"/>
        <item m="1" x="7385"/>
        <item m="1" x="5659"/>
        <item m="1" x="5221"/>
        <item m="1" x="6985"/>
        <item m="1" x="2302"/>
        <item m="1" x="6055"/>
        <item m="1" x="5460"/>
        <item m="1" x="6868"/>
        <item m="1" x="4503"/>
        <item m="1" x="3759"/>
        <item m="1" x="5633"/>
        <item m="1" x="5593"/>
        <item m="1" x="4604"/>
        <item m="1" x="7544"/>
        <item m="1" x="2684"/>
        <item m="1" x="3911"/>
        <item m="1" x="6344"/>
        <item x="1124"/>
        <item m="1" x="2327"/>
        <item m="1" x="7408"/>
        <item m="1" x="7824"/>
        <item m="1" x="7157"/>
        <item m="1" x="7438"/>
        <item m="1" x="2585"/>
        <item m="1" x="3457"/>
        <item m="1" x="7899"/>
        <item m="1" x="5335"/>
        <item x="1125"/>
        <item x="1126"/>
        <item m="1" x="7396"/>
        <item m="1" x="2601"/>
        <item m="1" x="2451"/>
        <item m="1" x="3069"/>
        <item m="1" x="3277"/>
        <item m="1" x="5532"/>
        <item m="1" x="5237"/>
        <item x="1127"/>
        <item m="1" x="6967"/>
        <item m="1" x="6505"/>
        <item m="1" x="6653"/>
        <item m="1" x="3355"/>
        <item m="1" x="3134"/>
        <item m="1" x="5304"/>
        <item m="1" x="5313"/>
        <item m="1" x="5978"/>
        <item x="1128"/>
        <item m="1" x="6664"/>
        <item m="1" x="5449"/>
        <item m="1" x="4072"/>
        <item m="1" x="3043"/>
        <item m="1" x="5029"/>
        <item m="1" x="4654"/>
        <item m="1" x="2207"/>
        <item m="1" x="4260"/>
        <item m="1" x="2254"/>
        <item m="1" x="4609"/>
        <item m="1" x="4912"/>
        <item m="1" x="3410"/>
        <item m="1" x="7981"/>
        <item m="1" x="4537"/>
        <item m="1" x="3386"/>
        <item m="1" x="7420"/>
        <item m="1" x="4830"/>
        <item m="1" x="4361"/>
        <item m="1" x="2638"/>
        <item m="1" x="3700"/>
        <item m="1" x="2726"/>
        <item m="1" x="2353"/>
        <item m="1" x="4028"/>
        <item m="1" x="5549"/>
        <item m="1" x="3666"/>
        <item m="1" x="5565"/>
        <item m="1" x="6708"/>
        <item m="1" x="7943"/>
        <item m="1" x="4893"/>
        <item m="1" x="2825"/>
        <item m="1" x="3745"/>
        <item m="1" x="5464"/>
        <item m="1" x="7851"/>
        <item m="1" x="5919"/>
        <item x="1129"/>
        <item m="1" x="4009"/>
        <item m="1" x="7095"/>
        <item m="1" x="2675"/>
        <item m="1" x="3001"/>
        <item m="1" x="3237"/>
        <item m="1" x="7299"/>
        <item x="1130"/>
        <item m="1" x="4591"/>
        <item m="1" x="4728"/>
        <item m="1" x="2517"/>
        <item m="1" x="3338"/>
        <item m="1" x="4866"/>
        <item m="1" x="4993"/>
        <item m="1" x="4991"/>
        <item m="1" x="7226"/>
        <item m="1" x="6584"/>
        <item m="1" x="2535"/>
        <item m="1" x="5935"/>
        <item m="1" x="4818"/>
        <item m="1" x="6738"/>
        <item m="1" x="7472"/>
        <item m="1" x="5497"/>
        <item m="1" x="7641"/>
        <item m="1" x="5555"/>
        <item m="1" x="4710"/>
        <item m="1" x="6939"/>
        <item m="1" x="2237"/>
        <item x="1131"/>
        <item m="1" x="7965"/>
        <item m="1" x="4618"/>
        <item m="1" x="4318"/>
        <item m="1" x="4937"/>
        <item m="1" x="4286"/>
        <item x="1132"/>
        <item m="1" x="2809"/>
        <item m="1" x="7652"/>
        <item m="1" x="5396"/>
        <item m="1" x="5456"/>
        <item m="1" x="3537"/>
        <item m="1" x="7698"/>
        <item m="1" x="3037"/>
        <item m="1" x="5789"/>
        <item m="1" x="5141"/>
        <item m="1" x="6400"/>
        <item m="1" x="5546"/>
        <item x="1133"/>
        <item m="1" x="7479"/>
        <item m="1" x="6747"/>
        <item m="1" x="6705"/>
        <item m="1" x="2542"/>
        <item m="1" x="2723"/>
        <item m="1" x="6655"/>
        <item m="1" x="7373"/>
        <item m="1" x="6923"/>
        <item m="1" x="2443"/>
        <item m="1" x="3640"/>
        <item m="1" x="3862"/>
        <item m="1" x="6667"/>
        <item m="1" x="2922"/>
        <item m="1" x="3783"/>
        <item m="1" x="3733"/>
        <item m="1" x="7114"/>
        <item m="1" x="7499"/>
        <item m="1" x="5493"/>
        <item m="1" x="6884"/>
        <item m="1" x="7191"/>
        <item m="1" x="4493"/>
        <item m="1" x="6885"/>
        <item m="1" x="4167"/>
        <item m="1" x="5451"/>
        <item m="1" x="7687"/>
        <item x="1134"/>
        <item x="1135"/>
        <item m="1" x="7045"/>
        <item m="1" x="5466"/>
        <item x="1136"/>
        <item m="1" x="7368"/>
        <item m="1" x="3068"/>
        <item m="1" x="7068"/>
        <item m="1" x="6192"/>
        <item m="1" x="2271"/>
        <item m="1" x="4254"/>
        <item m="1" x="6329"/>
        <item m="1" x="2948"/>
        <item m="1" x="5239"/>
        <item m="1" x="4680"/>
        <item m="1" x="4421"/>
        <item m="1" x="2865"/>
        <item m="1" x="5147"/>
        <item m="1" x="7058"/>
        <item m="1" x="3495"/>
        <item m="1" x="2730"/>
        <item m="1" x="3574"/>
        <item m="1" x="4239"/>
        <item m="1" x="4282"/>
        <item m="1" x="7655"/>
        <item m="1" x="2416"/>
        <item x="1137"/>
        <item m="1" x="3105"/>
        <item m="1" x="2733"/>
        <item m="1" x="5143"/>
        <item m="1" x="6831"/>
        <item m="1" x="7609"/>
        <item m="1" x="3403"/>
        <item m="1" x="6159"/>
        <item m="1" x="4030"/>
        <item m="1" x="7841"/>
        <item m="1" x="5790"/>
        <item m="1" x="6855"/>
        <item m="1" x="2581"/>
        <item m="1" x="3024"/>
        <item m="1" x="2716"/>
        <item m="1" x="7306"/>
        <item m="1" x="6912"/>
        <item m="1" x="6989"/>
        <item m="1" x="3898"/>
        <item m="1" x="4812"/>
        <item m="1" x="7451"/>
        <item m="1" x="4868"/>
        <item m="1" x="5520"/>
        <item m="1" x="5190"/>
        <item m="1" x="5149"/>
        <item m="1" x="4980"/>
        <item m="1" x="6311"/>
        <item m="1" x="7395"/>
        <item m="1" x="2291"/>
        <item m="1" x="6793"/>
        <item m="1" x="7296"/>
        <item m="1" x="2972"/>
        <item m="1" x="2209"/>
        <item m="1" x="3642"/>
        <item x="1138"/>
        <item x="1139"/>
        <item m="1" x="7416"/>
        <item m="1" x="7614"/>
        <item m="1" x="7412"/>
        <item x="1140"/>
        <item x="1141"/>
        <item x="1142"/>
        <item m="1" x="2799"/>
        <item m="1" x="3619"/>
        <item m="1" x="5637"/>
        <item m="1" x="2606"/>
        <item m="1" x="7161"/>
        <item m="1" x="4831"/>
        <item m="1" x="6088"/>
        <item m="1" x="2837"/>
        <item m="1" x="7794"/>
        <item m="1" x="2455"/>
        <item m="1" x="3073"/>
        <item m="1" x="7029"/>
        <item m="1" x="7493"/>
        <item m="1" x="4290"/>
        <item m="1" x="2674"/>
        <item m="1" x="6345"/>
        <item m="1" x="2275"/>
        <item m="1" x="7262"/>
        <item m="1" x="3672"/>
        <item m="1" x="3388"/>
        <item m="1" x="5421"/>
        <item m="1" x="6384"/>
        <item m="1" x="3838"/>
        <item m="1" x="2973"/>
        <item m="1" x="3280"/>
        <item m="1" x="6919"/>
        <item m="1" x="5712"/>
        <item m="1" x="6685"/>
        <item m="1" x="2554"/>
        <item m="1" x="6179"/>
        <item m="1" x="2589"/>
        <item m="1" x="4608"/>
        <item m="1" x="7852"/>
        <item m="1" x="3006"/>
        <item m="1" x="7546"/>
        <item m="1" x="5533"/>
        <item m="1" x="7137"/>
        <item m="1" x="6260"/>
        <item m="1" x="4042"/>
        <item m="1" x="5186"/>
        <item m="1" x="3966"/>
        <item m="1" x="4171"/>
        <item x="1143"/>
        <item m="1" x="3482"/>
        <item m="1" x="5963"/>
        <item m="1" x="5327"/>
        <item m="1" x="3516"/>
        <item m="1" x="3599"/>
        <item m="1" x="3343"/>
        <item m="1" x="2225"/>
        <item m="1" x="2593"/>
        <item m="1" x="7696"/>
        <item m="1" x="6712"/>
        <item m="1" x="6973"/>
        <item m="1" x="2450"/>
        <item m="1" x="5733"/>
        <item m="1" x="5815"/>
        <item m="1" x="4918"/>
        <item m="1" x="4477"/>
        <item m="1" x="3135"/>
        <item m="1" x="5302"/>
        <item m="1" x="3587"/>
        <item m="1" x="7422"/>
        <item m="1" x="6228"/>
        <item m="1" x="5567"/>
        <item m="1" x="7643"/>
        <item m="1" x="7467"/>
        <item m="1" x="6429"/>
        <item m="1" x="2680"/>
        <item m="1" x="3004"/>
        <item m="1" x="7638"/>
        <item m="1" x="4674"/>
        <item m="1" x="5749"/>
        <item m="1" x="5348"/>
        <item m="1" x="6942"/>
        <item x="1144"/>
        <item m="1" x="7973"/>
        <item m="1" x="5984"/>
        <item m="1" x="4664"/>
        <item m="1" x="4835"/>
        <item m="1" x="6595"/>
        <item m="1" x="3693"/>
        <item m="1" x="4367"/>
        <item m="1" x="5185"/>
        <item m="1" x="6711"/>
        <item m="1" x="4088"/>
        <item m="1" x="5777"/>
        <item x="1145"/>
        <item m="1" x="6670"/>
        <item m="1" x="5085"/>
        <item m="1" x="4594"/>
        <item m="1" x="7648"/>
        <item m="1" x="6348"/>
        <item m="1" x="7052"/>
        <item m="1" x="2629"/>
        <item m="1" x="7203"/>
        <item m="1" x="2357"/>
        <item m="1" x="2869"/>
        <item m="1" x="4670"/>
        <item m="1" x="4284"/>
        <item m="1" x="2224"/>
        <item m="1" x="5372"/>
        <item m="1" x="7099"/>
        <item m="1" x="5381"/>
        <item m="1" x="3782"/>
        <item m="1" x="2884"/>
        <item x="1146"/>
        <item m="1" x="4730"/>
        <item x="1147"/>
        <item m="1" x="2950"/>
        <item x="1148"/>
        <item m="1" x="5402"/>
        <item m="1" x="3542"/>
        <item m="1" x="5337"/>
        <item m="1" x="2377"/>
        <item m="1" x="7008"/>
        <item m="1" x="2856"/>
        <item m="1" x="4948"/>
        <item m="1" x="3406"/>
        <item m="1" x="2346"/>
        <item m="1" x="3040"/>
        <item m="1" x="6003"/>
        <item m="1" x="6313"/>
        <item m="1" x="4736"/>
        <item m="1" x="5793"/>
        <item m="1" x="5038"/>
        <item m="1" x="6401"/>
        <item m="1" x="4465"/>
        <item m="1" x="6709"/>
        <item m="1" x="2649"/>
        <item m="1" x="2301"/>
        <item m="1" x="2471"/>
        <item m="1" x="3873"/>
        <item m="1" x="6447"/>
        <item m="1" x="5924"/>
        <item m="1" x="5509"/>
        <item m="1" x="6126"/>
        <item m="1" x="3107"/>
        <item m="1" x="2810"/>
        <item m="1" x="2914"/>
        <item m="1" x="4116"/>
        <item m="1" x="7424"/>
        <item m="1" x="2518"/>
        <item m="1" x="3245"/>
        <item m="1" x="3577"/>
        <item m="1" x="2635"/>
        <item m="1" x="7053"/>
        <item m="1" x="3071"/>
        <item m="1" x="4192"/>
        <item m="1" x="7072"/>
        <item m="1" x="7660"/>
        <item x="1149"/>
        <item m="1" x="6945"/>
        <item m="1" x="3679"/>
        <item m="1" x="3401"/>
        <item m="1" x="5498"/>
        <item m="1" x="5145"/>
        <item m="1" x="6886"/>
        <item m="1" x="6833"/>
        <item m="1" x="7611"/>
        <item m="1" x="4939"/>
        <item m="1" x="6332"/>
        <item m="1" x="2953"/>
        <item m="1" x="6166"/>
        <item m="1" x="3962"/>
        <item m="1" x="4496"/>
        <item m="1" x="6887"/>
        <item m="1" x="4032"/>
        <item m="1" x="5791"/>
        <item m="1" x="4170"/>
        <item m="1" x="5242"/>
        <item m="1" x="5452"/>
        <item m="1" x="5868"/>
        <item m="1" x="7215"/>
        <item m="1" x="5148"/>
        <item m="1" x="2599"/>
        <item m="1" x="6860"/>
        <item m="1" x="2586"/>
        <item m="1" x="4682"/>
        <item m="1" x="2256"/>
        <item m="1" x="5927"/>
        <item m="1" x="2868"/>
        <item m="1" x="7063"/>
        <item m="1" x="5928"/>
        <item x="1150"/>
        <item m="1" x="3136"/>
        <item m="1" x="7309"/>
        <item m="1" x="4243"/>
        <item x="1151"/>
        <item x="1152"/>
        <item m="1" x="3234"/>
        <item m="1" x="5663"/>
        <item m="1" x="6438"/>
        <item m="1" x="4156"/>
        <item m="1" x="5462"/>
        <item m="1" x="4819"/>
        <item m="1" x="7343"/>
        <item m="1" x="3313"/>
        <item m="1" x="3771"/>
        <item m="1" x="3204"/>
        <item m="1" x="4615"/>
        <item m="1" x="7796"/>
        <item m="1" x="3719"/>
        <item m="1" x="4294"/>
        <item m="1" x="6921"/>
        <item m="1" x="5595"/>
        <item m="1" x="4611"/>
        <item m="1" x="7551"/>
        <item m="1" x="5968"/>
        <item m="1" x="4004"/>
        <item x="1153"/>
        <item m="1" x="6995"/>
        <item x="1154"/>
        <item m="1" x="7826"/>
        <item m="1" x="7162"/>
        <item m="1" x="2840"/>
        <item m="1" x="3808"/>
        <item m="1" x="7442"/>
        <item m="1" x="7856"/>
        <item m="1" x="6431"/>
        <item m="1" x="2227"/>
        <item x="1155"/>
        <item m="1" x="6796"/>
        <item m="1" x="3568"/>
        <item m="1" x="2612"/>
        <item m="1" x="4836"/>
        <item m="1" x="2459"/>
        <item m="1" x="3074"/>
        <item m="1" x="3842"/>
        <item m="1" x="5537"/>
        <item x="1156"/>
        <item m="1" x="5553"/>
        <item m="1" x="6978"/>
        <item m="1" x="3867"/>
        <item m="1" x="7425"/>
        <item m="1" x="3191"/>
        <item m="1" x="2757"/>
        <item m="1" x="7651"/>
        <item m="1" x="2682"/>
        <item m="1" x="7948"/>
        <item m="1" x="4256"/>
        <item m="1" x="6924"/>
        <item m="1" x="2229"/>
        <item m="1" x="2653"/>
        <item m="1" x="6944"/>
        <item m="1" x="5316"/>
        <item m="1" x="6753"/>
        <item m="1" x="2677"/>
        <item m="1" x="6847"/>
        <item m="1" x="3698"/>
        <item m="1" x="4924"/>
        <item m="1" x="4789"/>
        <item m="1" x="6432"/>
        <item x="1157"/>
        <item m="1" x="3620"/>
        <item m="1" x="5089"/>
        <item m="1" x="4997"/>
        <item m="1" x="4212"/>
        <item m="1" x="7301"/>
        <item m="1" x="5453"/>
        <item m="1" x="4288"/>
        <item m="1" x="2888"/>
        <item m="1" x="7509"/>
        <item m="1" x="5985"/>
        <item m="1" x="7966"/>
        <item m="1" x="4289"/>
        <item x="1158"/>
        <item m="1" x="4539"/>
        <item m="1" x="3045"/>
        <item m="1" x="4840"/>
        <item m="1" x="3546"/>
        <item m="1" x="2382"/>
        <item m="1" x="2732"/>
        <item m="1" x="7064"/>
        <item m="1" x="2363"/>
        <item m="1" x="5187"/>
        <item m="1" x="2673"/>
        <item m="1" x="2859"/>
        <item m="1" x="4091"/>
        <item m="1" x="7125"/>
        <item m="1" x="6725"/>
        <item m="1" x="5646"/>
        <item m="1" x="7116"/>
        <item m="1" x="4928"/>
        <item m="1" x="3044"/>
        <item m="1" x="6005"/>
        <item x="1159"/>
        <item m="1" x="7974"/>
        <item m="1" x="3322"/>
        <item m="1" x="7321"/>
        <item m="1" x="5796"/>
        <item m="1" x="6403"/>
        <item x="1160"/>
        <item m="1" x="6713"/>
        <item m="1" x="2544"/>
        <item m="1" x="7118"/>
        <item m="1" x="5494"/>
        <item m="1" x="3176"/>
        <item m="1" x="4734"/>
        <item m="1" x="4128"/>
        <item m="1" x="7235"/>
        <item m="1" x="6589"/>
        <item m="1" x="2447"/>
        <item m="1" x="5328"/>
        <item m="1" x="5776"/>
        <item m="1" x="3870"/>
        <item m="1" x="2303"/>
        <item m="1" x="6354"/>
        <item m="1" x="4478"/>
        <item m="1" x="4237"/>
        <item m="1" x="6895"/>
        <item m="1" x="4056"/>
        <item m="1" x="3736"/>
        <item m="1" x="7238"/>
        <item m="1" x="7603"/>
        <item m="1" x="5222"/>
        <item m="1" x="7188"/>
        <item m="1" x="6737"/>
        <item m="1" x="6106"/>
        <item m="1" x="7435"/>
        <item m="1" x="6129"/>
        <item m="1" x="7128"/>
        <item m="1" x="5616"/>
        <item m="1" x="3899"/>
        <item m="1" x="3967"/>
        <item m="1" x="4498"/>
        <item m="1" x="4177"/>
        <item m="1" x="5454"/>
        <item m="1" x="5369"/>
        <item m="1" x="4505"/>
        <item m="1" x="3390"/>
        <item m="1" x="7827"/>
        <item m="1" x="3110"/>
        <item m="1" x="2911"/>
        <item m="1" x="3875"/>
        <item m="1" x="7512"/>
        <item m="1" x="6585"/>
        <item m="1" x="7531"/>
        <item m="1" x="6745"/>
        <item m="1" x="2813"/>
        <item m="1" x="2917"/>
        <item m="1" x="4204"/>
        <item x="1161"/>
        <item m="1" x="3396"/>
        <item x="1162"/>
        <item m="1" x="4122"/>
        <item m="1" x="3958"/>
        <item m="1" x="5064"/>
        <item m="1" x="2595"/>
        <item m="1" x="5679"/>
        <item m="1" x="7347"/>
        <item m="1" x="3316"/>
        <item m="1" x="3590"/>
        <item m="1" x="3790"/>
        <item m="1" x="7855"/>
        <item m="1" x="7079"/>
        <item m="1" x="6195"/>
        <item m="1" x="2977"/>
        <item m="1" x="7481"/>
        <item m="1" x="4720"/>
        <item m="1" x="6816"/>
        <item m="1" x="2989"/>
        <item m="1" x="3102"/>
        <item m="1" x="5447"/>
        <item m="1" x="6996"/>
        <item m="1" x="3526"/>
        <item m="1" x="5895"/>
        <item m="1" x="4129"/>
        <item m="1" x="5941"/>
        <item m="1" x="4671"/>
        <item m="1" x="7013"/>
        <item m="1" x="7336"/>
        <item m="1" x="4071"/>
        <item m="1" x="6846"/>
        <item m="1" x="7845"/>
        <item m="1" x="6334"/>
        <item m="1" x="2959"/>
        <item m="1" x="6789"/>
        <item m="1" x="5599"/>
        <item m="1" x="5224"/>
        <item m="1" x="4002"/>
        <item m="1" x="7406"/>
        <item m="1" x="5969"/>
        <item m="1" x="6316"/>
        <item m="1" x="2974"/>
        <item m="1" x="4650"/>
        <item m="1" x="5870"/>
        <item m="1" x="7446"/>
        <item m="1" x="3778"/>
        <item m="1" x="2760"/>
        <item m="1" x="4683"/>
        <item m="1" x="2871"/>
        <item m="1" x="7067"/>
        <item m="1" x="7695"/>
        <item m="1" x="6461"/>
        <item m="1" x="3363"/>
        <item m="1" x="6150"/>
        <item m="1" x="3254"/>
        <item x="1163"/>
        <item m="1" x="3497"/>
        <item m="1" x="3581"/>
        <item m="1" x="3908"/>
        <item m="1" x="6508"/>
        <item m="1" x="4209"/>
        <item m="1" x="3688"/>
        <item m="1" x="4293"/>
        <item m="1" x="4248"/>
        <item m="1" x="4968"/>
        <item m="1" x="4563"/>
        <item m="1" x="2426"/>
        <item m="1" x="5207"/>
        <item m="1" x="5093"/>
        <item m="1" x="4582"/>
        <item m="1" x="4745"/>
        <item m="1" x="6306"/>
        <item m="1" x="3935"/>
        <item m="1" x="4325"/>
        <item m="1" x="3696"/>
        <item m="1" x="3095"/>
        <item m="1" x="3054"/>
        <item m="1" x="4648"/>
        <item m="1" x="6882"/>
        <item m="1" x="4112"/>
        <item m="1" x="7633"/>
        <item m="1" x="7693"/>
        <item m="1" x="5730"/>
        <item m="1" x="2506"/>
        <item m="1" x="6289"/>
        <item m="1" x="5699"/>
        <item m="1" x="4561"/>
        <item m="1" x="2246"/>
        <item m="1" x="7334"/>
        <item m="1" x="2570"/>
        <item m="1" x="5621"/>
        <item m="1" x="3150"/>
        <item m="1" x="5131"/>
        <item m="1" x="6780"/>
        <item m="1" x="3615"/>
        <item m="1" x="2282"/>
        <item m="1" x="6017"/>
        <item m="1" x="3320"/>
        <item x="1164"/>
        <item m="1" x="2545"/>
        <item m="1" x="4756"/>
        <item m="1" x="6170"/>
        <item m="1" x="4034"/>
        <item m="1" x="5794"/>
        <item m="1" x="6288"/>
        <item m="1" x="4222"/>
        <item m="1" x="4509"/>
        <item m="1" x="4709"/>
        <item m="1" x="7877"/>
        <item m="1" x="2235"/>
        <item m="1" x="4297"/>
        <item m="1" x="4614"/>
        <item x="1165"/>
        <item x="1166"/>
        <item m="1" x="3909"/>
        <item m="1" x="4207"/>
        <item m="1" x="2462"/>
        <item m="1" x="7657"/>
        <item m="1" x="3811"/>
        <item m="1" x="7857"/>
        <item m="1" x="7806"/>
        <item m="1" x="2458"/>
        <item m="1" x="5450"/>
        <item m="1" x="3422"/>
        <item m="1" x="4845"/>
        <item m="1" x="6597"/>
        <item m="1" x="3701"/>
        <item m="1" x="5189"/>
        <item m="1" x="7127"/>
        <item m="1" x="5780"/>
        <item x="1167"/>
        <item m="1" x="5786"/>
        <item m="1" x="5959"/>
        <item m="1" x="4715"/>
        <item m="1" x="7061"/>
        <item m="1" x="3680"/>
        <item m="1" x="5945"/>
        <item m="1" x="2370"/>
        <item m="1" x="3851"/>
        <item m="1" x="3137"/>
        <item m="1" x="7765"/>
        <item m="1" x="5377"/>
        <item m="1" x="4510"/>
        <item m="1" x="5779"/>
        <item m="1" x="3549"/>
        <item m="1" x="3586"/>
        <item m="1" x="2676"/>
        <item m="1" x="2861"/>
        <item m="1" x="6714"/>
        <item m="1" x="6641"/>
        <item m="1" x="6926"/>
        <item m="1" x="7322"/>
        <item m="1" x="5802"/>
        <item m="1" x="6405"/>
        <item m="1" x="6716"/>
        <item m="1" x="6900"/>
        <item m="1" x="6133"/>
        <item m="1" x="3970"/>
        <item m="1" x="7792"/>
        <item m="1" x="6587"/>
        <item m="1" x="4211"/>
        <item x="1168"/>
        <item m="1" x="3046"/>
        <item x="1169"/>
        <item m="1" x="5970"/>
        <item m="1" x="7526"/>
        <item m="1" x="5601"/>
        <item m="1" x="4043"/>
        <item m="1" x="2277"/>
        <item m="1" x="5540"/>
        <item x="1170"/>
        <item x="1171"/>
        <item m="1" x="6465"/>
        <item m="1" x="3695"/>
        <item x="1172"/>
        <item m="1" x="3397"/>
        <item m="1" x="6292"/>
        <item m="1" x="5474"/>
        <item m="1" x="5318"/>
        <item m="1" x="4716"/>
        <item m="1" x="5417"/>
        <item x="1173"/>
        <item m="1" x="3592"/>
        <item m="1" x="3773"/>
        <item m="1" x="3214"/>
        <item m="1" x="4619"/>
        <item m="1" x="2519"/>
        <item x="1174"/>
        <item x="1175"/>
        <item x="1176"/>
        <item m="1" x="5798"/>
        <item m="1" x="7945"/>
        <item m="1" x="7561"/>
        <item m="1" x="5026"/>
        <item m="1" x="5150"/>
        <item x="1177"/>
        <item x="1178"/>
        <item x="1179"/>
        <item x="1180"/>
        <item x="1181"/>
        <item m="1" x="5983"/>
        <item x="1182"/>
        <item m="1" x="4046"/>
        <item m="1" x="6998"/>
        <item x="1183"/>
        <item m="1" x="6218"/>
        <item x="1184"/>
        <item m="1" x="2559"/>
        <item m="1" x="4385"/>
        <item m="1" x="4870"/>
        <item x="1185"/>
        <item x="1186"/>
        <item x="1187"/>
        <item x="1188"/>
        <item m="1" x="7459"/>
        <item m="1" x="6821"/>
        <item m="1" x="4846"/>
        <item x="1189"/>
        <item m="1" x="5689"/>
        <item m="1" x="2754"/>
        <item x="1190"/>
        <item x="1191"/>
        <item x="1192"/>
        <item m="1" x="5560"/>
        <item m="1" x="2359"/>
        <item m="1" x="5021"/>
        <item m="1" x="2995"/>
        <item m="1" x="3192"/>
        <item m="1" x="7291"/>
        <item x="1193"/>
        <item x="1194"/>
        <item x="1195"/>
        <item m="1" x="3845"/>
        <item m="1" x="6436"/>
        <item m="1" x="2603"/>
        <item m="1" x="3607"/>
        <item x="1196"/>
        <item x="1197"/>
        <item x="1198"/>
        <item x="1199"/>
        <item m="1" x="6932"/>
        <item m="1" x="7999"/>
        <item m="1" x="5803"/>
        <item m="1" x="2889"/>
        <item x="1200"/>
        <item x="1201"/>
        <item m="1" x="3667"/>
        <item m="1" x="3713"/>
        <item m="1" x="3118"/>
        <item m="1" x="5482"/>
        <item m="1" x="6757"/>
        <item m="1" x="3703"/>
        <item x="1202"/>
        <item x="1203"/>
        <item x="1204"/>
        <item x="1205"/>
        <item m="1" x="5191"/>
        <item m="1" x="5888"/>
        <item m="1" x="2642"/>
        <item m="1" x="5570"/>
        <item m="1" x="6437"/>
        <item x="1206"/>
        <item x="1207"/>
        <item m="1" x="5371"/>
        <item m="1" x="7360"/>
        <item m="1" x="7027"/>
        <item m="1" x="2943"/>
        <item m="1" x="4134"/>
        <item m="1" x="4825"/>
        <item x="1208"/>
        <item m="1" x="7303"/>
        <item m="1" x="3788"/>
        <item m="1" x="7227"/>
        <item m="1" x="6391"/>
        <item m="1" x="5157"/>
        <item m="1" x="4984"/>
        <item x="1209"/>
        <item x="1210"/>
        <item x="1211"/>
        <item m="1" x="6629"/>
        <item m="1" x="4296"/>
        <item x="1212"/>
        <item m="1" x="4266"/>
        <item x="1213"/>
        <item x="1214"/>
        <item x="1215"/>
        <item m="1" x="3498"/>
        <item m="1" x="4546"/>
        <item m="1" x="4347"/>
        <item m="1" x="2259"/>
        <item m="1" x="6222"/>
        <item m="1" x="6717"/>
        <item m="1" x="4102"/>
        <item x="1216"/>
        <item x="1217"/>
        <item x="1218"/>
        <item x="1219"/>
        <item m="1" x="2307"/>
        <item m="1" x="6904"/>
        <item m="1" x="4742"/>
        <item m="1" x="7244"/>
        <item m="1" x="7608"/>
        <item m="1" x="7066"/>
        <item m="1" x="6956"/>
        <item m="1" x="6138"/>
        <item m="1" x="7325"/>
        <item x="1220"/>
        <item x="1221"/>
        <item x="1222"/>
        <item x="1223"/>
        <item m="1" x="7074"/>
        <item m="1" x="2373"/>
        <item m="1" x="2681"/>
        <item m="1" x="6540"/>
        <item m="1" x="4645"/>
        <item m="1" x="6696"/>
        <item m="1" x="3115"/>
        <item x="1224"/>
        <item x="1225"/>
        <item x="1226"/>
        <item x="1227"/>
        <item x="1228"/>
        <item x="1229"/>
        <item m="1" x="2258"/>
        <item m="1" x="4553"/>
        <item x="1230"/>
        <item x="1231"/>
        <item m="1" x="3050"/>
        <item m="1" x="5783"/>
        <item m="1" x="3047"/>
        <item m="1" x="2997"/>
        <item m="1" x="3106"/>
        <item x="1232"/>
        <item x="1233"/>
        <item x="1234"/>
        <item m="1" x="7532"/>
        <item m="1" x="6657"/>
        <item m="1" x="3015"/>
        <item m="1" x="5165"/>
        <item m="1" x="5883"/>
        <item m="1" x="3060"/>
        <item m="1" x="2283"/>
        <item m="1" x="7310"/>
        <item m="1" x="5543"/>
        <item m="1" x="6359"/>
        <item m="1" x="4038"/>
        <item x="1235"/>
        <item x="1236"/>
        <item x="1237"/>
        <item x="1238"/>
        <item x="1239"/>
        <item x="1240"/>
        <item m="1" x="6469"/>
        <item m="1" x="6207"/>
        <item x="1241"/>
        <item m="1" x="3499"/>
        <item m="1" x="3639"/>
        <item x="1242"/>
        <item m="1" x="7256"/>
        <item m="1" x="4926"/>
        <item m="1" x="6888"/>
        <item m="1" x="5974"/>
        <item m="1" x="7524"/>
        <item m="1" x="4301"/>
        <item m="1" x="7327"/>
        <item x="1243"/>
        <item x="1244"/>
        <item m="1" x="5805"/>
        <item m="1" x="3399"/>
        <item m="1" x="3411"/>
        <item m="1" x="7308"/>
        <item m="1" x="5479"/>
        <item m="1" x="3193"/>
        <item m="1" x="3065"/>
        <item m="1" x="5610"/>
        <item m="1" x="3583"/>
        <item m="1" x="5001"/>
        <item m="1" x="7486"/>
        <item m="1" x="7152"/>
        <item m="1" x="7979"/>
        <item m="1" x="7815"/>
        <item x="1245"/>
        <item x="1246"/>
        <item x="1247"/>
        <item x="1248"/>
        <item x="1249"/>
        <item m="1" x="5695"/>
        <item x="1250"/>
        <item m="1" x="3996"/>
        <item m="1" x="3596"/>
        <item m="1" x="4577"/>
        <item m="1" x="4713"/>
        <item m="1" x="5024"/>
        <item m="1" x="5788"/>
        <item m="1" x="7901"/>
        <item m="1" x="4738"/>
        <item m="1" x="6927"/>
        <item x="1251"/>
        <item x="1252"/>
        <item x="1253"/>
        <item m="1" x="7949"/>
        <item m="1" x="5030"/>
        <item m="1" x="5153"/>
        <item m="1" x="3629"/>
        <item m="1" x="3925"/>
        <item m="1" x="2294"/>
        <item m="1" x="2525"/>
        <item m="1" x="4454"/>
        <item m="1" x="5675"/>
        <item m="1" x="2260"/>
        <item m="1" x="4727"/>
        <item x="1254"/>
        <item m="1" x="7571"/>
        <item x="1255"/>
        <item x="1256"/>
        <item m="1" x="3626"/>
        <item m="1" x="4279"/>
        <item m="1" x="2610"/>
        <item x="1257"/>
        <item x="1258"/>
        <item m="1" x="5232"/>
        <item m="1" x="6227"/>
        <item m="1" x="6008"/>
        <item m="1" x="7344"/>
        <item x="1259"/>
        <item m="1" x="2718"/>
        <item m="1" x="6224"/>
        <item m="1" x="3802"/>
        <item m="1" x="3932"/>
        <item m="1" x="2514"/>
        <item m="1" x="3973"/>
        <item x="1260"/>
        <item x="1261"/>
        <item x="1262"/>
        <item x="1263"/>
        <item m="1" x="5981"/>
        <item m="1" x="7814"/>
        <item m="1" x="2892"/>
        <item m="1" x="4558"/>
        <item m="1" x="6744"/>
        <item m="1" x="3816"/>
        <item m="1" x="3731"/>
        <item m="1" x="3210"/>
        <item m="1" x="2925"/>
        <item m="1" x="7462"/>
        <item m="1" x="6066"/>
        <item m="1" x="7768"/>
        <item x="1264"/>
        <item x="1265"/>
        <item x="1266"/>
        <item x="1267"/>
        <item x="1268"/>
        <item x="1269"/>
        <item x="1270"/>
        <item x="1271"/>
        <item m="1" x="3717"/>
        <item m="1" x="3824"/>
        <item m="1" x="7777"/>
        <item m="1" x="2510"/>
        <item m="1" x="7364"/>
        <item m="1" x="4958"/>
        <item m="1" x="6899"/>
        <item m="1" x="7297"/>
        <item m="1" x="4675"/>
        <item m="1" x="5641"/>
        <item m="1" x="7720"/>
        <item m="1" x="6266"/>
        <item m="1" x="6303"/>
        <item m="1" x="7640"/>
        <item m="1" x="3112"/>
        <item m="1" x="5881"/>
        <item m="1" x="4438"/>
        <item m="1" x="6464"/>
        <item m="1" x="6073"/>
        <item m="1" x="6782"/>
        <item m="1" x="7565"/>
        <item m="1" x="7211"/>
        <item m="1" x="6695"/>
        <item m="1" x="6739"/>
        <item m="1" x="4381"/>
        <item m="1" x="6378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m="1" x="5492"/>
        <item m="1" x="2792"/>
        <item m="1" x="6559"/>
        <item m="1" x="6247"/>
        <item m="1" x="6844"/>
        <item m="1" x="2505"/>
        <item m="1" x="7147"/>
        <item m="1" x="4468"/>
        <item m="1" x="3864"/>
        <item m="1" x="4776"/>
        <item x="1287"/>
        <item x="1288"/>
        <item x="1289"/>
        <item m="1" x="6633"/>
        <item m="1" x="2465"/>
        <item x="1290"/>
        <item x="1291"/>
        <item x="1292"/>
        <item x="1293"/>
        <item m="1" x="5784"/>
        <item x="1294"/>
        <item m="1" x="2683"/>
        <item m="1" x="4616"/>
        <item x="1295"/>
        <item x="1296"/>
        <item x="1297"/>
        <item x="1298"/>
        <item x="1299"/>
        <item x="1300"/>
        <item x="1301"/>
        <item m="1" x="3604"/>
        <item x="1302"/>
        <item m="1" x="2311"/>
        <item x="1303"/>
        <item x="1304"/>
        <item x="1305"/>
        <item x="1306"/>
        <item x="1307"/>
        <item x="1308"/>
        <item x="1309"/>
        <item x="1310"/>
        <item m="1" x="3020"/>
        <item m="1" x="5169"/>
        <item m="1" x="7711"/>
        <item m="1" x="6428"/>
        <item m="1" x="6249"/>
        <item x="1311"/>
        <item x="1312"/>
        <item x="1313"/>
        <item x="1314"/>
        <item x="1315"/>
        <item x="1316"/>
        <item x="1317"/>
        <item x="1318"/>
        <item x="1319"/>
        <item x="1320"/>
        <item m="1" x="2571"/>
        <item m="1" x="3402"/>
        <item m="1" x="3414"/>
        <item m="1" x="7312"/>
        <item x="1321"/>
        <item x="1322"/>
        <item x="1323"/>
        <item x="1324"/>
        <item m="1" x="5055"/>
        <item x="1325"/>
        <item m="1" x="3776"/>
        <item x="1326"/>
        <item x="1327"/>
        <item m="1" x="5035"/>
        <item x="1328"/>
        <item x="1329"/>
        <item x="1330"/>
        <item m="1" x="3956"/>
        <item x="1331"/>
        <item x="1332"/>
        <item x="1333"/>
        <item m="1" x="5809"/>
        <item x="1334"/>
        <item x="1335"/>
        <item x="1336"/>
        <item x="1337"/>
        <item x="1338"/>
        <item m="1" x="2482"/>
        <item x="1339"/>
        <item m="1" x="7204"/>
        <item x="1340"/>
        <item m="1" x="2717"/>
        <item x="1341"/>
        <item x="1342"/>
        <item m="1" x="3081"/>
        <item x="1343"/>
        <item x="1344"/>
        <item x="1345"/>
        <item x="1346"/>
        <item x="1347"/>
        <item m="1" x="6314"/>
        <item x="1348"/>
        <item x="1349"/>
        <item x="1350"/>
        <item x="1351"/>
        <item x="1352"/>
        <item m="1" x="3721"/>
        <item x="1353"/>
        <item x="1354"/>
        <item x="1355"/>
        <item x="1356"/>
        <item m="1" x="6828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m="1" x="4026"/>
        <item m="1" x="289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m="1" x="4184"/>
        <item m="1" x="4620"/>
        <item x="1379"/>
        <item x="1380"/>
        <item x="1381"/>
        <item x="1382"/>
        <item x="1383"/>
        <item x="1384"/>
        <item x="1385"/>
        <item x="1386"/>
        <item x="1387"/>
        <item x="1388"/>
        <item m="1" x="3055"/>
        <item x="1389"/>
        <item x="1390"/>
        <item x="1391"/>
        <item x="1392"/>
        <item x="1393"/>
        <item x="1394"/>
        <item x="1395"/>
        <item m="1" x="5172"/>
        <item m="1" x="7988"/>
        <item m="1" x="2268"/>
        <item x="1396"/>
        <item x="1397"/>
        <item x="1398"/>
        <item x="1399"/>
        <item x="1400"/>
        <item x="1401"/>
        <item m="1" x="5926"/>
        <item x="1402"/>
        <item m="1" x="5987"/>
        <item m="1" x="5875"/>
        <item x="1403"/>
        <item m="1" x="3945"/>
        <item m="1" x="2970"/>
        <item x="1404"/>
        <item m="1" x="4567"/>
        <item m="1" x="3070"/>
        <item x="1405"/>
        <item m="1" x="3025"/>
        <item x="1406"/>
        <item m="1" x="4606"/>
        <item m="1" x="3641"/>
        <item x="1407"/>
        <item m="1" x="6803"/>
        <item m="1" x="7871"/>
        <item m="1" x="3387"/>
        <item m="1" x="7417"/>
        <item x="1408"/>
        <item x="1409"/>
        <item x="1410"/>
        <item m="1" x="3550"/>
        <item x="1411"/>
        <item m="1" x="7371"/>
        <item m="1" x="4860"/>
        <item m="1" x="7606"/>
        <item x="1412"/>
        <item x="1413"/>
        <item x="1414"/>
        <item x="1415"/>
        <item x="1416"/>
        <item m="1" x="3727"/>
        <item x="1417"/>
        <item x="1418"/>
        <item x="1419"/>
        <item m="1" x="4133"/>
        <item m="1" x="2486"/>
        <item m="1" x="5889"/>
        <item x="1420"/>
        <item x="1421"/>
        <item m="1" x="7788"/>
        <item x="1422"/>
        <item x="1423"/>
        <item m="1" x="2769"/>
        <item m="1" x="3152"/>
        <item x="1424"/>
        <item m="1" x="7397"/>
        <item x="1425"/>
        <item x="1426"/>
        <item x="1427"/>
        <item m="1" x="2790"/>
        <item x="1428"/>
        <item m="1" x="7361"/>
        <item m="1" x="7439"/>
        <item m="1" x="6550"/>
        <item m="1" x="4649"/>
        <item m="1" x="7763"/>
        <item m="1" x="4573"/>
        <item m="1" x="3576"/>
        <item m="1" x="7010"/>
        <item m="1" x="5491"/>
        <item x="1429"/>
        <item x="1430"/>
        <item x="1431"/>
        <item x="1432"/>
        <item x="1433"/>
        <item x="1434"/>
        <item m="1" x="7575"/>
        <item x="1435"/>
        <item m="1" x="4048"/>
        <item x="1436"/>
        <item x="1437"/>
        <item x="1438"/>
        <item x="1439"/>
        <item x="1440"/>
        <item m="1" x="6120"/>
        <item m="1" x="3096"/>
        <item x="1441"/>
        <item x="1442"/>
        <item m="1" x="6467"/>
        <item m="1" x="7616"/>
        <item x="1443"/>
        <item x="1444"/>
        <item m="1" x="5425"/>
        <item x="1445"/>
        <item x="1446"/>
        <item x="1447"/>
        <item x="1448"/>
        <item x="1449"/>
        <item m="1" x="4370"/>
        <item x="1450"/>
        <item x="1451"/>
        <item x="1452"/>
        <item x="1453"/>
        <item x="1454"/>
        <item x="1455"/>
        <item x="1456"/>
        <item x="1457"/>
        <item m="1" x="5822"/>
        <item m="1" x="6918"/>
        <item x="1458"/>
        <item x="1459"/>
        <item x="1460"/>
        <item x="1461"/>
        <item x="1462"/>
        <item x="1463"/>
        <item m="1" x="2702"/>
        <item m="1" x="2204"/>
        <item x="1464"/>
        <item m="1" x="7129"/>
        <item x="1465"/>
        <item x="1466"/>
        <item m="1" x="4857"/>
        <item m="1" x="5042"/>
        <item m="1" x="3822"/>
        <item x="1467"/>
        <item x="1468"/>
        <item m="1" x="3086"/>
        <item m="1" x="5180"/>
        <item x="1469"/>
        <item x="1470"/>
        <item x="1471"/>
        <item x="1472"/>
        <item x="1473"/>
        <item x="1474"/>
        <item x="1475"/>
        <item x="1476"/>
        <item x="1477"/>
        <item x="1478"/>
        <item m="1" x="7610"/>
        <item x="1479"/>
        <item x="1480"/>
        <item x="1481"/>
        <item x="1482"/>
        <item x="1483"/>
        <item m="1" x="7258"/>
        <item m="1" x="4240"/>
        <item m="1" x="3734"/>
        <item x="1484"/>
        <item x="1485"/>
        <item x="1486"/>
        <item x="1487"/>
        <item x="1488"/>
        <item m="1" x="7708"/>
        <item m="1" x="4036"/>
        <item m="1" x="5192"/>
        <item x="1489"/>
        <item x="1490"/>
        <item x="1491"/>
        <item x="1492"/>
        <item x="1493"/>
        <item m="1" x="7600"/>
        <item m="1" x="2711"/>
        <item x="1494"/>
        <item m="1" x="6380"/>
        <item m="1" x="4238"/>
        <item m="1" x="7495"/>
        <item m="1" x="3297"/>
        <item m="1" x="3041"/>
        <item x="1495"/>
        <item x="1496"/>
        <item x="1497"/>
        <item m="1" x="7799"/>
        <item x="1498"/>
        <item x="1499"/>
        <item m="1" x="7517"/>
        <item m="1" x="2596"/>
        <item x="1500"/>
        <item x="1501"/>
        <item m="1" x="2822"/>
        <item m="1" x="6117"/>
        <item x="1502"/>
        <item x="1503"/>
        <item x="1504"/>
        <item x="1505"/>
        <item x="1506"/>
        <item m="1" x="2436"/>
        <item x="1507"/>
        <item x="1508"/>
        <item x="1509"/>
        <item m="1" x="2406"/>
        <item m="1" x="2524"/>
        <item m="1" x="2269"/>
        <item m="1" x="7939"/>
        <item m="1" x="7290"/>
        <item x="1510"/>
        <item m="1" x="4699"/>
        <item m="1" x="5766"/>
        <item x="1511"/>
        <item x="1512"/>
        <item x="1513"/>
        <item x="1514"/>
        <item x="1515"/>
        <item m="1" x="3285"/>
        <item x="1516"/>
        <item m="1" x="2286"/>
        <item m="1" x="7175"/>
        <item m="1" x="4139"/>
        <item m="1" x="3904"/>
        <item x="1517"/>
        <item x="1518"/>
        <item x="1519"/>
        <item x="1520"/>
        <item x="1521"/>
        <item x="1522"/>
        <item m="1" x="4651"/>
        <item x="1523"/>
        <item x="1524"/>
        <item x="1525"/>
        <item x="1526"/>
        <item x="1527"/>
        <item x="1528"/>
        <item x="1529"/>
        <item x="1530"/>
        <item x="1531"/>
        <item x="1532"/>
        <item m="1" x="7581"/>
        <item x="1533"/>
        <item m="1" x="7156"/>
        <item m="1" x="3660"/>
        <item m="1" x="5678"/>
        <item x="1534"/>
        <item x="1535"/>
        <item x="1536"/>
        <item m="1" x="3293"/>
        <item x="1537"/>
        <item x="1538"/>
        <item x="1539"/>
        <item x="1540"/>
        <item m="1" x="6941"/>
        <item m="1" x="5763"/>
        <item m="1" x="5896"/>
        <item m="1" x="5814"/>
        <item x="1541"/>
        <item x="1542"/>
        <item x="1543"/>
        <item m="1" x="6862"/>
        <item m="1" x="2299"/>
        <item x="1544"/>
        <item x="1545"/>
        <item m="1" x="5825"/>
        <item m="1" x="6920"/>
        <item m="1" x="3361"/>
        <item x="1546"/>
        <item x="1547"/>
        <item x="1548"/>
        <item x="1549"/>
        <item m="1" x="6592"/>
        <item m="1" x="7316"/>
        <item x="1550"/>
        <item x="1551"/>
        <item m="1" x="6362"/>
        <item m="1" x="3804"/>
        <item m="1" x="4322"/>
        <item m="1" x="6121"/>
        <item m="1" x="6193"/>
        <item m="1" x="3543"/>
        <item m="1" x="2924"/>
        <item x="1552"/>
        <item x="1553"/>
        <item x="1554"/>
        <item x="1555"/>
        <item m="1" x="7002"/>
        <item m="1" x="7680"/>
        <item m="1" x="3831"/>
        <item m="1" x="3089"/>
        <item x="1556"/>
        <item x="1557"/>
        <item m="1" x="6668"/>
        <item m="1" x="7678"/>
        <item m="1" x="6934"/>
        <item m="1" x="7019"/>
        <item x="1558"/>
        <item m="1" x="7612"/>
        <item x="1559"/>
        <item x="1560"/>
        <item x="1561"/>
        <item x="1562"/>
        <item x="1563"/>
        <item m="1" x="7263"/>
        <item m="1" x="3633"/>
        <item x="1564"/>
        <item x="1565"/>
        <item x="1566"/>
        <item x="1567"/>
        <item x="1568"/>
        <item x="1569"/>
        <item x="1570"/>
        <item m="1" x="4041"/>
        <item x="1571"/>
        <item x="1572"/>
        <item x="1573"/>
        <item x="1574"/>
        <item x="1575"/>
        <item m="1" x="5534"/>
        <item x="1576"/>
        <item x="1577"/>
        <item x="1578"/>
        <item m="1" x="2714"/>
        <item m="1" x="3013"/>
        <item x="1579"/>
        <item x="1580"/>
        <item m="1" x="6382"/>
        <item m="1" x="4206"/>
        <item m="1" x="4859"/>
        <item x="1581"/>
        <item x="1582"/>
        <item x="1583"/>
        <item x="1584"/>
        <item m="1" x="7802"/>
        <item m="1" x="2906"/>
        <item m="1" x="7775"/>
        <item m="1" x="2214"/>
        <item x="1585"/>
        <item m="1" x="7521"/>
        <item m="1" x="6808"/>
        <item x="1586"/>
        <item m="1" x="4103"/>
        <item m="1" x="4698"/>
        <item m="1" x="3853"/>
        <item x="1587"/>
        <item x="1588"/>
        <item x="1589"/>
        <item x="1590"/>
        <item x="1591"/>
        <item x="1592"/>
        <item x="1593"/>
        <item x="1594"/>
        <item m="1" x="6409"/>
        <item m="1" x="2272"/>
        <item m="1" x="7946"/>
        <item m="1" x="3832"/>
        <item m="1" x="3992"/>
        <item x="1595"/>
        <item x="1596"/>
        <item m="1" x="2564"/>
        <item m="1" x="2703"/>
        <item m="1" x="7015"/>
        <item m="1" x="5128"/>
        <item m="1" x="7848"/>
        <item x="1597"/>
        <item x="1598"/>
        <item x="1599"/>
        <item x="1600"/>
        <item x="1601"/>
        <item m="1" x="4057"/>
        <item x="1602"/>
        <item m="1" x="4931"/>
        <item x="1603"/>
        <item m="1" x="7367"/>
        <item m="1" x="3472"/>
        <item m="1" x="5426"/>
        <item x="1604"/>
        <item x="1605"/>
        <item x="1606"/>
        <item m="1" x="2662"/>
        <item x="1607"/>
        <item x="1608"/>
        <item x="1609"/>
        <item x="1610"/>
        <item x="1611"/>
        <item x="1612"/>
        <item m="1" x="4655"/>
        <item m="1" x="5581"/>
        <item m="1" x="2395"/>
        <item m="1" x="3963"/>
        <item m="1" x="2626"/>
        <item x="1613"/>
        <item x="1614"/>
        <item x="1615"/>
        <item m="1" x="2512"/>
        <item m="1" x="3021"/>
        <item m="1" x="5651"/>
        <item x="1616"/>
        <item m="1" x="4852"/>
        <item m="1" x="2402"/>
        <item x="1617"/>
        <item x="1618"/>
        <item m="1" x="3657"/>
        <item m="1" x="6596"/>
        <item m="1" x="3120"/>
        <item m="1" x="4808"/>
        <item x="1619"/>
        <item x="1620"/>
        <item x="1621"/>
        <item m="1" x="2646"/>
        <item m="1" x="7398"/>
        <item x="1622"/>
        <item x="1623"/>
        <item x="1624"/>
        <item x="1625"/>
        <item m="1" x="3250"/>
        <item m="1" x="4722"/>
        <item m="1" x="3506"/>
        <item m="1" x="4141"/>
        <item m="1" x="6969"/>
        <item m="1" x="2692"/>
        <item m="1" x="3417"/>
        <item m="1" x="4767"/>
        <item m="1" x="4424"/>
        <item m="1" x="6468"/>
        <item m="1" x="5681"/>
        <item x="1626"/>
        <item m="1" x="3066"/>
        <item m="1" x="3655"/>
        <item m="1" x="6315"/>
        <item m="1" x="5047"/>
        <item m="1" x="7635"/>
        <item m="1" x="3902"/>
        <item m="1" x="3975"/>
        <item m="1" x="4366"/>
        <item m="1" x="6701"/>
        <item m="1" x="2352"/>
        <item m="1" x="6699"/>
        <item m="1" x="4557"/>
        <item m="1" x="2654"/>
        <item m="1" x="3606"/>
        <item m="1" x="7918"/>
        <item m="1" x="3772"/>
        <item m="1" x="6600"/>
        <item m="1" x="3570"/>
        <item m="1" x="7311"/>
        <item m="1" x="5248"/>
        <item m="1" x="5781"/>
        <item m="1" x="7497"/>
        <item m="1" x="4909"/>
        <item x="1627"/>
        <item m="1" x="3113"/>
        <item m="1" x="2496"/>
        <item m="1" x="6416"/>
        <item x="1628"/>
        <item m="1" x="7318"/>
        <item m="1" x="3921"/>
        <item m="1" x="3981"/>
        <item m="1" x="7688"/>
        <item x="1629"/>
        <item m="1" x="7012"/>
        <item x="1630"/>
        <item m="1" x="6252"/>
        <item m="1" x="3547"/>
        <item m="1" x="2720"/>
        <item m="1" x="5912"/>
        <item m="1" x="6650"/>
        <item m="1" x="2456"/>
        <item m="1" x="7004"/>
        <item m="1" x="6974"/>
        <item m="1" x="3876"/>
        <item m="1" x="5178"/>
        <item m="1" x="6520"/>
        <item m="1" x="5720"/>
        <item m="1" x="5751"/>
        <item m="1" x="3156"/>
        <item m="1" x="4160"/>
        <item m="1" x="5658"/>
        <item m="1" x="6849"/>
        <item m="1" x="4144"/>
        <item m="1" x="5536"/>
        <item m="1" x="3366"/>
        <item m="1" x="2452"/>
        <item m="1" x="7784"/>
        <item m="1" x="2885"/>
        <item m="1" x="5952"/>
        <item m="1" x="3016"/>
        <item m="1" x="4803"/>
        <item x="1631"/>
        <item m="1" x="4560"/>
        <item x="1632"/>
        <item x="1633"/>
        <item m="1" x="5441"/>
        <item m="1" x="5270"/>
        <item m="1" x="3850"/>
        <item m="1" x="3646"/>
        <item m="1" x="4274"/>
        <item m="1" x="4312"/>
        <item m="1" x="2661"/>
        <item m="1" x="2668"/>
        <item m="1" x="3413"/>
        <item m="1" x="4313"/>
        <item m="1" x="6478"/>
        <item x="1634"/>
        <item m="1" x="2251"/>
        <item x="1635"/>
        <item x="1636"/>
        <item x="1637"/>
        <item m="1" x="7892"/>
        <item x="1638"/>
        <item m="1" x="5179"/>
        <item x="1639"/>
        <item x="1640"/>
        <item x="1641"/>
        <item m="1" x="3370"/>
        <item m="1" x="5412"/>
        <item m="1" x="3990"/>
        <item m="1" x="6746"/>
        <item m="1" x="7756"/>
        <item m="1" x="7506"/>
        <item m="1" x="2819"/>
        <item m="1" x="6321"/>
        <item m="1" x="6843"/>
        <item m="1" x="4495"/>
        <item m="1" x="5428"/>
        <item m="1" x="3374"/>
        <item m="1" x="4499"/>
        <item m="1" x="6637"/>
        <item x="1642"/>
        <item x="1643"/>
        <item m="1" x="4214"/>
        <item m="1" x="7615"/>
        <item x="1644"/>
        <item x="1645"/>
        <item x="1646"/>
        <item x="1647"/>
        <item m="1" x="4941"/>
        <item m="1" x="5197"/>
        <item x="1648"/>
        <item x="1649"/>
        <item m="1" x="6360"/>
        <item m="1" x="4533"/>
        <item x="1650"/>
        <item x="1651"/>
        <item x="1652"/>
        <item x="1653"/>
        <item m="1" x="5531"/>
        <item m="1" x="7975"/>
        <item m="1" x="7710"/>
        <item m="1" x="4044"/>
        <item m="1" x="3103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1654"/>
        <item x="1655"/>
        <item x="1656"/>
        <item x="1657"/>
        <item m="1" x="6214"/>
        <item m="1" x="2341"/>
        <item m="1" x="5947"/>
        <item x="1658"/>
        <item x="1659"/>
        <item x="1660"/>
        <item m="1" x="3618"/>
        <item m="1" x="3352"/>
        <item m="1" x="4210"/>
        <item x="1661"/>
        <item x="1662"/>
        <item m="1" x="4862"/>
        <item m="1" x="4735"/>
        <item x="1663"/>
        <item x="1664"/>
        <item x="1665"/>
        <item x="1666"/>
        <item x="1667"/>
        <item m="1" x="7807"/>
        <item m="1" x="2908"/>
        <item m="1" x="4936"/>
        <item x="1668"/>
        <item x="1669"/>
        <item x="1670"/>
        <item x="1671"/>
        <item x="1672"/>
        <item x="1673"/>
        <item x="1674"/>
        <item m="1" x="2854"/>
        <item x="1675"/>
        <item m="1" x="4703"/>
        <item x="1676"/>
        <item m="1" x="3856"/>
        <item x="1677"/>
        <item x="1678"/>
        <item x="1679"/>
        <item x="1680"/>
        <item m="1" x="5136"/>
        <item x="1681"/>
        <item m="1" x="6525"/>
        <item m="1" x="3157"/>
        <item m="1" x="2967"/>
        <item m="1" x="2421"/>
        <item m="1" x="4082"/>
        <item m="1" x="3430"/>
        <item x="1682"/>
        <item m="1" x="5364"/>
        <item m="1" x="4096"/>
        <item x="1683"/>
        <item m="1" x="4592"/>
        <item m="1" x="2526"/>
        <item x="1684"/>
        <item x="1685"/>
        <item x="1686"/>
        <item x="1687"/>
        <item x="1688"/>
        <item m="1" x="4555"/>
        <item m="1" x="2826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m="1" x="3774"/>
        <item m="1" x="3852"/>
        <item m="1" x="4280"/>
        <item m="1" x="5905"/>
        <item m="1" x="5879"/>
        <item m="1" x="6691"/>
        <item x="1700"/>
        <item m="1" x="3473"/>
        <item x="1701"/>
        <item x="1702"/>
        <item x="1703"/>
        <item x="1704"/>
        <item x="1705"/>
        <item x="1706"/>
        <item m="1" x="6851"/>
        <item x="1707"/>
        <item m="1" x="2230"/>
        <item m="1" x="5830"/>
        <item x="1708"/>
        <item m="1" x="3011"/>
        <item m="1" x="2835"/>
        <item x="1709"/>
        <item x="1710"/>
        <item x="1711"/>
        <item x="1712"/>
        <item x="1713"/>
        <item x="1714"/>
        <item x="1715"/>
        <item x="1716"/>
        <item x="1717"/>
        <item m="1" x="2715"/>
        <item m="1" x="6854"/>
        <item m="1" x="3026"/>
        <item m="1" x="3691"/>
        <item m="1" x="5852"/>
        <item m="1" x="3826"/>
        <item m="1" x="3391"/>
        <item m="1" x="4653"/>
        <item m="1" x="4148"/>
        <item m="1" x="5832"/>
        <item m="1" x="5654"/>
        <item m="1" x="2429"/>
        <item m="1" x="4236"/>
        <item m="1" x="7782"/>
        <item x="1718"/>
        <item x="1719"/>
        <item x="1720"/>
        <item m="1" x="7674"/>
        <item x="1721"/>
        <item m="1" x="5177"/>
        <item m="1" x="4039"/>
        <item m="1" x="6599"/>
        <item x="1722"/>
        <item x="1723"/>
        <item x="1724"/>
        <item m="1" x="4037"/>
        <item x="1725"/>
        <item m="1" x="3171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m="1" x="7160"/>
        <item m="1" x="3784"/>
        <item m="1" x="6020"/>
        <item m="1" x="4723"/>
        <item m="1" x="3508"/>
        <item m="1" x="5501"/>
        <item m="1" x="2664"/>
        <item m="1" x="3395"/>
        <item m="1" x="6975"/>
        <item m="1" x="5455"/>
        <item m="1" x="7159"/>
        <item m="1" x="3762"/>
        <item m="1" x="4223"/>
        <item m="1" x="7908"/>
        <item m="1" x="5692"/>
        <item m="1" x="7018"/>
        <item m="1" x="3798"/>
        <item m="1" x="7447"/>
        <item m="1" x="5719"/>
        <item m="1" x="5069"/>
        <item m="1" x="7559"/>
        <item m="1" x="4334"/>
        <item m="1" x="7273"/>
        <item m="1" x="5606"/>
        <item m="1" x="3755"/>
        <item m="1" x="6646"/>
        <item m="1" x="4427"/>
        <item m="1" x="6472"/>
        <item m="1" x="6925"/>
        <item m="1" x="4473"/>
        <item x="1737"/>
        <item x="1738"/>
        <item x="1739"/>
        <item x="1740"/>
        <item x="1741"/>
        <item m="1" x="7771"/>
        <item m="1" x="6036"/>
        <item x="1742"/>
        <item x="1743"/>
        <item m="1" x="6499"/>
        <item x="1744"/>
        <item m="1" x="5121"/>
        <item x="1745"/>
        <item m="1" x="5400"/>
        <item m="1" x="5986"/>
        <item m="1" x="4369"/>
        <item m="1" x="3381"/>
        <item m="1" x="6704"/>
        <item m="1" x="4743"/>
        <item m="1" x="4201"/>
        <item m="1" x="3855"/>
        <item m="1" x="5915"/>
        <item x="1746"/>
        <item m="1" x="6603"/>
        <item m="1" x="3573"/>
        <item m="1" x="7313"/>
        <item m="1" x="7585"/>
        <item m="1" x="3360"/>
        <item m="1" x="5817"/>
        <item m="1" x="3477"/>
        <item m="1" x="3376"/>
        <item m="1" x="3779"/>
        <item m="1" x="6304"/>
        <item m="1" x="5307"/>
        <item m="1" x="3227"/>
        <item m="1" x="4992"/>
        <item m="1" x="5176"/>
        <item m="1" x="2956"/>
        <item m="1" x="3114"/>
        <item m="1" x="5643"/>
        <item m="1" x="5965"/>
        <item m="1" x="2663"/>
        <item m="1" x="6598"/>
        <item m="1" x="6470"/>
        <item m="1" x="4813"/>
        <item m="1" x="3238"/>
        <item m="1" x="3839"/>
        <item m="1" x="2501"/>
        <item m="1" x="6419"/>
        <item x="1747"/>
        <item x="1748"/>
        <item m="1" x="6418"/>
        <item m="1" x="7320"/>
        <item m="1" x="3926"/>
        <item m="1" x="3986"/>
        <item x="1749"/>
        <item x="1750"/>
        <item m="1" x="7409"/>
        <item x="1751"/>
        <item x="1752"/>
        <item x="1753"/>
        <item x="1754"/>
        <item x="1755"/>
        <item x="1756"/>
        <item m="1" x="3882"/>
        <item m="1" x="7721"/>
        <item x="1757"/>
        <item m="1" x="6531"/>
        <item m="1" x="5723"/>
        <item m="1" x="5322"/>
        <item m="1" x="5752"/>
        <item m="1" x="3159"/>
        <item m="1" x="3409"/>
        <item m="1" x="7915"/>
        <item m="1" x="3246"/>
        <item m="1" x="6852"/>
        <item m="1" x="2362"/>
        <item m="1" x="7598"/>
        <item m="1" x="3300"/>
        <item m="1" x="5674"/>
        <item m="1" x="4800"/>
        <item m="1" x="4512"/>
        <item m="1" x="3637"/>
        <item m="1" x="3974"/>
        <item m="1" x="5129"/>
        <item m="1" x="3181"/>
        <item m="1" x="2824"/>
        <item m="1" x="4089"/>
        <item m="1" x="7528"/>
        <item m="1" x="4892"/>
        <item m="1" x="7885"/>
        <item m="1" x="7682"/>
        <item m="1" x="3123"/>
        <item m="1" x="5331"/>
        <item m="1" x="5241"/>
        <item m="1" x="5246"/>
        <item m="1" x="6892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t="default"/>
      </items>
    </pivotField>
    <pivotField showAll="0"/>
    <pivotField axis="axisRow" showAll="0">
      <items count="795">
        <item sd="0" m="1" x="713"/>
        <item sd="0" x="15"/>
        <item sd="0" m="1" x="418"/>
        <item sd="0" m="1" x="355"/>
        <item sd="0" m="1" x="253"/>
        <item sd="0" m="1" x="591"/>
        <item sd="0" m="1" x="712"/>
        <item sd="0" x="172"/>
        <item sd="0" m="1" x="437"/>
        <item sd="0" m="1" x="445"/>
        <item sd="0" m="1" x="507"/>
        <item sd="0" m="1" x="313"/>
        <item sd="0" m="1" x="763"/>
        <item sd="0" x="7"/>
        <item sd="0" m="1" x="739"/>
        <item sd="0" m="1" x="755"/>
        <item sd="0" m="1" x="733"/>
        <item sd="0" x="8"/>
        <item sd="0" m="1" x="629"/>
        <item sd="0" m="1" x="275"/>
        <item sd="0" m="1" x="696"/>
        <item sd="0" m="1" x="735"/>
        <item sd="0" x="145"/>
        <item sd="0" m="1" x="345"/>
        <item sd="0" m="1" x="539"/>
        <item sd="0" m="1" x="365"/>
        <item sd="0" m="1" x="783"/>
        <item sd="0" m="1" x="235"/>
        <item sd="0" m="1" x="317"/>
        <item sd="0" m="1" x="453"/>
        <item sd="0" m="1" x="498"/>
        <item sd="0" m="1" x="348"/>
        <item sd="0" m="1" x="264"/>
        <item sd="0" m="1" x="562"/>
        <item sd="0" m="1" x="338"/>
        <item sd="0" x="56"/>
        <item sd="0" m="1" x="487"/>
        <item sd="0" m="1" x="560"/>
        <item sd="0" x="97"/>
        <item sd="0" x="54"/>
        <item sd="0" m="1" x="274"/>
        <item sd="0" m="1" x="708"/>
        <item sd="0" m="1" x="772"/>
        <item sd="0" x="210"/>
        <item sd="0" m="1" x="320"/>
        <item sd="0" m="1" x="556"/>
        <item sd="0" m="1" x="626"/>
        <item sd="0" x="87"/>
        <item sd="0" x="37"/>
        <item sd="0" x="88"/>
        <item sd="0" m="1" x="791"/>
        <item sd="0" x="6"/>
        <item sd="0" x="127"/>
        <item sd="0" m="1" x="596"/>
        <item sd="0" m="1" x="456"/>
        <item sd="0" x="28"/>
        <item sd="0" m="1" x="406"/>
        <item sd="0" x="17"/>
        <item sd="0" m="1" x="241"/>
        <item sd="0" x="26"/>
        <item sd="0" x="41"/>
        <item sd="0" m="1" x="250"/>
        <item sd="0" m="1" x="310"/>
        <item sd="0" m="1" x="585"/>
        <item sd="0" m="1" x="725"/>
        <item sd="0" x="83"/>
        <item sd="0" x="79"/>
        <item sd="0" x="91"/>
        <item sd="0" m="1" x="731"/>
        <item sd="0" m="1" x="346"/>
        <item sd="0" m="1" x="477"/>
        <item sd="0" m="1" x="385"/>
        <item sd="0" m="1" x="692"/>
        <item sd="0" x="22"/>
        <item sd="0" m="1" x="248"/>
        <item sd="0" m="1" x="746"/>
        <item sd="0" m="1" x="749"/>
        <item sd="0" m="1" x="646"/>
        <item sd="0" m="1" x="334"/>
        <item sd="0" m="1" x="582"/>
        <item sd="0" m="1" x="306"/>
        <item sd="0" m="1" x="683"/>
        <item sd="0" m="1" x="745"/>
        <item sd="0" m="1" x="694"/>
        <item sd="0" m="1" x="421"/>
        <item sd="0" m="1" x="399"/>
        <item sd="0" m="1" x="468"/>
        <item sd="0" m="1" x="624"/>
        <item sd="0" x="85"/>
        <item sd="0" m="1" x="592"/>
        <item sd="0" x="60"/>
        <item sd="0" m="1" x="375"/>
        <item sd="0" x="16"/>
        <item sd="0" m="1" x="761"/>
        <item sd="0" m="1" x="718"/>
        <item sd="0" x="96"/>
        <item sd="0" m="1" x="466"/>
        <item sd="0" m="1" x="485"/>
        <item sd="0" x="3"/>
        <item sd="0" m="1" x="401"/>
        <item sd="0" m="1" x="226"/>
        <item sd="0" x="137"/>
        <item sd="0" m="1" x="750"/>
        <item sd="0" x="170"/>
        <item sd="0" m="1" x="393"/>
        <item sd="0" m="1" x="586"/>
        <item sd="0" x="42"/>
        <item sd="0" m="1" x="695"/>
        <item sd="0" x="80"/>
        <item sd="0" m="1" x="420"/>
        <item sd="0" m="1" x="607"/>
        <item sd="0" m="1" x="601"/>
        <item sd="0" m="1" x="583"/>
        <item sd="0" m="1" x="634"/>
        <item sd="0" m="1" x="765"/>
        <item sd="0" x="75"/>
        <item sd="0" m="1" x="403"/>
        <item sd="0" x="33"/>
        <item sd="0" x="29"/>
        <item sd="0" m="1" x="786"/>
        <item sd="0" x="43"/>
        <item sd="0" x="72"/>
        <item sd="0" m="1" x="325"/>
        <item sd="0" m="1" x="245"/>
        <item sd="0" m="1" x="790"/>
        <item sd="0" m="1" x="673"/>
        <item sd="0" m="1" x="298"/>
        <item sd="0" m="1" x="495"/>
        <item sd="0" m="1" x="700"/>
        <item sd="0" x="150"/>
        <item sd="0" x="115"/>
        <item sd="0" x="59"/>
        <item sd="0" m="1" x="647"/>
        <item sd="0" m="1" x="277"/>
        <item sd="0" x="45"/>
        <item sd="0" m="1" x="441"/>
        <item sd="0" m="1" x="527"/>
        <item sd="0" m="1" x="400"/>
        <item sd="0" x="27"/>
        <item sd="0" m="1" x="621"/>
        <item sd="0" m="1" x="653"/>
        <item sd="0" m="1" x="307"/>
        <item sd="0" m="1" x="684"/>
        <item sd="0" x="19"/>
        <item sd="0" x="36"/>
        <item sd="0" m="1" x="457"/>
        <item sd="0" m="1" x="780"/>
        <item sd="0" m="1" x="518"/>
        <item sd="0" m="1" x="597"/>
        <item sd="0" m="1" x="652"/>
        <item sd="0" x="38"/>
        <item sd="0" m="1" x="538"/>
        <item sd="0" x="152"/>
        <item sd="0" m="1" x="497"/>
        <item sd="0" m="1" x="484"/>
        <item sd="0" m="1" x="758"/>
        <item sd="0" x="139"/>
        <item sd="0" m="1" x="618"/>
        <item sd="0" m="1" x="305"/>
        <item sd="0" x="144"/>
        <item sd="0" m="1" x="258"/>
        <item sd="0" m="1" x="605"/>
        <item sd="0" m="1" x="764"/>
        <item sd="0" x="211"/>
        <item sd="0" x="11"/>
        <item sd="0" x="35"/>
        <item sd="0" x="49"/>
        <item sd="0" x="50"/>
        <item sd="0" x="55"/>
        <item sd="0" x="46"/>
        <item sd="0" x="47"/>
        <item sd="0" x="51"/>
        <item sd="0" x="52"/>
        <item sd="0" x="53"/>
        <item sd="0" x="48"/>
        <item sd="0" m="1" x="488"/>
        <item sd="0" m="1" x="335"/>
        <item sd="0" m="1" x="752"/>
        <item sd="0" x="136"/>
        <item sd="0" x="131"/>
        <item sd="0" x="153"/>
        <item sd="0" x="23"/>
        <item sd="0" x="20"/>
        <item sd="0" x="18"/>
        <item sd="0" m="1" x="664"/>
        <item sd="0" x="132"/>
        <item sd="0" x="113"/>
        <item sd="0" m="1" x="644"/>
        <item sd="0" m="1" x="707"/>
        <item sd="0" m="1" x="564"/>
        <item sd="0" x="39"/>
        <item sd="0" x="40"/>
        <item sd="0" m="1" x="737"/>
        <item sd="0" m="1" x="638"/>
        <item sd="0" x="0"/>
        <item sd="0" m="1" x="594"/>
        <item sd="0" m="1" x="232"/>
        <item sd="0" m="1" x="623"/>
        <item sd="0" m="1" x="676"/>
        <item sd="0" x="9"/>
        <item sd="0" x="61"/>
        <item sd="0" x="30"/>
        <item sd="0" m="1" x="649"/>
        <item sd="0" m="1" x="734"/>
        <item sd="0" m="1" x="363"/>
        <item sd="0" m="1" x="655"/>
        <item sd="0" x="188"/>
        <item sd="0" m="1" x="256"/>
        <item sd="0" m="1" x="633"/>
        <item sd="0" m="1" x="425"/>
        <item sd="0" m="1" x="721"/>
        <item sd="0" x="89"/>
        <item sd="0" m="1" x="554"/>
        <item sd="0" x="212"/>
        <item sd="0" x="64"/>
        <item sd="0" m="1" x="549"/>
        <item sd="0" m="1" x="698"/>
        <item sd="0" x="4"/>
        <item sd="0" m="1" x="284"/>
        <item sd="0" m="1" x="270"/>
        <item sd="0" m="1" x="533"/>
        <item sd="0" m="1" x="389"/>
        <item sd="0" m="1" x="351"/>
        <item sd="0" m="1" x="272"/>
        <item sd="0" m="1" x="567"/>
        <item sd="0" m="1" x="423"/>
        <item sd="0" m="1" x="724"/>
        <item sd="0" m="1" x="343"/>
        <item sd="0" m="1" x="251"/>
        <item sd="0" m="1" x="513"/>
        <item sd="0" m="1" x="429"/>
        <item sd="0" m="1" x="540"/>
        <item sd="0" m="1" x="574"/>
        <item sd="0" m="1" x="609"/>
        <item sd="0" m="1" x="324"/>
        <item sd="0" m="1" x="447"/>
        <item sd="0" x="114"/>
        <item sd="0" x="68"/>
        <item sd="0" x="12"/>
        <item sd="0" m="1" x="756"/>
        <item sd="0" m="1" x="723"/>
        <item sd="0" m="1" x="615"/>
        <item sd="0" x="76"/>
        <item sd="0" x="78"/>
        <item sd="0" x="99"/>
        <item sd="0" m="1" x="581"/>
        <item sd="0" m="1" x="603"/>
        <item sd="0" m="1" x="384"/>
        <item sd="0" x="81"/>
        <item sd="0" m="1" x="238"/>
        <item sd="0" x="108"/>
        <item sd="0" x="2"/>
        <item sd="0" m="1" x="757"/>
        <item sd="0" m="1" x="611"/>
        <item sd="0" x="77"/>
        <item sd="0" x="166"/>
        <item sd="0" m="1" x="230"/>
        <item sd="0" m="1" x="722"/>
        <item sd="0" x="122"/>
        <item sd="0" m="1" x="369"/>
        <item sd="0" x="21"/>
        <item sd="0" m="1" x="778"/>
        <item sd="0" x="24"/>
        <item sd="0" m="1" x="614"/>
        <item sd="0" x="25"/>
        <item sd="0" m="1" x="565"/>
        <item sd="0" m="1" x="358"/>
        <item sd="0" m="1" x="402"/>
        <item sd="0" m="1" x="422"/>
        <item sd="0" m="1" x="686"/>
        <item sd="0" m="1" x="388"/>
        <item sd="0" m="1" x="285"/>
        <item sd="0" m="1" x="459"/>
        <item sd="0" m="1" x="714"/>
        <item sd="0" m="1" x="690"/>
        <item sd="0" x="10"/>
        <item sd="0" m="1" x="642"/>
        <item sd="0" m="1" x="568"/>
        <item sd="0" x="5"/>
        <item sd="0" x="73"/>
        <item sd="0" m="1" x="658"/>
        <item sd="0" x="14"/>
        <item sd="0" m="1" x="419"/>
        <item sd="0" x="44"/>
        <item sd="0" m="1" x="287"/>
        <item sd="0" m="1" x="674"/>
        <item sd="0" m="1" x="260"/>
        <item sd="0" m="1" x="394"/>
        <item sd="0" m="1" x="271"/>
        <item sd="0" m="1" x="289"/>
        <item sd="0" m="1" x="636"/>
        <item sd="0" m="1" x="243"/>
        <item sd="0" m="1" x="522"/>
        <item sd="0" m="1" x="512"/>
        <item sd="0" m="1" x="367"/>
        <item sd="0" m="1" x="295"/>
        <item sd="0" m="1" x="693"/>
        <item sd="0" m="1" x="631"/>
        <item sd="0" m="1" x="471"/>
        <item sd="0" x="84"/>
        <item sd="0" m="1" x="482"/>
        <item sd="0" m="1" x="472"/>
        <item sd="0" m="1" x="478"/>
        <item sd="0" x="82"/>
        <item sd="0" m="1" x="771"/>
        <item sd="0" m="1" x="379"/>
        <item sd="0" m="1" x="316"/>
        <item sd="0" m="1" x="740"/>
        <item sd="0" m="1" x="679"/>
        <item sd="0" m="1" x="667"/>
        <item sd="0" m="1" x="237"/>
        <item sd="0" x="32"/>
        <item sd="0" m="1" x="344"/>
        <item sd="0" m="1" x="366"/>
        <item sd="0" x="74"/>
        <item sd="0" m="1" x="536"/>
        <item sd="0" m="1" x="328"/>
        <item sd="0" m="1" x="407"/>
        <item sd="0" m="1" x="648"/>
        <item sd="0" x="124"/>
        <item sd="0" x="34"/>
        <item sd="0" m="1" x="720"/>
        <item sd="0" x="133"/>
        <item sd="0" x="62"/>
        <item sd="0" x="86"/>
        <item sd="0" x="94"/>
        <item sd="0" m="1" x="576"/>
        <item sd="0" m="1" x="550"/>
        <item sd="0" x="13"/>
        <item sd="0" m="1" x="588"/>
        <item sd="0" m="1" x="555"/>
        <item sd="0" m="1" x="283"/>
        <item sd="0" m="1" x="405"/>
        <item sd="0" m="1" x="352"/>
        <item sd="0" m="1" x="792"/>
        <item sd="0" m="1" x="439"/>
        <item sd="0" m="1" x="360"/>
        <item sd="0" x="1"/>
        <item sd="0" m="1" x="788"/>
        <item sd="0" m="1" x="515"/>
        <item sd="0" x="31"/>
        <item sd="0" x="67"/>
        <item sd="0" m="1" x="729"/>
        <item sd="0" x="223"/>
        <item sd="0" x="173"/>
        <item sd="0" m="1" x="357"/>
        <item sd="0" m="1" x="291"/>
        <item sd="0" x="143"/>
        <item sd="0" x="112"/>
        <item sd="0" m="1" x="340"/>
        <item sd="0" x="209"/>
        <item sd="0" m="1" x="303"/>
        <item sd="0" m="1" x="430"/>
        <item sd="0" m="1" x="261"/>
        <item sd="0" x="151"/>
        <item sd="0" m="1" x="689"/>
        <item sd="0" m="1" x="373"/>
        <item sd="0" m="1" x="376"/>
        <item sd="0" x="162"/>
        <item sd="0" m="1" x="654"/>
        <item sd="0" m="1" x="444"/>
        <item sd="0" m="1" x="282"/>
        <item sd="0" x="168"/>
        <item sd="0" m="1" x="396"/>
        <item sd="0" m="1" x="606"/>
        <item sd="0" m="1" x="639"/>
        <item sd="0" m="1" x="392"/>
        <item sd="0" m="1" x="244"/>
        <item sd="0" x="123"/>
        <item sd="0" m="1" x="374"/>
        <item sd="0" m="1" x="736"/>
        <item sd="0" x="214"/>
        <item sd="0" m="1" x="470"/>
        <item sd="0" x="221"/>
        <item sd="0" x="57"/>
        <item sd="0" x="58"/>
        <item sd="0" x="69"/>
        <item sd="0" x="70"/>
        <item sd="0" x="71"/>
        <item sd="0" m="1" x="461"/>
        <item sd="0" m="1" x="570"/>
        <item sd="0" m="1" x="669"/>
        <item sd="0" m="1" x="742"/>
        <item sd="0" m="1" x="333"/>
        <item sd="0" m="1" x="432"/>
        <item sd="0" x="180"/>
        <item sd="0" x="159"/>
        <item sd="0" x="134"/>
        <item sd="0" m="1" x="598"/>
        <item sd="0" m="1" x="356"/>
        <item sd="0" x="98"/>
        <item sd="0" x="100"/>
        <item sd="0" m="1" x="311"/>
        <item sd="0" x="130"/>
        <item sd="0" m="1" x="553"/>
        <item sd="0" m="1" x="523"/>
        <item sd="0" x="202"/>
        <item sd="0" x="146"/>
        <item sd="0" m="1" x="558"/>
        <item sd="0" x="171"/>
        <item sd="0" x="149"/>
        <item sd="0" x="222"/>
        <item sd="0" m="1" x="678"/>
        <item sd="0" m="1" x="685"/>
        <item sd="0" x="102"/>
        <item sd="0" m="1" x="777"/>
        <item sd="0" m="1" x="670"/>
        <item sd="0" m="1" x="766"/>
        <item sd="0" m="1" x="661"/>
        <item sd="0" x="90"/>
        <item sd="0" x="142"/>
        <item sd="0" m="1" x="296"/>
        <item sd="0" x="95"/>
        <item sd="0" x="176"/>
        <item sd="0" x="141"/>
        <item sd="0" x="182"/>
        <item sd="0" m="1" x="545"/>
        <item sd="0" m="1" x="559"/>
        <item sd="0" x="198"/>
        <item sd="0" m="1" x="566"/>
        <item sd="0" m="1" x="681"/>
        <item sd="0" m="1" x="276"/>
        <item sd="0" x="191"/>
        <item sd="0" x="219"/>
        <item sd="0" m="1" x="657"/>
        <item sd="0" x="63"/>
        <item sd="0" x="116"/>
        <item sd="0" m="1" x="294"/>
        <item sd="0" m="1" x="717"/>
        <item sd="0" m="1" x="273"/>
        <item sd="0" x="204"/>
        <item sd="0" m="1" x="263"/>
        <item sd="0" m="1" x="454"/>
        <item sd="0" m="1" x="622"/>
        <item sd="0" m="1" x="349"/>
        <item sd="0" m="1" x="688"/>
        <item sd="0" x="148"/>
        <item sd="0" x="103"/>
        <item sd="0" m="1" x="575"/>
        <item sd="0" m="1" x="728"/>
        <item sd="0" x="207"/>
        <item sd="0" m="1" x="702"/>
        <item sd="0" m="1" x="323"/>
        <item sd="0" x="185"/>
        <item sd="0" m="1" x="428"/>
        <item sd="0" m="1" x="269"/>
        <item sd="0" m="1" x="322"/>
        <item sd="0" x="92"/>
        <item sd="0" m="1" x="524"/>
        <item sd="0" m="1" x="589"/>
        <item sd="0" m="1" x="759"/>
        <item sd="0" m="1" x="434"/>
        <item sd="0" x="138"/>
        <item sd="0" x="128"/>
        <item sd="0" m="1" x="748"/>
        <item sd="0" m="1" x="486"/>
        <item sd="0" x="181"/>
        <item sd="0" x="129"/>
        <item sd="0" m="1" x="449"/>
        <item sd="0" m="1" x="511"/>
        <item sd="0" m="1" x="496"/>
        <item sd="0" m="1" x="727"/>
        <item sd="0" m="1" x="584"/>
        <item sd="0" m="1" x="573"/>
        <item sd="0" m="1" x="612"/>
        <item sd="0" m="1" x="463"/>
        <item sd="0" m="1" x="547"/>
        <item sd="0" m="1" x="462"/>
        <item sd="0" m="1" x="364"/>
        <item sd="0" m="1" x="767"/>
        <item sd="0" x="106"/>
        <item sd="0" x="93"/>
        <item sd="0" m="1" x="412"/>
        <item sd="0" m="1" x="326"/>
        <item sd="0" m="1" x="578"/>
        <item sd="0" x="117"/>
        <item sd="0" m="1" x="426"/>
        <item sd="0" m="1" x="699"/>
        <item sd="0" m="1" x="625"/>
        <item sd="0" m="1" x="395"/>
        <item sd="0" x="104"/>
        <item sd="0" x="155"/>
        <item sd="0" m="1" x="377"/>
        <item sd="0" m="1" x="769"/>
        <item sd="0" m="1" x="537"/>
        <item sd="0" m="1" x="620"/>
        <item sd="0" m="1" x="548"/>
        <item sd="0" x="189"/>
        <item sd="0" m="1" x="744"/>
        <item sd="0" m="1" x="528"/>
        <item sd="0" m="1" x="494"/>
        <item sd="0" m="1" x="754"/>
        <item sd="0" m="1" x="231"/>
        <item sd="0" x="125"/>
        <item sd="0" m="1" x="580"/>
        <item sd="0" m="1" x="279"/>
        <item sd="0" x="203"/>
        <item sd="0" m="1" x="593"/>
        <item sd="0" m="1" x="595"/>
        <item sd="0" m="1" x="319"/>
        <item sd="0" m="1" x="474"/>
        <item sd="0" m="1" x="397"/>
        <item sd="0" m="1" x="257"/>
        <item sd="0" m="1" x="747"/>
        <item sd="0" x="158"/>
        <item sd="0" x="194"/>
        <item sd="0" x="120"/>
        <item sd="0" m="1" x="239"/>
        <item sd="0" m="1" x="706"/>
        <item sd="0" m="1" x="641"/>
        <item sd="0" m="1" x="779"/>
        <item sd="0" m="1" x="504"/>
        <item sd="0" m="1" x="262"/>
        <item sd="0" m="1" x="225"/>
        <item sd="0" m="1" x="228"/>
        <item sd="0" m="1" x="299"/>
        <item sd="0" m="1" x="300"/>
        <item sd="0" m="1" x="304"/>
        <item sd="0" m="1" x="378"/>
        <item sd="0" m="1" x="380"/>
        <item sd="0" m="1" x="381"/>
        <item sd="0" m="1" x="774"/>
        <item sd="0" m="1" x="571"/>
        <item sd="0" x="177"/>
        <item sd="0" m="1" x="473"/>
        <item sd="0" m="1" x="312"/>
        <item sd="0" x="164"/>
        <item sd="0" m="1" x="569"/>
        <item sd="0" m="1" x="371"/>
        <item sd="0" m="1" x="227"/>
        <item sd="0" m="1" x="330"/>
        <item sd="0" m="1" x="314"/>
        <item sd="0" m="1" x="542"/>
        <item sd="0" m="1" x="255"/>
        <item sd="0" m="1" x="229"/>
        <item sd="0" m="1" x="341"/>
        <item sd="0" m="1" x="280"/>
        <item sd="0" m="1" x="297"/>
        <item sd="0" m="1" x="242"/>
        <item sd="0" m="1" x="551"/>
        <item sd="0" m="1" x="773"/>
        <item sd="0" m="1" x="370"/>
        <item sd="0" m="1" x="665"/>
        <item sd="0" m="1" x="663"/>
        <item sd="0" m="1" x="281"/>
        <item sd="0" m="1" x="617"/>
        <item sd="0" m="1" x="753"/>
        <item sd="0" m="1" x="476"/>
        <item sd="0" m="1" x="703"/>
        <item sd="0" m="1" x="368"/>
        <item sd="0" m="1" x="561"/>
        <item sd="0" m="1" x="521"/>
        <item sd="0" m="1" x="760"/>
        <item sd="0" m="1" x="782"/>
        <item sd="0" m="1" x="719"/>
        <item sd="0" m="1" x="265"/>
        <item sd="0" m="1" x="480"/>
        <item sd="0" x="109"/>
        <item sd="0" m="1" x="267"/>
        <item sd="0" m="1" x="337"/>
        <item sd="0" m="1" x="493"/>
        <item sd="0" x="175"/>
        <item sd="0" m="1" x="315"/>
        <item sd="0" m="1" x="743"/>
        <item sd="0" m="1" x="308"/>
        <item sd="0" x="195"/>
        <item sd="0" m="1" x="677"/>
        <item sd="0" m="1" x="544"/>
        <item sd="0" m="1" x="534"/>
        <item sd="0" m="1" x="510"/>
        <item sd="0" m="1" x="491"/>
        <item sd="0" m="1" x="475"/>
        <item sd="0" m="1" x="563"/>
        <item sd="0" x="217"/>
        <item sd="0" m="1" x="433"/>
        <item sd="0" m="1" x="517"/>
        <item sd="0" m="1" x="501"/>
        <item sd="0" m="1" x="390"/>
        <item sd="0" m="1" x="590"/>
        <item sd="0" m="1" x="353"/>
        <item sd="0" m="1" x="557"/>
        <item sd="0" m="1" x="531"/>
        <item sd="0" m="1" x="687"/>
        <item sd="0" x="197"/>
        <item sd="0" m="1" x="579"/>
        <item sd="0" m="1" x="535"/>
        <item sd="0" m="1" x="408"/>
        <item sd="0" m="1" x="577"/>
        <item sd="0" m="1" x="246"/>
        <item sd="0" m="1" x="490"/>
        <item sd="0" m="1" x="387"/>
        <item sd="0" m="1" x="321"/>
        <item sd="0" m="1" x="332"/>
        <item sd="0" m="1" x="666"/>
        <item sd="0" m="1" x="613"/>
        <item sd="0" x="192"/>
        <item sd="0" m="1" x="751"/>
        <item sd="0" m="1" x="711"/>
        <item sd="0" m="1" x="249"/>
        <item sd="0" m="1" x="516"/>
        <item sd="0" m="1" x="443"/>
        <item sd="0" m="1" x="339"/>
        <item sd="0" m="1" x="391"/>
        <item sd="0" m="1" x="635"/>
        <item sd="0" x="196"/>
        <item sd="0" m="1" x="509"/>
        <item sd="0" m="1" x="290"/>
        <item sd="0" m="1" x="414"/>
        <item sd="0" m="1" x="505"/>
        <item sd="0" m="1" x="481"/>
        <item sd="0" m="1" x="705"/>
        <item sd="0" m="1" x="361"/>
        <item sd="0" m="1" x="383"/>
        <item sd="0" m="1" x="628"/>
        <item sd="0" m="1" x="442"/>
        <item sd="0" m="1" x="458"/>
        <item sd="0" m="1" x="451"/>
        <item sd="0" m="1" x="278"/>
        <item sd="0" x="66"/>
        <item sd="0" m="1" x="525"/>
        <item sd="0" m="1" x="436"/>
        <item sd="0" m="1" x="252"/>
        <item sd="0" m="1" x="781"/>
        <item sd="0" m="1" x="234"/>
        <item sd="0" m="1" x="318"/>
        <item sd="0" m="1" x="701"/>
        <item sd="0" m="1" x="741"/>
        <item sd="0" x="213"/>
        <item sd="0" m="1" x="362"/>
        <item sd="0" m="1" x="716"/>
        <item sd="0" x="156"/>
        <item sd="0" m="1" x="762"/>
        <item sd="0" m="1" x="359"/>
        <item sd="0" x="65"/>
        <item sd="0" m="1" x="785"/>
        <item sd="0" m="1" x="460"/>
        <item sd="0" m="1" x="435"/>
        <item sd="0" m="1" x="691"/>
        <item sd="0" x="160"/>
        <item sd="0" m="1" x="479"/>
        <item sd="0" m="1" x="680"/>
        <item sd="0" m="1" x="643"/>
        <item sd="0" m="1" x="546"/>
        <item sd="0" x="101"/>
        <item sd="0" m="1" x="327"/>
        <item sd="0" m="1" x="526"/>
        <item sd="0" m="1" x="726"/>
        <item sd="0" x="105"/>
        <item sd="0" x="179"/>
        <item sd="0" x="121"/>
        <item sd="0" m="1" x="446"/>
        <item sd="0" m="1" x="464"/>
        <item sd="0" m="1" x="662"/>
        <item sd="0" m="1" x="543"/>
        <item sd="0" x="154"/>
        <item sd="0" m="1" x="529"/>
        <item sd="0" m="1" x="514"/>
        <item sd="0" x="107"/>
        <item sd="0" m="1" x="710"/>
        <item sd="0" m="1" x="587"/>
        <item sd="0" m="1" x="604"/>
        <item sd="0" x="163"/>
        <item sd="0" m="1" x="520"/>
        <item sd="0" m="1" x="489"/>
        <item sd="0" m="1" x="259"/>
        <item sd="0" m="1" x="632"/>
        <item sd="0" x="190"/>
        <item sd="0" m="1" x="770"/>
        <item sd="0" x="215"/>
        <item sd="0" m="1" x="236"/>
        <item sd="0" m="1" x="309"/>
        <item sd="0" x="110"/>
        <item sd="0" m="1" x="541"/>
        <item sd="0" m="1" x="630"/>
        <item sd="0" m="1" x="697"/>
        <item sd="0" m="1" x="775"/>
        <item sd="0" m="1" x="608"/>
        <item sd="0" m="1" x="448"/>
        <item sd="0" m="1" x="656"/>
        <item sd="0" m="1" x="301"/>
        <item sd="0" m="1" x="292"/>
        <item sd="0" m="1" x="715"/>
        <item sd="0" m="1" x="500"/>
        <item sd="0" m="1" x="600"/>
        <item sd="0" m="1" x="671"/>
        <item sd="0" m="1" x="467"/>
        <item sd="0" m="1" x="651"/>
        <item sd="0" m="1" x="293"/>
        <item sd="0" m="1" x="645"/>
        <item sd="0" m="1" x="704"/>
        <item sd="0" m="1" x="286"/>
        <item sd="0" m="1" x="382"/>
        <item sd="0" m="1" x="350"/>
        <item sd="0" x="184"/>
        <item sd="0" m="1" x="288"/>
        <item sd="0" m="1" x="372"/>
        <item sd="0" m="1" x="469"/>
        <item sd="0" m="1" x="789"/>
        <item sd="0" m="1" x="659"/>
        <item sd="0" m="1" x="347"/>
        <item sd="0" m="1" x="342"/>
        <item sd="0" m="1" x="682"/>
        <item sd="0" m="1" x="508"/>
        <item sd="0" m="1" x="784"/>
        <item sd="0" m="1" x="247"/>
        <item sd="0" m="1" x="398"/>
        <item sd="0" x="111"/>
        <item sd="0" m="1" x="254"/>
        <item sd="0" m="1" x="416"/>
        <item sd="0" m="1" x="660"/>
        <item sd="0" m="1" x="738"/>
        <item sd="0" m="1" x="452"/>
        <item sd="0" m="1" x="668"/>
        <item sd="0" x="118"/>
        <item sd="0" x="119"/>
        <item sd="0" m="1" x="503"/>
        <item sd="0" m="1" x="627"/>
        <item sd="0" m="1" x="499"/>
        <item sd="0" m="1" x="413"/>
        <item sd="0" x="187"/>
        <item sd="0" m="1" x="455"/>
        <item sd="0" m="1" x="440"/>
        <item sd="0" x="178"/>
        <item sd="0" m="1" x="331"/>
        <item sd="0" m="1" x="233"/>
        <item sd="0" m="1" x="572"/>
        <item sd="0" m="1" x="732"/>
        <item sd="0" m="1" x="450"/>
        <item sd="0" m="1" x="465"/>
        <item sd="0" m="1" x="787"/>
        <item sd="0" m="1" x="409"/>
        <item sd="0" m="1" x="610"/>
        <item sd="0" m="1" x="675"/>
        <item sd="0" m="1" x="417"/>
        <item sd="0" m="1" x="768"/>
        <item sd="0" m="1" x="532"/>
        <item sd="0" m="1" x="530"/>
        <item sd="0" m="1" x="730"/>
        <item sd="0" m="1" x="386"/>
        <item sd="0" m="1" x="410"/>
        <item sd="0" x="205"/>
        <item sd="0" m="1" x="616"/>
        <item sd="0" m="1" x="709"/>
        <item sd="0" m="1" x="268"/>
        <item sd="0" m="1" x="431"/>
        <item sd="0" m="1" x="506"/>
        <item sd="0" m="1" x="266"/>
        <item sd="0" x="126"/>
        <item sd="0" m="1" x="483"/>
        <item sd="0" m="1" x="776"/>
        <item sd="0" m="1" x="599"/>
        <item sd="0" m="1" x="354"/>
        <item sd="0" m="1" x="619"/>
        <item sd="0" m="1" x="240"/>
        <item sd="0" x="135"/>
        <item sd="0" m="1" x="492"/>
        <item sd="0" x="206"/>
        <item sd="0" m="1" x="411"/>
        <item sd="0" m="1" x="672"/>
        <item sd="0" m="1" x="415"/>
        <item sd="0" m="1" x="637"/>
        <item sd="0" m="1" x="427"/>
        <item sd="0" m="1" x="793"/>
        <item sd="0" m="1" x="650"/>
        <item sd="0" m="1" x="329"/>
        <item sd="0" x="224"/>
        <item sd="0" x="140"/>
        <item m="1" x="552"/>
        <item x="165"/>
        <item m="1" x="302"/>
        <item x="220"/>
        <item m="1" x="640"/>
        <item m="1" x="519"/>
        <item x="193"/>
        <item m="1" x="336"/>
        <item m="1" x="404"/>
        <item m="1" x="602"/>
        <item m="1" x="438"/>
        <item m="1" x="424"/>
        <item m="1" x="502"/>
        <item x="218"/>
        <item x="147"/>
        <item x="157"/>
        <item x="161"/>
        <item x="167"/>
        <item x="169"/>
        <item x="174"/>
        <item x="183"/>
        <item x="186"/>
        <item x="199"/>
        <item x="200"/>
        <item x="201"/>
        <item x="208"/>
        <item x="216"/>
        <item t="default" sd="0"/>
      </items>
    </pivotField>
    <pivotField numFmtId="14" showAll="0"/>
    <pivotField numFmtId="3" showAll="0"/>
    <pivotField dataField="1" numFmtId="4" showAll="0"/>
    <pivotField showAll="0"/>
    <pivotField numFmtId="3"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3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0"/>
        <item sd="0" x="10"/>
        <item x="11"/>
        <item t="default" sd="0"/>
      </items>
    </pivotField>
  </pivotFields>
  <rowFields count="4">
    <field x="14"/>
    <field x="0"/>
    <field x="4"/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R$ Vencido" fld="7" baseField="14" baseItem="1" numFmtId="43"/>
    <dataField name="%Rep" fld="7" showDataAs="percentOfTotal" baseField="14" baseItem="11" numFmtId="10"/>
  </dataFields>
  <formats count="10">
    <format dxfId="288">
      <pivotArea outline="0" collapsedLevelsAreSubtotals="1" fieldPosition="0"/>
    </format>
    <format dxfId="287">
      <pivotArea outline="0" fieldPosition="0">
        <references count="1">
          <reference field="4294967294" count="1">
            <x v="1"/>
          </reference>
        </references>
      </pivotArea>
    </format>
    <format dxfId="286">
      <pivotArea field="14" type="button" dataOnly="0" labelOnly="1" outline="0" axis="axisRow" fieldPosition="0"/>
    </format>
    <format dxfId="2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4">
      <pivotArea field="14" type="button" dataOnly="0" labelOnly="1" outline="0" axis="axisRow" fieldPosition="0"/>
    </format>
    <format dxfId="2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2">
      <pivotArea grandRow="1" outline="0" collapsedLevelsAreSubtotals="1" fieldPosition="0"/>
    </format>
    <format dxfId="281">
      <pivotArea dataOnly="0" labelOnly="1" grandRow="1" outline="0" fieldPosition="0"/>
    </format>
    <format dxfId="280">
      <pivotArea grandRow="1" outline="0" collapsedLevelsAreSubtotals="1" fieldPosition="0"/>
    </format>
    <format dxfId="279">
      <pivotArea dataOnly="0" labelOnly="1" grandRow="1" outline="0" fieldPosition="0"/>
    </format>
  </formats>
  <chartFormats count="1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1"/>
          </reference>
          <reference field="14" count="1" selected="0">
            <x v="8"/>
          </reference>
        </references>
      </pivotArea>
    </chartFormat>
    <chartFormat chart="3" format="3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4" count="1" selected="0">
            <x v="8"/>
          </reference>
        </references>
      </pivotArea>
    </chartFormat>
    <chartFormat chart="3" format="4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4" count="1" selected="0">
            <x v="8"/>
          </reference>
        </references>
      </pivotArea>
    </chartFormat>
    <chartFormat chart="3" format="5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4" count="1" selected="0">
            <x v="8"/>
          </reference>
        </references>
      </pivotArea>
    </chartFormat>
    <chartFormat chart="3" format="6">
      <pivotArea type="data" outline="0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4" count="1" selected="0">
            <x v="8"/>
          </reference>
        </references>
      </pivotArea>
    </chartFormat>
    <chartFormat chart="3" format="7">
      <pivotArea type="data" outline="0" fieldPosition="0">
        <references count="3">
          <reference field="4294967294" count="1" selected="0">
            <x v="1"/>
          </reference>
          <reference field="0" count="1" selected="0">
            <x v="5"/>
          </reference>
          <reference field="14" count="1" selected="0">
            <x v="8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4" count="1" selected="0">
            <x v="8"/>
          </reference>
        </references>
      </pivotArea>
    </chartFormat>
    <chartFormat chart="3" format="9">
      <pivotArea type="data" outline="0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4" count="1" selected="0">
            <x v="8"/>
          </reference>
        </references>
      </pivotArea>
    </chartFormat>
    <chartFormat chart="3" format="10">
      <pivotArea type="data" outline="0" fieldPosition="0">
        <references count="3">
          <reference field="4294967294" count="1" selected="0">
            <x v="1"/>
          </reference>
          <reference field="0" count="1" selected="0">
            <x v="8"/>
          </reference>
          <reference field="14" count="1" selected="0">
            <x v="8"/>
          </reference>
        </references>
      </pivotArea>
    </chartFormat>
    <chartFormat chart="3" format="11">
      <pivotArea type="data" outline="0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4" count="1" selected="0">
            <x v="8"/>
          </reference>
        </references>
      </pivotArea>
    </chartFormat>
    <chartFormat chart="3" format="12">
      <pivotArea type="data" outline="0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4" count="1" selected="0">
            <x v="8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1"/>
          </reference>
          <reference field="0" count="1" selected="0">
            <x v="11"/>
          </reference>
          <reference field="14" count="1" selected="0">
            <x v="8"/>
          </reference>
        </references>
      </pivotArea>
    </chartFormat>
    <chartFormat chart="3" format="14">
      <pivotArea type="data" outline="0" fieldPosition="0">
        <references count="3">
          <reference field="4294967294" count="1" selected="0">
            <x v="1"/>
          </reference>
          <reference field="0" count="1" selected="0">
            <x v="12"/>
          </reference>
          <reference field="14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D1F1D5-1DA5-4F4E-8049-DCA48583609B}" name="Tabela dinâ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3" rowHeaderCaption="Período">
  <location ref="B5:D34" firstHeaderRow="0" firstDataRow="1" firstDataCol="1"/>
  <pivotFields count="15">
    <pivotField axis="axisRow" numFmtId="14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numFmtId="3" showAll="0"/>
    <pivotField axis="axisRow" showAll="0">
      <items count="8001">
        <item m="1" x="3418"/>
        <item m="1" x="3170"/>
        <item m="1" x="5885"/>
        <item m="1" x="5566"/>
        <item m="1" x="5233"/>
        <item m="1" x="4925"/>
        <item x="39"/>
        <item x="44"/>
        <item m="1" x="7302"/>
        <item m="1" x="6963"/>
        <item m="1" x="4969"/>
        <item m="1" x="4686"/>
        <item m="1" x="7846"/>
        <item m="1" x="5841"/>
        <item m="1" x="6355"/>
        <item m="1" x="2404"/>
        <item m="1" x="7790"/>
        <item m="1" x="7452"/>
        <item m="1" x="7126"/>
        <item m="1" x="6829"/>
        <item m="1" x="3905"/>
        <item m="1" x="3289"/>
        <item m="1" x="7017"/>
        <item m="1" x="6497"/>
        <item m="1" x="6204"/>
        <item m="1" x="5840"/>
        <item m="1" x="5523"/>
        <item m="1" x="2449"/>
        <item m="1" x="4404"/>
        <item m="1" x="4086"/>
        <item m="1" x="3795"/>
        <item m="1" x="7875"/>
        <item m="1" x="7589"/>
        <item m="1" x="6986"/>
        <item m="1" x="6721"/>
        <item m="1" x="6398"/>
        <item m="1" x="3471"/>
        <item m="1" x="3223"/>
        <item m="1" x="2944"/>
        <item m="1" x="6981"/>
        <item m="1" x="6984"/>
        <item m="1" x="4399"/>
        <item m="1" x="7552"/>
        <item m="1" x="6622"/>
        <item m="1" x="6627"/>
        <item m="1" x="6632"/>
        <item m="1" x="3561"/>
        <item m="1" x="3563"/>
        <item m="1" x="7139"/>
        <item m="1" x="7142"/>
        <item m="1" x="7148"/>
        <item m="1" x="5057"/>
        <item m="1" x="5059"/>
        <item m="1" x="5061"/>
        <item m="1" x="3930"/>
        <item m="1" x="3936"/>
        <item m="1" x="4625"/>
        <item m="1" x="4627"/>
        <item m="1" x="4629"/>
        <item m="1" x="6466"/>
        <item m="1" x="6471"/>
        <item m="1" x="6473"/>
        <item m="1" x="6474"/>
        <item m="1" x="6475"/>
        <item m="1" x="6476"/>
        <item m="1" x="7797"/>
        <item m="1" x="5806"/>
        <item m="1" x="5188"/>
        <item m="1" x="2699"/>
        <item m="1" x="2706"/>
        <item m="1" x="5431"/>
        <item m="1" x="5434"/>
        <item m="1" x="5439"/>
        <item m="1" x="5443"/>
        <item m="1" x="5446"/>
        <item m="1" x="5448"/>
        <item m="1" x="4262"/>
        <item m="1" x="6674"/>
        <item m="1" x="5811"/>
        <item m="1" x="6537"/>
        <item m="1" x="6544"/>
        <item m="1" x="6546"/>
        <item m="1" x="6548"/>
        <item m="1" x="6552"/>
        <item m="1" x="4278"/>
        <item m="1" x="4814"/>
        <item m="1" x="4994"/>
        <item m="1" x="4999"/>
        <item m="1" x="4150"/>
        <item m="1" x="3860"/>
        <item m="1" x="3865"/>
        <item m="1" x="3869"/>
        <item m="1" x="3874"/>
        <item m="1" x="4011"/>
        <item m="1" x="4988"/>
        <item m="1" x="7374"/>
        <item m="1" x="4986"/>
        <item m="1" x="7753"/>
        <item m="1" x="5214"/>
        <item m="1" x="5219"/>
        <item m="1" x="5384"/>
        <item m="1" x="5389"/>
        <item m="1" x="7938"/>
        <item m="1" x="7944"/>
        <item m="1" x="7810"/>
        <item m="1" x="7811"/>
        <item m="1" x="6630"/>
        <item m="1" x="6634"/>
        <item m="1" x="6448"/>
        <item m="1" x="6452"/>
        <item m="1" x="6455"/>
        <item m="1" x="7798"/>
        <item m="1" x="6697"/>
        <item m="1" x="6702"/>
        <item m="1" x="4277"/>
        <item m="1" x="3785"/>
        <item m="1" x="3786"/>
        <item m="1" x="7463"/>
        <item m="1" x="2615"/>
        <item m="1" x="3752"/>
        <item m="1" x="6383"/>
        <item m="1" x="6388"/>
        <item m="1" x="6392"/>
        <item m="1" x="7241"/>
        <item m="1" x="7247"/>
        <item m="1" x="7251"/>
        <item m="1" x="5731"/>
        <item m="1" x="5734"/>
        <item m="1" x="5740"/>
        <item m="1" x="5392"/>
        <item m="1" x="5397"/>
        <item m="1" x="6610"/>
        <item m="1" x="2515"/>
        <item m="1" x="7991"/>
        <item m="1" x="4295"/>
        <item m="1" x="4302"/>
        <item m="1" x="5901"/>
        <item m="1" x="5904"/>
        <item m="1" x="5906"/>
        <item m="1" x="4815"/>
        <item m="1" x="4821"/>
        <item m="1" x="4824"/>
        <item m="1" x="6555"/>
        <item m="1" x="6558"/>
        <item m="1" x="6560"/>
        <item m="1" x="6563"/>
        <item m="1" x="3830"/>
        <item m="1" x="3834"/>
        <item m="1" x="2420"/>
        <item m="1" x="2233"/>
        <item m="1" x="2236"/>
        <item m="1" x="2241"/>
        <item m="1" x="2205"/>
        <item m="1" x="4829"/>
        <item m="1" x="4833"/>
        <item m="1" x="4839"/>
        <item m="1" x="2520"/>
        <item m="1" x="2522"/>
        <item m="1" x="4006"/>
        <item m="1" x="4008"/>
        <item m="1" x="4010"/>
        <item m="1" x="2280"/>
        <item m="1" x="6751"/>
        <item m="1" x="6755"/>
        <item m="1" x="6758"/>
        <item m="1" x="6760"/>
        <item m="1" x="6154"/>
        <item m="1" x="6161"/>
        <item m="1" x="6623"/>
        <item m="1" x="7900"/>
        <item m="1" x="5390"/>
        <item m="1" x="7646"/>
        <item m="1" x="7653"/>
        <item m="1" x="7659"/>
        <item m="1" x="2393"/>
        <item m="1" x="2396"/>
        <item m="1" x="2397"/>
        <item m="1" x="6949"/>
        <item m="1" x="4879"/>
        <item m="1" x="4882"/>
        <item m="1" x="6263"/>
        <item m="1" x="2244"/>
        <item m="1" x="2247"/>
        <item m="1" x="2252"/>
        <item m="1" x="2255"/>
        <item m="1" x="7661"/>
        <item m="1" x="7666"/>
        <item m="1" x="6037"/>
        <item m="1" x="6042"/>
        <item m="1" x="6044"/>
        <item m="1" x="4172"/>
        <item m="1" x="4178"/>
        <item m="1" x="4182"/>
        <item m="1" x="4187"/>
        <item m="1" x="7090"/>
        <item m="1" x="7096"/>
        <item m="1" x="7100"/>
        <item m="1" x="6677"/>
        <item m="1" x="6422"/>
        <item m="1" x="5321"/>
        <item m="1" x="5323"/>
        <item m="1" x="5324"/>
        <item m="1" x="5202"/>
        <item m="1" x="6946"/>
        <item m="1" x="6947"/>
        <item m="1" x="4481"/>
        <item m="1" x="4482"/>
        <item m="1" x="4484"/>
        <item m="1" x="7039"/>
        <item m="1" x="7043"/>
        <item m="1" x="7047"/>
        <item m="1" x="2901"/>
        <item m="1" x="2904"/>
        <item m="1" x="4809"/>
        <item m="1" x="4810"/>
        <item m="1" x="5934"/>
        <item m="1" x="5074"/>
        <item m="1" x="5008"/>
        <item m="1" x="5012"/>
        <item m="1" x="5016"/>
        <item m="1" x="5022"/>
        <item m="1" x="2409"/>
        <item m="1" x="2412"/>
        <item m="1" x="3989"/>
        <item m="1" x="3991"/>
        <item m="1" x="3993"/>
        <item m="1" x="4291"/>
        <item m="1" x="3705"/>
        <item m="1" x="3707"/>
        <item m="1" x="3710"/>
        <item m="1" x="3714"/>
        <item m="1" x="3720"/>
        <item m="1" x="3723"/>
        <item m="1" x="3729"/>
        <item m="1" x="2407"/>
        <item m="1" x="5116"/>
        <item m="1" x="5119"/>
        <item m="1" x="5124"/>
        <item m="1" x="3554"/>
        <item m="1" x="6692"/>
        <item m="1" x="4113"/>
        <item m="1" x="4118"/>
        <item m="1" x="4125"/>
        <item m="1" x="4309"/>
        <item m="1" x="4311"/>
        <item m="1" x="7821"/>
        <item m="1" x="7823"/>
        <item m="1" x="7825"/>
        <item m="1" x="7828"/>
        <item m="1" x="2650"/>
        <item m="1" x="7932"/>
        <item m="1" x="3810"/>
        <item m="1" x="5300"/>
        <item m="1" x="7522"/>
        <item m="1" x="4772"/>
        <item m="1" x="4778"/>
        <item m="1" x="4737"/>
        <item m="1" x="4740"/>
        <item m="1" x="4412"/>
        <item m="1" x="5120"/>
        <item m="1" x="4659"/>
        <item m="1" x="4660"/>
        <item m="1" x="3510"/>
        <item m="1" x="6009"/>
        <item m="1" x="6014"/>
        <item m="1" x="6021"/>
        <item m="1" x="6027"/>
        <item m="1" x="6034"/>
        <item m="1" x="6038"/>
        <item m="1" x="7757"/>
        <item m="1" x="2957"/>
        <item m="1" x="7556"/>
        <item m="1" x="7588"/>
        <item m="1" x="3685"/>
        <item m="1" x="3687"/>
        <item m="1" x="3694"/>
        <item m="1" x="3699"/>
        <item m="1" x="3702"/>
        <item m="1" x="3144"/>
        <item m="1" x="6601"/>
        <item m="1" x="6604"/>
        <item m="1" x="6219"/>
        <item m="1" x="4917"/>
        <item m="1" x="4921"/>
        <item m="1" x="4173"/>
        <item m="1" x="4001"/>
        <item m="1" x="4005"/>
        <item m="1" x="3995"/>
        <item m="1" x="6125"/>
        <item m="1" x="4321"/>
        <item m="1" x="2817"/>
        <item m="1" x="6842"/>
        <item m="1" x="6845"/>
        <item m="1" x="6850"/>
        <item m="1" x="5054"/>
        <item m="1" x="5056"/>
        <item m="1" x="3920"/>
        <item m="1" x="3924"/>
        <item m="1" x="3929"/>
        <item m="1" x="3368"/>
        <item m="1" x="3369"/>
        <item m="1" x="7977"/>
        <item m="1" x="7980"/>
        <item m="1" x="7983"/>
        <item m="1" x="4281"/>
        <item m="1" x="3682"/>
        <item m="1" x="6281"/>
        <item m="1" x="6284"/>
        <item m="1" x="6287"/>
        <item m="1" x="6291"/>
        <item m="1" x="6293"/>
        <item m="1" x="3766"/>
        <item m="1" x="3768"/>
        <item m="1" x="5792"/>
        <item m="1" x="5795"/>
        <item m="1" x="5800"/>
        <item m="1" x="4131"/>
        <item m="1" x="4750"/>
        <item m="1" x="7783"/>
        <item m="1" x="7786"/>
        <item m="1" x="7789"/>
        <item m="1" x="2380"/>
        <item m="1" x="2385"/>
        <item m="1" x="2387"/>
        <item m="1" x="2390"/>
        <item m="1" x="3564"/>
        <item m="1" x="3566"/>
        <item m="1" x="3569"/>
        <item m="1" x="3572"/>
        <item m="1" x="7185"/>
        <item m="1" x="2630"/>
        <item m="1" x="2632"/>
        <item m="1" x="2637"/>
        <item m="1" x="2639"/>
        <item m="1" x="2643"/>
        <item m="1" x="2645"/>
        <item m="1" x="7501"/>
        <item m="1" x="5017"/>
        <item m="1" x="7130"/>
        <item m="1" x="3032"/>
        <item m="1" x="3034"/>
        <item m="1" x="4588"/>
        <item m="1" x="5602"/>
        <item m="1" x="5605"/>
        <item m="1" x="5611"/>
        <item m="1" x="5614"/>
        <item m="1" x="5619"/>
        <item m="1" x="4154"/>
        <item m="1" x="4155"/>
        <item m="1" x="7464"/>
        <item m="1" x="7468"/>
        <item m="1" x="7470"/>
        <item m="1" x="7475"/>
        <item m="1" x="3264"/>
        <item m="1" x="3270"/>
        <item m="1" x="3274"/>
        <item m="1" x="3279"/>
        <item m="1" x="6458"/>
        <item m="1" x="6462"/>
        <item m="1" x="7471"/>
        <item m="1" x="7476"/>
        <item m="1" x="7482"/>
        <item m="1" x="7487"/>
        <item m="1" x="7491"/>
        <item m="1" x="6131"/>
        <item m="1" x="6135"/>
        <item m="1" x="6139"/>
        <item m="1" x="3364"/>
        <item m="1" x="3365"/>
        <item m="1" x="7929"/>
        <item m="1" x="7934"/>
        <item m="1" x="7936"/>
        <item m="1" x="6148"/>
        <item m="1" x="6157"/>
        <item m="1" x="6514"/>
        <item m="1" x="6517"/>
        <item m="1" x="6522"/>
        <item m="1" x="6526"/>
        <item m="1" x="6532"/>
        <item m="1" x="6541"/>
        <item m="1" x="4792"/>
        <item m="1" x="4795"/>
        <item m="1" x="3751"/>
        <item m="1" x="3753"/>
        <item m="1" x="3757"/>
        <item m="1" x="3591"/>
        <item m="1" x="3595"/>
        <item m="1" x="3602"/>
        <item m="1" x="3605"/>
        <item m="1" x="6572"/>
        <item m="1" x="6575"/>
        <item m="1" x="6577"/>
        <item m="1" x="2872"/>
        <item m="1" x="2875"/>
        <item m="1" x="2878"/>
        <item m="1" x="2332"/>
        <item m="1" x="7370"/>
        <item m="1" x="7372"/>
        <item m="1" x="7375"/>
        <item m="1" x="4219"/>
        <item m="1" x="4224"/>
        <item m="1" x="5347"/>
        <item m="1" x="5350"/>
        <item m="1" x="5767"/>
        <item m="1" x="5773"/>
        <item m="1" x="5774"/>
        <item m="1" x="5778"/>
        <item m="1" x="7896"/>
        <item m="1" x="5403"/>
        <item m="1" x="5406"/>
        <item m="1" x="5410"/>
        <item m="1" x="5414"/>
        <item m="1" x="6765"/>
        <item m="1" x="6768"/>
        <item m="1" x="6773"/>
        <item m="1" x="6777"/>
        <item m="1" x="4896"/>
        <item m="1" x="4898"/>
        <item m="1" x="4899"/>
        <item m="1" x="4904"/>
        <item m="1" x="7919"/>
        <item m="1" x="7921"/>
        <item m="1" x="7926"/>
        <item m="1" x="7876"/>
        <item m="1" x="4844"/>
        <item m="1" x="4849"/>
        <item m="1" x="4853"/>
        <item m="1" x="4855"/>
        <item m="1" x="3420"/>
        <item m="1" x="3424"/>
        <item m="1" x="3426"/>
        <item m="1" x="3427"/>
        <item m="1" x="5890"/>
        <item m="1" x="5894"/>
        <item m="1" x="7199"/>
        <item m="1" x="5772"/>
        <item m="1" x="4714"/>
        <item m="1" x="5243"/>
        <item m="1" x="5245"/>
        <item m="1" x="6426"/>
        <item m="1" x="4175"/>
        <item m="1" x="4180"/>
        <item m="1" x="4185"/>
        <item m="1" x="7378"/>
        <item m="1" x="7382"/>
        <item m="1" x="5229"/>
        <item m="1" x="4806"/>
        <item m="1" x="4807"/>
        <item m="1" x="4092"/>
        <item m="1" x="4542"/>
        <item m="1" x="7070"/>
        <item m="1" x="6859"/>
        <item m="1" x="6863"/>
        <item m="1" x="4069"/>
        <item m="1" x="4074"/>
        <item m="1" x="7780"/>
        <item m="1" x="2477"/>
        <item m="1" x="2480"/>
        <item m="1" x="2485"/>
        <item m="1" x="4455"/>
        <item m="1" x="2354"/>
        <item m="1" x="2360"/>
        <item m="1" x="5432"/>
        <item m="1" x="5435"/>
        <item m="1" x="5440"/>
        <item m="1" x="5444"/>
        <item m="1" x="7854"/>
        <item m="1" x="7075"/>
        <item m="1" x="7081"/>
        <item m="1" x="7085"/>
        <item m="1" x="3677"/>
        <item m="1" x="3678"/>
        <item m="1" x="3683"/>
        <item m="1" x="6766"/>
        <item m="1" x="6772"/>
        <item m="1" x="6952"/>
        <item m="1" x="6948"/>
        <item m="1" x="6950"/>
        <item x="22"/>
        <item x="23"/>
        <item m="1" x="2281"/>
        <item m="1" x="2284"/>
        <item m="1" x="6614"/>
        <item m="1" x="6619"/>
        <item m="1" x="5303"/>
        <item m="1" x="5571"/>
        <item m="1" x="2804"/>
        <item m="1" x="2756"/>
        <item m="1" x="2759"/>
        <item m="1" x="2761"/>
        <item m="1" x="3950"/>
        <item m="1" x="3952"/>
        <item m="1" x="3955"/>
        <item m="1" x="3957"/>
        <item m="1" x="3959"/>
        <item m="1" x="3961"/>
        <item m="1" x="3393"/>
        <item m="1" x="3394"/>
        <item m="1" x="4761"/>
        <item m="1" x="4768"/>
        <item m="1" x="4200"/>
        <item m="1" x="4203"/>
        <item m="1" x="7956"/>
        <item m="1" x="7958"/>
        <item m="1" x="7960"/>
        <item m="1" x="7962"/>
        <item m="1" x="7963"/>
        <item m="1" x="7664"/>
        <item m="1" x="7669"/>
        <item m="1" x="7670"/>
        <item m="1" x="7672"/>
        <item m="1" x="7673"/>
        <item m="1" x="7677"/>
        <item m="1" x="3140"/>
        <item m="1" x="3968"/>
        <item m="1" x="3971"/>
        <item m="1" x="6097"/>
        <item m="1" x="6102"/>
        <item m="1" x="4987"/>
        <item m="1" x="7579"/>
        <item m="1" x="7583"/>
        <item m="1" x="7586"/>
        <item m="1" x="4550"/>
        <item m="1" x="4554"/>
        <item m="1" x="2812"/>
        <item m="1" x="2815"/>
        <item m="1" x="2818"/>
        <item m="1" x="4375"/>
        <item m="1" x="3124"/>
        <item m="1" x="3127"/>
        <item m="1" x="3129"/>
        <item m="1" x="6794"/>
        <item m="1" x="6797"/>
        <item m="1" x="6800"/>
        <item m="1" x="4858"/>
        <item m="1" x="6801"/>
        <item m="1" x="6807"/>
        <item m="1" x="6810"/>
        <item m="1" x="4459"/>
        <item m="1" x="4463"/>
        <item m="1" x="3126"/>
        <item m="1" x="3128"/>
        <item m="1" x="3452"/>
        <item m="1" x="2976"/>
        <item m="1" x="6128"/>
        <item m="1" x="6130"/>
        <item m="1" x="6134"/>
        <item m="1" x="4486"/>
        <item m="1" x="5273"/>
        <item m="1" x="5278"/>
        <item m="1" x="5283"/>
        <item m="1" x="7905"/>
        <item m="1" x="7907"/>
        <item m="1" x="7911"/>
        <item m="1" x="7882"/>
        <item m="1" x="7889"/>
        <item m="1" x="7837"/>
        <item m="1" x="2954"/>
        <item m="1" x="2961"/>
        <item m="1" x="2964"/>
        <item m="1" x="2968"/>
        <item m="1" x="3299"/>
        <item m="1" x="3301"/>
        <item m="1" x="5079"/>
        <item m="1" x="5086"/>
        <item m="1" x="5090"/>
        <item m="1" x="2248"/>
        <item m="1" x="6456"/>
        <item m="1" x="6459"/>
        <item m="1" x="5942"/>
        <item m="1" x="5944"/>
        <item m="1" x="5948"/>
        <item m="1" x="4865"/>
        <item m="1" x="4871"/>
        <item m="1" x="4875"/>
        <item m="1" x="6605"/>
        <item m="1" x="6606"/>
        <item m="1" x="2472"/>
        <item m="1" x="6792"/>
        <item m="1" x="6253"/>
        <item m="1" x="7624"/>
        <item m="1" x="7392"/>
        <item m="1" x="2623"/>
        <item m="1" x="2625"/>
        <item m="1" x="3787"/>
        <item m="1" x="6507"/>
        <item m="1" x="2453"/>
        <item m="1" x="4593"/>
        <item m="1" x="4634"/>
        <item m="1" x="6489"/>
        <item m="1" x="2749"/>
        <item m="1" x="3648"/>
        <item m="1" x="7324"/>
        <item m="1" x="5173"/>
        <item m="1" x="2242"/>
        <item m="1" x="4902"/>
        <item m="1" x="2952"/>
        <item m="1" x="2958"/>
        <item m="1" x="2963"/>
        <item m="1" x="3408"/>
        <item m="1" x="3412"/>
        <item m="1" x="7937"/>
        <item m="1" x="7940"/>
        <item m="1" x="4033"/>
        <item m="1" x="4035"/>
        <item m="1" x="5893"/>
        <item m="1" x="2999"/>
        <item m="1" x="3976"/>
        <item m="1" x="3377"/>
        <item m="1" x="5845"/>
        <item m="1" x="5639"/>
        <item m="1" x="6199"/>
        <item m="1" x="4773"/>
        <item m="1" x="2613"/>
        <item m="1" x="6441"/>
        <item m="1" x="6553"/>
        <item m="1" x="3098"/>
        <item m="1" x="6111"/>
        <item m="1" x="3143"/>
        <item m="1" x="3148"/>
        <item m="1" x="3914"/>
        <item m="1" x="3919"/>
        <item m="1" x="3922"/>
        <item m="1" x="3927"/>
        <item m="1" x="5102"/>
        <item m="1" x="4617"/>
        <item m="1" x="4621"/>
        <item m="1" x="5378"/>
        <item m="1" x="5383"/>
        <item m="1" x="6647"/>
        <item m="1" x="6651"/>
        <item m="1" x="6654"/>
        <item m="1" x="6658"/>
        <item m="1" x="3827"/>
        <item m="1" x="6124"/>
        <item m="1" x="6127"/>
        <item m="1" x="3084"/>
        <item m="1" x="3087"/>
        <item m="1" x="3091"/>
        <item m="1" x="7950"/>
        <item m="1" x="4319"/>
        <item m="1" x="4323"/>
        <item m="1" x="4327"/>
        <item m="1" x="4331"/>
        <item m="1" x="2793"/>
        <item m="1" x="2796"/>
        <item m="1" x="2798"/>
        <item m="1" x="2800"/>
        <item m="1" x="2802"/>
        <item m="1" x="5457"/>
        <item m="1" x="5461"/>
        <item m="1" x="7410"/>
        <item m="1" x="7413"/>
        <item m="1" x="4475"/>
        <item m="1" x="2960"/>
        <item m="1" x="2966"/>
        <item m="1" x="6722"/>
        <item m="1" x="6726"/>
        <item m="1" x="6729"/>
        <item m="1" x="6730"/>
        <item m="1" x="6733"/>
        <item m="1" x="6735"/>
        <item m="1" x="2838"/>
        <item m="1" x="2841"/>
        <item m="1" x="5710"/>
        <item m="1" x="2333"/>
        <item m="1" x="2337"/>
        <item m="1" x="7143"/>
        <item m="1" x="7149"/>
        <item m="1" x="7151"/>
        <item m="1" x="7154"/>
        <item m="1" x="3616"/>
        <item m="1" x="3622"/>
        <item m="1" x="3623"/>
        <item m="1" x="2470"/>
        <item m="1" x="2474"/>
        <item m="1" x="3261"/>
        <item m="1" x="3265"/>
        <item m="1" x="3271"/>
        <item m="1" x="3275"/>
        <item m="1" x="7681"/>
        <item m="1" x="7393"/>
        <item m="1" x="7399"/>
        <item m="1" x="7601"/>
        <item m="1" x="6039"/>
        <item x="37"/>
        <item m="1" x="7421"/>
        <item m="1" x="3625"/>
        <item m="1" x="3631"/>
        <item m="1" x="6151"/>
        <item m="1" x="5005"/>
        <item m="1" x="5006"/>
        <item m="1" x="5009"/>
        <item m="1" x="5013"/>
        <item m="1" x="4518"/>
        <item m="1" x="7732"/>
        <item m="1" x="5062"/>
        <item m="1" x="5066"/>
        <item m="1" x="5427"/>
        <item m="1" x="3428"/>
        <item m="1" x="7511"/>
        <item m="1" x="4483"/>
        <item m="1" x="4485"/>
        <item m="1" x="4488"/>
        <item m="1" x="4964"/>
        <item m="1" x="4966"/>
        <item m="1" x="6715"/>
        <item m="1" x="5627"/>
        <item m="1" x="5629"/>
        <item m="1" x="4603"/>
        <item m="1" x="4607"/>
        <item m="1" x="4610"/>
        <item m="1" x="4613"/>
        <item m="1" x="4337"/>
        <item m="1" x="4343"/>
        <item m="1" x="4349"/>
        <item m="1" x="4352"/>
        <item m="1" x="5259"/>
        <item m="1" x="5280"/>
        <item m="1" x="5286"/>
        <item m="1" x="5289"/>
        <item m="1" x="5292"/>
        <item m="1" x="7778"/>
        <item m="1" x="7779"/>
        <item m="1" x="2417"/>
        <item m="1" x="7817"/>
        <item m="1" x="7489"/>
        <item m="1" x="6564"/>
        <item m="1" x="5076"/>
        <item m="1" x="5080"/>
        <item m="1" x="5087"/>
        <item m="1" x="5091"/>
        <item m="1" x="7222"/>
        <item m="1" x="7230"/>
        <item m="1" x="7003"/>
        <item m="1" x="7006"/>
        <item m="1" x="7011"/>
        <item m="1" x="7014"/>
        <item m="1" x="4783"/>
        <item m="1" x="4785"/>
        <item m="1" x="6812"/>
        <item m="1" x="6814"/>
        <item m="1" x="6817"/>
        <item m="1" x="6819"/>
        <item m="1" x="6825"/>
        <item m="1" x="3906"/>
        <item m="1" x="3907"/>
        <item x="38"/>
        <item m="1" x="4933"/>
        <item m="1" x="4934"/>
        <item m="1" x="5106"/>
        <item m="1" x="2536"/>
        <item m="1" x="2539"/>
        <item m="1" x="7515"/>
        <item m="1" x="4159"/>
        <item m="1" x="4161"/>
        <item m="1" x="5329"/>
        <item m="1" x="5332"/>
        <item m="1" x="6203"/>
        <item x="40"/>
        <item x="41"/>
        <item x="42"/>
        <item x="43"/>
        <item m="1" x="5513"/>
        <item m="1" x="5519"/>
        <item m="1" x="7590"/>
        <item m="1" x="7593"/>
        <item m="1" x="4579"/>
        <item m="1" x="4580"/>
        <item m="1" x="4583"/>
        <item m="1" x="4283"/>
        <item m="1" x="3997"/>
        <item m="1" x="3711"/>
        <item m="1" x="3715"/>
        <item m="1" x="3415"/>
        <item m="1" x="6015"/>
        <item m="1" x="6022"/>
        <item m="1" x="6028"/>
        <item m="1" x="3611"/>
        <item m="1" x="3614"/>
        <item m="1" x="3617"/>
        <item m="1" x="2797"/>
        <item m="1" x="3652"/>
        <item m="1" x="3658"/>
        <item m="1" x="5382"/>
        <item m="1" x="5386"/>
        <item m="1" x="5393"/>
        <item x="47"/>
        <item m="1" x="3805"/>
        <item m="1" x="3806"/>
        <item m="1" x="3809"/>
        <item x="46"/>
        <item x="48"/>
        <item x="49"/>
        <item x="50"/>
        <item x="52"/>
        <item m="1" x="7049"/>
        <item m="1" x="2919"/>
        <item x="45"/>
        <item m="1" x="7436"/>
        <item x="55"/>
        <item x="54"/>
        <item x="53"/>
        <item m="1" x="4464"/>
        <item x="51"/>
        <item x="57"/>
        <item x="61"/>
        <item m="1" x="7220"/>
        <item m="1" x="7228"/>
        <item x="59"/>
        <item x="63"/>
        <item x="56"/>
        <item x="58"/>
        <item x="64"/>
        <item x="60"/>
        <item x="62"/>
        <item x="65"/>
        <item m="1" x="5048"/>
        <item x="71"/>
        <item m="1" x="7176"/>
        <item m="1" x="7179"/>
        <item x="66"/>
        <item x="72"/>
        <item x="67"/>
        <item x="73"/>
        <item x="74"/>
        <item x="75"/>
        <item x="68"/>
        <item x="70"/>
        <item x="69"/>
        <item x="91"/>
        <item x="76"/>
        <item x="77"/>
        <item x="80"/>
        <item x="83"/>
        <item x="88"/>
        <item x="93"/>
        <item x="81"/>
        <item x="84"/>
        <item x="89"/>
        <item x="94"/>
        <item x="79"/>
        <item x="86"/>
        <item m="1" x="5198"/>
        <item x="101"/>
        <item x="107"/>
        <item x="78"/>
        <item x="85"/>
        <item x="90"/>
        <item x="96"/>
        <item x="100"/>
        <item x="98"/>
        <item x="82"/>
        <item x="95"/>
        <item m="1" x="5756"/>
        <item m="1" x="5758"/>
        <item m="1" x="6233"/>
        <item m="1" x="6239"/>
        <item x="92"/>
        <item x="105"/>
        <item x="87"/>
        <item x="97"/>
        <item m="1" x="5475"/>
        <item m="1" x="5480"/>
        <item m="1" x="5483"/>
        <item m="1" x="5486"/>
        <item m="1" x="5489"/>
        <item m="1" x="5495"/>
        <item m="1" x="5499"/>
        <item x="104"/>
        <item m="1" x="6889"/>
        <item m="1" x="6893"/>
        <item m="1" x="6894"/>
        <item m="1" x="6896"/>
        <item x="103"/>
        <item x="109"/>
        <item x="115"/>
        <item x="124"/>
        <item x="133"/>
        <item x="144"/>
        <item x="148"/>
        <item x="108"/>
        <item x="114"/>
        <item m="1" x="4245"/>
        <item x="99"/>
        <item x="106"/>
        <item x="112"/>
        <item x="121"/>
        <item x="127"/>
        <item x="110"/>
        <item x="117"/>
        <item x="125"/>
        <item m="1" x="6582"/>
        <item m="1" x="6586"/>
        <item m="1" x="6588"/>
        <item m="1" x="6591"/>
        <item x="118"/>
        <item x="126"/>
        <item x="134"/>
        <item x="113"/>
        <item x="122"/>
        <item x="128"/>
        <item x="141"/>
        <item x="149"/>
        <item x="132"/>
        <item x="143"/>
        <item x="102"/>
        <item x="111"/>
        <item x="116"/>
        <item x="123"/>
        <item x="120"/>
        <item x="129"/>
        <item x="140"/>
        <item x="146"/>
        <item x="152"/>
        <item x="153"/>
        <item x="154"/>
        <item x="119"/>
        <item x="139"/>
        <item x="138"/>
        <item m="1" x="2521"/>
        <item m="1" x="2523"/>
        <item m="1" x="2529"/>
        <item x="131"/>
        <item x="142"/>
        <item x="150"/>
        <item x="135"/>
        <item x="130"/>
        <item x="136"/>
        <item x="137"/>
        <item x="145"/>
        <item x="147"/>
        <item x="151"/>
        <item x="155"/>
        <item x="157"/>
        <item x="156"/>
        <item x="187"/>
        <item x="178"/>
        <item x="188"/>
        <item x="193"/>
        <item x="197"/>
        <item x="159"/>
        <item x="163"/>
        <item x="169"/>
        <item x="181"/>
        <item x="198"/>
        <item x="161"/>
        <item x="174"/>
        <item x="189"/>
        <item x="160"/>
        <item x="168"/>
        <item x="173"/>
        <item x="184"/>
        <item x="171"/>
        <item x="164"/>
        <item x="182"/>
        <item x="170"/>
        <item x="199"/>
        <item x="165"/>
        <item x="179"/>
        <item x="205"/>
        <item x="200"/>
        <item x="206"/>
        <item x="167"/>
        <item x="196"/>
        <item x="166"/>
        <item x="195"/>
        <item x="194"/>
        <item m="1" x="5898"/>
        <item m="1" x="5899"/>
        <item m="1" x="5902"/>
        <item x="158"/>
        <item x="209"/>
        <item x="192"/>
        <item x="210"/>
        <item x="175"/>
        <item x="180"/>
        <item x="190"/>
        <item x="208"/>
        <item x="201"/>
        <item x="172"/>
        <item x="183"/>
        <item x="191"/>
        <item x="213"/>
        <item x="214"/>
        <item x="216"/>
        <item x="162"/>
        <item x="177"/>
        <item x="186"/>
        <item x="202"/>
        <item x="215"/>
        <item x="212"/>
        <item x="176"/>
        <item x="185"/>
        <item x="207"/>
        <item x="217"/>
        <item x="218"/>
        <item x="211"/>
        <item x="219"/>
        <item x="221"/>
        <item x="224"/>
        <item x="227"/>
        <item x="222"/>
        <item x="203"/>
        <item x="240"/>
        <item x="204"/>
        <item x="220"/>
        <item x="226"/>
        <item x="237"/>
        <item x="230"/>
        <item x="249"/>
        <item x="229"/>
        <item x="228"/>
        <item x="225"/>
        <item x="223"/>
        <item x="231"/>
        <item x="241"/>
        <item x="252"/>
        <item x="250"/>
        <item x="245"/>
        <item x="233"/>
        <item x="247"/>
        <item x="251"/>
        <item x="235"/>
        <item x="258"/>
        <item m="1" x="7044"/>
        <item x="242"/>
        <item x="248"/>
        <item x="260"/>
        <item x="253"/>
        <item x="256"/>
        <item x="238"/>
        <item x="244"/>
        <item x="264"/>
        <item x="267"/>
        <item x="265"/>
        <item x="268"/>
        <item x="269"/>
        <item x="232"/>
        <item x="239"/>
        <item x="273"/>
        <item x="272"/>
        <item x="275"/>
        <item x="276"/>
        <item x="277"/>
        <item x="255"/>
        <item x="262"/>
        <item x="263"/>
        <item x="236"/>
        <item x="234"/>
        <item x="279"/>
        <item x="266"/>
        <item x="257"/>
        <item x="280"/>
        <item x="270"/>
        <item x="282"/>
        <item x="259"/>
        <item x="274"/>
        <item x="246"/>
        <item x="271"/>
        <item x="278"/>
        <item x="283"/>
        <item x="281"/>
        <item x="284"/>
        <item x="243"/>
        <item x="254"/>
        <item x="261"/>
        <item x="290"/>
        <item m="1" x="6970"/>
        <item m="1" x="5951"/>
        <item m="1" x="3405"/>
        <item x="293"/>
        <item x="299"/>
        <item m="1" x="5656"/>
        <item m="1" x="6078"/>
        <item m="1" x="6080"/>
        <item m="1" x="6085"/>
        <item m="1" x="6089"/>
        <item m="1" x="6616"/>
        <item m="1" x="6624"/>
        <item x="291"/>
        <item x="297"/>
        <item x="287"/>
        <item x="294"/>
        <item x="300"/>
        <item x="308"/>
        <item x="304"/>
        <item x="311"/>
        <item x="316"/>
        <item x="298"/>
        <item x="317"/>
        <item x="307"/>
        <item x="288"/>
        <item x="295"/>
        <item x="301"/>
        <item x="309"/>
        <item x="319"/>
        <item m="1" x="6341"/>
        <item m="1" x="2440"/>
        <item m="1" x="2444"/>
        <item m="1" x="4705"/>
        <item m="1" x="4708"/>
        <item m="1" x="4711"/>
        <item m="1" x="4717"/>
        <item x="305"/>
        <item x="313"/>
        <item x="321"/>
        <item x="314"/>
        <item x="289"/>
        <item x="296"/>
        <item x="302"/>
        <item x="310"/>
        <item x="320"/>
        <item x="327"/>
        <item x="337"/>
        <item x="342"/>
        <item x="306"/>
        <item x="322"/>
        <item m="1" x="4878"/>
        <item m="1" x="4881"/>
        <item m="1" x="4883"/>
        <item m="1" x="4886"/>
        <item m="1" x="4889"/>
        <item x="292"/>
        <item m="1" x="5098"/>
        <item x="285"/>
        <item x="286"/>
        <item m="1" x="3474"/>
        <item x="318"/>
        <item x="333"/>
        <item x="323"/>
        <item x="326"/>
        <item x="335"/>
        <item m="1" x="4270"/>
        <item x="336"/>
        <item x="339"/>
        <item x="330"/>
        <item x="315"/>
        <item x="325"/>
        <item x="331"/>
        <item x="324"/>
        <item x="329"/>
        <item x="341"/>
        <item x="334"/>
        <item m="1" x="5301"/>
        <item m="1" x="5308"/>
        <item m="1" x="5315"/>
        <item m="1" x="5317"/>
        <item m="1" x="6113"/>
        <item m="1" x="6118"/>
        <item x="328"/>
        <item x="340"/>
        <item x="345"/>
        <item x="303"/>
        <item x="312"/>
        <item x="338"/>
        <item x="344"/>
        <item x="346"/>
        <item m="1" x="6052"/>
        <item m="1" x="6054"/>
        <item m="1" x="6056"/>
        <item m="1" x="6059"/>
        <item m="1" x="6728"/>
        <item m="1" x="7386"/>
        <item m="1" x="7387"/>
        <item x="347"/>
        <item m="1" x="7866"/>
        <item m="1" x="7867"/>
        <item m="1" x="7870"/>
        <item m="1" x="7872"/>
        <item x="343"/>
        <item x="348"/>
        <item x="350"/>
        <item m="1" x="3709"/>
        <item m="1" x="5505"/>
        <item m="1" x="5508"/>
        <item m="1" x="5511"/>
        <item m="1" x="5514"/>
        <item m="1" x="5279"/>
        <item m="1" x="5284"/>
        <item m="1" x="5288"/>
        <item m="1" x="5291"/>
        <item m="1" x="5293"/>
        <item x="351"/>
        <item x="352"/>
        <item x="354"/>
        <item x="332"/>
        <item x="349"/>
        <item x="353"/>
        <item x="355"/>
        <item x="356"/>
        <item x="357"/>
        <item m="1" x="7675"/>
        <item x="358"/>
        <item x="359"/>
        <item x="360"/>
        <item x="361"/>
        <item x="362"/>
        <item m="1" x="3309"/>
        <item m="1" x="3311"/>
        <item m="1" x="3315"/>
        <item m="1" x="3318"/>
        <item m="1" x="3321"/>
        <item x="363"/>
        <item m="1" x="6361"/>
        <item x="364"/>
        <item m="1" x="7902"/>
        <item m="1" x="6964"/>
        <item x="366"/>
        <item x="367"/>
        <item x="368"/>
        <item m="1" x="2580"/>
        <item m="1" x="2584"/>
        <item m="1" x="2588"/>
        <item m="1" x="2594"/>
        <item m="1" x="2939"/>
        <item m="1" x="2940"/>
        <item x="370"/>
        <item x="372"/>
        <item m="1" x="5989"/>
        <item x="373"/>
        <item x="365"/>
        <item m="1" x="5472"/>
        <item m="1" x="4961"/>
        <item m="1" x="3885"/>
        <item m="1" x="6813"/>
        <item m="1" x="6815"/>
        <item m="1" x="6818"/>
        <item m="1" x="6820"/>
        <item x="369"/>
        <item x="371"/>
        <item x="377"/>
        <item x="380"/>
        <item x="374"/>
        <item x="376"/>
        <item x="375"/>
        <item x="379"/>
        <item m="1" x="5234"/>
        <item m="1" x="5236"/>
        <item m="1" x="4704"/>
        <item x="381"/>
        <item x="383"/>
        <item m="1" x="6271"/>
        <item m="1" x="6276"/>
        <item x="384"/>
        <item m="1" x="7969"/>
        <item m="1" x="7971"/>
        <item x="385"/>
        <item m="1" x="7046"/>
        <item x="378"/>
        <item m="1" x="2685"/>
        <item x="396"/>
        <item x="403"/>
        <item m="1" x="4779"/>
        <item m="1" x="5542"/>
        <item m="1" x="5544"/>
        <item m="1" x="5545"/>
        <item m="1" x="5551"/>
        <item x="386"/>
        <item x="393"/>
        <item x="401"/>
        <item x="389"/>
        <item x="400"/>
        <item x="404"/>
        <item m="1" x="7982"/>
        <item m="1" x="7984"/>
        <item m="1" x="7986"/>
        <item m="1" x="7992"/>
        <item x="387"/>
        <item x="390"/>
        <item x="398"/>
        <item x="410"/>
        <item x="388"/>
        <item x="391"/>
        <item m="1" x="6317"/>
        <item x="397"/>
        <item x="395"/>
        <item x="405"/>
        <item x="414"/>
        <item m="1" x="4165"/>
        <item m="1" x="3891"/>
        <item m="1" x="3893"/>
        <item x="407"/>
        <item x="392"/>
        <item x="399"/>
        <item x="411"/>
        <item x="394"/>
        <item x="402"/>
        <item m="1" x="2400"/>
        <item x="406"/>
        <item x="415"/>
        <item x="422"/>
        <item x="436"/>
        <item x="418"/>
        <item x="409"/>
        <item x="417"/>
        <item x="429"/>
        <item x="382"/>
        <item m="1" x="6493"/>
        <item m="1" x="6498"/>
        <item m="1" x="7576"/>
        <item m="1" x="7582"/>
        <item m="1" x="5657"/>
        <item m="1" x="5660"/>
        <item m="1" x="5665"/>
        <item m="1" x="4950"/>
        <item m="1" x="4954"/>
        <item m="1" x="4959"/>
        <item x="427"/>
        <item x="413"/>
        <item x="421"/>
        <item x="431"/>
        <item x="412"/>
        <item x="432"/>
        <item m="1" x="5585"/>
        <item m="1" x="5589"/>
        <item x="419"/>
        <item x="426"/>
        <item x="439"/>
        <item x="408"/>
        <item x="428"/>
        <item m="1" x="6501"/>
        <item m="1" x="6503"/>
        <item m="1" x="6506"/>
        <item m="1" x="7041"/>
        <item x="430"/>
        <item m="1" x="3760"/>
        <item m="1" x="3763"/>
        <item x="416"/>
        <item x="423"/>
        <item x="437"/>
        <item m="1" x="4101"/>
        <item m="1" x="4105"/>
        <item x="424"/>
        <item x="420"/>
        <item x="433"/>
        <item m="1" x="6299"/>
        <item m="1" x="2556"/>
        <item m="1" x="7909"/>
        <item m="1" x="7912"/>
        <item m="1" x="7916"/>
        <item x="425"/>
        <item x="438"/>
        <item x="434"/>
        <item m="1" x="3244"/>
        <item m="1" x="2983"/>
        <item m="1" x="7930"/>
        <item m="1" x="7941"/>
        <item x="435"/>
        <item m="1" x="2660"/>
        <item m="1" x="3442"/>
        <item m="1" x="3446"/>
        <item m="1" x="4702"/>
        <item m="1" x="4706"/>
        <item m="1" x="5041"/>
        <item m="1" x="5043"/>
        <item m="1" x="7332"/>
        <item m="1" x="7335"/>
        <item x="442"/>
        <item m="1" x="7632"/>
        <item m="1" x="5971"/>
        <item m="1" x="5977"/>
        <item m="1" x="3668"/>
        <item m="1" x="3670"/>
        <item m="1" x="6196"/>
        <item m="1" x="6858"/>
        <item x="441"/>
        <item x="446"/>
        <item x="444"/>
        <item m="1" x="4572"/>
        <item m="1" x="4869"/>
        <item m="1" x="4874"/>
        <item m="1" x="7890"/>
        <item m="1" x="7893"/>
        <item m="1" x="7897"/>
        <item m="1" x="7903"/>
        <item m="1" x="7906"/>
        <item m="1" x="5704"/>
        <item m="1" x="6861"/>
        <item m="1" x="6865"/>
        <item m="1" x="2206"/>
        <item m="1" x="2208"/>
        <item m="1" x="2218"/>
        <item m="1" x="2221"/>
        <item m="1" x="4194"/>
        <item m="1" x="4197"/>
        <item m="1" x="4199"/>
        <item m="1" x="4202"/>
        <item m="1" x="6101"/>
        <item m="1" x="2431"/>
        <item m="1" x="2433"/>
        <item m="1" x="2435"/>
        <item m="1" x="5138"/>
        <item x="440"/>
        <item m="1" x="6869"/>
        <item m="1" x="6872"/>
        <item x="447"/>
        <item x="450"/>
        <item x="453"/>
        <item m="1" x="5100"/>
        <item m="1" x="5101"/>
        <item m="1" x="5103"/>
        <item m="1" x="6639"/>
        <item m="1" x="3799"/>
        <item m="1" x="3801"/>
        <item x="443"/>
        <item x="445"/>
        <item m="1" x="7880"/>
        <item m="1" x="7883"/>
        <item m="1" x="7887"/>
        <item m="1" x="4834"/>
        <item x="451"/>
        <item x="448"/>
        <item x="449"/>
        <item m="1" x="3161"/>
        <item m="1" x="3165"/>
        <item m="1" x="3167"/>
        <item m="1" x="6530"/>
        <item m="1" x="6536"/>
        <item m="1" x="6543"/>
        <item m="1" x="4398"/>
        <item m="1" x="2323"/>
        <item x="452"/>
        <item x="455"/>
        <item x="458"/>
        <item x="456"/>
        <item x="457"/>
        <item x="463"/>
        <item x="465"/>
        <item x="459"/>
        <item x="464"/>
        <item x="462"/>
        <item x="461"/>
        <item x="460"/>
        <item m="1" x="6174"/>
        <item x="467"/>
        <item x="469"/>
        <item x="468"/>
        <item x="466"/>
        <item m="1" x="5849"/>
        <item m="1" x="5853"/>
        <item x="470"/>
        <item x="472"/>
        <item x="479"/>
        <item x="474"/>
        <item x="477"/>
        <item x="475"/>
        <item x="478"/>
        <item x="480"/>
        <item x="476"/>
        <item x="473"/>
        <item x="454"/>
        <item x="481"/>
        <item x="498"/>
        <item x="521"/>
        <item x="483"/>
        <item x="482"/>
        <item x="485"/>
        <item x="484"/>
        <item x="486"/>
        <item m="1" x="2379"/>
        <item m="1" x="2384"/>
        <item m="1" x="2386"/>
        <item x="494"/>
        <item x="496"/>
        <item x="495"/>
        <item x="491"/>
        <item x="492"/>
        <item x="489"/>
        <item x="490"/>
        <item x="493"/>
        <item x="497"/>
        <item x="501"/>
        <item x="499"/>
        <item x="502"/>
        <item x="503"/>
        <item x="500"/>
        <item x="504"/>
        <item m="1" x="4900"/>
        <item m="1" x="4905"/>
        <item m="1" x="4907"/>
        <item x="505"/>
        <item m="1" x="6152"/>
        <item m="1" x="6160"/>
        <item m="1" x="6167"/>
        <item m="1" x="5574"/>
        <item m="1" x="5576"/>
        <item x="506"/>
        <item x="508"/>
        <item x="510"/>
        <item x="509"/>
        <item x="507"/>
        <item x="515"/>
        <item x="512"/>
        <item x="514"/>
        <item x="519"/>
        <item x="513"/>
        <item x="518"/>
        <item x="520"/>
        <item x="517"/>
        <item x="516"/>
        <item m="1" x="4249"/>
        <item m="1" x="4252"/>
        <item m="1" x="6771"/>
        <item m="1" x="6775"/>
        <item m="1" x="6779"/>
        <item m="1" x="3931"/>
        <item m="1" x="3937"/>
        <item m="1" x="3939"/>
        <item m="1" x="3941"/>
        <item m="1" x="3946"/>
        <item x="530"/>
        <item m="1" x="5812"/>
        <item x="528"/>
        <item x="532"/>
        <item x="541"/>
        <item x="536"/>
        <item x="534"/>
        <item x="537"/>
        <item x="525"/>
        <item x="542"/>
        <item x="531"/>
        <item x="529"/>
        <item x="539"/>
        <item x="524"/>
        <item x="533"/>
        <item x="538"/>
        <item x="535"/>
        <item x="526"/>
        <item x="540"/>
        <item x="527"/>
        <item x="523"/>
        <item x="543"/>
        <item x="487"/>
        <item m="1" x="4076"/>
        <item m="1" x="4077"/>
        <item m="1" x="7430"/>
        <item m="1" x="7433"/>
        <item m="1" x="7440"/>
        <item x="544"/>
        <item x="548"/>
        <item x="546"/>
        <item x="552"/>
        <item x="547"/>
        <item x="551"/>
        <item x="550"/>
        <item x="545"/>
        <item x="549"/>
        <item x="553"/>
        <item x="561"/>
        <item x="554"/>
        <item x="555"/>
        <item x="560"/>
        <item x="557"/>
        <item m="1" x="3163"/>
        <item x="559"/>
        <item x="558"/>
        <item x="556"/>
        <item m="1" x="2263"/>
        <item m="1" x="2266"/>
        <item m="1" x="2278"/>
        <item x="566"/>
        <item x="567"/>
        <item x="564"/>
        <item x="569"/>
        <item x="565"/>
        <item x="563"/>
        <item x="568"/>
        <item m="1" x="5437"/>
        <item m="1" x="5854"/>
        <item x="562"/>
        <item x="570"/>
        <item x="471"/>
        <item x="488"/>
        <item x="511"/>
        <item x="522"/>
        <item m="1" x="6011"/>
        <item m="1" x="6023"/>
        <item m="1" x="6029"/>
        <item m="1" x="6040"/>
        <item x="711"/>
        <item m="1" x="4353"/>
        <item m="1" x="4356"/>
        <item m="1" x="2445"/>
        <item m="1" x="7131"/>
        <item m="1" x="6538"/>
        <item m="1" x="3819"/>
        <item m="1" x="3828"/>
        <item m="1" x="7192"/>
        <item m="1" x="7196"/>
        <item m="1" x="7205"/>
        <item m="1" x="7212"/>
        <item m="1" x="7224"/>
        <item m="1" x="7232"/>
        <item m="1" x="7239"/>
        <item m="1" x="2777"/>
        <item m="1" x="2784"/>
        <item m="1" x="2786"/>
        <item m="1" x="2789"/>
        <item m="1" x="5167"/>
        <item m="1" x="5170"/>
        <item m="1" x="6953"/>
        <item m="1" x="6957"/>
        <item m="1" x="6961"/>
        <item m="1" x="2549"/>
        <item m="1" x="2552"/>
        <item m="1" x="2553"/>
        <item m="1" x="2557"/>
        <item m="1" x="2560"/>
        <item m="1" x="7679"/>
        <item x="573"/>
        <item m="1" x="2315"/>
        <item m="1" x="2320"/>
        <item m="1" x="2324"/>
        <item m="1" x="2331"/>
        <item x="571"/>
        <item m="1" x="3998"/>
        <item m="1" x="4000"/>
        <item m="1" x="4003"/>
        <item m="1" x="7292"/>
        <item x="572"/>
        <item m="1" x="2572"/>
        <item m="1" x="7724"/>
        <item x="587"/>
        <item x="576"/>
        <item x="588"/>
        <item x="586"/>
        <item x="589"/>
        <item x="591"/>
        <item x="593"/>
        <item x="592"/>
        <item x="590"/>
        <item x="575"/>
        <item m="1" x="7642"/>
        <item m="1" x="7649"/>
        <item m="1" x="7656"/>
        <item x="582"/>
        <item x="583"/>
        <item x="577"/>
        <item x="597"/>
        <item x="579"/>
        <item x="585"/>
        <item x="600"/>
        <item x="580"/>
        <item x="578"/>
        <item x="581"/>
        <item x="584"/>
        <item x="618"/>
        <item x="596"/>
        <item x="595"/>
        <item x="594"/>
        <item x="603"/>
        <item x="602"/>
        <item x="601"/>
        <item x="599"/>
        <item m="1" x="7989"/>
        <item x="619"/>
        <item m="1" x="6718"/>
        <item m="1" x="6719"/>
        <item x="604"/>
        <item x="574"/>
        <item x="605"/>
        <item x="607"/>
        <item x="606"/>
        <item x="611"/>
        <item x="609"/>
        <item x="608"/>
        <item x="614"/>
        <item x="613"/>
        <item x="612"/>
        <item x="616"/>
        <item x="615"/>
        <item x="617"/>
        <item x="610"/>
        <item x="598"/>
        <item m="1" x="3706"/>
        <item m="1" x="3708"/>
        <item m="1" x="2738"/>
        <item m="1" x="2743"/>
        <item m="1" x="7505"/>
        <item m="1" x="7510"/>
        <item m="1" x="7644"/>
        <item x="621"/>
        <item x="634"/>
        <item x="644"/>
        <item x="622"/>
        <item x="635"/>
        <item x="645"/>
        <item x="623"/>
        <item x="636"/>
        <item x="646"/>
        <item x="624"/>
        <item x="647"/>
        <item x="625"/>
        <item x="637"/>
        <item x="648"/>
        <item x="626"/>
        <item x="649"/>
        <item x="638"/>
        <item x="627"/>
        <item x="650"/>
        <item x="628"/>
        <item x="651"/>
        <item x="620"/>
        <item x="633"/>
        <item x="643"/>
        <item x="656"/>
        <item x="639"/>
        <item x="640"/>
        <item x="629"/>
        <item x="652"/>
        <item x="630"/>
        <item x="641"/>
        <item x="653"/>
        <item x="631"/>
        <item x="654"/>
        <item x="632"/>
        <item x="655"/>
        <item x="657"/>
        <item m="1" x="2827"/>
        <item m="1" x="4981"/>
        <item x="642"/>
        <item m="1" x="5517"/>
        <item m="1" x="5521"/>
        <item x="676"/>
        <item m="1" x="5142"/>
        <item x="658"/>
        <item x="659"/>
        <item x="660"/>
        <item x="661"/>
        <item m="1" x="4208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m="1" x="5226"/>
        <item m="1" x="5230"/>
        <item m="1" x="3490"/>
        <item m="1" x="7073"/>
        <item x="662"/>
        <item x="675"/>
        <item m="1" x="4425"/>
        <item m="1" x="4428"/>
        <item m="1" x="4434"/>
        <item m="1" x="4446"/>
        <item m="1" x="4450"/>
        <item m="1" x="4453"/>
        <item m="1" x="5990"/>
        <item m="1" x="5993"/>
        <item m="1" x="5995"/>
        <item m="1" x="5996"/>
        <item x="691"/>
        <item x="693"/>
        <item x="697"/>
        <item x="687"/>
        <item m="1" x="3565"/>
        <item m="1" x="3567"/>
        <item x="678"/>
        <item x="679"/>
        <item x="685"/>
        <item x="689"/>
        <item x="694"/>
        <item x="695"/>
        <item x="674"/>
        <item x="677"/>
        <item m="1" x="5623"/>
        <item x="690"/>
        <item x="696"/>
        <item m="1" x="7987"/>
        <item m="1" x="7454"/>
        <item m="1" x="6057"/>
        <item m="1" x="6060"/>
        <item m="1" x="6064"/>
        <item x="684"/>
        <item m="1" x="3502"/>
        <item x="681"/>
        <item x="811"/>
        <item x="828"/>
        <item x="841"/>
        <item x="854"/>
        <item x="865"/>
        <item m="1" x="3022"/>
        <item m="1" x="3027"/>
        <item m="1" x="3031"/>
        <item m="1" x="3033"/>
        <item m="1" x="3035"/>
        <item x="680"/>
        <item m="1" x="3078"/>
        <item m="1" x="2768"/>
        <item m="1" x="2771"/>
        <item x="692"/>
        <item x="698"/>
        <item x="702"/>
        <item m="1" x="7221"/>
        <item m="1" x="4407"/>
        <item x="682"/>
        <item x="686"/>
        <item x="683"/>
        <item m="1" x="6987"/>
        <item m="1" x="6991"/>
        <item m="1" x="6993"/>
        <item m="1" x="6997"/>
        <item x="813"/>
        <item m="1" x="7529"/>
        <item m="1" x="7533"/>
        <item m="1" x="7537"/>
        <item m="1" x="7541"/>
        <item m="1" x="5485"/>
        <item m="1" x="4108"/>
        <item m="1" x="4114"/>
        <item m="1" x="4119"/>
        <item x="688"/>
        <item m="1" x="2724"/>
        <item m="1" x="2728"/>
        <item m="1" x="2731"/>
        <item m="1" x="2735"/>
        <item m="1" x="6642"/>
        <item m="1" x="6644"/>
        <item m="1" x="6648"/>
        <item m="1" x="6652"/>
        <item m="1" x="5295"/>
        <item m="1" x="5297"/>
        <item m="1" x="5298"/>
        <item m="1" x="4856"/>
        <item m="1" x="7390"/>
        <item m="1" x="7448"/>
        <item m="1" x="7455"/>
        <item x="797"/>
        <item x="808"/>
        <item m="1" x="3186"/>
        <item m="1" x="3187"/>
        <item m="1" x="4396"/>
        <item m="1" x="4225"/>
        <item m="1" x="6979"/>
        <item m="1" x="6982"/>
        <item m="1" x="3445"/>
        <item m="1" x="3449"/>
        <item m="1" x="3451"/>
        <item m="1" x="2763"/>
        <item m="1" x="2765"/>
        <item x="798"/>
        <item x="809"/>
        <item x="824"/>
        <item x="836"/>
        <item m="1" x="3303"/>
        <item m="1" x="6769"/>
        <item m="1" x="6774"/>
        <item m="1" x="6778"/>
        <item x="704"/>
        <item x="710"/>
        <item m="1" x="2304"/>
        <item m="1" x="2306"/>
        <item m="1" x="2308"/>
        <item m="1" x="2313"/>
        <item x="823"/>
        <item x="838"/>
        <item m="1" x="6741"/>
        <item m="1" x="2375"/>
        <item x="699"/>
        <item x="701"/>
        <item x="703"/>
        <item x="713"/>
        <item x="799"/>
        <item x="810"/>
        <item x="827"/>
        <item x="840"/>
        <item x="853"/>
        <item x="864"/>
        <item m="1" x="4841"/>
        <item m="1" x="4303"/>
        <item m="1" x="4305"/>
        <item x="719"/>
        <item x="705"/>
        <item m="1" x="4913"/>
        <item m="1" x="4914"/>
        <item m="1" x="4564"/>
        <item x="821"/>
        <item x="837"/>
        <item x="852"/>
        <item x="862"/>
        <item x="871"/>
        <item x="875"/>
        <item x="708"/>
        <item x="720"/>
        <item m="1" x="7031"/>
        <item m="1" x="7033"/>
        <item m="1" x="7037"/>
        <item x="715"/>
        <item x="700"/>
        <item x="706"/>
        <item m="1" x="7617"/>
        <item m="1" x="7620"/>
        <item m="1" x="7626"/>
        <item x="709"/>
        <item x="718"/>
        <item x="727"/>
        <item x="717"/>
        <item x="712"/>
        <item x="722"/>
        <item m="1" x="6659"/>
        <item m="1" x="7007"/>
        <item m="1" x="5823"/>
        <item m="1" x="2358"/>
        <item m="1" x="2364"/>
        <item x="721"/>
        <item x="728"/>
        <item x="735"/>
        <item m="1" x="2424"/>
        <item m="1" x="5415"/>
        <item m="1" x="5418"/>
        <item m="1" x="4915"/>
        <item m="1" x="6611"/>
        <item m="1" x="5918"/>
        <item m="1" x="5920"/>
        <item m="1" x="5923"/>
        <item m="1" x="4665"/>
        <item x="707"/>
        <item x="716"/>
        <item x="724"/>
        <item x="729"/>
        <item x="714"/>
        <item x="723"/>
        <item x="731"/>
        <item x="741"/>
        <item m="1" x="7726"/>
        <item x="818"/>
        <item x="832"/>
        <item x="850"/>
        <item x="857"/>
        <item x="868"/>
        <item m="1" x="3669"/>
        <item m="1" x="3673"/>
        <item m="1" x="3748"/>
        <item x="725"/>
        <item x="732"/>
        <item x="743"/>
        <item m="1" x="3478"/>
        <item m="1" x="6615"/>
        <item m="1" x="5975"/>
        <item m="1" x="5982"/>
        <item x="733"/>
        <item m="1" x="4365"/>
        <item m="1" x="4368"/>
        <item m="1" x="4372"/>
        <item m="1" x="4376"/>
        <item m="1" x="4480"/>
        <item m="1" x="5750"/>
        <item m="1" x="7062"/>
        <item m="1" x="2772"/>
        <item m="1" x="2669"/>
        <item m="1" x="4307"/>
        <item m="1" x="4013"/>
        <item m="1" x="4016"/>
        <item x="872"/>
        <item x="876"/>
        <item x="877"/>
        <item x="878"/>
        <item x="880"/>
        <item x="726"/>
        <item x="734"/>
        <item x="744"/>
        <item x="751"/>
        <item x="737"/>
        <item m="1" x="3012"/>
        <item m="1" x="3014"/>
        <item m="1" x="3017"/>
        <item m="1" x="5884"/>
        <item m="1" x="5891"/>
        <item m="1" x="3480"/>
        <item m="1" x="2657"/>
        <item m="1" x="2414"/>
        <item m="1" x="2366"/>
        <item m="1" x="6389"/>
        <item m="1" x="6394"/>
        <item x="742"/>
        <item x="730"/>
        <item x="736"/>
        <item x="746"/>
        <item x="754"/>
        <item m="1" x="3661"/>
        <item m="1" x="3663"/>
        <item m="1" x="2215"/>
        <item x="738"/>
        <item x="750"/>
        <item x="745"/>
        <item m="1" x="3943"/>
        <item m="1" x="3947"/>
        <item m="1" x="3949"/>
        <item m="1" x="3650"/>
        <item m="1" x="3653"/>
        <item m="1" x="2213"/>
        <item x="807"/>
        <item x="819"/>
        <item x="834"/>
        <item x="848"/>
        <item x="861"/>
        <item m="1" x="7706"/>
        <item m="1" x="3517"/>
        <item m="1" x="3521"/>
        <item m="1" x="2708"/>
        <item m="1" x="7120"/>
        <item m="1" x="7122"/>
        <item m="1" x="7124"/>
        <item m="1" x="3454"/>
        <item x="739"/>
        <item x="749"/>
        <item m="1" x="6119"/>
        <item m="1" x="7402"/>
        <item m="1" x="4944"/>
        <item m="1" x="4946"/>
        <item m="1" x="4949"/>
        <item m="1" x="5285"/>
        <item x="756"/>
        <item x="759"/>
        <item m="1" x="5155"/>
        <item m="1" x="5159"/>
        <item m="1" x="5166"/>
        <item m="1" x="3674"/>
        <item m="1" x="2457"/>
        <item m="1" x="2463"/>
        <item m="1" x="7605"/>
        <item x="753"/>
        <item m="1" x="7913"/>
        <item m="1" x="3188"/>
        <item m="1" x="6661"/>
        <item m="1" x="5339"/>
        <item m="1" x="4487"/>
        <item m="1" x="6112"/>
        <item m="1" x="4363"/>
        <item m="1" x="2712"/>
        <item m="1" x="2721"/>
        <item m="1" x="2725"/>
        <item m="1" x="6122"/>
        <item m="1" x="7516"/>
        <item m="1" x="7520"/>
        <item m="1" x="7525"/>
        <item m="1" x="5208"/>
        <item m="1" x="5211"/>
        <item m="1" x="5213"/>
        <item m="1" x="5216"/>
        <item m="1" x="6295"/>
        <item x="757"/>
        <item x="752"/>
        <item x="758"/>
        <item x="763"/>
        <item x="762"/>
        <item m="1" x="2329"/>
        <item m="1" x="7554"/>
        <item m="1" x="7558"/>
        <item m="1" x="7194"/>
        <item m="1" x="2836"/>
        <item m="1" x="2839"/>
        <item m="1" x="2842"/>
        <item m="1" x="5084"/>
        <item m="1" x="5886"/>
        <item x="765"/>
        <item x="755"/>
        <item m="1" x="3239"/>
        <item m="1" x="3241"/>
        <item m="1" x="6181"/>
        <item m="1" x="6183"/>
        <item m="1" x="6185"/>
        <item m="1" x="6187"/>
        <item x="766"/>
        <item m="1" x="4018"/>
        <item x="767"/>
        <item m="1" x="2253"/>
        <item m="1" x="6856"/>
        <item m="1" x="2689"/>
        <item x="804"/>
        <item x="816"/>
        <item x="833"/>
        <item x="847"/>
        <item x="859"/>
        <item m="1" x="6635"/>
        <item m="1" x="4998"/>
        <item m="1" x="7952"/>
        <item m="1" x="7953"/>
        <item m="1" x="7957"/>
        <item m="1" x="7959"/>
        <item x="747"/>
        <item x="764"/>
        <item m="1" x="4442"/>
        <item m="1" x="3654"/>
        <item m="1" x="3662"/>
        <item m="1" x="3665"/>
        <item x="760"/>
        <item x="772"/>
        <item x="770"/>
        <item x="769"/>
        <item m="1" x="7266"/>
        <item m="1" x="3175"/>
        <item m="1" x="3178"/>
        <item m="1" x="3182"/>
        <item m="1" x="7683"/>
        <item m="1" x="7686"/>
        <item m="1" x="2665"/>
        <item m="1" x="2670"/>
        <item m="1" x="2374"/>
        <item m="1" x="7389"/>
        <item m="1" x="5827"/>
        <item m="1" x="5828"/>
        <item m="1" x="5833"/>
        <item m="1" x="5836"/>
        <item x="761"/>
        <item m="1" x="5260"/>
        <item m="1" x="5263"/>
        <item m="1" x="3512"/>
        <item m="1" x="3514"/>
        <item m="1" x="3518"/>
        <item m="1" x="3522"/>
        <item m="1" x="3266"/>
        <item x="776"/>
        <item m="1" x="4406"/>
        <item x="777"/>
        <item m="1" x="4188"/>
        <item m="1" x="4190"/>
        <item m="1" x="4193"/>
        <item m="1" x="3594"/>
        <item m="1" x="4540"/>
        <item m="1" x="4045"/>
        <item x="740"/>
        <item m="1" x="3486"/>
        <item m="1" x="3491"/>
        <item m="1" x="3493"/>
        <item m="1" x="3494"/>
        <item m="1" x="3496"/>
        <item m="1" x="5686"/>
        <item m="1" x="5690"/>
        <item m="1" x="5694"/>
        <item m="1" x="5696"/>
        <item m="1" x="6083"/>
        <item m="1" x="6087"/>
        <item m="1" x="6090"/>
        <item m="1" x="4476"/>
        <item m="1" x="5401"/>
        <item m="1" x="5404"/>
        <item m="1" x="5409"/>
        <item m="1" x="5413"/>
        <item m="1" x="5487"/>
        <item x="748"/>
        <item x="774"/>
        <item m="1" x="5552"/>
        <item m="1" x="5930"/>
        <item m="1" x="5932"/>
        <item m="1" x="5933"/>
        <item m="1" x="5936"/>
        <item m="1" x="5938"/>
        <item x="768"/>
        <item x="773"/>
        <item m="1" x="6229"/>
        <item m="1" x="7859"/>
        <item m="1" x="7862"/>
        <item m="1" x="7864"/>
        <item m="1" x="7865"/>
        <item m="1" x="2667"/>
        <item x="775"/>
        <item x="786"/>
        <item m="1" x="6103"/>
        <item m="1" x="5154"/>
        <item m="1" x="5158"/>
        <item m="1" x="5162"/>
        <item m="1" x="6901"/>
        <item m="1" x="6905"/>
        <item m="1" x="6748"/>
        <item m="1" x="6435"/>
        <item m="1" x="6041"/>
        <item x="778"/>
        <item x="779"/>
        <item x="781"/>
        <item m="1" x="6581"/>
        <item x="780"/>
        <item m="1" x="6091"/>
        <item m="1" x="6094"/>
        <item m="1" x="6096"/>
        <item m="1" x="6098"/>
        <item x="771"/>
        <item x="782"/>
        <item x="796"/>
        <item x="842"/>
        <item x="783"/>
        <item m="1" x="6486"/>
        <item m="1" x="6490"/>
        <item m="1" x="6494"/>
        <item m="1" x="6500"/>
        <item m="1" x="6502"/>
        <item x="793"/>
        <item x="800"/>
        <item x="815"/>
        <item x="825"/>
        <item x="843"/>
        <item m="1" x="4876"/>
        <item m="1" x="5368"/>
        <item m="1" x="4216"/>
        <item m="1" x="4220"/>
        <item m="1" x="4226"/>
        <item m="1" x="4227"/>
        <item m="1" x="4229"/>
        <item x="789"/>
        <item x="794"/>
        <item m="1" x="2537"/>
        <item m="1" x="2541"/>
        <item m="1" x="2543"/>
        <item m="1" x="2546"/>
        <item m="1" x="2551"/>
        <item m="1" x="3058"/>
        <item m="1" x="3158"/>
        <item m="1" x="3160"/>
        <item m="1" x="4766"/>
        <item m="1" x="4774"/>
        <item m="1" x="5707"/>
        <item m="1" x="5708"/>
        <item m="1" x="5713"/>
        <item m="1" x="5717"/>
        <item m="1" x="4259"/>
        <item m="1" x="7762"/>
        <item m="1" x="7830"/>
        <item m="1" x="7832"/>
        <item m="1" x="7836"/>
        <item m="1" x="7838"/>
        <item m="1" x="7842"/>
        <item m="1" x="6580"/>
        <item m="1" x="6583"/>
        <item x="784"/>
        <item x="788"/>
        <item x="791"/>
        <item x="803"/>
        <item m="1" x="7735"/>
        <item m="1" x="7738"/>
        <item m="1" x="7740"/>
        <item m="1" x="3910"/>
        <item m="1" x="3912"/>
        <item m="1" x="3915"/>
        <item m="1" x="4787"/>
        <item m="1" x="5862"/>
        <item m="1" x="5864"/>
        <item m="1" x="5865"/>
        <item m="1" x="3744"/>
        <item m="1" x="3746"/>
        <item m="1" x="3749"/>
        <item m="1" x="5908"/>
        <item m="1" x="3226"/>
        <item m="1" x="3229"/>
        <item m="1" x="3233"/>
        <item m="1" x="3236"/>
        <item x="792"/>
        <item m="1" x="7444"/>
        <item m="1" x="7449"/>
        <item m="1" x="7456"/>
        <item x="830"/>
        <item x="879"/>
        <item m="1" x="6197"/>
        <item m="1" x="7457"/>
        <item m="1" x="4975"/>
        <item x="787"/>
        <item x="801"/>
        <item x="785"/>
        <item x="790"/>
        <item x="795"/>
        <item x="806"/>
        <item m="1" x="5631"/>
        <item m="1" x="5635"/>
        <item m="1" x="7356"/>
        <item m="1" x="7034"/>
        <item m="1" x="3972"/>
        <item x="802"/>
        <item x="817"/>
        <item x="829"/>
        <item x="844"/>
        <item m="1" x="2527"/>
        <item m="1" x="2530"/>
        <item m="1" x="2532"/>
        <item m="1" x="6875"/>
        <item m="1" x="5604"/>
        <item m="1" x="5609"/>
        <item m="1" x="5613"/>
        <item m="1" x="5617"/>
        <item m="1" x="5257"/>
        <item m="1" x="5261"/>
        <item m="1" x="5264"/>
        <item m="1" x="5269"/>
        <item x="814"/>
        <item m="1" x="2355"/>
        <item m="1" x="2361"/>
        <item m="1" x="3928"/>
        <item x="805"/>
        <item x="822"/>
        <item x="835"/>
        <item m="1" x="4595"/>
        <item m="1" x="4597"/>
        <item m="1" x="4599"/>
        <item x="812"/>
        <item x="826"/>
        <item m="1" x="5829"/>
        <item m="1" x="5834"/>
        <item m="1" x="5837"/>
        <item m="1" x="5842"/>
        <item x="820"/>
        <item x="851"/>
        <item x="845"/>
        <item x="858"/>
        <item x="869"/>
        <item x="846"/>
        <item x="860"/>
        <item x="870"/>
        <item m="1" x="3609"/>
        <item m="1" x="6556"/>
        <item x="839"/>
        <item x="863"/>
        <item x="855"/>
        <item x="866"/>
        <item x="873"/>
        <item x="831"/>
        <item x="849"/>
        <item x="856"/>
        <item x="867"/>
        <item x="874"/>
        <item m="1" x="4784"/>
        <item m="1" x="3716"/>
        <item m="1" x="4543"/>
        <item m="1" x="5336"/>
        <item m="1" x="5338"/>
        <item m="1" x="5341"/>
        <item m="1" x="5344"/>
        <item m="1" x="3367"/>
        <item m="1" x="4152"/>
        <item m="1" x="3608"/>
        <item m="1" x="3847"/>
        <item m="1" x="6342"/>
        <item m="1" x="7480"/>
        <item m="1" x="7923"/>
        <item m="1" x="5972"/>
        <item x="886"/>
        <item x="883"/>
        <item m="1" x="5754"/>
        <item x="884"/>
        <item x="881"/>
        <item x="887"/>
        <item x="892"/>
        <item m="1" x="2349"/>
        <item x="889"/>
        <item x="885"/>
        <item x="893"/>
        <item m="1" x="3371"/>
        <item m="1" x="3372"/>
        <item m="1" x="3373"/>
        <item x="882"/>
        <item x="890"/>
        <item m="1" x="7329"/>
        <item m="1" x="2437"/>
        <item x="900"/>
        <item m="1" x="5044"/>
        <item x="891"/>
        <item x="901"/>
        <item m="1" x="5036"/>
        <item x="894"/>
        <item x="895"/>
        <item m="1" x="2295"/>
        <item m="1" x="3028"/>
        <item m="1" x="3094"/>
        <item m="1" x="3917"/>
        <item m="1" x="3488"/>
        <item x="888"/>
        <item x="899"/>
        <item x="906"/>
        <item m="1" x="4970"/>
        <item m="1" x="4973"/>
        <item m="1" x="4976"/>
        <item m="1" x="3528"/>
        <item m="1" x="3534"/>
        <item m="1" x="3539"/>
        <item m="1" x="2475"/>
        <item m="1" x="2479"/>
        <item m="1" x="2398"/>
        <item x="902"/>
        <item x="896"/>
        <item x="907"/>
        <item x="897"/>
        <item x="908"/>
        <item m="1" x="7881"/>
        <item m="1" x="7884"/>
        <item m="1" x="7888"/>
        <item m="1" x="3954"/>
        <item x="904"/>
        <item x="920"/>
        <item x="909"/>
        <item m="1" x="3325"/>
        <item m="1" x="3328"/>
        <item m="1" x="3332"/>
        <item x="903"/>
        <item x="911"/>
        <item x="914"/>
        <item m="1" x="4339"/>
        <item m="1" x="4344"/>
        <item m="1" x="7380"/>
        <item m="1" x="7384"/>
        <item m="1" x="6783"/>
        <item m="1" x="6785"/>
        <item m="1" x="6786"/>
        <item m="1" x="6063"/>
        <item m="1" x="6067"/>
        <item m="1" x="5711"/>
        <item m="1" x="5715"/>
        <item m="1" x="5721"/>
        <item m="1" x="6296"/>
        <item x="919"/>
        <item x="934"/>
        <item m="1" x="3166"/>
        <item m="1" x="6512"/>
        <item m="1" x="6515"/>
        <item m="1" x="6519"/>
        <item m="1" x="6524"/>
        <item m="1" x="6528"/>
        <item x="898"/>
        <item x="910"/>
        <item m="1" x="5628"/>
        <item m="1" x="5630"/>
        <item m="1" x="7928"/>
        <item m="1" x="6256"/>
        <item m="1" x="6259"/>
        <item x="912"/>
        <item x="905"/>
        <item x="913"/>
        <item x="915"/>
        <item m="1" x="3800"/>
        <item m="1" x="5575"/>
        <item m="1" x="2690"/>
        <item m="1" x="2694"/>
        <item m="1" x="2696"/>
        <item x="926"/>
        <item m="1" x="7850"/>
        <item m="1" x="3638"/>
        <item m="1" x="4022"/>
        <item m="1" x="2849"/>
        <item m="1" x="7990"/>
        <item m="1" x="3597"/>
        <item x="916"/>
        <item m="1" x="4990"/>
        <item m="1" x="3854"/>
        <item m="1" x="3857"/>
        <item m="1" x="3329"/>
        <item m="1" x="3333"/>
        <item m="1" x="3336"/>
        <item m="1" x="5835"/>
        <item m="1" x="6045"/>
        <item m="1" x="6482"/>
        <item x="923"/>
        <item m="1" x="3612"/>
        <item m="1" x="4031"/>
        <item m="1" x="4751"/>
        <item m="1" x="4752"/>
        <item m="1" x="4697"/>
        <item m="1" x="3198"/>
        <item m="1" x="2614"/>
        <item m="1" x="4310"/>
        <item m="1" x="6567"/>
        <item m="1" x="5909"/>
        <item m="1" x="6890"/>
        <item m="1" x="7935"/>
        <item m="1" x="5340"/>
        <item m="1" x="5040"/>
        <item m="1" x="4195"/>
        <item m="1" x="6413"/>
        <item m="1" x="3048"/>
        <item m="1" x="7942"/>
        <item x="927"/>
        <item m="1" x="7637"/>
        <item m="1" x="6371"/>
        <item x="931"/>
        <item m="1" x="2239"/>
        <item m="1" x="2243"/>
        <item m="1" x="2245"/>
        <item m="1" x="7278"/>
        <item m="1" x="7279"/>
        <item m="1" x="3803"/>
        <item m="1" x="3379"/>
        <item m="1" x="4854"/>
        <item m="1" x="5240"/>
        <item m="1" x="6767"/>
        <item m="1" x="2930"/>
        <item m="1" x="2627"/>
        <item m="1" x="7718"/>
        <item m="1" x="7453"/>
        <item m="1" x="5867"/>
        <item m="1" x="5871"/>
        <item m="1" x="3392"/>
        <item m="1" x="3251"/>
        <item m="1" x="7267"/>
        <item m="1" x="6922"/>
        <item m="1" x="6656"/>
        <item m="1" x="7423"/>
        <item m="1" x="7426"/>
        <item m="1" x="7428"/>
        <item m="1" x="7431"/>
        <item m="1" x="7434"/>
        <item m="1" x="7437"/>
        <item m="1" x="7441"/>
        <item m="1" x="7445"/>
        <item m="1" x="7450"/>
        <item m="1" x="2744"/>
        <item m="1" x="5826"/>
        <item m="1" x="6916"/>
        <item m="1" x="2577"/>
        <item x="940"/>
        <item m="1" x="6951"/>
        <item m="1" x="4793"/>
        <item m="1" x="4796"/>
        <item x="921"/>
        <item x="933"/>
        <item x="944"/>
        <item m="1" x="4244"/>
        <item x="930"/>
        <item m="1" x="7135"/>
        <item m="1" x="7357"/>
        <item m="1" x="7362"/>
        <item m="1" x="7366"/>
        <item m="1" x="7036"/>
        <item m="1" x="7040"/>
        <item m="1" x="5857"/>
        <item m="1" x="7539"/>
        <item m="1" x="7274"/>
        <item m="1" x="7275"/>
        <item m="1" x="7277"/>
        <item m="1" x="2902"/>
        <item m="1" x="2376"/>
        <item x="943"/>
        <item m="1" x="6484"/>
        <item x="946"/>
        <item x="924"/>
        <item x="935"/>
        <item m="1" x="6547"/>
        <item m="1" x="3500"/>
        <item m="1" x="4083"/>
        <item m="1" x="4087"/>
        <item m="1" x="4090"/>
        <item m="1" x="5992"/>
        <item m="1" x="5994"/>
        <item m="1" x="3155"/>
        <item m="1" x="5622"/>
        <item m="1" x="5104"/>
        <item m="1" x="7820"/>
        <item m="1" x="7822"/>
        <item m="1" x="4646"/>
        <item m="1" x="7295"/>
        <item m="1" x="2350"/>
        <item m="1" x="2415"/>
        <item m="1" x="2834"/>
        <item x="922"/>
        <item x="936"/>
        <item x="945"/>
        <item m="1" x="5931"/>
        <item m="1" x="4955"/>
        <item m="1" x="3252"/>
        <item m="1" x="6477"/>
        <item m="1" x="2658"/>
        <item m="1" x="3632"/>
        <item m="1" x="2701"/>
        <item m="1" x="7000"/>
        <item m="1" x="7592"/>
        <item m="1" x="5305"/>
        <item m="1" x="5312"/>
        <item m="1" x="4700"/>
        <item m="1" x="7293"/>
        <item m="1" x="6693"/>
        <item m="1" x="6375"/>
        <item m="1" x="5722"/>
        <item x="937"/>
        <item m="1" x="3610"/>
        <item m="1" x="3613"/>
        <item x="925"/>
        <item x="938"/>
        <item x="948"/>
        <item x="932"/>
        <item x="941"/>
        <item x="947"/>
        <item m="1" x="3737"/>
        <item m="1" x="3738"/>
        <item m="1" x="3741"/>
        <item m="1" x="3431"/>
        <item m="1" x="3434"/>
        <item m="1" x="3437"/>
        <item m="1" x="3440"/>
        <item m="1" x="3441"/>
        <item m="1" x="7685"/>
        <item m="1" x="7692"/>
        <item m="1" x="4231"/>
        <item m="1" x="7803"/>
        <item m="1" x="7809"/>
        <item m="1" x="3090"/>
        <item m="1" x="3197"/>
        <item m="1" x="5134"/>
        <item m="1" x="7103"/>
        <item m="1" x="7106"/>
        <item m="1" x="7465"/>
        <item m="1" x="7469"/>
        <item m="1" x="7136"/>
        <item m="1" x="7138"/>
        <item m="1" x="7954"/>
        <item m="1" x="2631"/>
        <item m="1" x="2634"/>
        <item m="1" x="7282"/>
        <item m="1" x="6943"/>
        <item m="1" x="6365"/>
        <item m="1" x="6048"/>
        <item m="1" x="3324"/>
        <item m="1" x="4529"/>
        <item m="1" x="4534"/>
        <item m="1" x="3131"/>
        <item m="1" x="3307"/>
        <item m="1" x="3310"/>
        <item m="1" x="3314"/>
        <item m="1" x="2870"/>
        <item m="1" x="2874"/>
        <item m="1" x="2877"/>
        <item m="1" x="7967"/>
        <item m="1" x="3018"/>
        <item m="1" x="5960"/>
        <item m="1" x="6421"/>
        <item m="1" x="5123"/>
        <item m="1" x="3072"/>
        <item m="1" x="7891"/>
        <item m="1" x="7894"/>
        <item m="1" x="4242"/>
        <item m="1" x="7808"/>
        <item m="1" x="3984"/>
        <item x="917"/>
        <item x="928"/>
        <item x="939"/>
        <item m="1" x="6554"/>
        <item x="918"/>
        <item x="929"/>
        <item x="942"/>
        <item m="1" x="7920"/>
        <item m="1" x="7348"/>
        <item m="1" x="2454"/>
        <item m="1" x="3656"/>
        <item m="1" x="2890"/>
        <item m="1" x="2600"/>
        <item m="1" x="2602"/>
        <item m="1" x="6248"/>
        <item m="1" x="5661"/>
        <item m="1" x="5666"/>
        <item m="1" x="7314"/>
        <item m="1" x="4138"/>
        <item m="1" x="3151"/>
        <item m="1" x="3153"/>
        <item m="1" x="3742"/>
        <item m="1" x="2575"/>
        <item m="1" x="4123"/>
        <item m="1" x="7498"/>
        <item m="1" x="4945"/>
        <item m="1" x="3421"/>
        <item m="1" x="2882"/>
        <item m="1" x="2887"/>
        <item m="1" x="5877"/>
        <item m="1" x="3825"/>
        <item m="1" x="5125"/>
        <item m="1" x="4513"/>
        <item m="1" x="4847"/>
        <item m="1" x="4851"/>
        <item m="1" x="7337"/>
        <item m="1" x="7341"/>
        <item m="1" x="5429"/>
        <item m="1" x="7831"/>
        <item m="1" x="3380"/>
        <item m="1" x="3382"/>
        <item m="1" x="7369"/>
        <item m="1" x="5275"/>
        <item m="1" x="7350"/>
        <item m="1" x="7352"/>
        <item m="1" x="2893"/>
        <item m="1" x="4938"/>
        <item m="1" x="2347"/>
        <item m="1" x="7229"/>
        <item m="1" x="7634"/>
        <item m="1" x="6425"/>
        <item m="1" x="3248"/>
        <item m="1" x="2558"/>
        <item m="1" x="2915"/>
        <item m="1" x="4678"/>
        <item m="1" x="5249"/>
        <item m="1" x="4391"/>
        <item m="1" x="3205"/>
        <item m="1" x="3209"/>
        <item m="1" x="3215"/>
        <item m="1" x="2403"/>
        <item m="1" x="2408"/>
        <item m="1" x="5345"/>
        <item m="1" x="4951"/>
        <item m="1" x="6931"/>
        <item m="1" x="2540"/>
        <item m="1" x="2220"/>
        <item m="1" x="4741"/>
        <item m="1" x="6114"/>
        <item m="1" x="6561"/>
        <item m="1" x="5163"/>
        <item m="1" x="5168"/>
        <item m="1" x="5171"/>
        <item m="1" x="7134"/>
        <item m="1" x="7924"/>
        <item m="1" x="6047"/>
        <item m="1" x="3504"/>
        <item m="1" x="5764"/>
        <item m="1" x="4801"/>
        <item m="1" x="4556"/>
        <item m="1" x="4268"/>
        <item m="1" x="4271"/>
        <item m="1" x="2460"/>
        <item m="1" x="6913"/>
        <item m="1" x="7240"/>
        <item m="1" x="4817"/>
        <item m="1" x="4213"/>
        <item m="1" x="3621"/>
        <item m="1" x="2780"/>
        <item m="1" x="2782"/>
        <item m="1" x="3200"/>
        <item m="1" x="2918"/>
        <item m="1" x="6839"/>
        <item m="1" x="6551"/>
        <item m="1" x="6557"/>
        <item m="1" x="6954"/>
        <item m="1" x="6958"/>
        <item m="1" x="6694"/>
        <item m="1" x="6700"/>
        <item m="1" x="6377"/>
        <item m="1" x="6381"/>
        <item m="1" x="6072"/>
        <item m="1" x="6077"/>
        <item m="1" x="3356"/>
        <item m="1" x="7619"/>
        <item m="1" x="7625"/>
        <item m="1" x="4024"/>
        <item m="1" x="6823"/>
        <item m="1" x="5755"/>
        <item m="1" x="6326"/>
        <item m="1" x="3038"/>
        <item m="1" x="6225"/>
        <item m="1" x="4373"/>
        <item m="1" x="4377"/>
        <item m="1" x="3627"/>
        <item m="1" x="3628"/>
        <item m="1" x="6427"/>
        <item m="1" x="3327"/>
        <item m="1" x="3330"/>
        <item m="1" x="3335"/>
        <item m="1" x="3337"/>
        <item m="1" x="3342"/>
        <item m="1" x="3346"/>
        <item m="1" x="3349"/>
        <item m="1" x="3353"/>
        <item m="1" x="2231"/>
        <item m="1" x="2979"/>
        <item m="1" x="3100"/>
        <item m="1" x="4390"/>
        <item m="1" x="4073"/>
        <item m="1" x="6662"/>
        <item m="1" x="6666"/>
        <item m="1" x="2873"/>
        <item m="1" x="3212"/>
        <item m="1" x="2461"/>
        <item m="1" x="4514"/>
        <item m="1" x="3988"/>
        <item m="1" x="4630"/>
        <item m="1" x="3438"/>
        <item m="1" x="5577"/>
        <item m="1" x="7997"/>
        <item m="1" x="7317"/>
        <item m="1" x="6366"/>
        <item m="1" x="2805"/>
        <item m="1" x="3718"/>
        <item m="1" x="2578"/>
        <item m="1" x="7158"/>
        <item m="1" x="2734"/>
        <item m="1" x="3871"/>
        <item m="1" x="7174"/>
        <item m="1" x="7178"/>
        <item m="1" x="7180"/>
        <item m="1" x="7183"/>
        <item m="1" x="3944"/>
        <item m="1" x="7502"/>
        <item m="1" x="5669"/>
        <item m="1" x="5107"/>
        <item m="1" x="7146"/>
        <item m="1" x="4049"/>
        <item m="1" x="5065"/>
        <item m="1" x="4261"/>
        <item m="1" x="3589"/>
        <item m="1" x="3323"/>
        <item m="1" x="3075"/>
        <item m="1" x="2762"/>
        <item m="1" x="2464"/>
        <item m="1" x="3125"/>
        <item m="1" x="2935"/>
        <item m="1" x="4725"/>
        <item m="1" x="4479"/>
        <item m="1" x="4162"/>
        <item m="1" x="3888"/>
        <item m="1" x="3579"/>
        <item m="1" x="3312"/>
        <item m="1" x="3063"/>
        <item m="1" x="2752"/>
        <item m="1" x="7048"/>
        <item m="1" x="6770"/>
        <item m="1" x="6451"/>
        <item m="1" x="6176"/>
        <item m="1" x="5810"/>
        <item m="1" x="5477"/>
        <item m="1" x="5161"/>
        <item m="1" x="4838"/>
        <item m="1" x="4587"/>
        <item m="1" x="4299"/>
        <item m="1" x="4007"/>
        <item m="1" x="3722"/>
        <item m="1" x="3419"/>
        <item x="17"/>
        <item m="1" x="7599"/>
        <item m="1" x="7259"/>
        <item m="1" x="6917"/>
        <item m="1" x="6649"/>
        <item m="1" x="6337"/>
        <item m="1" x="6006"/>
        <item m="1" x="5676"/>
        <item m="1" x="5333"/>
        <item m="1" x="5031"/>
        <item m="1" x="4733"/>
        <item m="1" x="5597"/>
        <item m="1" x="5255"/>
        <item m="1" x="4952"/>
        <item m="1" x="7572"/>
        <item m="1" x="5201"/>
        <item m="1" x="4897"/>
        <item m="1" x="5937"/>
        <item m="1" x="5272"/>
        <item m="1" x="4967"/>
        <item m="1" x="4685"/>
        <item m="1" x="7022"/>
        <item m="1" x="2687"/>
        <item m="1" x="2391"/>
        <item m="1" x="4729"/>
        <item m="1" x="7741"/>
        <item m="1" x="7381"/>
        <item m="1" x="7056"/>
        <item m="1" x="4137"/>
        <item m="1" x="3846"/>
        <item m="1" x="3551"/>
        <item m="1" x="3296"/>
        <item m="1" x="3036"/>
        <item m="1" x="2722"/>
        <item m="1" x="2428"/>
        <item m="1" x="5370"/>
        <item m="1" x="5068"/>
        <item m="1" x="4753"/>
        <item m="1" x="4506"/>
        <item m="1" x="4218"/>
        <item m="1" x="3916"/>
        <item m="1" x="3634"/>
        <item m="1" x="3362"/>
        <item m="1" x="3097"/>
        <item m="1" x="2795"/>
        <item m="1" x="6754"/>
        <item m="1" x="6433"/>
        <item m="1" x="6153"/>
        <item m="1" x="5787"/>
        <item m="1" x="5458"/>
        <item m="1" x="5144"/>
        <item m="1" x="4820"/>
        <item m="1" x="4576"/>
        <item m="1" x="4276"/>
        <item m="1" x="3994"/>
        <item m="1" x="7785"/>
        <item m="1" x="7443"/>
        <item m="1" x="7123"/>
        <item m="1" x="6824"/>
        <item m="1" x="6521"/>
        <item m="1" x="6216"/>
        <item m="1" x="5873"/>
        <item m="1" x="2392"/>
        <item m="1" x="2473"/>
        <item m="1" x="2309"/>
        <item m="1" x="4780"/>
        <item m="1" x="3636"/>
        <item m="1" x="6607"/>
        <item m="1" x="3206"/>
        <item m="1" x="2920"/>
        <item m="1" x="2317"/>
        <item m="1" x="7717"/>
        <item m="1" x="7358"/>
        <item m="1" x="4432"/>
        <item m="1" x="7773"/>
        <item m="1" x="7110"/>
        <item m="1" x="6806"/>
        <item m="1" x="6205"/>
        <item m="1" x="5847"/>
        <item m="1" x="5528"/>
        <item x="3"/>
        <item x="7"/>
        <item x="10"/>
        <item x="12"/>
        <item x="14"/>
        <item x="16"/>
        <item x="19"/>
        <item x="6"/>
        <item x="9"/>
        <item x="5"/>
        <item x="2"/>
        <item x="1"/>
        <item x="4"/>
        <item x="8"/>
        <item x="11"/>
        <item x="13"/>
        <item x="15"/>
        <item x="18"/>
        <item x="20"/>
        <item x="21"/>
        <item x="24"/>
        <item x="25"/>
        <item x="26"/>
        <item x="0"/>
        <item x="36"/>
        <item x="35"/>
        <item x="34"/>
        <item x="33"/>
        <item x="32"/>
        <item x="31"/>
        <item x="30"/>
        <item x="29"/>
        <item x="28"/>
        <item x="27"/>
        <item m="1" x="4811"/>
        <item m="1" x="7922"/>
        <item m="1" x="6092"/>
        <item m="1" x="7025"/>
        <item m="1" x="5860"/>
        <item m="1" x="3077"/>
        <item m="1" x="4097"/>
        <item m="1" x="6363"/>
        <item m="1" x="4536"/>
        <item m="1" x="7155"/>
        <item m="1" x="2866"/>
        <item m="1" x="5311"/>
        <item m="1" x="3139"/>
        <item m="1" x="5612"/>
        <item m="1" x="5858"/>
        <item m="1" x="6609"/>
        <item m="1" x="2319"/>
        <item x="2188"/>
        <item x="949"/>
        <item m="1" x="3435"/>
        <item m="1" x="7193"/>
        <item m="1" x="6335"/>
        <item m="1" x="2608"/>
        <item m="1" x="2293"/>
        <item m="1" x="2921"/>
        <item m="1" x="2843"/>
        <item m="1" x="2785"/>
        <item m="1" x="6430"/>
        <item m="1" x="6822"/>
        <item x="950"/>
        <item m="1" x="2894"/>
        <item m="1" x="2965"/>
        <item m="1" x="7186"/>
        <item m="1" x="2891"/>
        <item m="1" x="6672"/>
        <item m="1" x="2876"/>
        <item m="1" x="4516"/>
        <item m="1" x="6142"/>
        <item m="1" x="5182"/>
        <item m="1" x="4054"/>
        <item m="1" x="5765"/>
        <item m="1" x="7108"/>
        <item m="1" x="7839"/>
        <item m="1" x="4415"/>
        <item m="1" x="4676"/>
        <item x="951"/>
        <item x="952"/>
        <item x="953"/>
        <item x="954"/>
        <item m="1" x="4490"/>
        <item m="1" x="6046"/>
        <item m="1" x="7280"/>
        <item m="1" x="2969"/>
        <item m="1" x="3383"/>
        <item m="1" x="2219"/>
        <item m="1" x="3317"/>
        <item m="1" x="4903"/>
        <item m="1" x="2881"/>
        <item m="1" x="4639"/>
        <item m="1" x="6328"/>
        <item m="1" x="5342"/>
        <item m="1" x="3444"/>
        <item x="955"/>
        <item x="956"/>
        <item m="1" x="7898"/>
        <item m="1" x="7197"/>
        <item m="1" x="6338"/>
        <item m="1" x="5445"/>
        <item m="1" x="5127"/>
        <item m="1" x="4799"/>
        <item m="1" x="4142"/>
        <item m="1" x="6379"/>
        <item m="1" x="3792"/>
        <item m="1" x="2899"/>
        <item m="1" x="6074"/>
        <item m="1" x="4205"/>
        <item m="1" x="5374"/>
        <item m="1" x="2495"/>
        <item m="1" x="5725"/>
        <item m="1" x="3357"/>
        <item x="957"/>
        <item m="1" x="2867"/>
        <item m="1" x="4059"/>
        <item m="1" x="2788"/>
        <item m="1" x="4383"/>
        <item m="1" x="3104"/>
        <item m="1" x="3199"/>
        <item m="1" x="6750"/>
        <item m="1" x="6940"/>
        <item m="1" x="7628"/>
        <item m="1" x="6683"/>
        <item m="1" x="2975"/>
        <item x="958"/>
        <item m="1" x="2895"/>
        <item m="1" x="6675"/>
        <item m="1" x="2879"/>
        <item m="1" x="4519"/>
        <item m="1" x="7699"/>
        <item m="1" x="7927"/>
        <item m="1" x="2484"/>
        <item m="1" x="4551"/>
        <item m="1" x="3948"/>
        <item m="1" x="6578"/>
        <item m="1" x="3807"/>
        <item m="1" x="5050"/>
        <item m="1" x="5071"/>
        <item m="1" x="3258"/>
        <item m="1" x="5743"/>
        <item m="1" x="3319"/>
        <item m="1" x="6049"/>
        <item m="1" x="4906"/>
        <item m="1" x="7233"/>
        <item m="1" x="2886"/>
        <item m="1" x="7283"/>
        <item m="1" x="4641"/>
        <item m="1" x="4272"/>
        <item m="1" x="2446"/>
        <item m="1" x="3385"/>
        <item m="1" x="2823"/>
        <item m="1" x="4098"/>
        <item m="1" x="6706"/>
        <item m="1" x="3247"/>
        <item x="959"/>
        <item x="960"/>
        <item m="1" x="4387"/>
        <item m="1" x="6190"/>
        <item m="1" x="3796"/>
        <item x="961"/>
        <item m="1" x="5716"/>
        <item m="1" x="7201"/>
        <item m="1" x="6339"/>
        <item m="1" x="2845"/>
        <item m="1" x="2582"/>
        <item m="1" x="2791"/>
        <item m="1" x="3202"/>
        <item m="1" x="6434"/>
        <item m="1" x="6826"/>
        <item m="1" x="7743"/>
        <item m="1" x="6687"/>
        <item m="1" x="6137"/>
        <item x="962"/>
        <item m="1" x="7198"/>
        <item m="1" x="2900"/>
        <item m="1" x="6679"/>
        <item m="1" x="2883"/>
        <item m="1" x="2688"/>
        <item m="1" x="2998"/>
        <item m="1" x="6740"/>
        <item m="1" x="7976"/>
        <item m="1" x="6412"/>
        <item m="1" x="5583"/>
        <item m="1" x="2548"/>
        <item m="1" x="2274"/>
        <item m="1" x="5463"/>
        <item m="1" x="3162"/>
        <item m="1" x="5964"/>
        <item m="1" x="5683"/>
        <item m="1" x="4747"/>
        <item m="1" x="2622"/>
        <item x="963"/>
        <item x="964"/>
        <item x="965"/>
        <item x="966"/>
        <item m="1" x="4522"/>
        <item m="1" x="4867"/>
        <item m="1" x="5548"/>
        <item m="1" x="7931"/>
        <item m="1" x="2488"/>
        <item m="1" x="7694"/>
        <item m="1" x="5876"/>
        <item m="1" x="2533"/>
        <item m="1" x="2671"/>
        <item m="1" x="5175"/>
        <item m="1" x="6053"/>
        <item m="1" x="5640"/>
        <item m="1" x="6612"/>
        <item m="1" x="5139"/>
        <item m="1" x="3515"/>
        <item m="1" x="7202"/>
        <item m="1" x="5258"/>
        <item m="1" x="5407"/>
        <item m="1" x="2222"/>
        <item m="1" x="2528"/>
        <item m="1" x="4562"/>
        <item m="1" x="4448"/>
        <item m="1" x="7631"/>
        <item m="1" x="2330"/>
        <item m="1" x="6050"/>
        <item m="1" x="2847"/>
        <item m="1" x="6308"/>
        <item m="1" x="4287"/>
        <item m="1" x="6618"/>
        <item m="1" x="4995"/>
        <item m="1" x="7305"/>
        <item m="1" x="7597"/>
        <item m="1" x="2624"/>
        <item m="1" x="4872"/>
        <item m="1" x="2467"/>
        <item m="1" x="2741"/>
        <item m="1" x="4507"/>
        <item m="1" x="5181"/>
        <item m="1" x="5580"/>
        <item m="1" x="7728"/>
        <item m="1" x="3743"/>
        <item m="1" x="7242"/>
        <item m="1" x="6140"/>
        <item m="1" x="5217"/>
        <item m="1" x="5547"/>
        <item m="1" x="6116"/>
        <item x="967"/>
        <item m="1" x="5113"/>
        <item m="1" x="5916"/>
        <item m="1" x="2985"/>
        <item m="1" x="6621"/>
        <item m="1" x="5020"/>
        <item m="1" x="7269"/>
        <item m="1" x="3023"/>
        <item m="1" x="5072"/>
        <item m="1" x="6723"/>
        <item m="1" x="7745"/>
        <item m="1" x="4744"/>
        <item m="1" x="4275"/>
        <item m="1" x="7645"/>
        <item m="1" x="6988"/>
        <item m="1" x="5746"/>
        <item m="1" x="2287"/>
        <item m="1" x="4802"/>
        <item m="1" x="3540"/>
        <item m="1" x="3797"/>
        <item m="1" x="5075"/>
        <item m="1" x="6261"/>
        <item m="1" x="4559"/>
        <item m="1" x="3858"/>
        <item m="1" x="5966"/>
        <item m="1" x="7300"/>
        <item m="1" x="3584"/>
        <item x="968"/>
        <item m="1" x="7207"/>
        <item m="1" x="2903"/>
        <item m="1" x="2794"/>
        <item m="1" x="6682"/>
        <item m="1" x="2971"/>
        <item m="1" x="4029"/>
        <item m="1" x="4110"/>
        <item m="1" x="3208"/>
        <item m="1" x="6720"/>
        <item m="1" x="4078"/>
        <item m="1" x="3530"/>
        <item m="1" x="7895"/>
        <item m="1" x="4548"/>
        <item m="1" x="5687"/>
        <item m="1" x="5578"/>
        <item m="1" x="3533"/>
        <item m="1" x="4382"/>
        <item m="1" x="2217"/>
        <item m="1" x="4451"/>
        <item m="1" x="5111"/>
        <item m="1" x="6387"/>
        <item m="1" x="2896"/>
        <item m="1" x="6180"/>
        <item m="1" x="4515"/>
        <item m="1" x="7144"/>
        <item m="1" x="7346"/>
        <item m="1" x="4378"/>
        <item m="1" x="3463"/>
        <item m="1" x="6084"/>
        <item m="1" x="2356"/>
        <item m="1" x="4748"/>
        <item m="1" x="2628"/>
        <item m="1" x="3999"/>
        <item m="1" x="4877"/>
        <item m="1" x="7021"/>
        <item m="1" x="3923"/>
        <item m="1" x="3462"/>
        <item m="1" x="5647"/>
        <item m="1" x="2336"/>
        <item m="1" x="4093"/>
        <item m="1" x="7243"/>
        <item m="1" x="3030"/>
        <item m="1" x="6663"/>
        <item m="1" x="5525"/>
        <item m="1" x="7812"/>
        <item m="1" x="7858"/>
        <item m="1" x="4746"/>
        <item m="1" x="2378"/>
        <item m="1" x="2492"/>
        <item m="1" x="6099"/>
        <item x="969"/>
        <item m="1" x="7951"/>
        <item m="1" x="5644"/>
        <item m="1" x="7647"/>
        <item m="1" x="6832"/>
        <item m="1" x="7689"/>
        <item x="970"/>
        <item m="1" x="5262"/>
        <item m="1" x="6234"/>
        <item m="1" x="7562"/>
        <item m="1" x="7206"/>
        <item m="1" x="3207"/>
        <item m="1" x="3281"/>
        <item m="1" x="6626"/>
        <item m="1" x="2276"/>
        <item m="1" x="2491"/>
        <item m="1" x="3416"/>
        <item m="1" x="3039"/>
        <item m="1" x="2335"/>
        <item m="1" x="5588"/>
        <item m="1" x="2729"/>
        <item m="1" x="4755"/>
        <item m="1" x="6787"/>
        <item x="971"/>
        <item x="972"/>
        <item m="1" x="7518"/>
        <item m="1" x="5199"/>
        <item m="1" x="3644"/>
        <item m="1" x="3263"/>
        <item m="1" x="4163"/>
        <item m="1" x="6144"/>
        <item m="1" x="7086"/>
        <item m="1" x="3042"/>
        <item x="973"/>
        <item m="1" x="3835"/>
        <item m="1" x="3525"/>
        <item m="1" x="5582"/>
        <item m="1" x="7731"/>
        <item m="1" x="7654"/>
        <item m="1" x="4565"/>
        <item m="1" x="6990"/>
        <item m="1" x="7248"/>
        <item m="1" x="7177"/>
        <item m="1" x="6352"/>
        <item m="1" x="4647"/>
        <item m="1" x="5642"/>
        <item m="1" x="5728"/>
        <item m="1" x="6613"/>
        <item m="1" x="6309"/>
        <item m="1" x="3519"/>
        <item m="1" x="6625"/>
        <item m="1" x="7214"/>
        <item m="1" x="5568"/>
        <item m="1" x="5411"/>
        <item m="1" x="5510"/>
        <item m="1" x="2764"/>
        <item m="1" x="2770"/>
        <item m="1" x="2801"/>
        <item m="1" x="6539"/>
        <item m="1" x="3485"/>
        <item m="1" x="5105"/>
        <item m="1" x="2926"/>
        <item m="1" x="6504"/>
        <item m="1" x="5769"/>
        <item m="1" x="7418"/>
        <item m="1" x="3585"/>
        <item m="1" x="5732"/>
        <item m="1" x="7077"/>
        <item x="974"/>
        <item m="1" x="5714"/>
        <item m="1" x="7270"/>
        <item m="1" x="5203"/>
        <item m="1" x="4157"/>
        <item m="1" x="7847"/>
        <item m="1" x="6310"/>
        <item m="1" x="7355"/>
        <item m="1" x="3276"/>
        <item m="1" x="3880"/>
        <item m="1" x="4085"/>
        <item m="1" x="6707"/>
        <item m="1" x="4707"/>
        <item m="1" x="7712"/>
        <item m="1" x="2982"/>
        <item m="1" x="4115"/>
        <item m="1" x="5266"/>
        <item m="1" x="3213"/>
        <item m="1" x="7566"/>
        <item m="1" x="7213"/>
        <item m="1" x="5691"/>
        <item m="1" x="3538"/>
        <item m="1" x="4769"/>
        <item m="1" x="7458"/>
        <item m="1" x="4285"/>
        <item m="1" x="7746"/>
        <item m="1" x="2727"/>
        <item m="1" x="5375"/>
        <item x="975"/>
        <item m="1" x="6690"/>
        <item m="1" x="4691"/>
        <item m="1" x="3305"/>
        <item m="1" x="3489"/>
        <item m="1" x="3900"/>
        <item m="1" x="2766"/>
        <item m="1" x="5943"/>
        <item m="1" x="7217"/>
        <item m="1" x="2905"/>
        <item m="1" x="5558"/>
        <item m="1" x="3536"/>
        <item m="1" x="2478"/>
        <item m="1" x="5596"/>
        <item m="1" x="5664"/>
        <item m="1" x="2787"/>
        <item m="1" x="6390"/>
        <item m="1" x="2776"/>
        <item m="1" x="2226"/>
        <item m="1" x="5999"/>
        <item m="1" x="7080"/>
        <item m="1" x="4631"/>
        <item m="1" x="3726"/>
        <item m="1" x="3818"/>
        <item m="1" x="7265"/>
        <item m="1" x="6330"/>
        <item m="1" x="2590"/>
        <item m="1" x="6001"/>
        <item m="1" x="3575"/>
        <item m="1" x="4068"/>
        <item m="1" x="5194"/>
        <item m="1" x="6665"/>
        <item m="1" x="3884"/>
        <item m="1" x="3465"/>
        <item m="1" x="5652"/>
        <item m="1" x="4232"/>
        <item m="1" x="2850"/>
        <item m="1" x="2232"/>
        <item m="1" x="7477"/>
        <item m="1" x="3883"/>
        <item m="1" x="6930"/>
        <item m="1" x="3889"/>
        <item m="1" x="2561"/>
        <item m="1" x="5205"/>
        <item m="1" x="4106"/>
        <item m="1" x="6230"/>
        <item m="1" x="5077"/>
        <item m="1" x="6095"/>
        <item m="1" x="7701"/>
        <item x="976"/>
        <item m="1" x="7209"/>
        <item m="1" x="4963"/>
        <item m="1" x="6460"/>
        <item m="1" x="5538"/>
        <item m="1" x="5748"/>
        <item m="1" x="2806"/>
        <item m="1" x="5395"/>
        <item m="1" x="6442"/>
        <item m="1" x="5002"/>
        <item m="1" x="5594"/>
        <item m="1" x="4329"/>
        <item m="1" x="3754"/>
        <item m="1" x="5045"/>
        <item m="1" x="4166"/>
        <item m="1" x="3580"/>
        <item m="1" x="4457"/>
        <item m="1" x="5768"/>
        <item m="1" x="5373"/>
        <item m="1" x="3243"/>
        <item m="1" x="2980"/>
        <item m="1" x="6835"/>
        <item m="1" x="4394"/>
        <item m="1" x="4315"/>
        <item m="1" x="5953"/>
        <item m="1" x="3172"/>
        <item m="1" x="7307"/>
        <item m="1" x="5265"/>
        <item m="1" x="2679"/>
        <item m="1" x="7697"/>
        <item m="1" x="6406"/>
        <item m="1" x="2587"/>
        <item x="977"/>
        <item x="978"/>
        <item m="1" x="5003"/>
        <item m="1" x="5770"/>
        <item m="1" x="4500"/>
        <item m="1" x="6897"/>
        <item m="1" x="4511"/>
        <item m="1" x="5459"/>
        <item m="1" x="3130"/>
        <item m="1" x="7985"/>
        <item m="1" x="2321"/>
        <item m="1" x="6163"/>
        <item m="1" x="6545"/>
        <item m="1" x="6830"/>
        <item m="1" x="7354"/>
        <item m="1" x="5645"/>
        <item m="1" x="3400"/>
        <item m="1" x="6617"/>
        <item m="1" x="7791"/>
        <item m="1" x="3523"/>
        <item m="1" x="2923"/>
        <item m="1" x="7219"/>
        <item m="1" x="7833"/>
        <item m="1" x="7071"/>
        <item m="1" x="5416"/>
        <item m="1" x="4837"/>
        <item m="1" x="2534"/>
        <item m="1" x="5897"/>
        <item m="1" x="6834"/>
        <item m="1" x="7289"/>
        <item m="1" x="2928"/>
        <item m="1" x="4264"/>
        <item m="1" x="7564"/>
        <item m="1" x="4657"/>
        <item m="1" x="4333"/>
        <item m="1" x="4164"/>
        <item m="1" x="6246"/>
        <item m="1" x="4569"/>
        <item m="1" x="7816"/>
        <item m="1" x="3840"/>
        <item m="1" x="3960"/>
        <item m="1" x="5561"/>
        <item m="1" x="6312"/>
        <item m="1" x="6631"/>
        <item m="1" x="5000"/>
        <item m="1" x="5420"/>
        <item m="1" x="5512"/>
        <item x="979"/>
        <item m="1" x="7503"/>
        <item m="1" x="5271"/>
        <item m="1" x="7573"/>
        <item m="1" x="7216"/>
        <item m="1" x="2476"/>
        <item m="1" x="2746"/>
        <item m="1" x="4822"/>
        <item m="1" x="5939"/>
        <item m="1" x="2234"/>
        <item m="1" x="5586"/>
        <item m="1" x="7733"/>
        <item m="1" x="3571"/>
        <item m="1" x="6358"/>
        <item m="1" x="5554"/>
        <item m="1" x="7252"/>
        <item m="1" x="7560"/>
        <item m="1" x="5878"/>
        <item m="1" x="2562"/>
        <item m="1" x="6724"/>
        <item m="1" x="5117"/>
        <item m="1" x="5921"/>
        <item m="1" x="2992"/>
        <item m="1" x="5700"/>
        <item m="1" x="6132"/>
        <item m="1" x="2348"/>
        <item m="1" x="2779"/>
        <item m="1" x="4047"/>
        <item m="1" x="7878"/>
        <item m="1" x="6518"/>
        <item m="1" x="2931"/>
        <item m="1" x="4326"/>
        <item m="1" x="6265"/>
        <item m="1" x="4257"/>
        <item m="1" x="2767"/>
        <item m="1" x="5112"/>
        <item m="1" x="4719"/>
        <item m="1" x="3588"/>
        <item m="1" x="5739"/>
        <item x="980"/>
        <item m="1" x="5718"/>
        <item m="1" x="5196"/>
        <item m="1" x="3881"/>
        <item m="1" x="6727"/>
        <item m="1" x="7715"/>
        <item m="1" x="6043"/>
        <item m="1" x="2816"/>
        <item m="1" x="4504"/>
        <item m="1" x="3675"/>
        <item m="1" x="3242"/>
        <item m="1" x="4786"/>
        <item m="1" x="4777"/>
        <item m="1" x="5206"/>
        <item m="1" x="6976"/>
        <item m="1" x="3029"/>
        <item m="1" x="4443"/>
        <item m="1" x="2448"/>
        <item x="981"/>
        <item m="1" x="5081"/>
        <item m="1" x="3470"/>
        <item m="1" x="5997"/>
        <item m="1" x="7050"/>
        <item m="1" x="7849"/>
        <item x="982"/>
        <item m="1" x="6395"/>
        <item m="1" x="7886"/>
        <item m="1" x="2270"/>
        <item m="1" x="6232"/>
        <item m="1" x="3483"/>
        <item m="1" x="2290"/>
        <item m="1" x="5408"/>
        <item m="1" x="6402"/>
        <item m="1" x="2228"/>
        <item m="1" x="2987"/>
        <item m="1" x="6994"/>
        <item m="1" x="4581"/>
        <item m="1" x="7084"/>
        <item m="1" x="4596"/>
        <item m="1" x="4635"/>
        <item m="1" x="3544"/>
        <item m="1" x="2381"/>
        <item m="1" x="2719"/>
        <item m="1" x="4693"/>
        <item m="1" x="4241"/>
        <item m="1" x="5861"/>
        <item m="1" x="3886"/>
        <item m="1" x="3747"/>
        <item m="1" x="4920"/>
        <item m="1" x="7349"/>
        <item m="1" x="4712"/>
        <item m="1" x="6710"/>
        <item m="1" x="3203"/>
        <item m="1" x="3067"/>
        <item m="1" x="7339"/>
        <item m="1" x="6333"/>
        <item m="1" x="3823"/>
        <item m="1" x="5352"/>
        <item m="1" x="6093"/>
        <item m="1" x="3384"/>
        <item m="1" x="5097"/>
        <item m="1" x="7998"/>
        <item m="1" x="3901"/>
        <item m="1" x="5973"/>
        <item m="1" x="7767"/>
        <item m="1" x="3359"/>
        <item m="1" x="5744"/>
        <item m="1" x="5600"/>
        <item m="1" x="2986"/>
        <item m="1" x="3578"/>
        <item m="1" x="4520"/>
        <item m="1" x="7225"/>
        <item m="1" x="4247"/>
        <item m="1" x="2907"/>
        <item m="1" x="4942"/>
        <item m="1" x="2399"/>
        <item m="1" x="3154"/>
        <item m="1" x="4120"/>
        <item m="1" x="5423"/>
        <item m="1" x="3217"/>
        <item m="1" x="6671"/>
        <item m="1" x="5028"/>
        <item m="1" x="6784"/>
        <item m="1" x="5563"/>
        <item m="1" x="4081"/>
        <item m="1" x="5655"/>
        <item m="1" x="2862"/>
        <item m="1" x="5110"/>
        <item m="1" x="6680"/>
        <item m="1" x="5256"/>
        <item m="1" x="7485"/>
        <item m="1" x="6867"/>
        <item m="1" x="3541"/>
        <item m="1" x="2933"/>
        <item m="1" x="6485"/>
        <item m="1" x="7725"/>
        <item m="1" x="7057"/>
        <item m="1" x="5004"/>
        <item m="1" x="6933"/>
        <item m="1" x="2828"/>
        <item m="1" x="6673"/>
        <item m="1" x="6463"/>
        <item m="1" x="3092"/>
        <item m="1" x="6449"/>
        <item m="1" x="3913"/>
        <item m="1" x="7861"/>
        <item m="1" x="5060"/>
        <item m="1" x="4462"/>
        <item m="1" x="2383"/>
        <item m="1" x="7208"/>
        <item m="1" x="2502"/>
        <item m="1" x="4471"/>
        <item m="1" x="5326"/>
        <item m="1" x="5379"/>
        <item m="1" x="6836"/>
        <item m="1" x="7700"/>
        <item m="1" x="2261"/>
        <item m="1" x="3843"/>
        <item m="1" x="3099"/>
        <item m="1" x="3216"/>
        <item m="1" x="3284"/>
        <item m="1" x="6992"/>
        <item m="1" x="3704"/>
        <item m="1" x="2418"/>
        <item m="1" x="3892"/>
        <item m="1" x="4109"/>
        <item m="1" x="4919"/>
        <item m="1" x="6223"/>
        <item m="1" x="2568"/>
        <item m="1" x="2686"/>
        <item m="1" x="7818"/>
        <item m="1" x="4158"/>
        <item m="1" x="6149"/>
        <item m="1" x="7377"/>
        <item m="1" x="7868"/>
        <item m="1" x="5598"/>
        <item m="1" x="5955"/>
        <item m="1" x="7323"/>
        <item m="1" x="5673"/>
        <item x="983"/>
        <item m="1" x="5277"/>
        <item m="1" x="7747"/>
        <item m="1" x="7577"/>
        <item m="1" x="7218"/>
        <item m="1" x="7359"/>
        <item m="1" x="4979"/>
        <item m="1" x="7285"/>
        <item m="1" x="3456"/>
        <item m="1" x="5209"/>
        <item x="984"/>
        <item m="1" x="5049"/>
        <item m="1" x="4169"/>
        <item m="1" x="3728"/>
        <item m="1" x="4397"/>
        <item m="1" x="5095"/>
        <item m="1" x="4317"/>
        <item m="1" x="6781"/>
        <item x="985"/>
        <item m="1" x="4055"/>
        <item m="1" x="5688"/>
        <item m="1" x="2563"/>
        <item m="1" x="4679"/>
        <item m="1" x="6962"/>
        <item m="1" x="5419"/>
        <item m="1" x="7570"/>
        <item m="1" x="4051"/>
        <item m="1" x="4623"/>
        <item m="1" x="5088"/>
        <item m="1" x="4168"/>
        <item x="986"/>
        <item m="1" x="7736"/>
        <item m="1" x="3964"/>
        <item m="1" x="5556"/>
        <item m="1" x="6523"/>
        <item m="1" x="5309"/>
        <item m="1" x="5422"/>
        <item m="1" x="7563"/>
        <item m="1" x="4721"/>
        <item m="1" x="5515"/>
        <item m="1" x="5880"/>
        <item m="1" x="2565"/>
        <item m="1" x="5130"/>
        <item x="987"/>
        <item x="988"/>
        <item m="1" x="5380"/>
        <item m="1" x="2238"/>
        <item m="1" x="3513"/>
        <item m="1" x="5212"/>
        <item m="1" x="7255"/>
        <item m="1" x="7304"/>
        <item m="1" x="4538"/>
        <item m="1" x="6628"/>
        <item m="1" x="3425"/>
        <item m="1" x="6857"/>
        <item m="1" x="7253"/>
        <item m="1" x="2990"/>
        <item m="1" x="3724"/>
        <item m="1" x="3764"/>
        <item m="1" x="5010"/>
        <item m="1" x="4251"/>
        <item m="1" x="3220"/>
        <item m="1" x="7111"/>
        <item m="1" x="3942"/>
        <item m="1" x="4782"/>
        <item x="989"/>
        <item m="1" x="6241"/>
        <item m="1" x="5354"/>
        <item m="1" x="3903"/>
        <item m="1" x="2981"/>
        <item m="1" x="2909"/>
        <item m="1" x="5424"/>
        <item m="1" x="4147"/>
        <item m="1" x="3545"/>
        <item m="1" x="4726"/>
        <item m="1" x="6533"/>
        <item m="1" x="6000"/>
        <item m="1" x="4652"/>
        <item m="1" x="6356"/>
        <item m="1" x="5351"/>
        <item m="1" x="4246"/>
        <item m="1" x="2808"/>
        <item m="1" x="3833"/>
        <item m="1" x="7770"/>
        <item m="1" x="5603"/>
        <item m="1" x="3582"/>
        <item m="1" x="3689"/>
        <item m="1" x="3887"/>
        <item x="990"/>
        <item m="1" x="6935"/>
        <item m="1" x="5892"/>
        <item m="1" x="6235"/>
        <item m="1" x="3141"/>
        <item m="1" x="6676"/>
        <item m="1" x="4764"/>
        <item m="1" x="2616"/>
        <item m="1" x="5541"/>
        <item m="1" x="5063"/>
        <item m="1" x="4466"/>
        <item m="1" x="2991"/>
        <item m="1" x="7702"/>
        <item x="991"/>
        <item m="1" x="4501"/>
        <item m="1" x="4145"/>
        <item m="1" x="4718"/>
        <item m="1" x="3894"/>
        <item m="1" x="5215"/>
        <item m="1" x="4923"/>
        <item m="1" x="4402"/>
        <item m="1" x="6331"/>
        <item m="1" x="7667"/>
        <item m="1" x="6070"/>
        <item m="1" x="3180"/>
        <item m="1" x="3527"/>
        <item m="1" x="5092"/>
        <item m="1" x="6100"/>
        <item m="1" x="2430"/>
        <item m="1" x="6535"/>
        <item m="1" x="3132"/>
        <item m="1" x="4972"/>
        <item m="1" x="3977"/>
        <item m="1" x="7705"/>
        <item m="1" x="5557"/>
        <item m="1" x="5737"/>
        <item m="1" x="4332"/>
        <item m="1" x="2807"/>
        <item m="1" x="7994"/>
        <item m="1" x="6158"/>
        <item m="1" x="2978"/>
        <item m="1" x="5052"/>
        <item m="1" x="4176"/>
        <item m="1" x="2566"/>
        <item m="1" x="2325"/>
        <item m="1" x="7315"/>
        <item m="1" x="4460"/>
        <item m="1" x="7978"/>
        <item m="1" x="5007"/>
        <item m="1" x="5701"/>
        <item m="1" x="4107"/>
        <item m="1" x="6269"/>
        <item m="1" x="6184"/>
        <item m="1" x="4215"/>
        <item m="1" x="4228"/>
        <item m="1" x="7234"/>
        <item m="1" x="6549"/>
        <item m="1" x="4400"/>
        <item m="1" x="4320"/>
        <item m="1" x="6353"/>
        <item m="1" x="5958"/>
        <item m="1" x="5276"/>
        <item m="1" x="5366"/>
        <item m="1" x="4080"/>
        <item m="1" x="4060"/>
        <item m="1" x="5775"/>
        <item m="1" x="7547"/>
        <item m="1" x="5742"/>
        <item m="1" x="7078"/>
        <item m="1" x="4927"/>
        <item m="1" x="3676"/>
        <item m="1" x="3501"/>
        <item m="1" x="7264"/>
        <item m="1" x="4848"/>
        <item m="1" x="7534"/>
        <item m="1" x="3505"/>
        <item m="1" x="6906"/>
        <item m="1" x="2538"/>
        <item m="1" x="5900"/>
        <item m="1" x="6838"/>
        <item m="1" x="4388"/>
        <item m="1" x="6955"/>
        <item m="1" x="4758"/>
        <item m="1" x="4445"/>
        <item m="1" x="5133"/>
        <item m="1" x="2481"/>
        <item m="1" x="3221"/>
        <item m="1" x="7427"/>
        <item m="1" x="7112"/>
        <item m="1" x="3257"/>
        <item m="1" x="2503"/>
        <item m="1" x="4827"/>
        <item m="1" x="3775"/>
        <item m="1" x="7574"/>
        <item m="1" x="5039"/>
        <item m="1" x="2487"/>
        <item m="1" x="4626"/>
        <item m="1" x="2250"/>
        <item m="1" x="3844"/>
        <item m="1" x="5184"/>
        <item m="1" x="5132"/>
        <item m="1" x="7231"/>
        <item m="1" x="2262"/>
        <item x="992"/>
        <item m="1" x="6811"/>
        <item m="1" x="2483"/>
        <item m="1" x="2753"/>
        <item m="1" x="4826"/>
        <item m="1" x="4494"/>
        <item m="1" x="7650"/>
        <item m="1" x="5073"/>
        <item m="1" x="5911"/>
        <item m="1" x="2285"/>
        <item m="1" x="4584"/>
        <item m="1" x="5562"/>
        <item m="1" x="5771"/>
        <item m="1" x="3146"/>
        <item m="1" x="5991"/>
        <item m="1" x="7567"/>
        <item m="1" x="5882"/>
        <item m="1" x="5126"/>
        <item m="1" x="5925"/>
        <item m="1" x="4598"/>
        <item m="1" x="6215"/>
        <item m="1" x="6136"/>
        <item m="1" x="7568"/>
        <item m="1" x="5813"/>
        <item m="1" x="6853"/>
        <item m="1" x="6527"/>
        <item m="1" x="5210"/>
        <item m="1" x="6495"/>
        <item m="1" x="7330"/>
        <item m="1" x="4624"/>
        <item m="1" x="7166"/>
        <item m="1" x="3890"/>
        <item m="1" x="6731"/>
        <item m="1" x="5569"/>
        <item m="1" x="6051"/>
        <item m="1" x="4371"/>
        <item m="1" x="7604"/>
        <item m="1" x="5108"/>
        <item m="1" x="5220"/>
        <item m="1" x="3423"/>
        <item m="1" x="2265"/>
        <item m="1" x="6105"/>
        <item m="1" x="2292"/>
        <item m="1" x="6404"/>
        <item m="1" x="4230"/>
        <item m="1" x="5115"/>
        <item m="1" x="7391"/>
        <item m="1" x="4566"/>
        <item m="1" x="7795"/>
        <item m="1" x="5872"/>
        <item m="1" x="4724"/>
        <item m="1" x="7874"/>
        <item m="1" x="3814"/>
        <item m="1" x="7254"/>
        <item m="1" x="4330"/>
        <item m="1" x="6141"/>
        <item m="1" x="4545"/>
        <item m="1" x="4524"/>
        <item m="1" x="2423"/>
        <item m="1" x="4962"/>
        <item m="1" x="4149"/>
        <item m="1" x="6898"/>
        <item m="1" x="7630"/>
        <item m="1" x="3692"/>
        <item m="1" x="3982"/>
        <item m="1" x="5094"/>
        <item m="1" x="6864"/>
        <item m="1" x="6681"/>
        <item m="1" x="3475"/>
        <item m="1" x="6004"/>
        <item m="1" x="6736"/>
        <item m="1" x="4771"/>
        <item m="1" x="6177"/>
        <item m="1" x="2617"/>
        <item m="1" x="3918"/>
        <item m="1" x="7719"/>
        <item m="1" x="6749"/>
        <item m="1" x="2829"/>
        <item m="1" x="7863"/>
        <item m="1" x="4695"/>
        <item m="1" x="4250"/>
        <item m="1" x="5067"/>
        <item m="1" x="4965"/>
        <item m="1" x="4111"/>
        <item m="1" x="5697"/>
        <item m="1" x="2811"/>
        <item m="1" x="7102"/>
        <item m="1" x="6936"/>
        <item m="1" x="7829"/>
        <item m="1" x="6194"/>
        <item m="1" x="7351"/>
        <item m="1" x="7342"/>
        <item m="1" x="4196"/>
        <item m="1" x="5632"/>
        <item m="1" x="7184"/>
        <item m="1" x="7910"/>
        <item m="1" x="3836"/>
        <item m="1" x="5356"/>
        <item m="1" x="7774"/>
        <item m="1" x="3761"/>
        <item m="1" x="5607"/>
        <item m="1" x="2984"/>
        <item m="1" x="5268"/>
        <item m="1" x="2993"/>
        <item m="1" x="7703"/>
        <item m="1" x="4880"/>
        <item m="1" x="4100"/>
        <item m="1" x="6367"/>
        <item m="1" x="4985"/>
        <item m="1" x="5033"/>
        <item m="1" x="4656"/>
        <item m="1" x="2652"/>
        <item m="1" x="6871"/>
        <item m="1" x="3548"/>
        <item m="1" x="2289"/>
        <item m="1" x="4541"/>
        <item m="1" x="4873"/>
        <item m="1" x="4832"/>
        <item m="1" x="6542"/>
        <item m="1" x="7713"/>
        <item m="1" x="5252"/>
        <item m="1" x="3895"/>
        <item m="1" x="5949"/>
        <item m="1" x="2466"/>
        <item m="1" x="4121"/>
        <item m="1" x="5387"/>
        <item m="1" x="2432"/>
        <item m="1" x="3978"/>
        <item m="1" x="7730"/>
        <item m="1" x="6162"/>
        <item m="1" x="5430"/>
        <item m="1" x="5859"/>
        <item m="1" x="5405"/>
        <item m="1" x="2425"/>
        <item m="1" x="6186"/>
        <item m="1" x="4689"/>
        <item m="1" x="4439"/>
        <item m="1" x="4759"/>
        <item m="1" x="3331"/>
        <item m="1" x="5961"/>
        <item m="1" x="7917"/>
        <item m="1" x="2755"/>
        <item m="1" x="4637"/>
        <item m="1" x="5838"/>
        <item m="1" x="4104"/>
        <item m="1" x="6069"/>
        <item m="1" x="3630"/>
        <item m="1" x="7748"/>
        <item m="1" x="2297"/>
        <item m="1" x="3503"/>
        <item m="1" x="7268"/>
        <item m="1" x="7538"/>
        <item m="1" x="4393"/>
        <item m="1" x="6959"/>
        <item m="1" x="7363"/>
        <item m="1" x="3019"/>
        <item m="1" x="3793"/>
        <item m="1" x="5135"/>
        <item m="1" x="3283"/>
        <item m="1" x="4983"/>
        <item m="1" x="3262"/>
        <item m="1" x="7461"/>
        <item m="1" x="5653"/>
        <item m="1" x="5070"/>
        <item m="1" x="5223"/>
        <item m="1" x="3230"/>
        <item m="1" x="5053"/>
        <item m="1" x="4181"/>
        <item m="1" x="4053"/>
        <item m="1" x="6373"/>
        <item m="1" x="4401"/>
        <item m="1" x="2830"/>
        <item m="1" x="4324"/>
        <item m="1" x="5843"/>
        <item m="1" x="7246"/>
        <item m="1" x="7030"/>
        <item m="1" x="3877"/>
        <item m="1" x="6479"/>
        <item m="1" x="4233"/>
        <item m="1" x="4517"/>
        <item m="1" x="3791"/>
        <item m="1" x="6236"/>
        <item m="1" x="6385"/>
        <item m="1" x="2312"/>
        <item m="1" x="4628"/>
        <item m="1" x="4179"/>
        <item x="993"/>
        <item m="1" x="2569"/>
        <item m="1" x="5227"/>
        <item m="1" x="3255"/>
        <item m="1" x="5096"/>
        <item m="1" x="7260"/>
        <item m="1" x="2621"/>
        <item m="1" x="4589"/>
        <item m="1" x="3635"/>
        <item m="1" x="5914"/>
        <item m="1" x="4586"/>
        <item m="1" x="7394"/>
        <item m="1" x="6534"/>
        <item m="1" x="4884"/>
        <item m="1" x="2508"/>
        <item m="1" x="4570"/>
        <item m="1" x="2388"/>
        <item m="1" x="3133"/>
        <item m="1" x="4461"/>
        <item m="1" x="5564"/>
        <item m="1" x="7257"/>
        <item m="1" x="4335"/>
        <item m="1" x="6145"/>
        <item m="1" x="5782"/>
        <item m="1" x="5025"/>
        <item m="1" x="4094"/>
        <item m="1" x="5572"/>
        <item m="1" x="5385"/>
        <item m="1" x="6903"/>
        <item m="1" x="6573"/>
        <item m="1" x="4788"/>
        <item m="1" x="3476"/>
        <item m="1" x="6752"/>
        <item m="1" x="2831"/>
        <item m="1" x="5709"/>
        <item m="1" x="4971"/>
        <item m="1" x="4117"/>
        <item m="1" x="3272"/>
        <item m="1" x="5698"/>
        <item m="1" x="7749"/>
        <item m="1" x="2656"/>
        <item m="1" x="7105"/>
        <item m="1" x="5636"/>
        <item m="1" x="7187"/>
        <item m="1" x="5359"/>
        <item m="1" x="2988"/>
        <item m="1" x="6061"/>
        <item m="1" x="2598"/>
        <item m="1" x="5615"/>
        <item m="1" x="5274"/>
        <item m="1" x="5365"/>
        <item m="1" x="3520"/>
        <item m="1" x="5319"/>
        <item m="1" x="4186"/>
        <item m="1" x="4658"/>
        <item m="1" x="2659"/>
        <item m="1" x="6866"/>
        <item m="1" x="7722"/>
        <item m="1" x="6173"/>
        <item m="1" x="4943"/>
        <item m="1" x="6171"/>
        <item m="1" x="7345"/>
        <item m="1" x="5979"/>
        <item m="1" x="4012"/>
        <item m="1" x="4989"/>
        <item m="1" x="6576"/>
        <item m="1" x="5668"/>
        <item m="1" x="4861"/>
        <item m="1" x="2938"/>
        <item m="1" x="4300"/>
        <item m="1" x="6240"/>
        <item m="1" x="3145"/>
        <item m="1" x="7793"/>
        <item m="1" x="2620"/>
        <item m="1" x="5634"/>
        <item m="1" x="4418"/>
        <item m="1" x="6019"/>
        <item m="1" x="7704"/>
        <item m="1" x="5349"/>
        <item m="1" x="3407"/>
        <item m="1" x="6155"/>
        <item m="1" x="3896"/>
        <item m="1" x="3184"/>
        <item m="1" x="3532"/>
        <item m="1" x="5394"/>
        <item m="1" x="2434"/>
        <item m="1" x="4732"/>
        <item m="1" x="2647"/>
        <item m="1" x="3980"/>
        <item m="1" x="6168"/>
        <item m="1" x="2438"/>
        <item m="1" x="5954"/>
        <item m="1" x="7150"/>
        <item m="1" x="3429"/>
        <item m="1" x="5703"/>
        <item m="1" x="4217"/>
        <item m="1" x="5980"/>
        <item m="1" x="3817"/>
        <item m="1" x="4762"/>
        <item m="1" x="2427"/>
        <item m="1" x="2737"/>
        <item m="1" x="5967"/>
        <item m="1" x="3645"/>
        <item m="1" x="7026"/>
        <item m="1" x="7542"/>
        <item m="1" x="4395"/>
        <item m="1" x="6965"/>
        <item m="1" x="4449"/>
        <item m="1" x="5137"/>
        <item m="1" x="3287"/>
        <item m="1" x="2310"/>
        <item m="1" x="2916"/>
        <item m="1" x="3334"/>
        <item x="994"/>
        <item m="1" x="4632"/>
        <item m="1" x="2490"/>
        <item m="1" x="5099"/>
        <item m="1" x="4183"/>
        <item m="1" x="6104"/>
        <item m="1" x="6258"/>
        <item m="1" x="6209"/>
        <item m="1" x="2592"/>
        <item m="1" x="3080"/>
        <item m="1" x="6481"/>
        <item m="1" x="2605"/>
        <item m="1" x="4960"/>
        <item m="1" x="5816"/>
        <item m="1" x="2833"/>
        <item m="1" x="5848"/>
        <item m="1" x="3340"/>
        <item m="1" x="3298"/>
        <item m="1" x="6795"/>
        <item m="1" x="6368"/>
        <item m="1" x="2316"/>
        <item m="1" x="5467"/>
        <item m="1" x="7639"/>
        <item m="1" x="3443"/>
        <item m="1" x="7104"/>
        <item m="1" x="7993"/>
        <item m="1" x="6058"/>
        <item m="1" x="4411"/>
        <item m="1" x="6446"/>
        <item m="1" x="7429"/>
        <item m="1" x="4930"/>
        <item x="995"/>
        <item m="1" x="3259"/>
        <item m="1" x="6107"/>
        <item x="996"/>
        <item m="1" x="5946"/>
        <item m="1" x="6026"/>
        <item m="1" x="4887"/>
        <item m="1" x="4571"/>
        <item m="1" x="7716"/>
        <item m="1" x="7734"/>
        <item m="1" x="3292"/>
        <item m="1" x="4338"/>
        <item m="1" x="6147"/>
        <item m="1" x="7172"/>
        <item m="1" x="6804"/>
        <item m="1" x="7636"/>
        <item m="1" x="6688"/>
        <item m="1" x="5296"/>
        <item m="1" x="6033"/>
        <item m="1" x="7970"/>
        <item m="1" x="6570"/>
        <item m="1" x="2264"/>
        <item m="1" x="7153"/>
        <item m="1" x="2513"/>
        <item m="1" x="3062"/>
        <item m="1" x="7813"/>
        <item m="1" x="7483"/>
        <item m="1" x="6562"/>
        <item m="1" x="7587"/>
        <item m="1" x="7925"/>
        <item m="1" x="4974"/>
        <item m="1" x="4124"/>
        <item m="1" x="3278"/>
        <item m="1" x="5702"/>
        <item m="1" x="7751"/>
        <item m="1" x="5363"/>
        <item m="1" x="7543"/>
        <item m="1" x="5620"/>
        <item m="1" x="5281"/>
        <item m="1" x="3174"/>
        <item m="1" x="3524"/>
        <item m="1" x="7076"/>
        <item m="1" x="5320"/>
        <item m="1" x="4843"/>
        <item m="1" x="3466"/>
        <item m="1" x="5398"/>
        <item m="1" x="6686"/>
        <item m="1" x="6007"/>
        <item m="1" x="6262"/>
        <item x="997"/>
        <item m="1" x="2651"/>
        <item m="1" x="2994"/>
        <item m="1" x="7484"/>
        <item m="1" x="4255"/>
        <item m="1" x="5151"/>
        <item m="1" x="6164"/>
        <item m="1" x="3433"/>
        <item m="1" x="4908"/>
        <item m="1" x="3339"/>
        <item m="1" x="2369"/>
        <item m="1" x="4770"/>
        <item m="1" x="4521"/>
        <item m="1" x="4015"/>
        <item m="1" x="2742"/>
        <item m="1" x="5976"/>
        <item m="1" x="4070"/>
        <item m="1" x="6370"/>
        <item m="1" x="5759"/>
        <item m="1" x="2516"/>
        <item m="1" x="4422"/>
        <item m="1" x="7001"/>
        <item m="1" x="4221"/>
        <item m="1" x="4863"/>
        <item m="1" x="6971"/>
        <item m="1" x="7169"/>
        <item m="1" x="2500"/>
        <item m="1" x="3291"/>
        <item m="1" x="2314"/>
        <item m="1" x="2567"/>
        <item m="1" x="6761"/>
        <item m="1" x="2844"/>
        <item m="1" x="7163"/>
        <item x="998"/>
        <item m="1" x="5027"/>
        <item m="1" x="5436"/>
        <item m="1" x="2611"/>
        <item m="1" x="5469"/>
        <item m="1" x="3326"/>
        <item m="1" x="4292"/>
        <item m="1" x="3460"/>
        <item m="1" x="4794"/>
        <item m="1" x="7629"/>
        <item m="1" x="2468"/>
        <item m="1" x="4433"/>
        <item m="1" x="5851"/>
        <item m="1" x="7107"/>
        <item m="1" x="7249"/>
        <item m="1" x="4666"/>
        <item m="1" x="5677"/>
        <item m="1" x="5804"/>
        <item m="1" x="3509"/>
        <item m="1" x="4775"/>
        <item m="1" x="3111"/>
        <item m="1" x="4267"/>
        <item m="1" x="6799"/>
        <item m="1" x="7995"/>
        <item m="1" x="2678"/>
        <item m="1" x="7032"/>
        <item m="1" x="4523"/>
        <item m="1" x="6620"/>
        <item m="1" x="3671"/>
        <item m="1" x="6798"/>
        <item m="1" x="5618"/>
        <item m="1" x="2691"/>
        <item m="1" x="3002"/>
        <item m="1" x="6210"/>
        <item m="1" x="5518"/>
        <item m="1" x="2597"/>
        <item m="1" x="5330"/>
        <item m="1" x="2211"/>
        <item m="1" x="2936"/>
        <item m="1" x="6510"/>
        <item m="1" x="2880"/>
        <item m="1" x="7750"/>
        <item m="1" x="2334"/>
        <item m="1" x="2619"/>
        <item m="1" x="3933"/>
        <item m="1" x="6937"/>
        <item m="1" x="7591"/>
        <item m="1" x="7245"/>
        <item m="1" x="7035"/>
        <item m="1" x="2547"/>
        <item m="1" x="5907"/>
        <item m="1" x="6841"/>
        <item m="1" x="6636"/>
        <item m="1" x="6372"/>
        <item m="1" x="4932"/>
        <item m="1" x="5917"/>
        <item m="1" x="3593"/>
        <item m="1" x="7955"/>
        <item m="1" x="2322"/>
        <item m="1" x="2249"/>
        <item m="1" x="3789"/>
        <item m="1" x="4763"/>
        <item m="1" x="2497"/>
        <item m="1" x="3965"/>
        <item m="1" x="7621"/>
        <item m="1" x="2368"/>
        <item m="1" x="6880"/>
        <item m="1" x="4189"/>
        <item m="1" x="7535"/>
        <item m="1" x="7016"/>
        <item m="1" x="4497"/>
        <item m="1" x="4132"/>
        <item m="1" x="5500"/>
        <item m="1" x="7401"/>
        <item m="1" x="5801"/>
        <item m="1" x="6439"/>
        <item m="1" x="4681"/>
        <item m="1" x="6487"/>
        <item m="1" x="5757"/>
        <item m="1" x="5471"/>
        <item m="1" x="4328"/>
        <item m="1" x="3812"/>
        <item m="1" x="4066"/>
        <item m="1" x="2846"/>
        <item m="1" x="3093"/>
        <item m="1" x="5726"/>
        <item m="1" x="7466"/>
        <item m="1" x="6318"/>
        <item m="1" x="6608"/>
        <item m="1" x="5251"/>
        <item m="1" x="4916"/>
        <item m="1" x="5950"/>
        <item m="1" x="3083"/>
        <item m="1" x="7548"/>
        <item m="1" x="7020"/>
        <item m="1" x="7223"/>
        <item m="1" x="7961"/>
        <item m="1" x="6156"/>
        <item m="1" x="6678"/>
        <item m="1" x="4174"/>
        <item m="1" x="6891"/>
        <item m="1" x="3049"/>
        <item m="1" x="2223"/>
        <item m="1" x="3345"/>
        <item m="1" x="5831"/>
        <item m="1" x="3260"/>
        <item m="1" x="4804"/>
        <item m="1" x="7181"/>
        <item m="1" x="7760"/>
        <item m="1" x="4668"/>
        <item m="1" x="4947"/>
        <item m="1" x="6212"/>
        <item m="1" x="7613"/>
        <item m="1" x="4364"/>
        <item m="1" x="4684"/>
        <item m="1" x="3558"/>
        <item m="1" x="7676"/>
        <item m="1" x="4842"/>
        <item m="1" x="7602"/>
        <item m="1" x="5929"/>
        <item m="1" x="3076"/>
        <item m="1" x="5590"/>
        <item m="1" x="2929"/>
        <item m="1" x="2704"/>
        <item m="1" x="6529"/>
        <item m="1" x="2748"/>
        <item m="1" x="6574"/>
        <item m="1" x="2267"/>
        <item m="1" x="2636"/>
        <item m="1" x="6444"/>
        <item m="1" x="4341"/>
        <item m="1" x="3051"/>
        <item m="1" x="6509"/>
        <item m="1" x="6264"/>
        <item m="1" x="5910"/>
        <item m="1" x="7376"/>
        <item m="1" x="6579"/>
        <item m="1" x="5573"/>
        <item m="1" x="6689"/>
        <item m="1" x="3447"/>
        <item m="1" x="3108"/>
        <item m="1" x="5819"/>
        <item x="999"/>
        <item x="1000"/>
        <item m="1" x="4890"/>
        <item m="1" x="4574"/>
        <item m="1" x="4977"/>
        <item m="1" x="4126"/>
        <item m="1" x="3282"/>
        <item m="1" x="6220"/>
        <item m="1" x="3813"/>
        <item m="1" x="5705"/>
        <item m="1" x="7754"/>
        <item m="1" x="6877"/>
        <item m="1" x="5608"/>
        <item m="1" x="3458"/>
        <item m="1" x="7170"/>
        <item m="1" x="6277"/>
        <item m="1" x="6590"/>
        <item m="1" x="3201"/>
        <item m="1" x="7545"/>
        <item m="1" x="5465"/>
        <item m="1" x="5624"/>
        <item m="1" x="5287"/>
        <item m="1" x="7737"/>
        <item m="1" x="3294"/>
        <item m="1" x="3529"/>
        <item m="1" x="7082"/>
        <item m="1" x="6068"/>
        <item m="1" x="4413"/>
        <item m="1" x="6809"/>
        <item x="1001"/>
        <item x="1002"/>
        <item x="1003"/>
        <item m="1" x="5046"/>
        <item m="1" x="7665"/>
        <item m="1" x="5735"/>
        <item m="1" x="4622"/>
        <item m="1" x="5846"/>
        <item m="1" x="6915"/>
        <item m="1" x="6640"/>
        <item m="1" x="3164"/>
        <item m="1" x="7250"/>
        <item m="1" x="5998"/>
        <item m="1" x="7594"/>
        <item m="1" x="4940"/>
        <item m="1" x="4662"/>
        <item m="1" x="5866"/>
        <item m="1" x="6876"/>
        <item m="1" x="4040"/>
        <item m="1" x="4017"/>
        <item m="1" x="5164"/>
        <item m="1" x="5738"/>
        <item m="1" x="2758"/>
        <item m="1" x="7488"/>
        <item m="1" x="4258"/>
        <item m="1" x="6086"/>
        <item m="1" x="4525"/>
        <item m="1" x="2937"/>
        <item m="1" x="7776"/>
        <item x="1004"/>
        <item m="1" x="4544"/>
        <item x="1005"/>
        <item m="1" x="2996"/>
        <item m="1" x="5863"/>
        <item m="1" x="5539"/>
        <item m="1" x="5724"/>
        <item m="1" x="2745"/>
        <item x="1006"/>
        <item m="1" x="6450"/>
        <item x="1007"/>
        <item m="1" x="5671"/>
        <item m="1" x="2927"/>
        <item m="1" x="2814"/>
        <item m="1" x="4585"/>
        <item m="1" x="5855"/>
        <item m="1" x="7164"/>
        <item x="1008"/>
        <item m="1" x="4667"/>
        <item m="1" x="6910"/>
        <item m="1" x="3085"/>
        <item m="1" x="4336"/>
        <item m="1" x="5334"/>
        <item m="1" x="7550"/>
        <item m="1" x="4456"/>
        <item m="1" x="6480"/>
        <item m="1" x="6511"/>
        <item m="1" x="2695"/>
        <item m="1" x="3450"/>
        <item m="1" x="3347"/>
        <item x="1009"/>
        <item m="1" x="3938"/>
        <item m="1" x="7038"/>
        <item m="1" x="5820"/>
        <item m="1" x="2736"/>
        <item m="1" x="3249"/>
        <item m="1" x="6483"/>
        <item m="1" x="2326"/>
        <item m="1" x="6267"/>
        <item m="1" x="7879"/>
        <item m="1" x="5503"/>
        <item m="1" x="6065"/>
        <item m="1" x="6226"/>
        <item m="1" x="3979"/>
        <item m="1" x="5799"/>
        <item m="1" x="6968"/>
        <item m="1" x="6071"/>
        <item m="1" x="4414"/>
        <item x="1010"/>
        <item m="1" x="3951"/>
        <item m="1" x="5051"/>
        <item m="1" x="5294"/>
        <item x="1011"/>
        <item m="1" x="3268"/>
        <item m="1" x="5741"/>
        <item m="1" x="7281"/>
        <item x="1012"/>
        <item m="1" x="4894"/>
        <item m="1" x="3138"/>
        <item m="1" x="6423"/>
        <item m="1" x="2389"/>
        <item m="1" x="4601"/>
        <item m="1" x="5693"/>
        <item m="1" x="2607"/>
        <item m="1" x="2898"/>
        <item m="1" x="3295"/>
        <item x="1013"/>
        <item m="1" x="3829"/>
        <item m="1" x="3179"/>
        <item m="1" x="2342"/>
        <item m="1" x="4978"/>
        <item m="1" x="4130"/>
        <item m="1" x="3286"/>
        <item m="1" x="3815"/>
        <item m="1" x="5706"/>
        <item m="1" x="7759"/>
        <item m="1" x="7091"/>
        <item m="1" x="6268"/>
        <item m="1" x="5367"/>
        <item m="1" x="3697"/>
        <item m="1" x="2832"/>
        <item m="1" x="6108"/>
        <item m="1" x="4568"/>
        <item m="1" x="6407"/>
        <item m="1" x="7549"/>
        <item m="1" x="3985"/>
        <item m="1" x="2550"/>
        <item m="1" x="5753"/>
        <item m="1" x="4269"/>
        <item m="1" x="4669"/>
        <item m="1" x="3872"/>
        <item m="1" x="5626"/>
        <item m="1" x="5290"/>
        <item m="1" x="3177"/>
        <item m="1" x="3535"/>
        <item m="1" x="7087"/>
        <item m="1" x="3196"/>
        <item x="1014"/>
        <item x="1015"/>
        <item m="1" x="7407"/>
        <item m="1" x="2273"/>
        <item m="1" x="3684"/>
        <item m="1" x="5649"/>
        <item m="1" x="4527"/>
        <item m="1" x="6012"/>
        <item m="1" x="2775"/>
        <item m="1" x="7727"/>
        <item m="1" x="5745"/>
        <item m="1" x="7964"/>
        <item m="1" x="4467"/>
        <item m="1" x="6169"/>
        <item m="1" x="4910"/>
        <item m="1" x="6300"/>
        <item m="1" x="2576"/>
        <item m="1" x="3225"/>
        <item m="1" x="7319"/>
        <item m="1" x="3777"/>
        <item m="1" x="4379"/>
        <item m="1" x="3224"/>
        <item m="1" x="4019"/>
        <item m="1" x="3185"/>
        <item x="1016"/>
        <item m="1" x="2318"/>
        <item m="1" x="5762"/>
        <item m="1" x="7772"/>
        <item m="1" x="2573"/>
        <item m="1" x="5014"/>
        <item m="1" x="2401"/>
        <item x="1017"/>
        <item m="1" x="5535"/>
        <item m="1" x="3468"/>
        <item m="1" x="5672"/>
        <item m="1" x="6902"/>
        <item m="1" x="5524"/>
        <item m="1" x="7059"/>
        <item m="1" x="6396"/>
        <item m="1" x="6270"/>
        <item x="1018"/>
        <item m="1" x="3240"/>
        <item m="1" x="3459"/>
        <item m="1" x="2288"/>
        <item x="1019"/>
        <item m="1" x="6200"/>
        <item m="1" x="6257"/>
        <item m="1" x="3712"/>
        <item m="1" x="7739"/>
        <item m="1" x="5032"/>
        <item m="1" x="4062"/>
        <item m="1" x="7492"/>
        <item m="1" x="7755"/>
        <item m="1" x="5247"/>
        <item m="1" x="4633"/>
        <item m="1" x="4342"/>
        <item m="1" x="2932"/>
        <item m="1" x="3556"/>
        <item m="1" x="6410"/>
        <item m="1" x="6424"/>
        <item m="1" x="2951"/>
        <item m="1" x="6870"/>
        <item m="1" x="6250"/>
        <item m="1" x="7595"/>
        <item m="1" x="3467"/>
        <item m="1" x="7165"/>
        <item m="1" x="5727"/>
        <item m="1" x="6791"/>
        <item m="1" x="2910"/>
        <item m="1" x="6732"/>
        <item m="1" x="4526"/>
        <item m="1" x="2747"/>
        <item m="1" x="5353"/>
        <item m="1" x="7113"/>
        <item m="1" x="5988"/>
        <item m="1" x="7618"/>
        <item x="1020"/>
        <item x="1021"/>
        <item x="1022"/>
        <item m="1" x="4075"/>
        <item m="1" x="4547"/>
        <item m="1" x="3119"/>
        <item m="1" x="2848"/>
        <item m="1" x="3750"/>
        <item m="1" x="3730"/>
        <item m="1" x="4672"/>
        <item m="1" x="5680"/>
        <item m="1" x="4431"/>
        <item m="1" x="6350"/>
        <item m="1" x="3194"/>
        <item m="1" x="2419"/>
        <item m="1" x="5807"/>
        <item m="1" x="7404"/>
        <item m="1" x="3116"/>
        <item m="1" x="7101"/>
        <item m="1" x="4957"/>
        <item m="1" x="5034"/>
        <item m="1" x="7167"/>
        <item m="1" x="4099"/>
        <item m="1" x="6911"/>
        <item m="1" x="3009"/>
        <item m="1" x="6032"/>
        <item m="1" x="4355"/>
        <item m="1" x="3987"/>
        <item m="1" x="7968"/>
        <item m="1" x="4298"/>
        <item m="1" x="2773"/>
        <item m="1" x="4528"/>
        <item m="1" x="6762"/>
        <item m="1" x="6908"/>
        <item m="1" x="6213"/>
        <item m="1" x="6178"/>
        <item m="1" x="7869"/>
        <item m="1" x="2700"/>
        <item m="1" x="2489"/>
        <item m="1" x="7904"/>
        <item m="1" x="2216"/>
        <item m="1" x="4265"/>
        <item m="1" x="3725"/>
        <item m="1" x="4765"/>
        <item m="1" x="6764"/>
        <item m="1" x="5797"/>
        <item m="1" x="6513"/>
        <item m="1" x="6172"/>
        <item m="1" x="2698"/>
        <item x="1023"/>
        <item m="1" x="7752"/>
        <item m="1" x="2339"/>
        <item m="1" x="7328"/>
        <item m="1" x="6938"/>
        <item m="1" x="6602"/>
        <item m="1" x="7042"/>
        <item m="1" x="6848"/>
        <item m="1" x="2365"/>
        <item m="1" x="5174"/>
        <item m="1" x="3861"/>
        <item m="1" x="5922"/>
        <item m="1" x="6660"/>
        <item m="1" x="7580"/>
        <item m="1" x="3598"/>
        <item m="1" x="4663"/>
        <item m="1" x="4314"/>
        <item m="1" x="2300"/>
        <item m="1" x="2257"/>
        <item m="1" x="2507"/>
        <item m="1" x="7411"/>
        <item m="1" x="2240"/>
        <item m="1" x="6496"/>
        <item m="1" x="5476"/>
        <item m="1" x="7473"/>
        <item m="1" x="6319"/>
        <item m="1" x="4922"/>
        <item m="1" x="7553"/>
        <item m="1" x="7023"/>
        <item m="1" x="7236"/>
        <item m="1" x="3739"/>
        <item m="1" x="5760"/>
        <item m="1" x="6928"/>
        <item m="1" x="7622"/>
        <item m="1" x="3350"/>
        <item m="1" x="5839"/>
        <item m="1" x="3269"/>
        <item x="1024"/>
        <item m="1" x="2853"/>
        <item m="1" x="6238"/>
        <item m="1" x="4687"/>
        <item m="1" x="3117"/>
        <item m="1" x="4850"/>
        <item m="1" x="3969"/>
        <item m="1" x="5502"/>
        <item m="1" x="2739"/>
        <item m="1" x="2640"/>
        <item m="1" x="3059"/>
        <item m="1" x="3765"/>
        <item m="1" x="6999"/>
        <item m="1" x="6272"/>
        <item m="1" x="5481"/>
        <item m="1" x="4816"/>
        <item m="1" x="6237"/>
        <item m="1" x="5490"/>
        <item m="1" x="7132"/>
        <item m="1" x="5078"/>
        <item m="1" x="6340"/>
        <item m="1" x="5869"/>
        <item m="1" x="5118"/>
        <item m="1" x="2279"/>
        <item m="1" x="5824"/>
        <item m="1" x="6488"/>
        <item m="1" x="7331"/>
        <item m="1" x="5591"/>
        <item m="1" x="5506"/>
        <item m="1" x="5584"/>
        <item m="1" x="6440"/>
        <item x="1025"/>
        <item x="1026"/>
        <item m="1" x="5956"/>
        <item m="1" x="7707"/>
        <item m="1" x="6231"/>
        <item m="1" x="4140"/>
        <item m="1" x="3552"/>
        <item m="1" x="6002"/>
        <item m="1" x="2367"/>
        <item m="1" x="2411"/>
        <item m="1" x="3940"/>
        <item m="1" x="5470"/>
        <item m="1" x="7365"/>
        <item m="1" x="6076"/>
        <item m="1" x="4416"/>
        <item x="1027"/>
        <item x="1028"/>
        <item m="1" x="3267"/>
        <item m="1" x="3953"/>
        <item m="1" x="7787"/>
        <item m="1" x="2422"/>
        <item m="1" x="6960"/>
        <item m="1" x="5662"/>
        <item m="1" x="5018"/>
        <item m="1" x="7758"/>
        <item m="1" x="7353"/>
        <item m="1" x="4052"/>
        <item m="1" x="6369"/>
        <item m="1" x="3492"/>
        <item m="1" x="3740"/>
        <item m="1" x="2942"/>
        <item m="1" x="7801"/>
        <item x="1029"/>
        <item m="1" x="4531"/>
        <item m="1" x="3484"/>
        <item m="1" x="6018"/>
        <item m="1" x="7271"/>
        <item m="1" x="6742"/>
        <item m="1" x="6275"/>
        <item x="1030"/>
        <item m="1" x="2778"/>
        <item m="1" x="3183"/>
        <item m="1" x="3821"/>
        <item x="1031"/>
        <item x="1032"/>
        <item m="1" x="5399"/>
        <item m="1" x="5747"/>
        <item m="1" x="4386"/>
        <item m="1" x="7658"/>
        <item m="1" x="3290"/>
        <item m="1" x="3820"/>
        <item m="1" x="4470"/>
        <item m="1" x="3142"/>
        <item m="1" x="7764"/>
        <item m="1" x="2439"/>
        <item m="1" x="4348"/>
        <item m="1" x="6274"/>
        <item m="1" x="7607"/>
        <item m="1" x="7819"/>
        <item m="1" x="3398"/>
        <item m="1" x="3601"/>
        <item m="1" x="6165"/>
        <item m="1" x="5306"/>
        <item m="1" x="7121"/>
        <item m="1" x="6907"/>
        <item m="1" x="7054"/>
        <item m="1" x="6302"/>
        <item m="1" x="3448"/>
        <item m="1" x="6411"/>
        <item m="1" x="4380"/>
        <item m="1" x="2962"/>
        <item m="1" x="4605"/>
        <item m="1" x="7860"/>
        <item m="1" x="5152"/>
        <item m="1" x="6837"/>
        <item m="1" x="6188"/>
        <item m="1" x="4828"/>
        <item m="1" x="2774"/>
        <item m="1" x="5887"/>
        <item m="1" x="7094"/>
        <item m="1" x="4020"/>
        <item m="1" x="7115"/>
        <item m="1" x="4351"/>
        <item m="1" x="4895"/>
        <item m="1" x="4798"/>
        <item x="1033"/>
        <item m="1" x="4340"/>
        <item m="1" x="4374"/>
        <item m="1" x="7947"/>
        <item m="1" x="4661"/>
        <item m="1" x="5962"/>
        <item m="1" x="6217"/>
        <item m="1" x="4489"/>
        <item m="1" x="7093"/>
        <item m="1" x="3507"/>
        <item m="1" x="3149"/>
        <item m="1" x="4673"/>
        <item m="1" x="7088"/>
        <item m="1" x="3432"/>
        <item m="1" x="2574"/>
        <item m="1" x="3686"/>
        <item m="1" x="6759"/>
        <item m="1" x="6565"/>
        <item m="1" x="3481"/>
        <item m="1" x="7237"/>
        <item m="1" x="3624"/>
        <item m="1" x="4590"/>
        <item m="1" x="5433"/>
        <item m="1" x="6408"/>
        <item m="1" x="7840"/>
        <item m="1" x="4643"/>
        <item m="1" x="4050"/>
        <item m="1" x="2493"/>
        <item m="1" x="3461"/>
        <item m="1" x="2655"/>
        <item m="1" x="7569"/>
        <item m="1" x="3600"/>
        <item m="1" x="2693"/>
        <item m="1" x="7742"/>
        <item m="1" x="3304"/>
        <item m="1" x="3082"/>
        <item m="1" x="7496"/>
        <item m="1" x="4552"/>
        <item m="1" x="6123"/>
        <item m="1" x="4791"/>
        <item m="1" x="6873"/>
        <item m="1" x="4731"/>
        <item m="1" x="7596"/>
        <item m="1" x="3168"/>
        <item m="1" x="7513"/>
        <item m="1" x="5195"/>
        <item m="1" x="7168"/>
        <item m="1" x="4530"/>
        <item m="1" x="6301"/>
        <item m="1" x="2710"/>
        <item m="1" x="3218"/>
        <item m="1" x="7504"/>
        <item m="1" x="3404"/>
        <item m="1" x="3003"/>
        <item m="1" x="5592"/>
        <item m="1" x="3344"/>
        <item m="1" x="3732"/>
        <item m="1" x="6336"/>
        <item m="1" x="3681"/>
        <item m="1" x="4437"/>
        <item m="1" x="6357"/>
        <item m="1" x="6115"/>
        <item m="1" x="6202"/>
        <item m="1" x="3649"/>
        <item m="1" x="2210"/>
        <item m="1" x="7405"/>
        <item m="1" x="5238"/>
        <item m="1" x="3859"/>
        <item m="1" x="3231"/>
        <item m="1" x="5343"/>
        <item m="1" x="5310"/>
        <item m="1" x="4135"/>
        <item m="1" x="2740"/>
        <item m="1" x="7460"/>
        <item m="1" x="7555"/>
        <item x="1034"/>
        <item x="1035"/>
        <item m="1" x="5156"/>
        <item x="1036"/>
        <item m="1" x="5250"/>
        <item m="1" x="4636"/>
        <item m="1" x="3559"/>
        <item m="1" x="5729"/>
        <item m="1" x="6734"/>
        <item m="1" x="2750"/>
        <item m="1" x="5355"/>
        <item x="1037"/>
        <item m="1" x="5504"/>
        <item m="1" x="6566"/>
        <item m="1" x="4642"/>
        <item m="1" x="2641"/>
        <item m="1" x="6454"/>
        <item m="1" x="4063"/>
        <item m="1" x="7761"/>
        <item m="1" x="7097"/>
        <item m="1" x="2912"/>
        <item m="1" x="6643"/>
        <item m="1" x="3052"/>
        <item x="1038"/>
        <item m="1" x="3121"/>
        <item m="1" x="6914"/>
        <item m="1" x="7415"/>
        <item m="1" x="4982"/>
        <item m="1" x="2579"/>
        <item m="1" x="5109"/>
        <item m="1" x="6909"/>
        <item m="1" x="2410"/>
        <item m="1" x="7190"/>
        <item m="1" x="6243"/>
        <item m="1" x="2707"/>
        <item m="1" x="2494"/>
        <item m="1" x="4458"/>
        <item m="1" x="4198"/>
        <item m="1" x="5957"/>
        <item m="1" x="4739"/>
        <item m="1" x="3256"/>
        <item m="1" x="5638"/>
        <item m="1" x="2705"/>
        <item m="1" x="4694"/>
        <item m="1" x="6298"/>
        <item x="1039"/>
        <item m="1" x="2340"/>
        <item m="1" x="4430"/>
        <item m="1" x="3866"/>
        <item m="1" x="5667"/>
        <item m="1" x="5023"/>
        <item m="1" x="6211"/>
        <item m="1" x="6805"/>
        <item m="1" x="3211"/>
        <item m="1" x="3195"/>
        <item m="1" x="4084"/>
        <item m="1" x="6280"/>
        <item m="1" x="7200"/>
        <item m="1" x="5484"/>
        <item m="1" x="4823"/>
        <item m="1" x="4935"/>
        <item m="1" x="6242"/>
        <item m="1" x="6445"/>
        <item x="1040"/>
        <item m="1" x="7709"/>
        <item m="1" x="7055"/>
        <item m="1" x="7478"/>
        <item m="1" x="4359"/>
        <item m="1" x="7173"/>
        <item m="1" x="6638"/>
        <item m="1" x="6109"/>
        <item m="1" x="5496"/>
        <item m="1" x="7133"/>
        <item m="1" x="4929"/>
        <item m="1" x="3983"/>
        <item m="1" x="3555"/>
        <item m="1" x="7527"/>
        <item m="1" x="3848"/>
        <item m="1" x="4602"/>
        <item m="1" x="2372"/>
        <item m="1" x="7578"/>
        <item m="1" x="5818"/>
        <item m="1" x="5083"/>
        <item m="1" x="5267"/>
        <item m="1" x="2934"/>
        <item m="1" x="4690"/>
        <item m="1" x="7294"/>
        <item m="1" x="4696"/>
        <item m="1" x="3354"/>
        <item m="1" x="6079"/>
        <item m="1" x="4417"/>
        <item m="1" x="7117"/>
        <item m="1" x="3273"/>
        <item x="1041"/>
        <item m="1" x="2855"/>
        <item m="1" x="6386"/>
        <item m="1" x="5122"/>
        <item m="1" x="3219"/>
        <item m="1" x="2531"/>
        <item m="1" x="7671"/>
        <item m="1" x="3934"/>
        <item m="1" x="3464"/>
        <item m="1" x="6966"/>
        <item m="1" x="3189"/>
        <item m="1" x="3253"/>
        <item m="1" x="6492"/>
        <item m="1" x="6593"/>
        <item m="1" x="6802"/>
        <item m="1" x="7834"/>
        <item m="1" x="3767"/>
        <item m="1" x="7333"/>
        <item m="1" x="6279"/>
        <item m="1" x="2946"/>
        <item m="1" x="5082"/>
        <item m="1" x="7272"/>
        <item m="1" x="7288"/>
        <item x="1042"/>
        <item m="1" x="2820"/>
        <item m="1" x="6491"/>
        <item m="1" x="4389"/>
        <item m="1" x="7662"/>
        <item m="1" x="3147"/>
        <item m="1" x="2441"/>
        <item m="1" x="5314"/>
        <item m="1" x="6244"/>
        <item m="1" x="3088"/>
        <item m="1" x="4384"/>
        <item m="1" x="2442"/>
        <item m="1" x="4996"/>
        <item m="1" x="2633"/>
        <item m="1" x="4151"/>
        <item m="1" x="6198"/>
        <item m="1" x="5183"/>
        <item m="1" x="6221"/>
        <item m="1" x="4491"/>
        <item m="1" x="3436"/>
        <item m="1" x="4079"/>
        <item m="1" x="5808"/>
        <item m="1" x="5850"/>
        <item m="1" x="7835"/>
        <item m="1" x="3878"/>
        <item m="1" x="3487"/>
        <item m="1" x="6743"/>
        <item m="1" x="6790"/>
        <item m="1" x="2343"/>
        <item m="1" x="7145"/>
        <item m="1" x="5648"/>
        <item m="1" x="2604"/>
        <item m="1" x="3453"/>
        <item x="1043"/>
        <item m="1" x="6024"/>
        <item m="1" x="5507"/>
        <item m="1" x="6569"/>
        <item m="1" x="3690"/>
        <item m="1" x="4911"/>
        <item m="1" x="6374"/>
        <item m="1" x="4535"/>
        <item m="1" x="6025"/>
        <item x="1044"/>
        <item m="1" x="2781"/>
        <item m="1" x="2305"/>
        <item x="1045"/>
        <item m="1" x="7805"/>
        <item m="1" x="4472"/>
        <item m="1" x="6305"/>
        <item m="1" x="6415"/>
        <item m="1" x="4143"/>
        <item m="1" x="7623"/>
        <item m="1" x="4701"/>
        <item m="1" x="5559"/>
        <item m="1" x="5225"/>
        <item x="1046"/>
        <item m="1" x="4346"/>
        <item m="1" x="7714"/>
        <item m="1" x="4508"/>
        <item m="1" x="4492"/>
        <item m="1" x="7744"/>
        <item m="1" x="3308"/>
        <item m="1" x="7500"/>
        <item m="1" x="6062"/>
        <item m="1" x="3769"/>
        <item m="1" x="4781"/>
        <item m="1" x="7171"/>
        <item m="1" x="3378"/>
        <item m="1" x="3651"/>
        <item m="1" x="6788"/>
        <item m="1" x="3005"/>
        <item m="1" x="4436"/>
        <item m="1" x="7298"/>
        <item x="1047"/>
        <item x="1048"/>
        <item m="1" x="2555"/>
        <item m="1" x="5670"/>
        <item m="1" x="4419"/>
        <item m="1" x="2405"/>
        <item m="1" x="5011"/>
        <item m="1" x="4644"/>
        <item m="1" x="5114"/>
        <item m="1" x="3439"/>
        <item m="1" x="7853"/>
        <item m="1" x="2644"/>
        <item m="1" x="3643"/>
        <item m="1" x="6397"/>
        <item m="1" x="6283"/>
        <item m="1" x="3794"/>
        <item m="1" x="3837"/>
        <item m="1" x="3479"/>
        <item m="1" x="5940"/>
        <item m="1" x="6568"/>
        <item m="1" x="7933"/>
        <item m="1" x="5160"/>
        <item m="1" x="2413"/>
        <item m="1" x="7195"/>
        <item x="1049"/>
        <item m="1" x="2697"/>
        <item m="1" x="3007"/>
        <item m="1" x="6182"/>
        <item m="1" x="3228"/>
        <item m="1" x="6594"/>
        <item m="1" x="6297"/>
        <item m="1" x="7326"/>
        <item m="1" x="4469"/>
        <item m="1" x="4136"/>
        <item m="1" x="2713"/>
        <item m="1" x="5037"/>
        <item m="1" x="2709"/>
        <item m="1" x="2499"/>
        <item m="1" x="6278"/>
        <item m="1" x="7092"/>
        <item m="1" x="4345"/>
        <item m="1" x="5253"/>
        <item m="1" x="4638"/>
        <item m="1" x="5388"/>
        <item m="1" x="5282"/>
        <item m="1" x="4095"/>
        <item m="1" x="6417"/>
        <item m="1" x="7514"/>
        <item m="1" x="4146"/>
        <item m="1" x="3469"/>
        <item m="1" x="2821"/>
        <item m="1" x="3735"/>
        <item m="1" x="4127"/>
        <item m="1" x="5736"/>
        <item m="1" x="2913"/>
        <item m="1" x="6645"/>
        <item m="1" x="3008"/>
        <item m="1" x="5228"/>
        <item m="1" x="4191"/>
        <item m="1" x="3109"/>
        <item m="1" x="7065"/>
        <item m="1" x="5357"/>
        <item m="1" x="7005"/>
        <item m="1" x="4403"/>
        <item m="1" x="4805"/>
        <item m="1" x="7432"/>
        <item m="1" x="7804"/>
        <item m="1" x="3169"/>
        <item m="1" x="4864"/>
        <item m="1" x="2803"/>
        <item x="1050"/>
        <item x="1051"/>
        <item m="1" x="3122"/>
        <item m="1" x="7723"/>
        <item m="1" x="5468"/>
        <item m="1" x="2498"/>
        <item m="1" x="5529"/>
        <item m="1" x="5913"/>
        <item x="1052"/>
        <item m="1" x="6307"/>
        <item m="1" x="7414"/>
        <item m="1" x="2371"/>
        <item m="1" x="6516"/>
        <item m="1" x="5587"/>
        <item m="1" x="6110"/>
        <item m="1" x="4797"/>
        <item m="1" x="2618"/>
        <item m="1" x="2338"/>
        <item m="1" x="4308"/>
        <item m="1" x="5438"/>
        <item m="1" x="7419"/>
        <item m="1" x="7379"/>
        <item m="1" x="4304"/>
        <item m="1" x="6669"/>
        <item m="1" x="7584"/>
        <item m="1" x="4358"/>
        <item m="1" x="3780"/>
        <item m="1" x="2947"/>
        <item m="1" x="7690"/>
        <item m="1" x="7972"/>
        <item m="1" x="6874"/>
        <item x="1053"/>
        <item m="1" x="2857"/>
        <item m="1" x="6282"/>
        <item m="1" x="5844"/>
        <item m="1" x="2851"/>
        <item x="1054"/>
        <item x="1055"/>
        <item x="1056"/>
        <item m="1" x="6571"/>
        <item m="1" x="7338"/>
        <item m="1" x="4885"/>
        <item m="1" x="3557"/>
        <item m="1" x="6349"/>
        <item m="1" x="6081"/>
        <item m="1" x="4420"/>
        <item x="1057"/>
        <item x="1058"/>
        <item m="1" x="6972"/>
        <item m="1" x="4234"/>
        <item m="1" x="3664"/>
        <item x="1059"/>
        <item m="1" x="7668"/>
        <item m="1" x="7557"/>
        <item m="1" x="3770"/>
        <item m="1" x="7800"/>
        <item m="1" x="6206"/>
        <item m="1" x="4153"/>
        <item m="1" x="3863"/>
        <item m="1" x="5874"/>
        <item m="1" x="3511"/>
        <item m="1" x="7523"/>
        <item m="1" x="4441"/>
        <item x="1060"/>
        <item m="1" x="7388"/>
        <item m="1" x="4058"/>
        <item m="1" x="6376"/>
        <item m="1" x="3306"/>
        <item m="1" x="6031"/>
        <item m="1" x="6286"/>
        <item m="1" x="7769"/>
        <item x="1061"/>
        <item x="1062"/>
        <item m="1" x="6010"/>
        <item m="1" x="6013"/>
        <item m="1" x="3879"/>
        <item m="1" x="5579"/>
        <item x="1063"/>
        <item m="1" x="4474"/>
        <item m="1" x="2609"/>
        <item m="1" x="2212"/>
        <item m="1" x="7627"/>
        <item m="1" x="5358"/>
        <item m="1" x="5473"/>
        <item m="1" x="4575"/>
        <item m="1" x="5058"/>
        <item m="1" x="7507"/>
        <item x="1064"/>
        <item m="1" x="6030"/>
        <item x="1065"/>
        <item x="1066"/>
        <item m="1" x="4901"/>
        <item m="1" x="6323"/>
        <item m="1" x="5200"/>
        <item m="1" x="6763"/>
        <item m="1" x="5821"/>
        <item m="1" x="3235"/>
        <item m="1" x="4423"/>
        <item m="1" x="3341"/>
        <item m="1" x="5015"/>
        <item m="1" x="4350"/>
        <item m="1" x="4640"/>
        <item m="1" x="6684"/>
        <item m="1" x="3010"/>
        <item m="1" x="6143"/>
        <item m="1" x="5361"/>
        <item m="1" x="5522"/>
        <item x="1067"/>
        <item m="1" x="7051"/>
        <item m="1" x="2949"/>
        <item m="1" x="2648"/>
        <item m="1" x="6399"/>
        <item m="1" x="3232"/>
        <item m="1" x="6457"/>
        <item m="1" x="6255"/>
        <item m="1" x="7843"/>
        <item m="1" x="5231"/>
        <item m="1" x="5360"/>
        <item m="1" x="3056"/>
        <item m="1" x="4790"/>
        <item m="1" x="4532"/>
        <item m="1" x="7069"/>
        <item m="1" x="4405"/>
        <item m="1" x="5442"/>
        <item x="1068"/>
        <item m="1" x="4273"/>
        <item m="1" x="2583"/>
        <item m="1" x="5761"/>
        <item m="1" x="3647"/>
        <item x="1069"/>
        <item m="1" x="5376"/>
        <item m="1" x="2504"/>
        <item m="1" x="7684"/>
        <item m="1" x="3455"/>
        <item m="1" x="6929"/>
        <item m="1" x="5684"/>
        <item x="1070"/>
        <item m="1" x="6251"/>
        <item m="1" x="7210"/>
        <item m="1" x="3079"/>
        <item m="1" x="6082"/>
        <item m="1" x="5254"/>
        <item m="1" x="7490"/>
        <item m="1" x="7182"/>
        <item m="1" x="6364"/>
        <item m="1" x="6878"/>
        <item m="1" x="6347"/>
        <item m="1" x="7914"/>
        <item m="1" x="2296"/>
        <item x="1071"/>
        <item m="1" x="4444"/>
        <item m="1" x="6393"/>
        <item m="1" x="6075"/>
        <item m="1" x="7028"/>
        <item m="1" x="3190"/>
        <item x="1072"/>
        <item m="1" x="6285"/>
        <item m="1" x="3053"/>
        <item m="1" x="7140"/>
        <item m="1" x="4014"/>
        <item m="1" x="2852"/>
        <item m="1" x="2955"/>
        <item m="1" x="5650"/>
        <item m="1" x="3302"/>
        <item m="1" x="7276"/>
        <item m="1" x="6290"/>
        <item m="1" x="5516"/>
        <item m="1" x="2751"/>
        <item m="1" x="3389"/>
        <item m="1" x="2783"/>
        <item m="1" x="5193"/>
        <item m="1" x="4754"/>
        <item m="1" x="4502"/>
        <item m="1" x="4263"/>
        <item m="1" x="4362"/>
        <item m="1" x="5625"/>
        <item m="1" x="7781"/>
        <item m="1" x="4888"/>
        <item m="1" x="3560"/>
        <item m="1" x="6320"/>
        <item m="1" x="4021"/>
        <item m="1" x="7508"/>
        <item m="1" x="6254"/>
        <item m="1" x="2344"/>
        <item m="1" x="7284"/>
        <item m="1" x="7261"/>
        <item m="1" x="4392"/>
        <item m="1" x="6273"/>
        <item m="1" x="6322"/>
        <item m="1" x="4235"/>
        <item m="1" x="6208"/>
        <item m="1" x="4692"/>
        <item m="1" x="7729"/>
        <item m="1" x="4426"/>
        <item m="1" x="7530"/>
        <item m="1" x="2858"/>
        <item m="1" x="7119"/>
        <item m="1" x="5903"/>
        <item m="1" x="6201"/>
        <item x="1073"/>
        <item m="1" x="7024"/>
        <item m="1" x="4452"/>
        <item m="1" x="3756"/>
        <item x="1074"/>
        <item x="1075"/>
        <item m="1" x="7873"/>
        <item m="1" x="6840"/>
        <item m="1" x="3173"/>
        <item m="1" x="6453"/>
        <item m="1" x="4956"/>
        <item m="1" x="4061"/>
        <item m="1" x="7996"/>
        <item m="1" x="3849"/>
        <item m="1" x="7663"/>
        <item m="1" x="6245"/>
        <item m="1" x="4953"/>
        <item m="1" x="5204"/>
        <item m="1" x="2469"/>
        <item m="1" x="6977"/>
        <item x="1076"/>
        <item m="1" x="6443"/>
        <item m="1" x="5244"/>
        <item m="1" x="6414"/>
        <item m="1" x="7766"/>
        <item m="1" x="2298"/>
        <item m="1" x="4688"/>
        <item m="1" x="3897"/>
        <item m="1" x="3358"/>
        <item m="1" x="6420"/>
        <item m="1" x="5325"/>
        <item m="1" x="3288"/>
        <item m="1" x="5019"/>
        <item m="1" x="2591"/>
        <item x="1077"/>
        <item m="1" x="5478"/>
        <item x="1078"/>
        <item m="1" x="6035"/>
        <item x="1079"/>
        <item x="1080"/>
        <item x="1081"/>
        <item m="1" x="3553"/>
        <item m="1" x="3222"/>
        <item m="1" x="3841"/>
        <item m="1" x="2394"/>
        <item m="1" x="5362"/>
        <item m="1" x="4749"/>
        <item x="1082"/>
        <item x="1083"/>
        <item x="1084"/>
        <item x="1085"/>
        <item m="1" x="4354"/>
        <item m="1" x="6146"/>
        <item m="1" x="6191"/>
        <item x="1086"/>
        <item m="1" x="4447"/>
        <item x="1087"/>
        <item m="1" x="4064"/>
        <item x="1088"/>
        <item m="1" x="7098"/>
        <item m="1" x="7844"/>
        <item m="1" x="6343"/>
        <item m="1" x="7009"/>
        <item m="1" x="4408"/>
        <item x="1089"/>
        <item x="1090"/>
        <item x="1091"/>
        <item m="1" x="3057"/>
        <item m="1" x="4757"/>
        <item m="1" x="6324"/>
        <item m="1" x="2860"/>
        <item m="1" x="6175"/>
        <item m="1" x="4891"/>
        <item m="1" x="3562"/>
        <item m="1" x="4023"/>
        <item m="1" x="4429"/>
        <item x="1092"/>
        <item x="1093"/>
        <item m="1" x="7383"/>
        <item m="1" x="6980"/>
        <item m="1" x="7536"/>
        <item x="1094"/>
        <item m="1" x="7400"/>
        <item x="1095"/>
        <item m="1" x="5682"/>
        <item x="1096"/>
        <item x="1097"/>
        <item x="1098"/>
        <item m="1" x="4357"/>
        <item m="1" x="6756"/>
        <item x="1099"/>
        <item m="1" x="3603"/>
        <item m="1" x="2666"/>
        <item m="1" x="4578"/>
        <item m="1" x="5527"/>
        <item x="1100"/>
        <item m="1" x="5235"/>
        <item x="1101"/>
        <item m="1" x="3348"/>
        <item m="1" x="7141"/>
        <item m="1" x="4065"/>
        <item m="1" x="4549"/>
        <item m="1" x="2345"/>
        <item m="1" x="7083"/>
        <item m="1" x="4409"/>
        <item x="1102"/>
        <item m="1" x="6776"/>
        <item m="1" x="7286"/>
        <item x="1103"/>
        <item m="1" x="2509"/>
        <item m="1" x="6346"/>
        <item m="1" x="7691"/>
        <item m="1" x="6016"/>
        <item x="1104"/>
        <item m="1" x="7474"/>
        <item m="1" x="6698"/>
        <item m="1" x="6881"/>
        <item x="1105"/>
        <item m="1" x="3061"/>
        <item m="1" x="6189"/>
        <item m="1" x="4760"/>
        <item m="1" x="6325"/>
        <item m="1" x="2941"/>
        <item m="1" x="2863"/>
        <item m="1" x="4306"/>
        <item x="1106"/>
        <item m="1" x="5146"/>
        <item m="1" x="7403"/>
        <item m="1" x="3758"/>
        <item m="1" x="4025"/>
        <item m="1" x="4600"/>
        <item m="1" x="4435"/>
        <item m="1" x="7540"/>
        <item m="1" x="5685"/>
        <item x="1107"/>
        <item x="1108"/>
        <item m="1" x="6983"/>
        <item x="1109"/>
        <item x="1110"/>
        <item m="1" x="5346"/>
        <item m="1" x="5530"/>
        <item x="1111"/>
        <item m="1" x="3351"/>
        <item m="1" x="3375"/>
        <item x="1112"/>
        <item m="1" x="7519"/>
        <item m="1" x="3659"/>
        <item x="1113"/>
        <item m="1" x="2672"/>
        <item m="1" x="6879"/>
        <item m="1" x="3000"/>
        <item m="1" x="5550"/>
        <item x="1114"/>
        <item m="1" x="4360"/>
        <item x="1115"/>
        <item m="1" x="4067"/>
        <item m="1" x="2351"/>
        <item m="1" x="7089"/>
        <item m="1" x="4410"/>
        <item x="1116"/>
        <item x="1117"/>
        <item m="1" x="7287"/>
        <item m="1" x="6703"/>
        <item m="1" x="2328"/>
        <item m="1" x="3064"/>
        <item m="1" x="4612"/>
        <item m="1" x="4316"/>
        <item m="1" x="5218"/>
        <item x="1118"/>
        <item m="1" x="7109"/>
        <item m="1" x="3101"/>
        <item m="1" x="7494"/>
        <item m="1" x="5391"/>
        <item m="1" x="4253"/>
        <item m="1" x="5488"/>
        <item m="1" x="7189"/>
        <item m="1" x="2511"/>
        <item m="1" x="6327"/>
        <item m="1" x="2945"/>
        <item m="1" x="3531"/>
        <item m="1" x="6351"/>
        <item m="1" x="6883"/>
        <item x="1119"/>
        <item m="1" x="4677"/>
        <item m="1" x="2864"/>
        <item m="1" x="5526"/>
        <item m="1" x="5785"/>
        <item x="1120"/>
        <item x="1121"/>
        <item x="1122"/>
        <item m="1" x="5856"/>
        <item x="1123"/>
        <item m="1" x="3781"/>
        <item m="1" x="7340"/>
        <item m="1" x="3868"/>
        <item m="1" x="6294"/>
        <item m="1" x="5299"/>
        <item m="1" x="5140"/>
        <item m="1" x="6827"/>
        <item m="1" x="4027"/>
        <item m="1" x="4440"/>
        <item m="1" x="7060"/>
        <item m="1" x="7385"/>
        <item m="1" x="5659"/>
        <item m="1" x="5221"/>
        <item m="1" x="6985"/>
        <item m="1" x="2302"/>
        <item m="1" x="6055"/>
        <item m="1" x="5460"/>
        <item m="1" x="6868"/>
        <item m="1" x="4503"/>
        <item m="1" x="3759"/>
        <item m="1" x="5633"/>
        <item m="1" x="5593"/>
        <item m="1" x="4604"/>
        <item m="1" x="7544"/>
        <item m="1" x="2684"/>
        <item m="1" x="3911"/>
        <item m="1" x="6344"/>
        <item x="1124"/>
        <item m="1" x="2327"/>
        <item m="1" x="7408"/>
        <item m="1" x="7824"/>
        <item m="1" x="7157"/>
        <item m="1" x="7438"/>
        <item m="1" x="2585"/>
        <item m="1" x="3457"/>
        <item m="1" x="7899"/>
        <item m="1" x="5335"/>
        <item x="1125"/>
        <item x="1126"/>
        <item m="1" x="7396"/>
        <item m="1" x="2601"/>
        <item m="1" x="2451"/>
        <item m="1" x="3069"/>
        <item m="1" x="3277"/>
        <item m="1" x="5532"/>
        <item m="1" x="5237"/>
        <item x="1127"/>
        <item m="1" x="6967"/>
        <item m="1" x="6505"/>
        <item m="1" x="6653"/>
        <item m="1" x="3355"/>
        <item m="1" x="3134"/>
        <item m="1" x="5304"/>
        <item m="1" x="5313"/>
        <item m="1" x="5978"/>
        <item x="1128"/>
        <item m="1" x="6664"/>
        <item m="1" x="5449"/>
        <item m="1" x="4072"/>
        <item m="1" x="3043"/>
        <item m="1" x="5029"/>
        <item m="1" x="4654"/>
        <item m="1" x="2207"/>
        <item m="1" x="4260"/>
        <item m="1" x="2254"/>
        <item m="1" x="4609"/>
        <item m="1" x="4912"/>
        <item m="1" x="3410"/>
        <item m="1" x="7981"/>
        <item m="1" x="4537"/>
        <item m="1" x="3386"/>
        <item m="1" x="7420"/>
        <item m="1" x="4830"/>
        <item m="1" x="4361"/>
        <item m="1" x="2638"/>
        <item m="1" x="3700"/>
        <item m="1" x="2726"/>
        <item m="1" x="2353"/>
        <item m="1" x="4028"/>
        <item m="1" x="5549"/>
        <item m="1" x="3666"/>
        <item m="1" x="5565"/>
        <item m="1" x="6708"/>
        <item m="1" x="7943"/>
        <item m="1" x="4893"/>
        <item m="1" x="2825"/>
        <item m="1" x="3745"/>
        <item m="1" x="5464"/>
        <item m="1" x="7851"/>
        <item m="1" x="5919"/>
        <item x="1129"/>
        <item m="1" x="4009"/>
        <item m="1" x="7095"/>
        <item m="1" x="2675"/>
        <item m="1" x="3001"/>
        <item m="1" x="3237"/>
        <item m="1" x="7299"/>
        <item x="1130"/>
        <item m="1" x="4591"/>
        <item m="1" x="4728"/>
        <item m="1" x="2517"/>
        <item m="1" x="3338"/>
        <item m="1" x="4866"/>
        <item m="1" x="4993"/>
        <item m="1" x="4991"/>
        <item m="1" x="7226"/>
        <item m="1" x="6584"/>
        <item m="1" x="2535"/>
        <item m="1" x="5935"/>
        <item m="1" x="4818"/>
        <item m="1" x="6738"/>
        <item m="1" x="7472"/>
        <item m="1" x="5497"/>
        <item m="1" x="7641"/>
        <item m="1" x="5555"/>
        <item m="1" x="4710"/>
        <item m="1" x="6939"/>
        <item m="1" x="2237"/>
        <item x="1131"/>
        <item m="1" x="7965"/>
        <item m="1" x="4618"/>
        <item m="1" x="4318"/>
        <item m="1" x="4937"/>
        <item m="1" x="4286"/>
        <item x="1132"/>
        <item m="1" x="2809"/>
        <item m="1" x="7652"/>
        <item m="1" x="5396"/>
        <item m="1" x="5456"/>
        <item m="1" x="3537"/>
        <item m="1" x="7698"/>
        <item m="1" x="3037"/>
        <item m="1" x="5789"/>
        <item m="1" x="5141"/>
        <item m="1" x="6400"/>
        <item m="1" x="5546"/>
        <item x="1133"/>
        <item m="1" x="7479"/>
        <item m="1" x="6747"/>
        <item m="1" x="6705"/>
        <item m="1" x="2542"/>
        <item m="1" x="2723"/>
        <item m="1" x="6655"/>
        <item m="1" x="7373"/>
        <item m="1" x="6923"/>
        <item m="1" x="2443"/>
        <item m="1" x="3640"/>
        <item m="1" x="3862"/>
        <item m="1" x="6667"/>
        <item m="1" x="2922"/>
        <item m="1" x="3783"/>
        <item m="1" x="3733"/>
        <item m="1" x="7114"/>
        <item m="1" x="7499"/>
        <item m="1" x="5493"/>
        <item m="1" x="6884"/>
        <item m="1" x="7191"/>
        <item m="1" x="4493"/>
        <item m="1" x="6885"/>
        <item m="1" x="4167"/>
        <item m="1" x="5451"/>
        <item m="1" x="7687"/>
        <item x="1134"/>
        <item x="1135"/>
        <item m="1" x="7045"/>
        <item m="1" x="5466"/>
        <item x="1136"/>
        <item m="1" x="7368"/>
        <item m="1" x="3068"/>
        <item m="1" x="7068"/>
        <item m="1" x="6192"/>
        <item m="1" x="2271"/>
        <item m="1" x="4254"/>
        <item m="1" x="6329"/>
        <item m="1" x="2948"/>
        <item m="1" x="5239"/>
        <item m="1" x="4680"/>
        <item m="1" x="4421"/>
        <item m="1" x="2865"/>
        <item m="1" x="5147"/>
        <item m="1" x="7058"/>
        <item m="1" x="3495"/>
        <item m="1" x="2730"/>
        <item m="1" x="3574"/>
        <item m="1" x="4239"/>
        <item m="1" x="4282"/>
        <item m="1" x="7655"/>
        <item m="1" x="2416"/>
        <item x="1137"/>
        <item m="1" x="3105"/>
        <item m="1" x="2733"/>
        <item m="1" x="5143"/>
        <item m="1" x="6831"/>
        <item m="1" x="7609"/>
        <item m="1" x="3403"/>
        <item m="1" x="6159"/>
        <item m="1" x="4030"/>
        <item m="1" x="7841"/>
        <item m="1" x="5790"/>
        <item m="1" x="6855"/>
        <item m="1" x="2581"/>
        <item m="1" x="3024"/>
        <item m="1" x="2716"/>
        <item m="1" x="7306"/>
        <item m="1" x="6912"/>
        <item m="1" x="6989"/>
        <item m="1" x="3898"/>
        <item m="1" x="4812"/>
        <item m="1" x="7451"/>
        <item m="1" x="4868"/>
        <item m="1" x="5520"/>
        <item m="1" x="5190"/>
        <item m="1" x="5149"/>
        <item m="1" x="4980"/>
        <item m="1" x="6311"/>
        <item m="1" x="7395"/>
        <item m="1" x="2291"/>
        <item m="1" x="6793"/>
        <item m="1" x="7296"/>
        <item m="1" x="2972"/>
        <item m="1" x="2209"/>
        <item m="1" x="3642"/>
        <item x="1138"/>
        <item x="1139"/>
        <item m="1" x="7416"/>
        <item m="1" x="7614"/>
        <item m="1" x="7412"/>
        <item x="1140"/>
        <item x="1141"/>
        <item x="1142"/>
        <item m="1" x="2799"/>
        <item m="1" x="3619"/>
        <item m="1" x="5637"/>
        <item m="1" x="2606"/>
        <item m="1" x="7161"/>
        <item m="1" x="4831"/>
        <item m="1" x="6088"/>
        <item m="1" x="2837"/>
        <item m="1" x="7794"/>
        <item m="1" x="2455"/>
        <item m="1" x="3073"/>
        <item m="1" x="7029"/>
        <item m="1" x="7493"/>
        <item m="1" x="4290"/>
        <item m="1" x="2674"/>
        <item m="1" x="6345"/>
        <item m="1" x="2275"/>
        <item m="1" x="7262"/>
        <item m="1" x="3672"/>
        <item m="1" x="3388"/>
        <item m="1" x="5421"/>
        <item m="1" x="6384"/>
        <item m="1" x="3838"/>
        <item m="1" x="2973"/>
        <item m="1" x="3280"/>
        <item m="1" x="6919"/>
        <item m="1" x="5712"/>
        <item m="1" x="6685"/>
        <item m="1" x="2554"/>
        <item m="1" x="6179"/>
        <item m="1" x="2589"/>
        <item m="1" x="4608"/>
        <item m="1" x="7852"/>
        <item m="1" x="3006"/>
        <item m="1" x="7546"/>
        <item m="1" x="5533"/>
        <item m="1" x="7137"/>
        <item m="1" x="6260"/>
        <item m="1" x="4042"/>
        <item m="1" x="5186"/>
        <item m="1" x="3966"/>
        <item m="1" x="4171"/>
        <item x="1143"/>
        <item m="1" x="3482"/>
        <item m="1" x="5963"/>
        <item m="1" x="5327"/>
        <item m="1" x="3516"/>
        <item m="1" x="3599"/>
        <item m="1" x="3343"/>
        <item m="1" x="2225"/>
        <item m="1" x="2593"/>
        <item m="1" x="7696"/>
        <item m="1" x="6712"/>
        <item m="1" x="6973"/>
        <item m="1" x="2450"/>
        <item m="1" x="5733"/>
        <item m="1" x="5815"/>
        <item m="1" x="4918"/>
        <item m="1" x="4477"/>
        <item m="1" x="3135"/>
        <item m="1" x="5302"/>
        <item m="1" x="3587"/>
        <item m="1" x="7422"/>
        <item m="1" x="6228"/>
        <item m="1" x="5567"/>
        <item m="1" x="7643"/>
        <item m="1" x="7467"/>
        <item m="1" x="6429"/>
        <item m="1" x="2680"/>
        <item m="1" x="3004"/>
        <item m="1" x="7638"/>
        <item m="1" x="4674"/>
        <item m="1" x="5749"/>
        <item m="1" x="5348"/>
        <item m="1" x="6942"/>
        <item x="1144"/>
        <item m="1" x="7973"/>
        <item m="1" x="5984"/>
        <item m="1" x="4664"/>
        <item m="1" x="4835"/>
        <item m="1" x="6595"/>
        <item m="1" x="3693"/>
        <item m="1" x="4367"/>
        <item m="1" x="5185"/>
        <item m="1" x="6711"/>
        <item m="1" x="4088"/>
        <item m="1" x="5777"/>
        <item x="1145"/>
        <item m="1" x="6670"/>
        <item m="1" x="5085"/>
        <item m="1" x="4594"/>
        <item m="1" x="7648"/>
        <item m="1" x="6348"/>
        <item m="1" x="7052"/>
        <item m="1" x="2629"/>
        <item m="1" x="7203"/>
        <item m="1" x="2357"/>
        <item m="1" x="2869"/>
        <item m="1" x="4670"/>
        <item m="1" x="4284"/>
        <item m="1" x="2224"/>
        <item m="1" x="5372"/>
        <item m="1" x="7099"/>
        <item m="1" x="5381"/>
        <item m="1" x="3782"/>
        <item m="1" x="2884"/>
        <item x="1146"/>
        <item m="1" x="4730"/>
        <item x="1147"/>
        <item m="1" x="2950"/>
        <item x="1148"/>
        <item m="1" x="5402"/>
        <item m="1" x="3542"/>
        <item m="1" x="5337"/>
        <item m="1" x="2377"/>
        <item m="1" x="7008"/>
        <item m="1" x="2856"/>
        <item m="1" x="4948"/>
        <item m="1" x="3406"/>
        <item m="1" x="2346"/>
        <item m="1" x="3040"/>
        <item m="1" x="6003"/>
        <item m="1" x="6313"/>
        <item m="1" x="4736"/>
        <item m="1" x="5793"/>
        <item m="1" x="5038"/>
        <item m="1" x="6401"/>
        <item m="1" x="4465"/>
        <item m="1" x="6709"/>
        <item m="1" x="2649"/>
        <item m="1" x="2301"/>
        <item m="1" x="2471"/>
        <item m="1" x="3873"/>
        <item m="1" x="6447"/>
        <item m="1" x="5924"/>
        <item m="1" x="5509"/>
        <item m="1" x="6126"/>
        <item m="1" x="3107"/>
        <item m="1" x="2810"/>
        <item m="1" x="2914"/>
        <item m="1" x="4116"/>
        <item m="1" x="7424"/>
        <item m="1" x="2518"/>
        <item m="1" x="3245"/>
        <item m="1" x="3577"/>
        <item m="1" x="2635"/>
        <item m="1" x="7053"/>
        <item m="1" x="3071"/>
        <item m="1" x="4192"/>
        <item m="1" x="7072"/>
        <item m="1" x="7660"/>
        <item x="1149"/>
        <item m="1" x="6945"/>
        <item m="1" x="3679"/>
        <item m="1" x="3401"/>
        <item m="1" x="5498"/>
        <item m="1" x="5145"/>
        <item m="1" x="6886"/>
        <item m="1" x="6833"/>
        <item m="1" x="7611"/>
        <item m="1" x="4939"/>
        <item m="1" x="6332"/>
        <item m="1" x="2953"/>
        <item m="1" x="6166"/>
        <item m="1" x="3962"/>
        <item m="1" x="4496"/>
        <item m="1" x="6887"/>
        <item m="1" x="4032"/>
        <item m="1" x="5791"/>
        <item m="1" x="4170"/>
        <item m="1" x="5242"/>
        <item m="1" x="5452"/>
        <item m="1" x="5868"/>
        <item m="1" x="7215"/>
        <item m="1" x="5148"/>
        <item m="1" x="2599"/>
        <item m="1" x="6860"/>
        <item m="1" x="2586"/>
        <item m="1" x="4682"/>
        <item m="1" x="2256"/>
        <item m="1" x="5927"/>
        <item m="1" x="2868"/>
        <item m="1" x="7063"/>
        <item m="1" x="5928"/>
        <item x="1150"/>
        <item m="1" x="3136"/>
        <item m="1" x="7309"/>
        <item m="1" x="4243"/>
        <item x="1151"/>
        <item x="1152"/>
        <item m="1" x="3234"/>
        <item m="1" x="5663"/>
        <item m="1" x="6438"/>
        <item m="1" x="4156"/>
        <item m="1" x="5462"/>
        <item m="1" x="4819"/>
        <item m="1" x="7343"/>
        <item m="1" x="3313"/>
        <item m="1" x="3771"/>
        <item m="1" x="3204"/>
        <item m="1" x="4615"/>
        <item m="1" x="7796"/>
        <item m="1" x="3719"/>
        <item m="1" x="4294"/>
        <item m="1" x="6921"/>
        <item m="1" x="5595"/>
        <item m="1" x="4611"/>
        <item m="1" x="7551"/>
        <item m="1" x="5968"/>
        <item m="1" x="4004"/>
        <item x="1153"/>
        <item m="1" x="6995"/>
        <item x="1154"/>
        <item m="1" x="7826"/>
        <item m="1" x="7162"/>
        <item m="1" x="2840"/>
        <item m="1" x="3808"/>
        <item m="1" x="7442"/>
        <item m="1" x="7856"/>
        <item m="1" x="6431"/>
        <item m="1" x="2227"/>
        <item x="1155"/>
        <item m="1" x="6796"/>
        <item m="1" x="3568"/>
        <item m="1" x="2612"/>
        <item m="1" x="4836"/>
        <item m="1" x="2459"/>
        <item m="1" x="3074"/>
        <item m="1" x="3842"/>
        <item m="1" x="5537"/>
        <item x="1156"/>
        <item m="1" x="5553"/>
        <item m="1" x="6978"/>
        <item m="1" x="3867"/>
        <item m="1" x="7425"/>
        <item m="1" x="3191"/>
        <item m="1" x="2757"/>
        <item m="1" x="7651"/>
        <item m="1" x="2682"/>
        <item m="1" x="7948"/>
        <item m="1" x="4256"/>
        <item m="1" x="6924"/>
        <item m="1" x="2229"/>
        <item m="1" x="2653"/>
        <item m="1" x="6944"/>
        <item m="1" x="5316"/>
        <item m="1" x="6753"/>
        <item m="1" x="2677"/>
        <item m="1" x="6847"/>
        <item m="1" x="3698"/>
        <item m="1" x="4924"/>
        <item m="1" x="4789"/>
        <item m="1" x="6432"/>
        <item x="1157"/>
        <item m="1" x="3620"/>
        <item m="1" x="5089"/>
        <item m="1" x="4997"/>
        <item m="1" x="4212"/>
        <item m="1" x="7301"/>
        <item m="1" x="5453"/>
        <item m="1" x="4288"/>
        <item m="1" x="2888"/>
        <item m="1" x="7509"/>
        <item m="1" x="5985"/>
        <item m="1" x="7966"/>
        <item m="1" x="4289"/>
        <item x="1158"/>
        <item m="1" x="4539"/>
        <item m="1" x="3045"/>
        <item m="1" x="4840"/>
        <item m="1" x="3546"/>
        <item m="1" x="2382"/>
        <item m="1" x="2732"/>
        <item m="1" x="7064"/>
        <item m="1" x="2363"/>
        <item m="1" x="5187"/>
        <item m="1" x="2673"/>
        <item m="1" x="2859"/>
        <item m="1" x="4091"/>
        <item m="1" x="7125"/>
        <item m="1" x="6725"/>
        <item m="1" x="5646"/>
        <item m="1" x="7116"/>
        <item m="1" x="4928"/>
        <item m="1" x="3044"/>
        <item m="1" x="6005"/>
        <item x="1159"/>
        <item m="1" x="7974"/>
        <item m="1" x="3322"/>
        <item m="1" x="7321"/>
        <item m="1" x="5796"/>
        <item m="1" x="6403"/>
        <item x="1160"/>
        <item m="1" x="6713"/>
        <item m="1" x="2544"/>
        <item m="1" x="7118"/>
        <item m="1" x="5494"/>
        <item m="1" x="3176"/>
        <item m="1" x="4734"/>
        <item m="1" x="4128"/>
        <item m="1" x="7235"/>
        <item m="1" x="6589"/>
        <item m="1" x="2447"/>
        <item m="1" x="5328"/>
        <item m="1" x="5776"/>
        <item m="1" x="3870"/>
        <item m="1" x="2303"/>
        <item m="1" x="6354"/>
        <item m="1" x="4478"/>
        <item m="1" x="4237"/>
        <item m="1" x="6895"/>
        <item m="1" x="4056"/>
        <item m="1" x="3736"/>
        <item m="1" x="7238"/>
        <item m="1" x="7603"/>
        <item m="1" x="5222"/>
        <item m="1" x="7188"/>
        <item m="1" x="6737"/>
        <item m="1" x="6106"/>
        <item m="1" x="7435"/>
        <item m="1" x="6129"/>
        <item m="1" x="7128"/>
        <item m="1" x="5616"/>
        <item m="1" x="3899"/>
        <item m="1" x="3967"/>
        <item m="1" x="4498"/>
        <item m="1" x="4177"/>
        <item m="1" x="5454"/>
        <item m="1" x="5369"/>
        <item m="1" x="4505"/>
        <item m="1" x="3390"/>
        <item m="1" x="7827"/>
        <item m="1" x="3110"/>
        <item m="1" x="2911"/>
        <item m="1" x="3875"/>
        <item m="1" x="7512"/>
        <item m="1" x="6585"/>
        <item m="1" x="7531"/>
        <item m="1" x="6745"/>
        <item m="1" x="2813"/>
        <item m="1" x="2917"/>
        <item m="1" x="4204"/>
        <item x="1161"/>
        <item m="1" x="3396"/>
        <item x="1162"/>
        <item m="1" x="4122"/>
        <item m="1" x="3958"/>
        <item m="1" x="5064"/>
        <item m="1" x="2595"/>
        <item m="1" x="5679"/>
        <item m="1" x="7347"/>
        <item m="1" x="3316"/>
        <item m="1" x="3590"/>
        <item m="1" x="3790"/>
        <item m="1" x="7855"/>
        <item m="1" x="7079"/>
        <item m="1" x="6195"/>
        <item m="1" x="2977"/>
        <item m="1" x="7481"/>
        <item m="1" x="4720"/>
        <item m="1" x="6816"/>
        <item m="1" x="2989"/>
        <item m="1" x="3102"/>
        <item m="1" x="5447"/>
        <item m="1" x="6996"/>
        <item m="1" x="3526"/>
        <item m="1" x="5895"/>
        <item m="1" x="4129"/>
        <item m="1" x="5941"/>
        <item m="1" x="4671"/>
        <item m="1" x="7013"/>
        <item m="1" x="7336"/>
        <item m="1" x="4071"/>
        <item m="1" x="6846"/>
        <item m="1" x="7845"/>
        <item m="1" x="6334"/>
        <item m="1" x="2959"/>
        <item m="1" x="6789"/>
        <item m="1" x="5599"/>
        <item m="1" x="5224"/>
        <item m="1" x="4002"/>
        <item m="1" x="7406"/>
        <item m="1" x="5969"/>
        <item m="1" x="6316"/>
        <item m="1" x="2974"/>
        <item m="1" x="4650"/>
        <item m="1" x="5870"/>
        <item m="1" x="7446"/>
        <item m="1" x="3778"/>
        <item m="1" x="2760"/>
        <item m="1" x="4683"/>
        <item m="1" x="2871"/>
        <item m="1" x="7067"/>
        <item m="1" x="7695"/>
        <item m="1" x="6461"/>
        <item m="1" x="3363"/>
        <item m="1" x="6150"/>
        <item m="1" x="3254"/>
        <item x="1163"/>
        <item m="1" x="3497"/>
        <item m="1" x="3581"/>
        <item m="1" x="3908"/>
        <item m="1" x="6508"/>
        <item m="1" x="4209"/>
        <item m="1" x="3688"/>
        <item m="1" x="4293"/>
        <item m="1" x="4248"/>
        <item m="1" x="4968"/>
        <item m="1" x="4563"/>
        <item m="1" x="2426"/>
        <item m="1" x="5207"/>
        <item m="1" x="5093"/>
        <item m="1" x="4582"/>
        <item m="1" x="4745"/>
        <item m="1" x="6306"/>
        <item m="1" x="3935"/>
        <item m="1" x="4325"/>
        <item m="1" x="3696"/>
        <item m="1" x="3095"/>
        <item m="1" x="3054"/>
        <item m="1" x="4648"/>
        <item m="1" x="6882"/>
        <item m="1" x="4112"/>
        <item m="1" x="7633"/>
        <item m="1" x="7693"/>
        <item m="1" x="5730"/>
        <item m="1" x="2506"/>
        <item m="1" x="6289"/>
        <item m="1" x="5699"/>
        <item m="1" x="4561"/>
        <item m="1" x="2246"/>
        <item m="1" x="7334"/>
        <item m="1" x="2570"/>
        <item m="1" x="5621"/>
        <item m="1" x="3150"/>
        <item m="1" x="5131"/>
        <item m="1" x="6780"/>
        <item m="1" x="3615"/>
        <item m="1" x="2282"/>
        <item m="1" x="6017"/>
        <item m="1" x="3320"/>
        <item x="1164"/>
        <item m="1" x="2545"/>
        <item m="1" x="4756"/>
        <item m="1" x="6170"/>
        <item m="1" x="4034"/>
        <item m="1" x="5794"/>
        <item m="1" x="6288"/>
        <item m="1" x="4222"/>
        <item m="1" x="4509"/>
        <item m="1" x="4709"/>
        <item m="1" x="7877"/>
        <item m="1" x="2235"/>
        <item m="1" x="4297"/>
        <item m="1" x="4614"/>
        <item x="1165"/>
        <item x="1166"/>
        <item m="1" x="3909"/>
        <item m="1" x="4207"/>
        <item m="1" x="2462"/>
        <item m="1" x="7657"/>
        <item m="1" x="3811"/>
        <item m="1" x="7857"/>
        <item m="1" x="7806"/>
        <item m="1" x="2458"/>
        <item m="1" x="5450"/>
        <item m="1" x="3422"/>
        <item m="1" x="4845"/>
        <item m="1" x="6597"/>
        <item m="1" x="3701"/>
        <item m="1" x="5189"/>
        <item m="1" x="7127"/>
        <item m="1" x="5780"/>
        <item x="1167"/>
        <item m="1" x="5786"/>
        <item m="1" x="5959"/>
        <item m="1" x="4715"/>
        <item m="1" x="7061"/>
        <item m="1" x="3680"/>
        <item m="1" x="5945"/>
        <item m="1" x="2370"/>
        <item m="1" x="3851"/>
        <item m="1" x="3137"/>
        <item m="1" x="7765"/>
        <item m="1" x="5377"/>
        <item m="1" x="4510"/>
        <item m="1" x="5779"/>
        <item m="1" x="3549"/>
        <item m="1" x="3586"/>
        <item m="1" x="2676"/>
        <item m="1" x="2861"/>
        <item m="1" x="6714"/>
        <item m="1" x="6641"/>
        <item m="1" x="6926"/>
        <item m="1" x="7322"/>
        <item m="1" x="5802"/>
        <item m="1" x="6405"/>
        <item m="1" x="6716"/>
        <item m="1" x="6900"/>
        <item m="1" x="6133"/>
        <item m="1" x="3970"/>
        <item m="1" x="7792"/>
        <item m="1" x="6587"/>
        <item m="1" x="4211"/>
        <item x="1168"/>
        <item m="1" x="3046"/>
        <item x="1169"/>
        <item m="1" x="5970"/>
        <item m="1" x="7526"/>
        <item m="1" x="5601"/>
        <item m="1" x="4043"/>
        <item m="1" x="2277"/>
        <item m="1" x="5540"/>
        <item x="1170"/>
        <item x="1171"/>
        <item m="1" x="6465"/>
        <item m="1" x="3695"/>
        <item x="1172"/>
        <item m="1" x="3397"/>
        <item m="1" x="6292"/>
        <item m="1" x="5474"/>
        <item m="1" x="5318"/>
        <item m="1" x="4716"/>
        <item m="1" x="5417"/>
        <item x="1173"/>
        <item m="1" x="3592"/>
        <item m="1" x="3773"/>
        <item m="1" x="3214"/>
        <item m="1" x="4619"/>
        <item m="1" x="2519"/>
        <item x="1174"/>
        <item x="1175"/>
        <item x="1176"/>
        <item m="1" x="5798"/>
        <item m="1" x="7945"/>
        <item m="1" x="7561"/>
        <item m="1" x="5026"/>
        <item m="1" x="5150"/>
        <item x="1177"/>
        <item x="1178"/>
        <item x="1179"/>
        <item x="1180"/>
        <item x="1181"/>
        <item m="1" x="5983"/>
        <item x="1182"/>
        <item m="1" x="4046"/>
        <item m="1" x="6998"/>
        <item x="1183"/>
        <item m="1" x="6218"/>
        <item x="1184"/>
        <item m="1" x="2559"/>
        <item m="1" x="4385"/>
        <item m="1" x="4870"/>
        <item x="1185"/>
        <item x="1186"/>
        <item x="1187"/>
        <item x="1188"/>
        <item m="1" x="7459"/>
        <item m="1" x="6821"/>
        <item m="1" x="4846"/>
        <item x="1189"/>
        <item m="1" x="5689"/>
        <item m="1" x="2754"/>
        <item x="1190"/>
        <item x="1191"/>
        <item x="1192"/>
        <item m="1" x="5560"/>
        <item m="1" x="2359"/>
        <item m="1" x="5021"/>
        <item m="1" x="2995"/>
        <item m="1" x="3192"/>
        <item m="1" x="7291"/>
        <item x="1193"/>
        <item x="1194"/>
        <item x="1195"/>
        <item m="1" x="3845"/>
        <item m="1" x="6436"/>
        <item m="1" x="2603"/>
        <item m="1" x="3607"/>
        <item x="1196"/>
        <item x="1197"/>
        <item x="1198"/>
        <item x="1199"/>
        <item m="1" x="6932"/>
        <item m="1" x="7999"/>
        <item m="1" x="5803"/>
        <item m="1" x="2889"/>
        <item x="1200"/>
        <item x="1201"/>
        <item m="1" x="3667"/>
        <item m="1" x="3713"/>
        <item m="1" x="3118"/>
        <item m="1" x="5482"/>
        <item m="1" x="6757"/>
        <item m="1" x="3703"/>
        <item x="1202"/>
        <item x="1203"/>
        <item x="1204"/>
        <item x="1205"/>
        <item m="1" x="5191"/>
        <item m="1" x="5888"/>
        <item m="1" x="2642"/>
        <item m="1" x="5570"/>
        <item m="1" x="6437"/>
        <item x="1206"/>
        <item x="1207"/>
        <item m="1" x="5371"/>
        <item m="1" x="7360"/>
        <item m="1" x="7027"/>
        <item m="1" x="2943"/>
        <item m="1" x="4134"/>
        <item m="1" x="4825"/>
        <item x="1208"/>
        <item m="1" x="7303"/>
        <item m="1" x="3788"/>
        <item m="1" x="7227"/>
        <item m="1" x="6391"/>
        <item m="1" x="5157"/>
        <item m="1" x="4984"/>
        <item x="1209"/>
        <item x="1210"/>
        <item x="1211"/>
        <item m="1" x="6629"/>
        <item m="1" x="4296"/>
        <item x="1212"/>
        <item m="1" x="4266"/>
        <item x="1213"/>
        <item x="1214"/>
        <item x="1215"/>
        <item m="1" x="3498"/>
        <item m="1" x="4546"/>
        <item m="1" x="4347"/>
        <item m="1" x="2259"/>
        <item m="1" x="6222"/>
        <item m="1" x="6717"/>
        <item m="1" x="4102"/>
        <item x="1216"/>
        <item x="1217"/>
        <item x="1218"/>
        <item x="1219"/>
        <item m="1" x="2307"/>
        <item m="1" x="6904"/>
        <item m="1" x="4742"/>
        <item m="1" x="7244"/>
        <item m="1" x="7608"/>
        <item m="1" x="7066"/>
        <item m="1" x="6956"/>
        <item m="1" x="6138"/>
        <item m="1" x="7325"/>
        <item x="1220"/>
        <item x="1221"/>
        <item x="1222"/>
        <item x="1223"/>
        <item m="1" x="7074"/>
        <item m="1" x="2373"/>
        <item m="1" x="2681"/>
        <item m="1" x="6540"/>
        <item m="1" x="4645"/>
        <item m="1" x="6696"/>
        <item m="1" x="3115"/>
        <item x="1224"/>
        <item x="1225"/>
        <item x="1226"/>
        <item x="1227"/>
        <item x="1228"/>
        <item x="1229"/>
        <item m="1" x="2258"/>
        <item m="1" x="4553"/>
        <item x="1230"/>
        <item x="1231"/>
        <item m="1" x="3050"/>
        <item m="1" x="5783"/>
        <item m="1" x="3047"/>
        <item m="1" x="2997"/>
        <item m="1" x="3106"/>
        <item x="1232"/>
        <item x="1233"/>
        <item x="1234"/>
        <item m="1" x="7532"/>
        <item m="1" x="6657"/>
        <item m="1" x="3015"/>
        <item m="1" x="5165"/>
        <item m="1" x="5883"/>
        <item m="1" x="3060"/>
        <item m="1" x="2283"/>
        <item m="1" x="7310"/>
        <item m="1" x="5543"/>
        <item m="1" x="6359"/>
        <item m="1" x="4038"/>
        <item x="1235"/>
        <item x="1236"/>
        <item x="1237"/>
        <item x="1238"/>
        <item x="1239"/>
        <item x="1240"/>
        <item m="1" x="6469"/>
        <item m="1" x="6207"/>
        <item x="1241"/>
        <item m="1" x="3499"/>
        <item m="1" x="3639"/>
        <item x="1242"/>
        <item m="1" x="7256"/>
        <item m="1" x="4926"/>
        <item m="1" x="6888"/>
        <item m="1" x="5974"/>
        <item m="1" x="7524"/>
        <item m="1" x="4301"/>
        <item m="1" x="7327"/>
        <item x="1243"/>
        <item x="1244"/>
        <item m="1" x="5805"/>
        <item m="1" x="3399"/>
        <item m="1" x="3411"/>
        <item m="1" x="7308"/>
        <item m="1" x="5479"/>
        <item m="1" x="3193"/>
        <item m="1" x="3065"/>
        <item m="1" x="5610"/>
        <item m="1" x="3583"/>
        <item m="1" x="5001"/>
        <item m="1" x="7486"/>
        <item m="1" x="7152"/>
        <item m="1" x="7979"/>
        <item m="1" x="7815"/>
        <item x="1245"/>
        <item x="1246"/>
        <item x="1247"/>
        <item x="1248"/>
        <item x="1249"/>
        <item m="1" x="5695"/>
        <item x="1250"/>
        <item m="1" x="3996"/>
        <item m="1" x="3596"/>
        <item m="1" x="4577"/>
        <item m="1" x="4713"/>
        <item m="1" x="5024"/>
        <item m="1" x="5788"/>
        <item m="1" x="7901"/>
        <item m="1" x="4738"/>
        <item m="1" x="6927"/>
        <item x="1251"/>
        <item x="1252"/>
        <item x="1253"/>
        <item m="1" x="7949"/>
        <item m="1" x="5030"/>
        <item m="1" x="5153"/>
        <item m="1" x="3629"/>
        <item m="1" x="3925"/>
        <item m="1" x="2294"/>
        <item m="1" x="2525"/>
        <item m="1" x="4454"/>
        <item m="1" x="5675"/>
        <item m="1" x="2260"/>
        <item m="1" x="4727"/>
        <item x="1254"/>
        <item m="1" x="7571"/>
        <item x="1255"/>
        <item x="1256"/>
        <item m="1" x="3626"/>
        <item m="1" x="4279"/>
        <item m="1" x="2610"/>
        <item x="1257"/>
        <item x="1258"/>
        <item m="1" x="5232"/>
        <item m="1" x="6227"/>
        <item m="1" x="6008"/>
        <item m="1" x="7344"/>
        <item x="1259"/>
        <item m="1" x="2718"/>
        <item m="1" x="6224"/>
        <item m="1" x="3802"/>
        <item m="1" x="3932"/>
        <item m="1" x="2514"/>
        <item m="1" x="3973"/>
        <item x="1260"/>
        <item x="1261"/>
        <item x="1262"/>
        <item x="1263"/>
        <item m="1" x="5981"/>
        <item m="1" x="7814"/>
        <item m="1" x="2892"/>
        <item m="1" x="4558"/>
        <item m="1" x="6744"/>
        <item m="1" x="3816"/>
        <item m="1" x="3731"/>
        <item m="1" x="3210"/>
        <item m="1" x="2925"/>
        <item m="1" x="7462"/>
        <item m="1" x="6066"/>
        <item m="1" x="7768"/>
        <item x="1264"/>
        <item x="1265"/>
        <item x="1266"/>
        <item x="1267"/>
        <item x="1268"/>
        <item x="1269"/>
        <item x="1270"/>
        <item x="1271"/>
        <item m="1" x="3717"/>
        <item m="1" x="3824"/>
        <item m="1" x="7777"/>
        <item m="1" x="2510"/>
        <item m="1" x="7364"/>
        <item m="1" x="4958"/>
        <item m="1" x="6899"/>
        <item m="1" x="7297"/>
        <item m="1" x="4675"/>
        <item m="1" x="5641"/>
        <item m="1" x="7720"/>
        <item m="1" x="6266"/>
        <item m="1" x="6303"/>
        <item m="1" x="7640"/>
        <item m="1" x="3112"/>
        <item m="1" x="5881"/>
        <item m="1" x="4438"/>
        <item m="1" x="6464"/>
        <item m="1" x="6073"/>
        <item m="1" x="6782"/>
        <item m="1" x="7565"/>
        <item m="1" x="7211"/>
        <item m="1" x="6695"/>
        <item m="1" x="6739"/>
        <item m="1" x="4381"/>
        <item m="1" x="6378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m="1" x="5492"/>
        <item m="1" x="2792"/>
        <item m="1" x="6559"/>
        <item m="1" x="6247"/>
        <item m="1" x="6844"/>
        <item m="1" x="2505"/>
        <item m="1" x="7147"/>
        <item m="1" x="4468"/>
        <item m="1" x="3864"/>
        <item m="1" x="4776"/>
        <item x="1287"/>
        <item x="1288"/>
        <item x="1289"/>
        <item m="1" x="6633"/>
        <item m="1" x="2465"/>
        <item x="1290"/>
        <item x="1291"/>
        <item x="1292"/>
        <item x="1293"/>
        <item m="1" x="5784"/>
        <item x="1294"/>
        <item m="1" x="2683"/>
        <item m="1" x="4616"/>
        <item x="1295"/>
        <item x="1296"/>
        <item x="1297"/>
        <item x="1298"/>
        <item x="1299"/>
        <item x="1300"/>
        <item x="1301"/>
        <item m="1" x="3604"/>
        <item x="1302"/>
        <item m="1" x="2311"/>
        <item x="1303"/>
        <item x="1304"/>
        <item x="1305"/>
        <item x="1306"/>
        <item x="1307"/>
        <item x="1308"/>
        <item x="1309"/>
        <item x="1310"/>
        <item m="1" x="3020"/>
        <item m="1" x="5169"/>
        <item m="1" x="7711"/>
        <item m="1" x="6428"/>
        <item m="1" x="6249"/>
        <item x="1311"/>
        <item x="1312"/>
        <item x="1313"/>
        <item x="1314"/>
        <item x="1315"/>
        <item x="1316"/>
        <item x="1317"/>
        <item x="1318"/>
        <item x="1319"/>
        <item x="1320"/>
        <item m="1" x="2571"/>
        <item m="1" x="3402"/>
        <item m="1" x="3414"/>
        <item m="1" x="7312"/>
        <item x="1321"/>
        <item x="1322"/>
        <item x="1323"/>
        <item x="1324"/>
        <item m="1" x="5055"/>
        <item x="1325"/>
        <item m="1" x="3776"/>
        <item x="1326"/>
        <item x="1327"/>
        <item m="1" x="5035"/>
        <item x="1328"/>
        <item x="1329"/>
        <item x="1330"/>
        <item m="1" x="3956"/>
        <item x="1331"/>
        <item x="1332"/>
        <item x="1333"/>
        <item m="1" x="5809"/>
        <item x="1334"/>
        <item x="1335"/>
        <item x="1336"/>
        <item x="1337"/>
        <item x="1338"/>
        <item m="1" x="2482"/>
        <item x="1339"/>
        <item m="1" x="7204"/>
        <item x="1340"/>
        <item m="1" x="2717"/>
        <item x="1341"/>
        <item x="1342"/>
        <item m="1" x="3081"/>
        <item x="1343"/>
        <item x="1344"/>
        <item x="1345"/>
        <item x="1346"/>
        <item x="1347"/>
        <item m="1" x="6314"/>
        <item x="1348"/>
        <item x="1349"/>
        <item x="1350"/>
        <item x="1351"/>
        <item x="1352"/>
        <item m="1" x="3721"/>
        <item x="1353"/>
        <item x="1354"/>
        <item x="1355"/>
        <item x="1356"/>
        <item m="1" x="6828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m="1" x="4026"/>
        <item m="1" x="289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m="1" x="4184"/>
        <item m="1" x="4620"/>
        <item x="1379"/>
        <item x="1380"/>
        <item x="1381"/>
        <item x="1382"/>
        <item x="1383"/>
        <item x="1384"/>
        <item x="1385"/>
        <item x="1386"/>
        <item x="1387"/>
        <item x="1388"/>
        <item m="1" x="3055"/>
        <item x="1389"/>
        <item x="1390"/>
        <item x="1391"/>
        <item x="1392"/>
        <item x="1393"/>
        <item x="1394"/>
        <item x="1395"/>
        <item m="1" x="5172"/>
        <item m="1" x="7988"/>
        <item m="1" x="2268"/>
        <item x="1396"/>
        <item x="1397"/>
        <item x="1398"/>
        <item x="1399"/>
        <item x="1400"/>
        <item x="1401"/>
        <item m="1" x="5926"/>
        <item x="1402"/>
        <item m="1" x="5987"/>
        <item m="1" x="5875"/>
        <item x="1403"/>
        <item m="1" x="3945"/>
        <item m="1" x="2970"/>
        <item x="1404"/>
        <item m="1" x="4567"/>
        <item m="1" x="3070"/>
        <item x="1405"/>
        <item m="1" x="3025"/>
        <item x="1406"/>
        <item m="1" x="4606"/>
        <item m="1" x="3641"/>
        <item x="1407"/>
        <item m="1" x="6803"/>
        <item m="1" x="7871"/>
        <item m="1" x="3387"/>
        <item m="1" x="7417"/>
        <item x="1408"/>
        <item x="1409"/>
        <item x="1410"/>
        <item m="1" x="3550"/>
        <item x="1411"/>
        <item m="1" x="7371"/>
        <item m="1" x="4860"/>
        <item m="1" x="7606"/>
        <item x="1412"/>
        <item x="1413"/>
        <item x="1414"/>
        <item x="1415"/>
        <item x="1416"/>
        <item m="1" x="3727"/>
        <item x="1417"/>
        <item x="1418"/>
        <item x="1419"/>
        <item m="1" x="4133"/>
        <item m="1" x="2486"/>
        <item m="1" x="5889"/>
        <item x="1420"/>
        <item x="1421"/>
        <item m="1" x="7788"/>
        <item x="1422"/>
        <item x="1423"/>
        <item m="1" x="2769"/>
        <item m="1" x="3152"/>
        <item x="1424"/>
        <item m="1" x="7397"/>
        <item x="1425"/>
        <item x="1426"/>
        <item x="1427"/>
        <item m="1" x="2790"/>
        <item x="1428"/>
        <item m="1" x="7361"/>
        <item m="1" x="7439"/>
        <item m="1" x="6550"/>
        <item m="1" x="4649"/>
        <item m="1" x="7763"/>
        <item m="1" x="4573"/>
        <item m="1" x="3576"/>
        <item m="1" x="7010"/>
        <item m="1" x="5491"/>
        <item x="1429"/>
        <item x="1430"/>
        <item x="1431"/>
        <item x="1432"/>
        <item x="1433"/>
        <item x="1434"/>
        <item m="1" x="7575"/>
        <item x="1435"/>
        <item m="1" x="4048"/>
        <item x="1436"/>
        <item x="1437"/>
        <item x="1438"/>
        <item x="1439"/>
        <item x="1440"/>
        <item m="1" x="6120"/>
        <item m="1" x="3096"/>
        <item x="1441"/>
        <item x="1442"/>
        <item m="1" x="6467"/>
        <item m="1" x="7616"/>
        <item x="1443"/>
        <item x="1444"/>
        <item m="1" x="5425"/>
        <item x="1445"/>
        <item x="1446"/>
        <item x="1447"/>
        <item x="1448"/>
        <item x="1449"/>
        <item m="1" x="4370"/>
        <item x="1450"/>
        <item x="1451"/>
        <item x="1452"/>
        <item x="1453"/>
        <item x="1454"/>
        <item x="1455"/>
        <item x="1456"/>
        <item x="1457"/>
        <item m="1" x="5822"/>
        <item m="1" x="6918"/>
        <item x="1458"/>
        <item x="1459"/>
        <item x="1460"/>
        <item x="1461"/>
        <item x="1462"/>
        <item x="1463"/>
        <item m="1" x="2702"/>
        <item m="1" x="2204"/>
        <item x="1464"/>
        <item m="1" x="7129"/>
        <item x="1465"/>
        <item x="1466"/>
        <item m="1" x="4857"/>
        <item m="1" x="5042"/>
        <item m="1" x="3822"/>
        <item x="1467"/>
        <item x="1468"/>
        <item m="1" x="3086"/>
        <item m="1" x="5180"/>
        <item x="1469"/>
        <item x="1470"/>
        <item x="1471"/>
        <item x="1472"/>
        <item x="1473"/>
        <item x="1474"/>
        <item x="1475"/>
        <item x="1476"/>
        <item x="1477"/>
        <item x="1478"/>
        <item m="1" x="7610"/>
        <item x="1479"/>
        <item x="1480"/>
        <item x="1481"/>
        <item x="1482"/>
        <item x="1483"/>
        <item m="1" x="7258"/>
        <item m="1" x="4240"/>
        <item m="1" x="3734"/>
        <item x="1484"/>
        <item x="1485"/>
        <item x="1486"/>
        <item x="1487"/>
        <item x="1488"/>
        <item m="1" x="7708"/>
        <item m="1" x="4036"/>
        <item m="1" x="5192"/>
        <item x="1489"/>
        <item x="1490"/>
        <item x="1491"/>
        <item x="1492"/>
        <item x="1493"/>
        <item m="1" x="7600"/>
        <item m="1" x="2711"/>
        <item x="1494"/>
        <item m="1" x="6380"/>
        <item m="1" x="4238"/>
        <item m="1" x="7495"/>
        <item m="1" x="3297"/>
        <item m="1" x="3041"/>
        <item x="1495"/>
        <item x="1496"/>
        <item x="1497"/>
        <item m="1" x="7799"/>
        <item x="1498"/>
        <item x="1499"/>
        <item m="1" x="7517"/>
        <item m="1" x="2596"/>
        <item x="1500"/>
        <item x="1501"/>
        <item m="1" x="2822"/>
        <item m="1" x="6117"/>
        <item x="1502"/>
        <item x="1503"/>
        <item x="1504"/>
        <item x="1505"/>
        <item x="1506"/>
        <item m="1" x="2436"/>
        <item x="1507"/>
        <item x="1508"/>
        <item x="1509"/>
        <item m="1" x="2406"/>
        <item m="1" x="2524"/>
        <item m="1" x="2269"/>
        <item m="1" x="7939"/>
        <item m="1" x="7290"/>
        <item x="1510"/>
        <item m="1" x="4699"/>
        <item m="1" x="5766"/>
        <item x="1511"/>
        <item x="1512"/>
        <item x="1513"/>
        <item x="1514"/>
        <item x="1515"/>
        <item m="1" x="3285"/>
        <item x="1516"/>
        <item m="1" x="2286"/>
        <item m="1" x="7175"/>
        <item m="1" x="4139"/>
        <item m="1" x="3904"/>
        <item x="1517"/>
        <item x="1518"/>
        <item x="1519"/>
        <item x="1520"/>
        <item x="1521"/>
        <item x="1522"/>
        <item m="1" x="4651"/>
        <item x="1523"/>
        <item x="1524"/>
        <item x="1525"/>
        <item x="1526"/>
        <item x="1527"/>
        <item x="1528"/>
        <item x="1529"/>
        <item x="1530"/>
        <item x="1531"/>
        <item x="1532"/>
        <item m="1" x="7581"/>
        <item x="1533"/>
        <item m="1" x="7156"/>
        <item m="1" x="3660"/>
        <item m="1" x="5678"/>
        <item x="1534"/>
        <item x="1535"/>
        <item x="1536"/>
        <item m="1" x="3293"/>
        <item x="1537"/>
        <item x="1538"/>
        <item x="1539"/>
        <item x="1540"/>
        <item m="1" x="6941"/>
        <item m="1" x="5763"/>
        <item m="1" x="5896"/>
        <item m="1" x="5814"/>
        <item x="1541"/>
        <item x="1542"/>
        <item x="1543"/>
        <item m="1" x="6862"/>
        <item m="1" x="2299"/>
        <item x="1544"/>
        <item x="1545"/>
        <item m="1" x="5825"/>
        <item m="1" x="6920"/>
        <item m="1" x="3361"/>
        <item x="1546"/>
        <item x="1547"/>
        <item x="1548"/>
        <item x="1549"/>
        <item m="1" x="6592"/>
        <item m="1" x="7316"/>
        <item x="1550"/>
        <item x="1551"/>
        <item m="1" x="6362"/>
        <item m="1" x="3804"/>
        <item m="1" x="4322"/>
        <item m="1" x="6121"/>
        <item m="1" x="6193"/>
        <item m="1" x="3543"/>
        <item m="1" x="2924"/>
        <item x="1552"/>
        <item x="1553"/>
        <item x="1554"/>
        <item x="1555"/>
        <item m="1" x="7002"/>
        <item m="1" x="7680"/>
        <item m="1" x="3831"/>
        <item m="1" x="3089"/>
        <item x="1556"/>
        <item x="1557"/>
        <item m="1" x="6668"/>
        <item m="1" x="7678"/>
        <item m="1" x="6934"/>
        <item m="1" x="7019"/>
        <item x="1558"/>
        <item m="1" x="7612"/>
        <item x="1559"/>
        <item x="1560"/>
        <item x="1561"/>
        <item x="1562"/>
        <item x="1563"/>
        <item m="1" x="7263"/>
        <item m="1" x="3633"/>
        <item x="1564"/>
        <item x="1565"/>
        <item x="1566"/>
        <item x="1567"/>
        <item x="1568"/>
        <item x="1569"/>
        <item x="1570"/>
        <item m="1" x="4041"/>
        <item x="1571"/>
        <item x="1572"/>
        <item x="1573"/>
        <item x="1574"/>
        <item x="1575"/>
        <item m="1" x="5534"/>
        <item x="1576"/>
        <item x="1577"/>
        <item x="1578"/>
        <item m="1" x="2714"/>
        <item m="1" x="3013"/>
        <item x="1579"/>
        <item x="1580"/>
        <item m="1" x="6382"/>
        <item m="1" x="4206"/>
        <item m="1" x="4859"/>
        <item x="1581"/>
        <item x="1582"/>
        <item x="1583"/>
        <item x="1584"/>
        <item m="1" x="7802"/>
        <item m="1" x="2906"/>
        <item m="1" x="7775"/>
        <item m="1" x="2214"/>
        <item x="1585"/>
        <item m="1" x="7521"/>
        <item m="1" x="6808"/>
        <item x="1586"/>
        <item m="1" x="4103"/>
        <item m="1" x="4698"/>
        <item m="1" x="3853"/>
        <item x="1587"/>
        <item x="1588"/>
        <item x="1589"/>
        <item x="1590"/>
        <item x="1591"/>
        <item x="1592"/>
        <item x="1593"/>
        <item x="1594"/>
        <item m="1" x="6409"/>
        <item m="1" x="2272"/>
        <item m="1" x="7946"/>
        <item m="1" x="3832"/>
        <item m="1" x="3992"/>
        <item x="1595"/>
        <item x="1596"/>
        <item m="1" x="2564"/>
        <item m="1" x="2703"/>
        <item m="1" x="7015"/>
        <item m="1" x="5128"/>
        <item m="1" x="7848"/>
        <item x="1597"/>
        <item x="1598"/>
        <item x="1599"/>
        <item x="1600"/>
        <item x="1601"/>
        <item m="1" x="4057"/>
        <item x="1602"/>
        <item m="1" x="4931"/>
        <item x="1603"/>
        <item m="1" x="7367"/>
        <item m="1" x="3472"/>
        <item m="1" x="5426"/>
        <item x="1604"/>
        <item x="1605"/>
        <item x="1606"/>
        <item m="1" x="2662"/>
        <item x="1607"/>
        <item x="1608"/>
        <item x="1609"/>
        <item x="1610"/>
        <item x="1611"/>
        <item x="1612"/>
        <item m="1" x="4655"/>
        <item m="1" x="5581"/>
        <item m="1" x="2395"/>
        <item m="1" x="3963"/>
        <item m="1" x="2626"/>
        <item x="1613"/>
        <item x="1614"/>
        <item x="1615"/>
        <item m="1" x="2512"/>
        <item m="1" x="3021"/>
        <item m="1" x="5651"/>
        <item x="1616"/>
        <item m="1" x="4852"/>
        <item m="1" x="2402"/>
        <item x="1617"/>
        <item x="1618"/>
        <item m="1" x="3657"/>
        <item m="1" x="6596"/>
        <item m="1" x="3120"/>
        <item m="1" x="4808"/>
        <item x="1619"/>
        <item x="1620"/>
        <item x="1621"/>
        <item m="1" x="2646"/>
        <item m="1" x="7398"/>
        <item x="1622"/>
        <item x="1623"/>
        <item x="1624"/>
        <item x="1625"/>
        <item m="1" x="3250"/>
        <item m="1" x="4722"/>
        <item m="1" x="3506"/>
        <item m="1" x="4141"/>
        <item m="1" x="6969"/>
        <item m="1" x="2692"/>
        <item m="1" x="3417"/>
        <item m="1" x="4767"/>
        <item m="1" x="4424"/>
        <item m="1" x="6468"/>
        <item m="1" x="5681"/>
        <item x="1626"/>
        <item m="1" x="3066"/>
        <item m="1" x="3655"/>
        <item m="1" x="6315"/>
        <item m="1" x="5047"/>
        <item m="1" x="7635"/>
        <item m="1" x="3902"/>
        <item m="1" x="3975"/>
        <item m="1" x="4366"/>
        <item m="1" x="6701"/>
        <item m="1" x="2352"/>
        <item m="1" x="6699"/>
        <item m="1" x="4557"/>
        <item m="1" x="2654"/>
        <item m="1" x="3606"/>
        <item m="1" x="7918"/>
        <item m="1" x="3772"/>
        <item m="1" x="6600"/>
        <item m="1" x="3570"/>
        <item m="1" x="7311"/>
        <item m="1" x="5248"/>
        <item m="1" x="5781"/>
        <item m="1" x="7497"/>
        <item m="1" x="4909"/>
        <item x="1627"/>
        <item m="1" x="3113"/>
        <item m="1" x="2496"/>
        <item m="1" x="6416"/>
        <item x="1628"/>
        <item m="1" x="7318"/>
        <item m="1" x="3921"/>
        <item m="1" x="3981"/>
        <item m="1" x="7688"/>
        <item x="1629"/>
        <item m="1" x="7012"/>
        <item x="1630"/>
        <item m="1" x="6252"/>
        <item m="1" x="3547"/>
        <item m="1" x="2720"/>
        <item m="1" x="5912"/>
        <item m="1" x="6650"/>
        <item m="1" x="2456"/>
        <item m="1" x="7004"/>
        <item m="1" x="6974"/>
        <item m="1" x="3876"/>
        <item m="1" x="5178"/>
        <item m="1" x="6520"/>
        <item m="1" x="5720"/>
        <item m="1" x="5751"/>
        <item m="1" x="3156"/>
        <item m="1" x="4160"/>
        <item m="1" x="5658"/>
        <item m="1" x="6849"/>
        <item m="1" x="4144"/>
        <item m="1" x="5536"/>
        <item m="1" x="3366"/>
        <item m="1" x="2452"/>
        <item m="1" x="7784"/>
        <item m="1" x="2885"/>
        <item m="1" x="5952"/>
        <item m="1" x="3016"/>
        <item m="1" x="4803"/>
        <item x="1631"/>
        <item m="1" x="4560"/>
        <item x="1632"/>
        <item x="1633"/>
        <item m="1" x="5441"/>
        <item m="1" x="5270"/>
        <item m="1" x="3850"/>
        <item m="1" x="3646"/>
        <item m="1" x="4274"/>
        <item m="1" x="4312"/>
        <item m="1" x="2661"/>
        <item m="1" x="2668"/>
        <item m="1" x="3413"/>
        <item m="1" x="4313"/>
        <item m="1" x="6478"/>
        <item x="1634"/>
        <item m="1" x="2251"/>
        <item x="1635"/>
        <item x="1636"/>
        <item x="1637"/>
        <item m="1" x="7892"/>
        <item x="1638"/>
        <item m="1" x="5179"/>
        <item x="1639"/>
        <item x="1640"/>
        <item x="1641"/>
        <item m="1" x="3370"/>
        <item m="1" x="5412"/>
        <item m="1" x="3990"/>
        <item m="1" x="6746"/>
        <item m="1" x="7756"/>
        <item m="1" x="7506"/>
        <item m="1" x="2819"/>
        <item m="1" x="6321"/>
        <item m="1" x="6843"/>
        <item m="1" x="4495"/>
        <item m="1" x="5428"/>
        <item m="1" x="3374"/>
        <item m="1" x="4499"/>
        <item m="1" x="6637"/>
        <item x="1642"/>
        <item x="1643"/>
        <item m="1" x="4214"/>
        <item m="1" x="7615"/>
        <item x="1644"/>
        <item x="1645"/>
        <item x="1646"/>
        <item x="1647"/>
        <item m="1" x="4941"/>
        <item m="1" x="5197"/>
        <item x="1648"/>
        <item x="1649"/>
        <item m="1" x="6360"/>
        <item m="1" x="4533"/>
        <item x="1650"/>
        <item x="1651"/>
        <item x="1652"/>
        <item x="1653"/>
        <item m="1" x="5531"/>
        <item m="1" x="7975"/>
        <item m="1" x="7710"/>
        <item m="1" x="4044"/>
        <item m="1" x="3103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1654"/>
        <item x="1655"/>
        <item x="1656"/>
        <item x="1657"/>
        <item m="1" x="6214"/>
        <item m="1" x="2341"/>
        <item m="1" x="5947"/>
        <item x="1658"/>
        <item x="1659"/>
        <item x="1660"/>
        <item m="1" x="3618"/>
        <item m="1" x="3352"/>
        <item m="1" x="4210"/>
        <item x="1661"/>
        <item x="1662"/>
        <item m="1" x="4862"/>
        <item m="1" x="4735"/>
        <item x="1663"/>
        <item x="1664"/>
        <item x="1665"/>
        <item x="1666"/>
        <item x="1667"/>
        <item m="1" x="7807"/>
        <item m="1" x="2908"/>
        <item m="1" x="4936"/>
        <item x="1668"/>
        <item x="1669"/>
        <item x="1670"/>
        <item x="1671"/>
        <item x="1672"/>
        <item x="1673"/>
        <item x="1674"/>
        <item m="1" x="2854"/>
        <item x="1675"/>
        <item m="1" x="4703"/>
        <item x="1676"/>
        <item m="1" x="3856"/>
        <item x="1677"/>
        <item x="1678"/>
        <item x="1679"/>
        <item x="1680"/>
        <item m="1" x="5136"/>
        <item x="1681"/>
        <item m="1" x="6525"/>
        <item m="1" x="3157"/>
        <item m="1" x="2967"/>
        <item m="1" x="2421"/>
        <item m="1" x="4082"/>
        <item m="1" x="3430"/>
        <item x="1682"/>
        <item m="1" x="5364"/>
        <item m="1" x="4096"/>
        <item x="1683"/>
        <item m="1" x="4592"/>
        <item m="1" x="2526"/>
        <item x="1684"/>
        <item x="1685"/>
        <item x="1686"/>
        <item x="1687"/>
        <item x="1688"/>
        <item m="1" x="4555"/>
        <item m="1" x="2826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m="1" x="3774"/>
        <item m="1" x="3852"/>
        <item m="1" x="4280"/>
        <item m="1" x="5905"/>
        <item m="1" x="5879"/>
        <item m="1" x="6691"/>
        <item x="1700"/>
        <item m="1" x="3473"/>
        <item x="1701"/>
        <item x="1702"/>
        <item x="1703"/>
        <item x="1704"/>
        <item x="1705"/>
        <item x="1706"/>
        <item m="1" x="6851"/>
        <item x="1707"/>
        <item m="1" x="2230"/>
        <item m="1" x="5830"/>
        <item x="1708"/>
        <item m="1" x="3011"/>
        <item m="1" x="2835"/>
        <item x="1709"/>
        <item x="1710"/>
        <item x="1711"/>
        <item x="1712"/>
        <item x="1713"/>
        <item x="1714"/>
        <item x="1715"/>
        <item x="1716"/>
        <item x="1717"/>
        <item m="1" x="2715"/>
        <item m="1" x="6854"/>
        <item m="1" x="3026"/>
        <item m="1" x="3691"/>
        <item m="1" x="5852"/>
        <item m="1" x="3826"/>
        <item m="1" x="3391"/>
        <item m="1" x="4653"/>
        <item m="1" x="4148"/>
        <item m="1" x="5832"/>
        <item m="1" x="5654"/>
        <item m="1" x="2429"/>
        <item m="1" x="4236"/>
        <item m="1" x="7782"/>
        <item x="1718"/>
        <item x="1719"/>
        <item x="1720"/>
        <item m="1" x="7674"/>
        <item x="1721"/>
        <item m="1" x="5177"/>
        <item m="1" x="4039"/>
        <item m="1" x="6599"/>
        <item x="1722"/>
        <item x="1723"/>
        <item x="1724"/>
        <item m="1" x="4037"/>
        <item x="1725"/>
        <item m="1" x="3171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m="1" x="7160"/>
        <item m="1" x="3784"/>
        <item m="1" x="6020"/>
        <item m="1" x="4723"/>
        <item m="1" x="3508"/>
        <item m="1" x="5501"/>
        <item m="1" x="2664"/>
        <item m="1" x="3395"/>
        <item m="1" x="6975"/>
        <item m="1" x="5455"/>
        <item m="1" x="7159"/>
        <item m="1" x="3762"/>
        <item m="1" x="4223"/>
        <item m="1" x="7908"/>
        <item m="1" x="5692"/>
        <item m="1" x="7018"/>
        <item m="1" x="3798"/>
        <item m="1" x="7447"/>
        <item m="1" x="5719"/>
        <item m="1" x="5069"/>
        <item m="1" x="7559"/>
        <item m="1" x="4334"/>
        <item m="1" x="7273"/>
        <item m="1" x="5606"/>
        <item m="1" x="3755"/>
        <item m="1" x="6646"/>
        <item m="1" x="4427"/>
        <item m="1" x="6472"/>
        <item m="1" x="6925"/>
        <item m="1" x="4473"/>
        <item x="1737"/>
        <item x="1738"/>
        <item x="1739"/>
        <item x="1740"/>
        <item x="1741"/>
        <item m="1" x="7771"/>
        <item m="1" x="6036"/>
        <item x="1742"/>
        <item x="1743"/>
        <item m="1" x="6499"/>
        <item x="1744"/>
        <item m="1" x="5121"/>
        <item x="1745"/>
        <item m="1" x="5400"/>
        <item m="1" x="5986"/>
        <item m="1" x="4369"/>
        <item m="1" x="3381"/>
        <item m="1" x="6704"/>
        <item m="1" x="4743"/>
        <item m="1" x="4201"/>
        <item m="1" x="3855"/>
        <item m="1" x="5915"/>
        <item x="1746"/>
        <item m="1" x="6603"/>
        <item m="1" x="3573"/>
        <item m="1" x="7313"/>
        <item m="1" x="7585"/>
        <item m="1" x="3360"/>
        <item m="1" x="5817"/>
        <item m="1" x="3477"/>
        <item m="1" x="3376"/>
        <item m="1" x="3779"/>
        <item m="1" x="6304"/>
        <item m="1" x="5307"/>
        <item m="1" x="3227"/>
        <item m="1" x="4992"/>
        <item m="1" x="5176"/>
        <item m="1" x="2956"/>
        <item m="1" x="3114"/>
        <item m="1" x="5643"/>
        <item m="1" x="5965"/>
        <item m="1" x="2663"/>
        <item m="1" x="6598"/>
        <item m="1" x="6470"/>
        <item m="1" x="4813"/>
        <item m="1" x="3238"/>
        <item m="1" x="3839"/>
        <item m="1" x="2501"/>
        <item m="1" x="6419"/>
        <item x="1747"/>
        <item x="1748"/>
        <item m="1" x="6418"/>
        <item m="1" x="7320"/>
        <item m="1" x="3926"/>
        <item m="1" x="3986"/>
        <item x="1749"/>
        <item x="1750"/>
        <item m="1" x="7409"/>
        <item x="1751"/>
        <item x="1752"/>
        <item x="1753"/>
        <item x="1754"/>
        <item x="1755"/>
        <item x="1756"/>
        <item m="1" x="3882"/>
        <item m="1" x="7721"/>
        <item x="1757"/>
        <item m="1" x="6531"/>
        <item m="1" x="5723"/>
        <item m="1" x="5322"/>
        <item m="1" x="5752"/>
        <item m="1" x="3159"/>
        <item m="1" x="3409"/>
        <item m="1" x="7915"/>
        <item m="1" x="3246"/>
        <item m="1" x="6852"/>
        <item m="1" x="2362"/>
        <item m="1" x="7598"/>
        <item m="1" x="3300"/>
        <item m="1" x="5674"/>
        <item m="1" x="4800"/>
        <item m="1" x="4512"/>
        <item m="1" x="3637"/>
        <item m="1" x="3974"/>
        <item m="1" x="5129"/>
        <item m="1" x="3181"/>
        <item m="1" x="2824"/>
        <item m="1" x="4089"/>
        <item m="1" x="7528"/>
        <item m="1" x="4892"/>
        <item m="1" x="7885"/>
        <item m="1" x="7682"/>
        <item m="1" x="3123"/>
        <item m="1" x="5331"/>
        <item m="1" x="5241"/>
        <item m="1" x="5246"/>
        <item m="1" x="6892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t="default"/>
      </items>
    </pivotField>
    <pivotField showAll="0"/>
    <pivotField axis="axisRow" showAll="0">
      <items count="795">
        <item m="1" x="713"/>
        <item x="15"/>
        <item sd="0" m="1" x="418"/>
        <item sd="0" m="1" x="355"/>
        <item m="1" x="253"/>
        <item m="1" x="591"/>
        <item sd="0" m="1" x="712"/>
        <item x="172"/>
        <item m="1" x="437"/>
        <item m="1" x="445"/>
        <item m="1" x="507"/>
        <item m="1" x="313"/>
        <item m="1" x="763"/>
        <item x="7"/>
        <item m="1" x="739"/>
        <item m="1" x="755"/>
        <item m="1" x="733"/>
        <item x="8"/>
        <item sd="0" m="1" x="629"/>
        <item m="1" x="275"/>
        <item sd="0" m="1" x="696"/>
        <item m="1" x="735"/>
        <item sd="0" x="145"/>
        <item sd="0" m="1" x="345"/>
        <item m="1" x="539"/>
        <item m="1" x="365"/>
        <item sd="0" m="1" x="783"/>
        <item sd="0" m="1" x="235"/>
        <item sd="0" m="1" x="317"/>
        <item m="1" x="453"/>
        <item sd="0" m="1" x="498"/>
        <item m="1" x="348"/>
        <item m="1" x="264"/>
        <item m="1" x="562"/>
        <item m="1" x="338"/>
        <item x="56"/>
        <item m="1" x="487"/>
        <item m="1" x="560"/>
        <item x="97"/>
        <item x="54"/>
        <item m="1" x="274"/>
        <item m="1" x="708"/>
        <item m="1" x="772"/>
        <item x="210"/>
        <item m="1" x="320"/>
        <item m="1" x="556"/>
        <item m="1" x="626"/>
        <item sd="0" x="87"/>
        <item x="37"/>
        <item x="88"/>
        <item m="1" x="791"/>
        <item x="6"/>
        <item sd="0" x="127"/>
        <item m="1" x="596"/>
        <item m="1" x="456"/>
        <item x="28"/>
        <item m="1" x="406"/>
        <item x="17"/>
        <item m="1" x="241"/>
        <item x="26"/>
        <item x="41"/>
        <item sd="0" m="1" x="250"/>
        <item m="1" x="310"/>
        <item m="1" x="585"/>
        <item m="1" x="725"/>
        <item x="83"/>
        <item x="79"/>
        <item sd="0" x="91"/>
        <item m="1" x="731"/>
        <item m="1" x="346"/>
        <item m="1" x="477"/>
        <item m="1" x="385"/>
        <item m="1" x="692"/>
        <item x="22"/>
        <item m="1" x="248"/>
        <item m="1" x="746"/>
        <item m="1" x="749"/>
        <item m="1" x="646"/>
        <item m="1" x="334"/>
        <item m="1" x="582"/>
        <item m="1" x="306"/>
        <item m="1" x="683"/>
        <item sd="0" m="1" x="745"/>
        <item sd="0" m="1" x="694"/>
        <item m="1" x="421"/>
        <item sd="0" m="1" x="399"/>
        <item m="1" x="468"/>
        <item m="1" x="624"/>
        <item sd="0" x="85"/>
        <item m="1" x="592"/>
        <item x="60"/>
        <item m="1" x="375"/>
        <item x="16"/>
        <item m="1" x="761"/>
        <item m="1" x="718"/>
        <item x="96"/>
        <item m="1" x="466"/>
        <item m="1" x="485"/>
        <item x="3"/>
        <item m="1" x="401"/>
        <item m="1" x="226"/>
        <item x="137"/>
        <item m="1" x="750"/>
        <item sd="0" x="170"/>
        <item sd="0" m="1" x="393"/>
        <item m="1" x="586"/>
        <item x="42"/>
        <item m="1" x="695"/>
        <item x="80"/>
        <item m="1" x="420"/>
        <item m="1" x="607"/>
        <item m="1" x="601"/>
        <item m="1" x="583"/>
        <item m="1" x="634"/>
        <item m="1" x="765"/>
        <item x="75"/>
        <item m="1" x="403"/>
        <item x="33"/>
        <item x="29"/>
        <item m="1" x="786"/>
        <item x="43"/>
        <item x="72"/>
        <item m="1" x="325"/>
        <item m="1" x="245"/>
        <item m="1" x="790"/>
        <item m="1" x="673"/>
        <item sd="0" m="1" x="298"/>
        <item sd="0" m="1" x="495"/>
        <item sd="0" m="1" x="700"/>
        <item x="150"/>
        <item sd="0" x="115"/>
        <item x="59"/>
        <item m="1" x="647"/>
        <item m="1" x="277"/>
        <item x="45"/>
        <item m="1" x="441"/>
        <item m="1" x="527"/>
        <item m="1" x="400"/>
        <item x="27"/>
        <item m="1" x="621"/>
        <item m="1" x="653"/>
        <item m="1" x="307"/>
        <item m="1" x="684"/>
        <item x="19"/>
        <item sd="0" x="36"/>
        <item m="1" x="457"/>
        <item m="1" x="780"/>
        <item m="1" x="518"/>
        <item m="1" x="597"/>
        <item m="1" x="652"/>
        <item x="38"/>
        <item m="1" x="538"/>
        <item sd="0" x="152"/>
        <item m="1" x="497"/>
        <item m="1" x="484"/>
        <item sd="0" m="1" x="758"/>
        <item sd="0" x="139"/>
        <item m="1" x="618"/>
        <item m="1" x="305"/>
        <item x="144"/>
        <item m="1" x="258"/>
        <item m="1" x="605"/>
        <item sd="0" m="1" x="764"/>
        <item sd="0" x="211"/>
        <item x="11"/>
        <item x="35"/>
        <item x="49"/>
        <item x="50"/>
        <item x="55"/>
        <item x="46"/>
        <item x="47"/>
        <item x="51"/>
        <item x="52"/>
        <item x="53"/>
        <item x="48"/>
        <item m="1" x="488"/>
        <item m="1" x="335"/>
        <item m="1" x="752"/>
        <item x="136"/>
        <item x="131"/>
        <item sd="0" x="153"/>
        <item x="23"/>
        <item x="20"/>
        <item x="18"/>
        <item m="1" x="664"/>
        <item x="132"/>
        <item sd="0" x="113"/>
        <item sd="0" m="1" x="644"/>
        <item m="1" x="707"/>
        <item m="1" x="564"/>
        <item x="39"/>
        <item x="40"/>
        <item m="1" x="737"/>
        <item m="1" x="638"/>
        <item x="0"/>
        <item m="1" x="594"/>
        <item m="1" x="232"/>
        <item sd="0" m="1" x="623"/>
        <item m="1" x="676"/>
        <item x="9"/>
        <item x="61"/>
        <item x="30"/>
        <item m="1" x="649"/>
        <item m="1" x="734"/>
        <item m="1" x="363"/>
        <item m="1" x="655"/>
        <item x="188"/>
        <item m="1" x="256"/>
        <item m="1" x="633"/>
        <item m="1" x="425"/>
        <item m="1" x="721"/>
        <item sd="0" x="89"/>
        <item sd="0" m="1" x="554"/>
        <item x="212"/>
        <item sd="0" x="64"/>
        <item m="1" x="549"/>
        <item m="1" x="698"/>
        <item x="4"/>
        <item m="1" x="284"/>
        <item m="1" x="270"/>
        <item m="1" x="533"/>
        <item m="1" x="389"/>
        <item sd="0" m="1" x="351"/>
        <item m="1" x="272"/>
        <item m="1" x="567"/>
        <item m="1" x="423"/>
        <item m="1" x="724"/>
        <item sd="0" m="1" x="343"/>
        <item m="1" x="251"/>
        <item m="1" x="513"/>
        <item m="1" x="429"/>
        <item m="1" x="540"/>
        <item m="1" x="574"/>
        <item m="1" x="609"/>
        <item m="1" x="324"/>
        <item sd="0" m="1" x="447"/>
        <item sd="0" x="114"/>
        <item x="68"/>
        <item x="12"/>
        <item m="1" x="756"/>
        <item m="1" x="723"/>
        <item m="1" x="615"/>
        <item x="76"/>
        <item x="78"/>
        <item x="99"/>
        <item m="1" x="581"/>
        <item sd="0" m="1" x="603"/>
        <item m="1" x="384"/>
        <item x="81"/>
        <item m="1" x="238"/>
        <item sd="0" x="108"/>
        <item x="2"/>
        <item m="1" x="757"/>
        <item m="1" x="611"/>
        <item x="77"/>
        <item sd="0" x="166"/>
        <item m="1" x="230"/>
        <item m="1" x="722"/>
        <item sd="0" x="122"/>
        <item m="1" x="369"/>
        <item x="21"/>
        <item sd="0" m="1" x="778"/>
        <item sd="0" x="24"/>
        <item m="1" x="614"/>
        <item x="25"/>
        <item m="1" x="565"/>
        <item sd="0" m="1" x="358"/>
        <item m="1" x="402"/>
        <item m="1" x="422"/>
        <item m="1" x="686"/>
        <item m="1" x="388"/>
        <item m="1" x="285"/>
        <item m="1" x="459"/>
        <item m="1" x="714"/>
        <item m="1" x="690"/>
        <item x="10"/>
        <item m="1" x="642"/>
        <item m="1" x="568"/>
        <item x="5"/>
        <item x="73"/>
        <item m="1" x="658"/>
        <item x="14"/>
        <item sd="0" m="1" x="419"/>
        <item x="44"/>
        <item m="1" x="287"/>
        <item m="1" x="674"/>
        <item m="1" x="260"/>
        <item m="1" x="394"/>
        <item sd="0" m="1" x="271"/>
        <item m="1" x="289"/>
        <item m="1" x="636"/>
        <item m="1" x="243"/>
        <item m="1" x="522"/>
        <item m="1" x="512"/>
        <item sd="0" m="1" x="367"/>
        <item m="1" x="295"/>
        <item sd="0" m="1" x="693"/>
        <item sd="0" m="1" x="631"/>
        <item m="1" x="471"/>
        <item x="84"/>
        <item m="1" x="482"/>
        <item m="1" x="472"/>
        <item sd="0" m="1" x="478"/>
        <item x="82"/>
        <item m="1" x="771"/>
        <item sd="0" m="1" x="379"/>
        <item m="1" x="316"/>
        <item m="1" x="740"/>
        <item m="1" x="679"/>
        <item m="1" x="667"/>
        <item m="1" x="237"/>
        <item x="32"/>
        <item sd="0" m="1" x="344"/>
        <item m="1" x="366"/>
        <item x="74"/>
        <item sd="0" m="1" x="536"/>
        <item m="1" x="328"/>
        <item m="1" x="407"/>
        <item sd="0" m="1" x="648"/>
        <item x="124"/>
        <item x="34"/>
        <item m="1" x="720"/>
        <item sd="0" x="133"/>
        <item x="62"/>
        <item x="86"/>
        <item sd="0" x="94"/>
        <item m="1" x="576"/>
        <item m="1" x="550"/>
        <item x="13"/>
        <item m="1" x="588"/>
        <item m="1" x="555"/>
        <item m="1" x="283"/>
        <item m="1" x="405"/>
        <item m="1" x="352"/>
        <item m="1" x="792"/>
        <item m="1" x="439"/>
        <item sd="0" m="1" x="360"/>
        <item x="1"/>
        <item m="1" x="788"/>
        <item m="1" x="515"/>
        <item x="31"/>
        <item x="67"/>
        <item sd="0" m="1" x="729"/>
        <item x="223"/>
        <item sd="0" x="173"/>
        <item sd="0" m="1" x="357"/>
        <item sd="0" m="1" x="291"/>
        <item sd="0" x="143"/>
        <item sd="0" x="112"/>
        <item sd="0" m="1" x="340"/>
        <item sd="0" x="209"/>
        <item sd="0" m="1" x="303"/>
        <item sd="0" m="1" x="430"/>
        <item sd="0" m="1" x="261"/>
        <item sd="0" x="151"/>
        <item sd="0" m="1" x="689"/>
        <item sd="0" m="1" x="373"/>
        <item sd="0" m="1" x="376"/>
        <item sd="0" x="162"/>
        <item sd="0" m="1" x="654"/>
        <item sd="0" m="1" x="444"/>
        <item sd="0" m="1" x="282"/>
        <item sd="0" x="168"/>
        <item sd="0" m="1" x="396"/>
        <item sd="0" m="1" x="606"/>
        <item sd="0" m="1" x="639"/>
        <item sd="0" m="1" x="392"/>
        <item sd="0" m="1" x="244"/>
        <item sd="0" x="123"/>
        <item sd="0" m="1" x="374"/>
        <item sd="0" m="1" x="736"/>
        <item sd="0" x="214"/>
        <item sd="0" m="1" x="470"/>
        <item sd="0" x="221"/>
        <item x="57"/>
        <item x="58"/>
        <item x="69"/>
        <item x="70"/>
        <item x="71"/>
        <item m="1" x="461"/>
        <item m="1" x="570"/>
        <item m="1" x="669"/>
        <item m="1" x="742"/>
        <item m="1" x="333"/>
        <item m="1" x="432"/>
        <item x="180"/>
        <item x="159"/>
        <item x="134"/>
        <item m="1" x="598"/>
        <item m="1" x="356"/>
        <item x="98"/>
        <item x="100"/>
        <item m="1" x="311"/>
        <item x="130"/>
        <item m="1" x="553"/>
        <item m="1" x="523"/>
        <item x="202"/>
        <item x="146"/>
        <item m="1" x="558"/>
        <item x="171"/>
        <item x="149"/>
        <item x="222"/>
        <item m="1" x="678"/>
        <item m="1" x="685"/>
        <item x="102"/>
        <item m="1" x="777"/>
        <item m="1" x="670"/>
        <item m="1" x="766"/>
        <item m="1" x="661"/>
        <item x="90"/>
        <item x="142"/>
        <item m="1" x="296"/>
        <item x="95"/>
        <item x="176"/>
        <item x="141"/>
        <item x="182"/>
        <item m="1" x="545"/>
        <item m="1" x="559"/>
        <item x="198"/>
        <item m="1" x="566"/>
        <item m="1" x="681"/>
        <item m="1" x="276"/>
        <item x="191"/>
        <item x="219"/>
        <item m="1" x="657"/>
        <item x="63"/>
        <item x="116"/>
        <item m="1" x="294"/>
        <item m="1" x="717"/>
        <item m="1" x="273"/>
        <item x="204"/>
        <item m="1" x="263"/>
        <item m="1" x="454"/>
        <item m="1" x="622"/>
        <item m="1" x="349"/>
        <item m="1" x="688"/>
        <item x="148"/>
        <item x="103"/>
        <item m="1" x="575"/>
        <item m="1" x="728"/>
        <item x="207"/>
        <item m="1" x="702"/>
        <item m="1" x="323"/>
        <item x="185"/>
        <item m="1" x="428"/>
        <item m="1" x="269"/>
        <item m="1" x="322"/>
        <item x="92"/>
        <item m="1" x="524"/>
        <item m="1" x="589"/>
        <item m="1" x="759"/>
        <item m="1" x="434"/>
        <item x="138"/>
        <item x="128"/>
        <item m="1" x="748"/>
        <item m="1" x="486"/>
        <item x="181"/>
        <item x="129"/>
        <item m="1" x="449"/>
        <item m="1" x="511"/>
        <item m="1" x="496"/>
        <item m="1" x="727"/>
        <item m="1" x="584"/>
        <item m="1" x="573"/>
        <item m="1" x="612"/>
        <item m="1" x="463"/>
        <item m="1" x="547"/>
        <item m="1" x="462"/>
        <item m="1" x="364"/>
        <item m="1" x="767"/>
        <item x="106"/>
        <item x="93"/>
        <item m="1" x="412"/>
        <item m="1" x="326"/>
        <item m="1" x="578"/>
        <item x="117"/>
        <item m="1" x="426"/>
        <item m="1" x="699"/>
        <item m="1" x="625"/>
        <item m="1" x="395"/>
        <item x="104"/>
        <item x="155"/>
        <item m="1" x="377"/>
        <item m="1" x="769"/>
        <item m="1" x="537"/>
        <item m="1" x="620"/>
        <item m="1" x="548"/>
        <item x="189"/>
        <item m="1" x="744"/>
        <item m="1" x="528"/>
        <item m="1" x="494"/>
        <item m="1" x="754"/>
        <item m="1" x="231"/>
        <item x="125"/>
        <item m="1" x="580"/>
        <item m="1" x="279"/>
        <item x="203"/>
        <item m="1" x="593"/>
        <item m="1" x="595"/>
        <item m="1" x="319"/>
        <item m="1" x="474"/>
        <item m="1" x="397"/>
        <item m="1" x="257"/>
        <item m="1" x="747"/>
        <item x="158"/>
        <item x="194"/>
        <item x="120"/>
        <item m="1" x="239"/>
        <item m="1" x="706"/>
        <item m="1" x="641"/>
        <item m="1" x="779"/>
        <item m="1" x="504"/>
        <item m="1" x="262"/>
        <item m="1" x="225"/>
        <item m="1" x="228"/>
        <item m="1" x="299"/>
        <item m="1" x="300"/>
        <item m="1" x="304"/>
        <item m="1" x="378"/>
        <item m="1" x="380"/>
        <item m="1" x="381"/>
        <item m="1" x="774"/>
        <item m="1" x="571"/>
        <item x="177"/>
        <item m="1" x="473"/>
        <item m="1" x="312"/>
        <item x="164"/>
        <item m="1" x="569"/>
        <item m="1" x="371"/>
        <item m="1" x="227"/>
        <item m="1" x="330"/>
        <item m="1" x="314"/>
        <item m="1" x="542"/>
        <item m="1" x="255"/>
        <item m="1" x="229"/>
        <item m="1" x="341"/>
        <item m="1" x="280"/>
        <item m="1" x="297"/>
        <item m="1" x="242"/>
        <item m="1" x="551"/>
        <item m="1" x="773"/>
        <item m="1" x="370"/>
        <item m="1" x="665"/>
        <item m="1" x="663"/>
        <item m="1" x="281"/>
        <item m="1" x="617"/>
        <item m="1" x="753"/>
        <item m="1" x="476"/>
        <item m="1" x="703"/>
        <item m="1" x="368"/>
        <item m="1" x="561"/>
        <item m="1" x="521"/>
        <item m="1" x="760"/>
        <item m="1" x="782"/>
        <item m="1" x="719"/>
        <item m="1" x="265"/>
        <item m="1" x="480"/>
        <item x="109"/>
        <item m="1" x="267"/>
        <item m="1" x="337"/>
        <item m="1" x="493"/>
        <item x="175"/>
        <item m="1" x="315"/>
        <item m="1" x="743"/>
        <item m="1" x="308"/>
        <item x="195"/>
        <item m="1" x="677"/>
        <item m="1" x="544"/>
        <item m="1" x="534"/>
        <item m="1" x="510"/>
        <item m="1" x="491"/>
        <item m="1" x="475"/>
        <item m="1" x="563"/>
        <item x="217"/>
        <item m="1" x="433"/>
        <item m="1" x="517"/>
        <item m="1" x="501"/>
        <item m="1" x="390"/>
        <item m="1" x="590"/>
        <item m="1" x="353"/>
        <item m="1" x="557"/>
        <item m="1" x="531"/>
        <item m="1" x="687"/>
        <item x="197"/>
        <item m="1" x="579"/>
        <item m="1" x="535"/>
        <item m="1" x="408"/>
        <item m="1" x="577"/>
        <item m="1" x="246"/>
        <item m="1" x="490"/>
        <item m="1" x="387"/>
        <item m="1" x="321"/>
        <item m="1" x="332"/>
        <item m="1" x="666"/>
        <item m="1" x="613"/>
        <item x="192"/>
        <item m="1" x="751"/>
        <item m="1" x="711"/>
        <item m="1" x="249"/>
        <item m="1" x="516"/>
        <item m="1" x="443"/>
        <item m="1" x="339"/>
        <item m="1" x="391"/>
        <item m="1" x="635"/>
        <item x="196"/>
        <item m="1" x="509"/>
        <item m="1" x="290"/>
        <item m="1" x="414"/>
        <item m="1" x="505"/>
        <item m="1" x="481"/>
        <item m="1" x="705"/>
        <item m="1" x="361"/>
        <item m="1" x="383"/>
        <item m="1" x="628"/>
        <item m="1" x="442"/>
        <item m="1" x="458"/>
        <item m="1" x="451"/>
        <item m="1" x="278"/>
        <item x="66"/>
        <item m="1" x="525"/>
        <item m="1" x="436"/>
        <item m="1" x="252"/>
        <item m="1" x="781"/>
        <item m="1" x="234"/>
        <item m="1" x="318"/>
        <item m="1" x="701"/>
        <item m="1" x="741"/>
        <item x="213"/>
        <item m="1" x="362"/>
        <item m="1" x="716"/>
        <item x="156"/>
        <item m="1" x="762"/>
        <item m="1" x="359"/>
        <item x="65"/>
        <item m="1" x="785"/>
        <item m="1" x="460"/>
        <item m="1" x="435"/>
        <item m="1" x="691"/>
        <item x="160"/>
        <item m="1" x="479"/>
        <item m="1" x="680"/>
        <item m="1" x="643"/>
        <item m="1" x="546"/>
        <item x="101"/>
        <item m="1" x="327"/>
        <item m="1" x="526"/>
        <item m="1" x="726"/>
        <item x="105"/>
        <item x="179"/>
        <item x="121"/>
        <item m="1" x="446"/>
        <item m="1" x="464"/>
        <item m="1" x="662"/>
        <item m="1" x="543"/>
        <item x="154"/>
        <item m="1" x="529"/>
        <item m="1" x="514"/>
        <item x="107"/>
        <item m="1" x="710"/>
        <item m="1" x="587"/>
        <item m="1" x="604"/>
        <item x="163"/>
        <item m="1" x="520"/>
        <item m="1" x="489"/>
        <item m="1" x="259"/>
        <item m="1" x="632"/>
        <item x="190"/>
        <item m="1" x="770"/>
        <item x="215"/>
        <item m="1" x="236"/>
        <item m="1" x="309"/>
        <item x="110"/>
        <item m="1" x="541"/>
        <item m="1" x="630"/>
        <item m="1" x="697"/>
        <item m="1" x="775"/>
        <item m="1" x="608"/>
        <item m="1" x="448"/>
        <item m="1" x="656"/>
        <item m="1" x="301"/>
        <item m="1" x="292"/>
        <item m="1" x="715"/>
        <item m="1" x="500"/>
        <item m="1" x="600"/>
        <item m="1" x="671"/>
        <item m="1" x="467"/>
        <item m="1" x="651"/>
        <item m="1" x="293"/>
        <item m="1" x="645"/>
        <item m="1" x="704"/>
        <item m="1" x="286"/>
        <item m="1" x="382"/>
        <item m="1" x="350"/>
        <item x="184"/>
        <item m="1" x="288"/>
        <item m="1" x="372"/>
        <item m="1" x="469"/>
        <item m="1" x="789"/>
        <item m="1" x="659"/>
        <item m="1" x="347"/>
        <item m="1" x="342"/>
        <item m="1" x="682"/>
        <item m="1" x="508"/>
        <item m="1" x="784"/>
        <item m="1" x="247"/>
        <item m="1" x="398"/>
        <item x="111"/>
        <item m="1" x="254"/>
        <item m="1" x="416"/>
        <item m="1" x="660"/>
        <item m="1" x="738"/>
        <item m="1" x="452"/>
        <item m="1" x="668"/>
        <item x="118"/>
        <item x="119"/>
        <item m="1" x="503"/>
        <item m="1" x="627"/>
        <item m="1" x="499"/>
        <item m="1" x="413"/>
        <item x="187"/>
        <item m="1" x="455"/>
        <item m="1" x="440"/>
        <item x="178"/>
        <item m="1" x="331"/>
        <item m="1" x="233"/>
        <item m="1" x="572"/>
        <item m="1" x="732"/>
        <item m="1" x="450"/>
        <item m="1" x="465"/>
        <item m="1" x="787"/>
        <item m="1" x="409"/>
        <item m="1" x="610"/>
        <item m="1" x="675"/>
        <item m="1" x="417"/>
        <item m="1" x="768"/>
        <item m="1" x="532"/>
        <item m="1" x="530"/>
        <item m="1" x="730"/>
        <item m="1" x="386"/>
        <item m="1" x="410"/>
        <item x="205"/>
        <item m="1" x="616"/>
        <item m="1" x="709"/>
        <item m="1" x="268"/>
        <item m="1" x="431"/>
        <item m="1" x="506"/>
        <item m="1" x="266"/>
        <item x="126"/>
        <item m="1" x="483"/>
        <item m="1" x="776"/>
        <item m="1" x="599"/>
        <item m="1" x="354"/>
        <item m="1" x="619"/>
        <item m="1" x="240"/>
        <item x="135"/>
        <item m="1" x="492"/>
        <item x="206"/>
        <item m="1" x="411"/>
        <item m="1" x="672"/>
        <item m="1" x="415"/>
        <item m="1" x="637"/>
        <item m="1" x="427"/>
        <item m="1" x="793"/>
        <item m="1" x="650"/>
        <item m="1" x="329"/>
        <item x="224"/>
        <item x="140"/>
        <item m="1" x="552"/>
        <item x="165"/>
        <item m="1" x="302"/>
        <item x="220"/>
        <item m="1" x="640"/>
        <item m="1" x="519"/>
        <item x="193"/>
        <item m="1" x="336"/>
        <item m="1" x="404"/>
        <item m="1" x="602"/>
        <item m="1" x="438"/>
        <item m="1" x="424"/>
        <item m="1" x="502"/>
        <item x="218"/>
        <item x="147"/>
        <item x="157"/>
        <item x="161"/>
        <item x="167"/>
        <item x="169"/>
        <item x="174"/>
        <item x="183"/>
        <item x="186"/>
        <item x="199"/>
        <item x="200"/>
        <item x="201"/>
        <item x="208"/>
        <item x="216"/>
        <item t="default"/>
      </items>
    </pivotField>
    <pivotField numFmtId="14" showAll="0"/>
    <pivotField numFmtId="3" showAll="0"/>
    <pivotField dataField="1" numFmtId="4" showAll="0"/>
    <pivotField showAll="0"/>
    <pivotField numFmtId="3" showAll="0"/>
    <pivotField showAll="0"/>
    <pivotField axis="axisRow" showAll="0">
      <items count="46">
        <item sd="0" x="24"/>
        <item sd="0" m="1" x="39"/>
        <item sd="0" x="16"/>
        <item sd="0" x="17"/>
        <item sd="0" x="8"/>
        <item sd="0" x="12"/>
        <item sd="0" m="1" x="35"/>
        <item sd="0" x="22"/>
        <item sd="0" m="1" x="42"/>
        <item sd="0" x="3"/>
        <item sd="0" m="1" x="38"/>
        <item sd="0" x="20"/>
        <item sd="0" m="1" x="32"/>
        <item sd="0" m="1" x="44"/>
        <item sd="0" x="5"/>
        <item sd="0" m="1" x="29"/>
        <item sd="0" x="25"/>
        <item sd="0" m="1" x="27"/>
        <item sd="0" x="2"/>
        <item sd="0" x="0"/>
        <item sd="0" x="18"/>
        <item sd="0" x="15"/>
        <item sd="0" x="11"/>
        <item sd="0" m="1" x="36"/>
        <item sd="0" x="10"/>
        <item sd="0" m="1" x="40"/>
        <item sd="0" x="4"/>
        <item sd="0" m="1" x="41"/>
        <item sd="0" x="23"/>
        <item sd="0" x="13"/>
        <item sd="0" m="1" x="43"/>
        <item sd="0" m="1" x="30"/>
        <item sd="0" x="6"/>
        <item sd="0" x="9"/>
        <item sd="0" m="1" x="34"/>
        <item sd="0" x="14"/>
        <item sd="0" m="1" x="37"/>
        <item sd="0" x="21"/>
        <item sd="0" m="1" x="31"/>
        <item sd="0" m="1" x="33"/>
        <item sd="0" x="19"/>
        <item sd="0" m="1" x="28"/>
        <item sd="0" x="7"/>
        <item sd="0" x="1"/>
        <item x="26"/>
        <item t="default" sd="0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3">
        <item sd="0" x="1"/>
        <item sd="0" x="2"/>
        <item sd="0" x="3"/>
        <item sd="0" x="4"/>
        <item sd="0" x="5"/>
        <item sd="0" x="6"/>
        <item sd="0" x="7"/>
        <item sd="0" x="8"/>
        <item sd="0" x="9"/>
        <item x="0"/>
        <item sd="0" x="10"/>
        <item x="11"/>
        <item t="default" sd="0"/>
      </items>
    </pivotField>
  </pivotFields>
  <rowFields count="5">
    <field x="11"/>
    <field x="14"/>
    <field x="0"/>
    <field x="4"/>
    <field x="2"/>
  </rowFields>
  <rowItems count="29">
    <i>
      <x/>
    </i>
    <i>
      <x v="2"/>
    </i>
    <i>
      <x v="3"/>
    </i>
    <i>
      <x v="4"/>
    </i>
    <i>
      <x v="5"/>
    </i>
    <i>
      <x v="7"/>
    </i>
    <i>
      <x v="9"/>
    </i>
    <i>
      <x v="11"/>
    </i>
    <i>
      <x v="14"/>
    </i>
    <i>
      <x v="16"/>
    </i>
    <i>
      <x v="18"/>
    </i>
    <i>
      <x v="19"/>
    </i>
    <i>
      <x v="20"/>
    </i>
    <i>
      <x v="21"/>
    </i>
    <i>
      <x v="22"/>
    </i>
    <i>
      <x v="24"/>
    </i>
    <i>
      <x v="26"/>
    </i>
    <i>
      <x v="28"/>
    </i>
    <i>
      <x v="29"/>
    </i>
    <i>
      <x v="32"/>
    </i>
    <i>
      <x v="33"/>
    </i>
    <i>
      <x v="35"/>
    </i>
    <i>
      <x v="37"/>
    </i>
    <i>
      <x v="40"/>
    </i>
    <i>
      <x v="42"/>
    </i>
    <i>
      <x v="43"/>
    </i>
    <i>
      <x v="44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R$ Vencido" fld="7" baseField="14" baseItem="1" numFmtId="43"/>
    <dataField name="%Rep" fld="7" showDataAs="percentOfTotal" baseField="14" baseItem="11" numFmtId="10"/>
  </dataFields>
  <formats count="10">
    <format dxfId="278">
      <pivotArea outline="0" collapsedLevelsAreSubtotals="1" fieldPosition="0"/>
    </format>
    <format dxfId="277">
      <pivotArea outline="0" fieldPosition="0">
        <references count="1">
          <reference field="4294967294" count="1">
            <x v="1"/>
          </reference>
        </references>
      </pivotArea>
    </format>
    <format dxfId="276">
      <pivotArea field="14" type="button" dataOnly="0" labelOnly="1" outline="0" axis="axisRow" fieldPosition="1"/>
    </format>
    <format dxfId="2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4">
      <pivotArea field="14" type="button" dataOnly="0" labelOnly="1" outline="0" axis="axisRow" fieldPosition="1"/>
    </format>
    <format dxfId="2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2">
      <pivotArea grandRow="1" outline="0" collapsedLevelsAreSubtotals="1" fieldPosition="0"/>
    </format>
    <format dxfId="271">
      <pivotArea dataOnly="0" labelOnly="1" grandRow="1" outline="0" fieldPosition="0"/>
    </format>
    <format dxfId="270">
      <pivotArea grandRow="1" outline="0" collapsedLevelsAreSubtotals="1" fieldPosition="0"/>
    </format>
    <format dxfId="269">
      <pivotArea dataOnly="0" labelOnly="1" grandRow="1" outline="0" fieldPosition="0"/>
    </format>
  </formats>
  <chartFormats count="1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1"/>
          </reference>
          <reference field="14" count="1" selected="0">
            <x v="8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1"/>
          </reference>
          <reference field="14" count="1" selected="0">
            <x v="7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1"/>
          </reference>
          <reference field="14" count="1" selected="0">
            <x v="5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1"/>
          </reference>
          <reference field="14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1"/>
          </reference>
          <reference field="14" count="1" selected="0">
            <x v="3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1"/>
          </reference>
          <reference field="1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8FD43-CF1B-435D-8D87-C638964787FF}" name="Tabela dinâ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rowHeaderCaption="Cliente">
  <location ref="B5:D248" firstHeaderRow="0" firstDataRow="1" firstDataCol="1"/>
  <pivotFields count="15">
    <pivotField axis="axisRow" numFmtId="14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t="default"/>
      </items>
    </pivotField>
    <pivotField numFmtId="3" showAll="0"/>
    <pivotField axis="axisRow" showAll="0">
      <items count="8001">
        <item m="1" x="3418"/>
        <item m="1" x="3170"/>
        <item m="1" x="5885"/>
        <item m="1" x="5566"/>
        <item m="1" x="5233"/>
        <item m="1" x="4925"/>
        <item x="39"/>
        <item x="44"/>
        <item m="1" x="7302"/>
        <item m="1" x="6963"/>
        <item m="1" x="4969"/>
        <item m="1" x="4686"/>
        <item m="1" x="7846"/>
        <item m="1" x="5841"/>
        <item m="1" x="6355"/>
        <item m="1" x="2404"/>
        <item m="1" x="7790"/>
        <item m="1" x="7452"/>
        <item m="1" x="7126"/>
        <item m="1" x="6829"/>
        <item m="1" x="3905"/>
        <item m="1" x="3289"/>
        <item m="1" x="7017"/>
        <item m="1" x="6497"/>
        <item m="1" x="6204"/>
        <item m="1" x="5840"/>
        <item m="1" x="5523"/>
        <item m="1" x="2449"/>
        <item m="1" x="4404"/>
        <item m="1" x="4086"/>
        <item m="1" x="3795"/>
        <item m="1" x="7875"/>
        <item m="1" x="7589"/>
        <item m="1" x="6986"/>
        <item m="1" x="6721"/>
        <item m="1" x="6398"/>
        <item m="1" x="3471"/>
        <item m="1" x="3223"/>
        <item m="1" x="2944"/>
        <item m="1" x="6981"/>
        <item m="1" x="6984"/>
        <item m="1" x="4399"/>
        <item m="1" x="7552"/>
        <item m="1" x="6622"/>
        <item m="1" x="6627"/>
        <item m="1" x="6632"/>
        <item m="1" x="3561"/>
        <item m="1" x="3563"/>
        <item m="1" x="7139"/>
        <item m="1" x="7142"/>
        <item m="1" x="7148"/>
        <item m="1" x="5057"/>
        <item m="1" x="5059"/>
        <item m="1" x="5061"/>
        <item m="1" x="3930"/>
        <item m="1" x="3936"/>
        <item m="1" x="4625"/>
        <item m="1" x="4627"/>
        <item m="1" x="4629"/>
        <item m="1" x="6466"/>
        <item m="1" x="6471"/>
        <item m="1" x="6473"/>
        <item m="1" x="6474"/>
        <item m="1" x="6475"/>
        <item m="1" x="6476"/>
        <item m="1" x="7797"/>
        <item m="1" x="5806"/>
        <item m="1" x="5188"/>
        <item m="1" x="2699"/>
        <item m="1" x="2706"/>
        <item m="1" x="5431"/>
        <item m="1" x="5434"/>
        <item m="1" x="5439"/>
        <item m="1" x="5443"/>
        <item m="1" x="5446"/>
        <item m="1" x="5448"/>
        <item m="1" x="4262"/>
        <item m="1" x="6674"/>
        <item m="1" x="5811"/>
        <item m="1" x="6537"/>
        <item m="1" x="6544"/>
        <item m="1" x="6546"/>
        <item m="1" x="6548"/>
        <item m="1" x="6552"/>
        <item m="1" x="4278"/>
        <item m="1" x="4814"/>
        <item m="1" x="4994"/>
        <item m="1" x="4999"/>
        <item m="1" x="4150"/>
        <item m="1" x="3860"/>
        <item m="1" x="3865"/>
        <item m="1" x="3869"/>
        <item m="1" x="3874"/>
        <item m="1" x="4011"/>
        <item m="1" x="4988"/>
        <item m="1" x="7374"/>
        <item m="1" x="4986"/>
        <item m="1" x="7753"/>
        <item m="1" x="5214"/>
        <item m="1" x="5219"/>
        <item m="1" x="5384"/>
        <item m="1" x="5389"/>
        <item m="1" x="7938"/>
        <item m="1" x="7944"/>
        <item m="1" x="7810"/>
        <item m="1" x="7811"/>
        <item m="1" x="6630"/>
        <item m="1" x="6634"/>
        <item m="1" x="6448"/>
        <item m="1" x="6452"/>
        <item m="1" x="6455"/>
        <item m="1" x="7798"/>
        <item m="1" x="6697"/>
        <item m="1" x="6702"/>
        <item m="1" x="4277"/>
        <item m="1" x="3785"/>
        <item m="1" x="3786"/>
        <item m="1" x="7463"/>
        <item m="1" x="2615"/>
        <item m="1" x="3752"/>
        <item m="1" x="6383"/>
        <item m="1" x="6388"/>
        <item m="1" x="6392"/>
        <item m="1" x="7241"/>
        <item m="1" x="7247"/>
        <item m="1" x="7251"/>
        <item m="1" x="5731"/>
        <item m="1" x="5734"/>
        <item m="1" x="5740"/>
        <item m="1" x="5392"/>
        <item m="1" x="5397"/>
        <item m="1" x="6610"/>
        <item m="1" x="2515"/>
        <item m="1" x="7991"/>
        <item m="1" x="4295"/>
        <item m="1" x="4302"/>
        <item m="1" x="5901"/>
        <item m="1" x="5904"/>
        <item m="1" x="5906"/>
        <item m="1" x="4815"/>
        <item m="1" x="4821"/>
        <item m="1" x="4824"/>
        <item m="1" x="6555"/>
        <item m="1" x="6558"/>
        <item m="1" x="6560"/>
        <item m="1" x="6563"/>
        <item m="1" x="3830"/>
        <item m="1" x="3834"/>
        <item m="1" x="2420"/>
        <item m="1" x="2233"/>
        <item m="1" x="2236"/>
        <item m="1" x="2241"/>
        <item m="1" x="2205"/>
        <item m="1" x="4829"/>
        <item m="1" x="4833"/>
        <item m="1" x="4839"/>
        <item m="1" x="2520"/>
        <item m="1" x="2522"/>
        <item m="1" x="4006"/>
        <item m="1" x="4008"/>
        <item m="1" x="4010"/>
        <item m="1" x="2280"/>
        <item m="1" x="6751"/>
        <item m="1" x="6755"/>
        <item m="1" x="6758"/>
        <item m="1" x="6760"/>
        <item m="1" x="6154"/>
        <item m="1" x="6161"/>
        <item m="1" x="6623"/>
        <item m="1" x="7900"/>
        <item m="1" x="5390"/>
        <item m="1" x="7646"/>
        <item m="1" x="7653"/>
        <item m="1" x="7659"/>
        <item m="1" x="2393"/>
        <item m="1" x="2396"/>
        <item m="1" x="2397"/>
        <item m="1" x="6949"/>
        <item m="1" x="4879"/>
        <item m="1" x="4882"/>
        <item m="1" x="6263"/>
        <item m="1" x="2244"/>
        <item m="1" x="2247"/>
        <item m="1" x="2252"/>
        <item m="1" x="2255"/>
        <item m="1" x="7661"/>
        <item m="1" x="7666"/>
        <item m="1" x="6037"/>
        <item m="1" x="6042"/>
        <item m="1" x="6044"/>
        <item m="1" x="4172"/>
        <item m="1" x="4178"/>
        <item m="1" x="4182"/>
        <item m="1" x="4187"/>
        <item m="1" x="7090"/>
        <item m="1" x="7096"/>
        <item m="1" x="7100"/>
        <item m="1" x="6677"/>
        <item m="1" x="6422"/>
        <item m="1" x="5321"/>
        <item m="1" x="5323"/>
        <item m="1" x="5324"/>
        <item m="1" x="5202"/>
        <item m="1" x="6946"/>
        <item m="1" x="6947"/>
        <item m="1" x="4481"/>
        <item m="1" x="4482"/>
        <item m="1" x="4484"/>
        <item m="1" x="7039"/>
        <item m="1" x="7043"/>
        <item m="1" x="7047"/>
        <item m="1" x="2901"/>
        <item m="1" x="2904"/>
        <item m="1" x="4809"/>
        <item m="1" x="4810"/>
        <item m="1" x="5934"/>
        <item m="1" x="5074"/>
        <item m="1" x="5008"/>
        <item m="1" x="5012"/>
        <item m="1" x="5016"/>
        <item m="1" x="5022"/>
        <item m="1" x="2409"/>
        <item m="1" x="2412"/>
        <item m="1" x="3989"/>
        <item m="1" x="3991"/>
        <item m="1" x="3993"/>
        <item m="1" x="4291"/>
        <item m="1" x="3705"/>
        <item m="1" x="3707"/>
        <item m="1" x="3710"/>
        <item m="1" x="3714"/>
        <item m="1" x="3720"/>
        <item m="1" x="3723"/>
        <item m="1" x="3729"/>
        <item m="1" x="2407"/>
        <item m="1" x="5116"/>
        <item m="1" x="5119"/>
        <item m="1" x="5124"/>
        <item m="1" x="3554"/>
        <item m="1" x="6692"/>
        <item m="1" x="4113"/>
        <item m="1" x="4118"/>
        <item m="1" x="4125"/>
        <item m="1" x="4309"/>
        <item m="1" x="4311"/>
        <item m="1" x="7821"/>
        <item m="1" x="7823"/>
        <item m="1" x="7825"/>
        <item m="1" x="7828"/>
        <item m="1" x="2650"/>
        <item m="1" x="7932"/>
        <item m="1" x="3810"/>
        <item m="1" x="5300"/>
        <item m="1" x="7522"/>
        <item m="1" x="4772"/>
        <item m="1" x="4778"/>
        <item m="1" x="4737"/>
        <item m="1" x="4740"/>
        <item m="1" x="4412"/>
        <item m="1" x="5120"/>
        <item m="1" x="4659"/>
        <item m="1" x="4660"/>
        <item m="1" x="3510"/>
        <item m="1" x="6009"/>
        <item m="1" x="6014"/>
        <item m="1" x="6021"/>
        <item m="1" x="6027"/>
        <item m="1" x="6034"/>
        <item m="1" x="6038"/>
        <item m="1" x="7757"/>
        <item m="1" x="2957"/>
        <item m="1" x="7556"/>
        <item m="1" x="7588"/>
        <item m="1" x="3685"/>
        <item m="1" x="3687"/>
        <item m="1" x="3694"/>
        <item m="1" x="3699"/>
        <item m="1" x="3702"/>
        <item m="1" x="3144"/>
        <item m="1" x="6601"/>
        <item m="1" x="6604"/>
        <item m="1" x="6219"/>
        <item m="1" x="4917"/>
        <item m="1" x="4921"/>
        <item m="1" x="4173"/>
        <item m="1" x="4001"/>
        <item m="1" x="4005"/>
        <item m="1" x="3995"/>
        <item m="1" x="6125"/>
        <item m="1" x="4321"/>
        <item m="1" x="2817"/>
        <item m="1" x="6842"/>
        <item m="1" x="6845"/>
        <item m="1" x="6850"/>
        <item m="1" x="5054"/>
        <item m="1" x="5056"/>
        <item m="1" x="3920"/>
        <item m="1" x="3924"/>
        <item m="1" x="3929"/>
        <item m="1" x="3368"/>
        <item m="1" x="3369"/>
        <item m="1" x="7977"/>
        <item m="1" x="7980"/>
        <item m="1" x="7983"/>
        <item m="1" x="4281"/>
        <item m="1" x="3682"/>
        <item m="1" x="6281"/>
        <item m="1" x="6284"/>
        <item m="1" x="6287"/>
        <item m="1" x="6291"/>
        <item m="1" x="6293"/>
        <item m="1" x="3766"/>
        <item m="1" x="3768"/>
        <item m="1" x="5792"/>
        <item m="1" x="5795"/>
        <item m="1" x="5800"/>
        <item m="1" x="4131"/>
        <item m="1" x="4750"/>
        <item m="1" x="7783"/>
        <item m="1" x="7786"/>
        <item m="1" x="7789"/>
        <item m="1" x="2380"/>
        <item m="1" x="2385"/>
        <item m="1" x="2387"/>
        <item m="1" x="2390"/>
        <item m="1" x="3564"/>
        <item m="1" x="3566"/>
        <item m="1" x="3569"/>
        <item m="1" x="3572"/>
        <item m="1" x="7185"/>
        <item m="1" x="2630"/>
        <item m="1" x="2632"/>
        <item m="1" x="2637"/>
        <item m="1" x="2639"/>
        <item m="1" x="2643"/>
        <item m="1" x="2645"/>
        <item m="1" x="7501"/>
        <item m="1" x="5017"/>
        <item m="1" x="7130"/>
        <item m="1" x="3032"/>
        <item m="1" x="3034"/>
        <item m="1" x="4588"/>
        <item m="1" x="5602"/>
        <item m="1" x="5605"/>
        <item m="1" x="5611"/>
        <item m="1" x="5614"/>
        <item m="1" x="5619"/>
        <item m="1" x="4154"/>
        <item m="1" x="4155"/>
        <item m="1" x="7464"/>
        <item m="1" x="7468"/>
        <item m="1" x="7470"/>
        <item m="1" x="7475"/>
        <item m="1" x="3264"/>
        <item m="1" x="3270"/>
        <item m="1" x="3274"/>
        <item m="1" x="3279"/>
        <item m="1" x="6458"/>
        <item m="1" x="6462"/>
        <item m="1" x="7471"/>
        <item m="1" x="7476"/>
        <item m="1" x="7482"/>
        <item m="1" x="7487"/>
        <item m="1" x="7491"/>
        <item m="1" x="6131"/>
        <item m="1" x="6135"/>
        <item m="1" x="6139"/>
        <item m="1" x="3364"/>
        <item m="1" x="3365"/>
        <item m="1" x="7929"/>
        <item m="1" x="7934"/>
        <item m="1" x="7936"/>
        <item m="1" x="6148"/>
        <item m="1" x="6157"/>
        <item m="1" x="6514"/>
        <item m="1" x="6517"/>
        <item m="1" x="6522"/>
        <item m="1" x="6526"/>
        <item m="1" x="6532"/>
        <item m="1" x="6541"/>
        <item m="1" x="4792"/>
        <item m="1" x="4795"/>
        <item m="1" x="3751"/>
        <item m="1" x="3753"/>
        <item m="1" x="3757"/>
        <item m="1" x="3591"/>
        <item m="1" x="3595"/>
        <item m="1" x="3602"/>
        <item m="1" x="3605"/>
        <item m="1" x="6572"/>
        <item m="1" x="6575"/>
        <item m="1" x="6577"/>
        <item m="1" x="2872"/>
        <item m="1" x="2875"/>
        <item m="1" x="2878"/>
        <item m="1" x="2332"/>
        <item m="1" x="7370"/>
        <item m="1" x="7372"/>
        <item m="1" x="7375"/>
        <item m="1" x="4219"/>
        <item m="1" x="4224"/>
        <item m="1" x="5347"/>
        <item m="1" x="5350"/>
        <item m="1" x="5767"/>
        <item m="1" x="5773"/>
        <item m="1" x="5774"/>
        <item m="1" x="5778"/>
        <item m="1" x="7896"/>
        <item m="1" x="5403"/>
        <item m="1" x="5406"/>
        <item m="1" x="5410"/>
        <item m="1" x="5414"/>
        <item m="1" x="6765"/>
        <item m="1" x="6768"/>
        <item m="1" x="6773"/>
        <item m="1" x="6777"/>
        <item m="1" x="4896"/>
        <item m="1" x="4898"/>
        <item m="1" x="4899"/>
        <item m="1" x="4904"/>
        <item m="1" x="7919"/>
        <item m="1" x="7921"/>
        <item m="1" x="7926"/>
        <item m="1" x="7876"/>
        <item m="1" x="4844"/>
        <item m="1" x="4849"/>
        <item m="1" x="4853"/>
        <item m="1" x="4855"/>
        <item m="1" x="3420"/>
        <item m="1" x="3424"/>
        <item m="1" x="3426"/>
        <item m="1" x="3427"/>
        <item m="1" x="5890"/>
        <item m="1" x="5894"/>
        <item m="1" x="7199"/>
        <item m="1" x="5772"/>
        <item m="1" x="4714"/>
        <item m="1" x="5243"/>
        <item m="1" x="5245"/>
        <item m="1" x="6426"/>
        <item m="1" x="4175"/>
        <item m="1" x="4180"/>
        <item m="1" x="4185"/>
        <item m="1" x="7378"/>
        <item m="1" x="7382"/>
        <item m="1" x="5229"/>
        <item m="1" x="4806"/>
        <item m="1" x="4807"/>
        <item m="1" x="4092"/>
        <item m="1" x="4542"/>
        <item m="1" x="7070"/>
        <item m="1" x="6859"/>
        <item m="1" x="6863"/>
        <item m="1" x="4069"/>
        <item m="1" x="4074"/>
        <item m="1" x="7780"/>
        <item m="1" x="2477"/>
        <item m="1" x="2480"/>
        <item m="1" x="2485"/>
        <item m="1" x="4455"/>
        <item m="1" x="2354"/>
        <item m="1" x="2360"/>
        <item m="1" x="5432"/>
        <item m="1" x="5435"/>
        <item m="1" x="5440"/>
        <item m="1" x="5444"/>
        <item m="1" x="7854"/>
        <item m="1" x="7075"/>
        <item m="1" x="7081"/>
        <item m="1" x="7085"/>
        <item m="1" x="3677"/>
        <item m="1" x="3678"/>
        <item m="1" x="3683"/>
        <item m="1" x="6766"/>
        <item m="1" x="6772"/>
        <item m="1" x="6952"/>
        <item m="1" x="6948"/>
        <item m="1" x="6950"/>
        <item x="22"/>
        <item x="23"/>
        <item m="1" x="2281"/>
        <item m="1" x="2284"/>
        <item m="1" x="6614"/>
        <item m="1" x="6619"/>
        <item m="1" x="5303"/>
        <item m="1" x="5571"/>
        <item m="1" x="2804"/>
        <item m="1" x="2756"/>
        <item m="1" x="2759"/>
        <item m="1" x="2761"/>
        <item m="1" x="3950"/>
        <item m="1" x="3952"/>
        <item m="1" x="3955"/>
        <item m="1" x="3957"/>
        <item m="1" x="3959"/>
        <item m="1" x="3961"/>
        <item m="1" x="3393"/>
        <item m="1" x="3394"/>
        <item m="1" x="4761"/>
        <item m="1" x="4768"/>
        <item m="1" x="4200"/>
        <item m="1" x="4203"/>
        <item m="1" x="7956"/>
        <item m="1" x="7958"/>
        <item m="1" x="7960"/>
        <item m="1" x="7962"/>
        <item m="1" x="7963"/>
        <item m="1" x="7664"/>
        <item m="1" x="7669"/>
        <item m="1" x="7670"/>
        <item m="1" x="7672"/>
        <item m="1" x="7673"/>
        <item m="1" x="7677"/>
        <item m="1" x="3140"/>
        <item m="1" x="3968"/>
        <item m="1" x="3971"/>
        <item m="1" x="6097"/>
        <item m="1" x="6102"/>
        <item m="1" x="4987"/>
        <item m="1" x="7579"/>
        <item m="1" x="7583"/>
        <item m="1" x="7586"/>
        <item m="1" x="4550"/>
        <item m="1" x="4554"/>
        <item m="1" x="2812"/>
        <item m="1" x="2815"/>
        <item m="1" x="2818"/>
        <item m="1" x="4375"/>
        <item m="1" x="3124"/>
        <item m="1" x="3127"/>
        <item m="1" x="3129"/>
        <item m="1" x="6794"/>
        <item m="1" x="6797"/>
        <item m="1" x="6800"/>
        <item m="1" x="4858"/>
        <item m="1" x="6801"/>
        <item m="1" x="6807"/>
        <item m="1" x="6810"/>
        <item m="1" x="4459"/>
        <item m="1" x="4463"/>
        <item m="1" x="3126"/>
        <item m="1" x="3128"/>
        <item m="1" x="3452"/>
        <item m="1" x="2976"/>
        <item m="1" x="6128"/>
        <item m="1" x="6130"/>
        <item m="1" x="6134"/>
        <item m="1" x="4486"/>
        <item m="1" x="5273"/>
        <item m="1" x="5278"/>
        <item m="1" x="5283"/>
        <item m="1" x="7905"/>
        <item m="1" x="7907"/>
        <item m="1" x="7911"/>
        <item m="1" x="7882"/>
        <item m="1" x="7889"/>
        <item m="1" x="7837"/>
        <item m="1" x="2954"/>
        <item m="1" x="2961"/>
        <item m="1" x="2964"/>
        <item m="1" x="2968"/>
        <item m="1" x="3299"/>
        <item m="1" x="3301"/>
        <item m="1" x="5079"/>
        <item m="1" x="5086"/>
        <item m="1" x="5090"/>
        <item m="1" x="2248"/>
        <item m="1" x="6456"/>
        <item m="1" x="6459"/>
        <item m="1" x="5942"/>
        <item m="1" x="5944"/>
        <item m="1" x="5948"/>
        <item m="1" x="4865"/>
        <item m="1" x="4871"/>
        <item m="1" x="4875"/>
        <item m="1" x="6605"/>
        <item m="1" x="6606"/>
        <item m="1" x="2472"/>
        <item m="1" x="6792"/>
        <item m="1" x="6253"/>
        <item m="1" x="7624"/>
        <item m="1" x="7392"/>
        <item m="1" x="2623"/>
        <item m="1" x="2625"/>
        <item m="1" x="3787"/>
        <item m="1" x="6507"/>
        <item m="1" x="2453"/>
        <item m="1" x="4593"/>
        <item m="1" x="4634"/>
        <item m="1" x="6489"/>
        <item m="1" x="2749"/>
        <item m="1" x="3648"/>
        <item m="1" x="7324"/>
        <item m="1" x="5173"/>
        <item m="1" x="2242"/>
        <item m="1" x="4902"/>
        <item m="1" x="2952"/>
        <item m="1" x="2958"/>
        <item m="1" x="2963"/>
        <item m="1" x="3408"/>
        <item m="1" x="3412"/>
        <item m="1" x="7937"/>
        <item m="1" x="7940"/>
        <item m="1" x="4033"/>
        <item m="1" x="4035"/>
        <item m="1" x="5893"/>
        <item m="1" x="2999"/>
        <item m="1" x="3976"/>
        <item m="1" x="3377"/>
        <item m="1" x="5845"/>
        <item m="1" x="5639"/>
        <item m="1" x="6199"/>
        <item m="1" x="4773"/>
        <item m="1" x="2613"/>
        <item m="1" x="6441"/>
        <item m="1" x="6553"/>
        <item m="1" x="3098"/>
        <item m="1" x="6111"/>
        <item m="1" x="3143"/>
        <item m="1" x="3148"/>
        <item m="1" x="3914"/>
        <item m="1" x="3919"/>
        <item m="1" x="3922"/>
        <item m="1" x="3927"/>
        <item m="1" x="5102"/>
        <item m="1" x="4617"/>
        <item m="1" x="4621"/>
        <item m="1" x="5378"/>
        <item m="1" x="5383"/>
        <item m="1" x="6647"/>
        <item m="1" x="6651"/>
        <item m="1" x="6654"/>
        <item m="1" x="6658"/>
        <item m="1" x="3827"/>
        <item m="1" x="6124"/>
        <item m="1" x="6127"/>
        <item m="1" x="3084"/>
        <item m="1" x="3087"/>
        <item m="1" x="3091"/>
        <item m="1" x="7950"/>
        <item m="1" x="4319"/>
        <item m="1" x="4323"/>
        <item m="1" x="4327"/>
        <item m="1" x="4331"/>
        <item m="1" x="2793"/>
        <item m="1" x="2796"/>
        <item m="1" x="2798"/>
        <item m="1" x="2800"/>
        <item m="1" x="2802"/>
        <item m="1" x="5457"/>
        <item m="1" x="5461"/>
        <item m="1" x="7410"/>
        <item m="1" x="7413"/>
        <item m="1" x="4475"/>
        <item m="1" x="2960"/>
        <item m="1" x="2966"/>
        <item m="1" x="6722"/>
        <item m="1" x="6726"/>
        <item m="1" x="6729"/>
        <item m="1" x="6730"/>
        <item m="1" x="6733"/>
        <item m="1" x="6735"/>
        <item m="1" x="2838"/>
        <item m="1" x="2841"/>
        <item m="1" x="5710"/>
        <item m="1" x="2333"/>
        <item m="1" x="2337"/>
        <item m="1" x="7143"/>
        <item m="1" x="7149"/>
        <item m="1" x="7151"/>
        <item m="1" x="7154"/>
        <item m="1" x="3616"/>
        <item m="1" x="3622"/>
        <item m="1" x="3623"/>
        <item m="1" x="2470"/>
        <item m="1" x="2474"/>
        <item m="1" x="3261"/>
        <item m="1" x="3265"/>
        <item m="1" x="3271"/>
        <item m="1" x="3275"/>
        <item m="1" x="7681"/>
        <item m="1" x="7393"/>
        <item m="1" x="7399"/>
        <item m="1" x="7601"/>
        <item m="1" x="6039"/>
        <item x="37"/>
        <item m="1" x="7421"/>
        <item m="1" x="3625"/>
        <item m="1" x="3631"/>
        <item m="1" x="6151"/>
        <item m="1" x="5005"/>
        <item m="1" x="5006"/>
        <item m="1" x="5009"/>
        <item m="1" x="5013"/>
        <item m="1" x="4518"/>
        <item m="1" x="7732"/>
        <item m="1" x="5062"/>
        <item m="1" x="5066"/>
        <item m="1" x="5427"/>
        <item m="1" x="3428"/>
        <item m="1" x="7511"/>
        <item m="1" x="4483"/>
        <item m="1" x="4485"/>
        <item m="1" x="4488"/>
        <item m="1" x="4964"/>
        <item m="1" x="4966"/>
        <item m="1" x="6715"/>
        <item m="1" x="5627"/>
        <item m="1" x="5629"/>
        <item m="1" x="4603"/>
        <item m="1" x="4607"/>
        <item m="1" x="4610"/>
        <item m="1" x="4613"/>
        <item m="1" x="4337"/>
        <item m="1" x="4343"/>
        <item m="1" x="4349"/>
        <item m="1" x="4352"/>
        <item m="1" x="5259"/>
        <item m="1" x="5280"/>
        <item m="1" x="5286"/>
        <item m="1" x="5289"/>
        <item m="1" x="5292"/>
        <item m="1" x="7778"/>
        <item m="1" x="7779"/>
        <item m="1" x="2417"/>
        <item m="1" x="7817"/>
        <item m="1" x="7489"/>
        <item m="1" x="6564"/>
        <item m="1" x="5076"/>
        <item m="1" x="5080"/>
        <item m="1" x="5087"/>
        <item m="1" x="5091"/>
        <item m="1" x="7222"/>
        <item m="1" x="7230"/>
        <item m="1" x="7003"/>
        <item m="1" x="7006"/>
        <item m="1" x="7011"/>
        <item m="1" x="7014"/>
        <item m="1" x="4783"/>
        <item m="1" x="4785"/>
        <item m="1" x="6812"/>
        <item m="1" x="6814"/>
        <item m="1" x="6817"/>
        <item m="1" x="6819"/>
        <item m="1" x="6825"/>
        <item m="1" x="3906"/>
        <item m="1" x="3907"/>
        <item x="38"/>
        <item m="1" x="4933"/>
        <item m="1" x="4934"/>
        <item m="1" x="5106"/>
        <item m="1" x="2536"/>
        <item m="1" x="2539"/>
        <item m="1" x="7515"/>
        <item m="1" x="4159"/>
        <item m="1" x="4161"/>
        <item m="1" x="5329"/>
        <item m="1" x="5332"/>
        <item m="1" x="6203"/>
        <item x="40"/>
        <item x="41"/>
        <item x="42"/>
        <item x="43"/>
        <item m="1" x="5513"/>
        <item m="1" x="5519"/>
        <item m="1" x="7590"/>
        <item m="1" x="7593"/>
        <item m="1" x="4579"/>
        <item m="1" x="4580"/>
        <item m="1" x="4583"/>
        <item m="1" x="4283"/>
        <item m="1" x="3997"/>
        <item m="1" x="3711"/>
        <item m="1" x="3715"/>
        <item m="1" x="3415"/>
        <item m="1" x="6015"/>
        <item m="1" x="6022"/>
        <item m="1" x="6028"/>
        <item m="1" x="3611"/>
        <item m="1" x="3614"/>
        <item m="1" x="3617"/>
        <item m="1" x="2797"/>
        <item m="1" x="3652"/>
        <item m="1" x="3658"/>
        <item m="1" x="5382"/>
        <item m="1" x="5386"/>
        <item m="1" x="5393"/>
        <item x="47"/>
        <item m="1" x="3805"/>
        <item m="1" x="3806"/>
        <item m="1" x="3809"/>
        <item x="46"/>
        <item x="48"/>
        <item x="49"/>
        <item x="50"/>
        <item x="52"/>
        <item m="1" x="7049"/>
        <item m="1" x="2919"/>
        <item x="45"/>
        <item m="1" x="7436"/>
        <item x="55"/>
        <item x="54"/>
        <item x="53"/>
        <item m="1" x="4464"/>
        <item x="51"/>
        <item x="57"/>
        <item x="61"/>
        <item m="1" x="7220"/>
        <item m="1" x="7228"/>
        <item x="59"/>
        <item x="63"/>
        <item x="56"/>
        <item x="58"/>
        <item x="64"/>
        <item x="60"/>
        <item x="62"/>
        <item x="65"/>
        <item m="1" x="5048"/>
        <item x="71"/>
        <item m="1" x="7176"/>
        <item m="1" x="7179"/>
        <item x="66"/>
        <item x="72"/>
        <item x="67"/>
        <item x="73"/>
        <item x="74"/>
        <item x="75"/>
        <item x="68"/>
        <item x="70"/>
        <item x="69"/>
        <item x="91"/>
        <item x="76"/>
        <item x="77"/>
        <item x="80"/>
        <item x="83"/>
        <item x="88"/>
        <item x="93"/>
        <item x="81"/>
        <item x="84"/>
        <item x="89"/>
        <item x="94"/>
        <item x="79"/>
        <item x="86"/>
        <item m="1" x="5198"/>
        <item x="101"/>
        <item x="107"/>
        <item x="78"/>
        <item x="85"/>
        <item x="90"/>
        <item x="96"/>
        <item x="100"/>
        <item x="98"/>
        <item x="82"/>
        <item x="95"/>
        <item m="1" x="5756"/>
        <item m="1" x="5758"/>
        <item m="1" x="6233"/>
        <item m="1" x="6239"/>
        <item x="92"/>
        <item x="105"/>
        <item x="87"/>
        <item x="97"/>
        <item m="1" x="5475"/>
        <item m="1" x="5480"/>
        <item m="1" x="5483"/>
        <item m="1" x="5486"/>
        <item m="1" x="5489"/>
        <item m="1" x="5495"/>
        <item m="1" x="5499"/>
        <item x="104"/>
        <item m="1" x="6889"/>
        <item m="1" x="6893"/>
        <item m="1" x="6894"/>
        <item m="1" x="6896"/>
        <item x="103"/>
        <item x="109"/>
        <item x="115"/>
        <item x="124"/>
        <item x="133"/>
        <item x="144"/>
        <item x="148"/>
        <item x="108"/>
        <item x="114"/>
        <item m="1" x="4245"/>
        <item x="99"/>
        <item x="106"/>
        <item x="112"/>
        <item x="121"/>
        <item x="127"/>
        <item x="110"/>
        <item x="117"/>
        <item x="125"/>
        <item m="1" x="6582"/>
        <item m="1" x="6586"/>
        <item m="1" x="6588"/>
        <item m="1" x="6591"/>
        <item x="118"/>
        <item x="126"/>
        <item x="134"/>
        <item x="113"/>
        <item x="122"/>
        <item x="128"/>
        <item x="141"/>
        <item x="149"/>
        <item x="132"/>
        <item x="143"/>
        <item x="102"/>
        <item x="111"/>
        <item x="116"/>
        <item x="123"/>
        <item x="120"/>
        <item x="129"/>
        <item x="140"/>
        <item x="146"/>
        <item x="152"/>
        <item x="153"/>
        <item x="154"/>
        <item x="119"/>
        <item x="139"/>
        <item x="138"/>
        <item m="1" x="2521"/>
        <item m="1" x="2523"/>
        <item m="1" x="2529"/>
        <item x="131"/>
        <item x="142"/>
        <item x="150"/>
        <item x="135"/>
        <item x="130"/>
        <item x="136"/>
        <item x="137"/>
        <item x="145"/>
        <item x="147"/>
        <item x="151"/>
        <item x="155"/>
        <item x="157"/>
        <item x="156"/>
        <item x="187"/>
        <item x="178"/>
        <item x="188"/>
        <item x="193"/>
        <item x="197"/>
        <item x="159"/>
        <item x="163"/>
        <item x="169"/>
        <item x="181"/>
        <item x="198"/>
        <item x="161"/>
        <item x="174"/>
        <item x="189"/>
        <item x="160"/>
        <item x="168"/>
        <item x="173"/>
        <item x="184"/>
        <item x="171"/>
        <item x="164"/>
        <item x="182"/>
        <item x="170"/>
        <item x="199"/>
        <item x="165"/>
        <item x="179"/>
        <item x="205"/>
        <item x="200"/>
        <item x="206"/>
        <item x="167"/>
        <item x="196"/>
        <item x="166"/>
        <item x="195"/>
        <item x="194"/>
        <item m="1" x="5898"/>
        <item m="1" x="5899"/>
        <item m="1" x="5902"/>
        <item x="158"/>
        <item x="209"/>
        <item x="192"/>
        <item x="210"/>
        <item x="175"/>
        <item x="180"/>
        <item x="190"/>
        <item x="208"/>
        <item x="201"/>
        <item x="172"/>
        <item x="183"/>
        <item x="191"/>
        <item x="213"/>
        <item x="214"/>
        <item x="216"/>
        <item x="162"/>
        <item x="177"/>
        <item x="186"/>
        <item x="202"/>
        <item x="215"/>
        <item x="212"/>
        <item x="176"/>
        <item x="185"/>
        <item x="207"/>
        <item x="217"/>
        <item x="218"/>
        <item x="211"/>
        <item x="219"/>
        <item x="221"/>
        <item x="224"/>
        <item x="227"/>
        <item x="222"/>
        <item x="203"/>
        <item x="240"/>
        <item x="204"/>
        <item x="220"/>
        <item x="226"/>
        <item x="237"/>
        <item x="230"/>
        <item x="249"/>
        <item x="229"/>
        <item x="228"/>
        <item x="225"/>
        <item x="223"/>
        <item x="231"/>
        <item x="241"/>
        <item x="252"/>
        <item x="250"/>
        <item x="245"/>
        <item x="233"/>
        <item x="247"/>
        <item x="251"/>
        <item x="235"/>
        <item x="258"/>
        <item m="1" x="7044"/>
        <item x="242"/>
        <item x="248"/>
        <item x="260"/>
        <item x="253"/>
        <item x="256"/>
        <item x="238"/>
        <item x="244"/>
        <item x="264"/>
        <item x="267"/>
        <item x="265"/>
        <item x="268"/>
        <item x="269"/>
        <item x="232"/>
        <item x="239"/>
        <item x="273"/>
        <item x="272"/>
        <item x="275"/>
        <item x="276"/>
        <item x="277"/>
        <item x="255"/>
        <item x="262"/>
        <item x="263"/>
        <item x="236"/>
        <item x="234"/>
        <item x="279"/>
        <item x="266"/>
        <item x="257"/>
        <item x="280"/>
        <item x="270"/>
        <item x="282"/>
        <item x="259"/>
        <item x="274"/>
        <item x="246"/>
        <item x="271"/>
        <item x="278"/>
        <item x="283"/>
        <item x="281"/>
        <item x="284"/>
        <item x="243"/>
        <item x="254"/>
        <item x="261"/>
        <item x="290"/>
        <item m="1" x="6970"/>
        <item m="1" x="5951"/>
        <item m="1" x="3405"/>
        <item x="293"/>
        <item x="299"/>
        <item m="1" x="5656"/>
        <item m="1" x="6078"/>
        <item m="1" x="6080"/>
        <item m="1" x="6085"/>
        <item m="1" x="6089"/>
        <item m="1" x="6616"/>
        <item m="1" x="6624"/>
        <item x="291"/>
        <item x="297"/>
        <item x="287"/>
        <item x="294"/>
        <item x="300"/>
        <item x="308"/>
        <item x="304"/>
        <item x="311"/>
        <item x="316"/>
        <item x="298"/>
        <item x="317"/>
        <item x="307"/>
        <item x="288"/>
        <item x="295"/>
        <item x="301"/>
        <item x="309"/>
        <item x="319"/>
        <item m="1" x="6341"/>
        <item m="1" x="2440"/>
        <item m="1" x="2444"/>
        <item m="1" x="4705"/>
        <item m="1" x="4708"/>
        <item m="1" x="4711"/>
        <item m="1" x="4717"/>
        <item x="305"/>
        <item x="313"/>
        <item x="321"/>
        <item x="314"/>
        <item x="289"/>
        <item x="296"/>
        <item x="302"/>
        <item x="310"/>
        <item x="320"/>
        <item x="327"/>
        <item x="337"/>
        <item x="342"/>
        <item x="306"/>
        <item x="322"/>
        <item m="1" x="4878"/>
        <item m="1" x="4881"/>
        <item m="1" x="4883"/>
        <item m="1" x="4886"/>
        <item m="1" x="4889"/>
        <item x="292"/>
        <item m="1" x="5098"/>
        <item x="285"/>
        <item x="286"/>
        <item m="1" x="3474"/>
        <item x="318"/>
        <item x="333"/>
        <item x="323"/>
        <item x="326"/>
        <item x="335"/>
        <item m="1" x="4270"/>
        <item x="336"/>
        <item x="339"/>
        <item x="330"/>
        <item x="315"/>
        <item x="325"/>
        <item x="331"/>
        <item x="324"/>
        <item x="329"/>
        <item x="341"/>
        <item x="334"/>
        <item m="1" x="5301"/>
        <item m="1" x="5308"/>
        <item m="1" x="5315"/>
        <item m="1" x="5317"/>
        <item m="1" x="6113"/>
        <item m="1" x="6118"/>
        <item x="328"/>
        <item x="340"/>
        <item x="345"/>
        <item x="303"/>
        <item x="312"/>
        <item x="338"/>
        <item x="344"/>
        <item x="346"/>
        <item m="1" x="6052"/>
        <item m="1" x="6054"/>
        <item m="1" x="6056"/>
        <item m="1" x="6059"/>
        <item m="1" x="6728"/>
        <item m="1" x="7386"/>
        <item m="1" x="7387"/>
        <item x="347"/>
        <item m="1" x="7866"/>
        <item m="1" x="7867"/>
        <item m="1" x="7870"/>
        <item m="1" x="7872"/>
        <item x="343"/>
        <item x="348"/>
        <item x="350"/>
        <item m="1" x="3709"/>
        <item m="1" x="5505"/>
        <item m="1" x="5508"/>
        <item m="1" x="5511"/>
        <item m="1" x="5514"/>
        <item m="1" x="5279"/>
        <item m="1" x="5284"/>
        <item m="1" x="5288"/>
        <item m="1" x="5291"/>
        <item m="1" x="5293"/>
        <item x="351"/>
        <item x="352"/>
        <item x="354"/>
        <item x="332"/>
        <item x="349"/>
        <item x="353"/>
        <item x="355"/>
        <item x="356"/>
        <item x="357"/>
        <item m="1" x="7675"/>
        <item x="358"/>
        <item x="359"/>
        <item x="360"/>
        <item x="361"/>
        <item x="362"/>
        <item m="1" x="3309"/>
        <item m="1" x="3311"/>
        <item m="1" x="3315"/>
        <item m="1" x="3318"/>
        <item m="1" x="3321"/>
        <item x="363"/>
        <item m="1" x="6361"/>
        <item x="364"/>
        <item m="1" x="7902"/>
        <item m="1" x="6964"/>
        <item x="366"/>
        <item x="367"/>
        <item x="368"/>
        <item m="1" x="2580"/>
        <item m="1" x="2584"/>
        <item m="1" x="2588"/>
        <item m="1" x="2594"/>
        <item m="1" x="2939"/>
        <item m="1" x="2940"/>
        <item x="370"/>
        <item x="372"/>
        <item m="1" x="5989"/>
        <item x="373"/>
        <item x="365"/>
        <item m="1" x="5472"/>
        <item m="1" x="4961"/>
        <item m="1" x="3885"/>
        <item m="1" x="6813"/>
        <item m="1" x="6815"/>
        <item m="1" x="6818"/>
        <item m="1" x="6820"/>
        <item x="369"/>
        <item x="371"/>
        <item x="377"/>
        <item x="380"/>
        <item x="374"/>
        <item x="376"/>
        <item x="375"/>
        <item x="379"/>
        <item m="1" x="5234"/>
        <item m="1" x="5236"/>
        <item m="1" x="4704"/>
        <item x="381"/>
        <item x="383"/>
        <item m="1" x="6271"/>
        <item m="1" x="6276"/>
        <item x="384"/>
        <item m="1" x="7969"/>
        <item m="1" x="7971"/>
        <item x="385"/>
        <item m="1" x="7046"/>
        <item x="378"/>
        <item m="1" x="2685"/>
        <item x="396"/>
        <item x="403"/>
        <item m="1" x="4779"/>
        <item m="1" x="5542"/>
        <item m="1" x="5544"/>
        <item m="1" x="5545"/>
        <item m="1" x="5551"/>
        <item x="386"/>
        <item x="393"/>
        <item x="401"/>
        <item x="389"/>
        <item x="400"/>
        <item x="404"/>
        <item m="1" x="7982"/>
        <item m="1" x="7984"/>
        <item m="1" x="7986"/>
        <item m="1" x="7992"/>
        <item x="387"/>
        <item x="390"/>
        <item x="398"/>
        <item x="410"/>
        <item x="388"/>
        <item x="391"/>
        <item m="1" x="6317"/>
        <item x="397"/>
        <item x="395"/>
        <item x="405"/>
        <item x="414"/>
        <item m="1" x="4165"/>
        <item m="1" x="3891"/>
        <item m="1" x="3893"/>
        <item x="407"/>
        <item x="392"/>
        <item x="399"/>
        <item x="411"/>
        <item x="394"/>
        <item x="402"/>
        <item m="1" x="2400"/>
        <item x="406"/>
        <item x="415"/>
        <item x="422"/>
        <item x="436"/>
        <item x="418"/>
        <item x="409"/>
        <item x="417"/>
        <item x="429"/>
        <item x="382"/>
        <item m="1" x="6493"/>
        <item m="1" x="6498"/>
        <item m="1" x="7576"/>
        <item m="1" x="7582"/>
        <item m="1" x="5657"/>
        <item m="1" x="5660"/>
        <item m="1" x="5665"/>
        <item m="1" x="4950"/>
        <item m="1" x="4954"/>
        <item m="1" x="4959"/>
        <item x="427"/>
        <item x="413"/>
        <item x="421"/>
        <item x="431"/>
        <item x="412"/>
        <item x="432"/>
        <item m="1" x="5585"/>
        <item m="1" x="5589"/>
        <item x="419"/>
        <item x="426"/>
        <item x="439"/>
        <item x="408"/>
        <item x="428"/>
        <item m="1" x="6501"/>
        <item m="1" x="6503"/>
        <item m="1" x="6506"/>
        <item m="1" x="7041"/>
        <item x="430"/>
        <item m="1" x="3760"/>
        <item m="1" x="3763"/>
        <item x="416"/>
        <item x="423"/>
        <item x="437"/>
        <item m="1" x="4101"/>
        <item m="1" x="4105"/>
        <item x="424"/>
        <item x="420"/>
        <item x="433"/>
        <item m="1" x="6299"/>
        <item m="1" x="2556"/>
        <item m="1" x="7909"/>
        <item m="1" x="7912"/>
        <item m="1" x="7916"/>
        <item x="425"/>
        <item x="438"/>
        <item x="434"/>
        <item m="1" x="3244"/>
        <item m="1" x="2983"/>
        <item m="1" x="7930"/>
        <item m="1" x="7941"/>
        <item x="435"/>
        <item m="1" x="2660"/>
        <item m="1" x="3442"/>
        <item m="1" x="3446"/>
        <item m="1" x="4702"/>
        <item m="1" x="4706"/>
        <item m="1" x="5041"/>
        <item m="1" x="5043"/>
        <item m="1" x="7332"/>
        <item m="1" x="7335"/>
        <item x="442"/>
        <item m="1" x="7632"/>
        <item m="1" x="5971"/>
        <item m="1" x="5977"/>
        <item m="1" x="3668"/>
        <item m="1" x="3670"/>
        <item m="1" x="6196"/>
        <item m="1" x="6858"/>
        <item x="441"/>
        <item x="446"/>
        <item x="444"/>
        <item m="1" x="4572"/>
        <item m="1" x="4869"/>
        <item m="1" x="4874"/>
        <item m="1" x="7890"/>
        <item m="1" x="7893"/>
        <item m="1" x="7897"/>
        <item m="1" x="7903"/>
        <item m="1" x="7906"/>
        <item m="1" x="5704"/>
        <item m="1" x="6861"/>
        <item m="1" x="6865"/>
        <item m="1" x="2206"/>
        <item m="1" x="2208"/>
        <item m="1" x="2218"/>
        <item m="1" x="2221"/>
        <item m="1" x="4194"/>
        <item m="1" x="4197"/>
        <item m="1" x="4199"/>
        <item m="1" x="4202"/>
        <item m="1" x="6101"/>
        <item m="1" x="2431"/>
        <item m="1" x="2433"/>
        <item m="1" x="2435"/>
        <item m="1" x="5138"/>
        <item x="440"/>
        <item m="1" x="6869"/>
        <item m="1" x="6872"/>
        <item x="447"/>
        <item x="450"/>
        <item x="453"/>
        <item m="1" x="5100"/>
        <item m="1" x="5101"/>
        <item m="1" x="5103"/>
        <item m="1" x="6639"/>
        <item m="1" x="3799"/>
        <item m="1" x="3801"/>
        <item x="443"/>
        <item x="445"/>
        <item m="1" x="7880"/>
        <item m="1" x="7883"/>
        <item m="1" x="7887"/>
        <item m="1" x="4834"/>
        <item x="451"/>
        <item x="448"/>
        <item x="449"/>
        <item m="1" x="3161"/>
        <item m="1" x="3165"/>
        <item m="1" x="3167"/>
        <item m="1" x="6530"/>
        <item m="1" x="6536"/>
        <item m="1" x="6543"/>
        <item m="1" x="4398"/>
        <item m="1" x="2323"/>
        <item x="452"/>
        <item x="455"/>
        <item x="458"/>
        <item x="456"/>
        <item x="457"/>
        <item x="463"/>
        <item x="465"/>
        <item x="459"/>
        <item x="464"/>
        <item x="462"/>
        <item x="461"/>
        <item x="460"/>
        <item m="1" x="6174"/>
        <item x="467"/>
        <item x="469"/>
        <item x="468"/>
        <item x="466"/>
        <item m="1" x="5849"/>
        <item m="1" x="5853"/>
        <item x="470"/>
        <item x="472"/>
        <item x="479"/>
        <item x="474"/>
        <item x="477"/>
        <item x="475"/>
        <item x="478"/>
        <item x="480"/>
        <item x="476"/>
        <item x="473"/>
        <item x="454"/>
        <item x="481"/>
        <item x="498"/>
        <item x="521"/>
        <item x="483"/>
        <item x="482"/>
        <item x="485"/>
        <item x="484"/>
        <item x="486"/>
        <item m="1" x="2379"/>
        <item m="1" x="2384"/>
        <item m="1" x="2386"/>
        <item x="494"/>
        <item x="496"/>
        <item x="495"/>
        <item x="491"/>
        <item x="492"/>
        <item x="489"/>
        <item x="490"/>
        <item x="493"/>
        <item x="497"/>
        <item x="501"/>
        <item x="499"/>
        <item x="502"/>
        <item x="503"/>
        <item x="500"/>
        <item x="504"/>
        <item m="1" x="4900"/>
        <item m="1" x="4905"/>
        <item m="1" x="4907"/>
        <item x="505"/>
        <item m="1" x="6152"/>
        <item m="1" x="6160"/>
        <item m="1" x="6167"/>
        <item m="1" x="5574"/>
        <item m="1" x="5576"/>
        <item x="506"/>
        <item x="508"/>
        <item x="510"/>
        <item x="509"/>
        <item x="507"/>
        <item x="515"/>
        <item x="512"/>
        <item x="514"/>
        <item x="519"/>
        <item x="513"/>
        <item x="518"/>
        <item x="520"/>
        <item x="517"/>
        <item x="516"/>
        <item m="1" x="4249"/>
        <item m="1" x="4252"/>
        <item m="1" x="6771"/>
        <item m="1" x="6775"/>
        <item m="1" x="6779"/>
        <item m="1" x="3931"/>
        <item m="1" x="3937"/>
        <item m="1" x="3939"/>
        <item m="1" x="3941"/>
        <item m="1" x="3946"/>
        <item x="530"/>
        <item m="1" x="5812"/>
        <item x="528"/>
        <item x="532"/>
        <item x="541"/>
        <item x="536"/>
        <item x="534"/>
        <item x="537"/>
        <item x="525"/>
        <item x="542"/>
        <item x="531"/>
        <item x="529"/>
        <item x="539"/>
        <item x="524"/>
        <item x="533"/>
        <item x="538"/>
        <item x="535"/>
        <item x="526"/>
        <item x="540"/>
        <item x="527"/>
        <item x="523"/>
        <item x="543"/>
        <item x="487"/>
        <item m="1" x="4076"/>
        <item m="1" x="4077"/>
        <item m="1" x="7430"/>
        <item m="1" x="7433"/>
        <item m="1" x="7440"/>
        <item x="544"/>
        <item x="548"/>
        <item x="546"/>
        <item x="552"/>
        <item x="547"/>
        <item x="551"/>
        <item x="550"/>
        <item x="545"/>
        <item x="549"/>
        <item x="553"/>
        <item x="561"/>
        <item x="554"/>
        <item x="555"/>
        <item x="560"/>
        <item x="557"/>
        <item m="1" x="3163"/>
        <item x="559"/>
        <item x="558"/>
        <item x="556"/>
        <item m="1" x="2263"/>
        <item m="1" x="2266"/>
        <item m="1" x="2278"/>
        <item x="566"/>
        <item x="567"/>
        <item x="564"/>
        <item x="569"/>
        <item x="565"/>
        <item x="563"/>
        <item x="568"/>
        <item m="1" x="5437"/>
        <item m="1" x="5854"/>
        <item x="562"/>
        <item x="570"/>
        <item x="471"/>
        <item x="488"/>
        <item x="511"/>
        <item x="522"/>
        <item m="1" x="6011"/>
        <item m="1" x="6023"/>
        <item m="1" x="6029"/>
        <item m="1" x="6040"/>
        <item x="711"/>
        <item m="1" x="4353"/>
        <item m="1" x="4356"/>
        <item m="1" x="2445"/>
        <item m="1" x="7131"/>
        <item m="1" x="6538"/>
        <item m="1" x="3819"/>
        <item m="1" x="3828"/>
        <item m="1" x="7192"/>
        <item m="1" x="7196"/>
        <item m="1" x="7205"/>
        <item m="1" x="7212"/>
        <item m="1" x="7224"/>
        <item m="1" x="7232"/>
        <item m="1" x="7239"/>
        <item m="1" x="2777"/>
        <item m="1" x="2784"/>
        <item m="1" x="2786"/>
        <item m="1" x="2789"/>
        <item m="1" x="5167"/>
        <item m="1" x="5170"/>
        <item m="1" x="6953"/>
        <item m="1" x="6957"/>
        <item m="1" x="6961"/>
        <item m="1" x="2549"/>
        <item m="1" x="2552"/>
        <item m="1" x="2553"/>
        <item m="1" x="2557"/>
        <item m="1" x="2560"/>
        <item m="1" x="7679"/>
        <item x="573"/>
        <item m="1" x="2315"/>
        <item m="1" x="2320"/>
        <item m="1" x="2324"/>
        <item m="1" x="2331"/>
        <item x="571"/>
        <item m="1" x="3998"/>
        <item m="1" x="4000"/>
        <item m="1" x="4003"/>
        <item m="1" x="7292"/>
        <item x="572"/>
        <item m="1" x="2572"/>
        <item m="1" x="7724"/>
        <item x="587"/>
        <item x="576"/>
        <item x="588"/>
        <item x="586"/>
        <item x="589"/>
        <item x="591"/>
        <item x="593"/>
        <item x="592"/>
        <item x="590"/>
        <item x="575"/>
        <item m="1" x="7642"/>
        <item m="1" x="7649"/>
        <item m="1" x="7656"/>
        <item x="582"/>
        <item x="583"/>
        <item x="577"/>
        <item x="597"/>
        <item x="579"/>
        <item x="585"/>
        <item x="600"/>
        <item x="580"/>
        <item x="578"/>
        <item x="581"/>
        <item x="584"/>
        <item x="618"/>
        <item x="596"/>
        <item x="595"/>
        <item x="594"/>
        <item x="603"/>
        <item x="602"/>
        <item x="601"/>
        <item x="599"/>
        <item m="1" x="7989"/>
        <item x="619"/>
        <item m="1" x="6718"/>
        <item m="1" x="6719"/>
        <item x="604"/>
        <item x="574"/>
        <item x="605"/>
        <item x="607"/>
        <item x="606"/>
        <item x="611"/>
        <item x="609"/>
        <item x="608"/>
        <item x="614"/>
        <item x="613"/>
        <item x="612"/>
        <item x="616"/>
        <item x="615"/>
        <item x="617"/>
        <item x="610"/>
        <item x="598"/>
        <item m="1" x="3706"/>
        <item m="1" x="3708"/>
        <item m="1" x="2738"/>
        <item m="1" x="2743"/>
        <item m="1" x="7505"/>
        <item m="1" x="7510"/>
        <item m="1" x="7644"/>
        <item x="621"/>
        <item x="634"/>
        <item x="644"/>
        <item x="622"/>
        <item x="635"/>
        <item x="645"/>
        <item x="623"/>
        <item x="636"/>
        <item x="646"/>
        <item x="624"/>
        <item x="647"/>
        <item x="625"/>
        <item x="637"/>
        <item x="648"/>
        <item x="626"/>
        <item x="649"/>
        <item x="638"/>
        <item x="627"/>
        <item x="650"/>
        <item x="628"/>
        <item x="651"/>
        <item x="620"/>
        <item x="633"/>
        <item x="643"/>
        <item x="656"/>
        <item x="639"/>
        <item x="640"/>
        <item x="629"/>
        <item x="652"/>
        <item x="630"/>
        <item x="641"/>
        <item x="653"/>
        <item x="631"/>
        <item x="654"/>
        <item x="632"/>
        <item x="655"/>
        <item x="657"/>
        <item m="1" x="2827"/>
        <item m="1" x="4981"/>
        <item x="642"/>
        <item m="1" x="5517"/>
        <item m="1" x="5521"/>
        <item x="676"/>
        <item m="1" x="5142"/>
        <item x="658"/>
        <item x="659"/>
        <item x="660"/>
        <item x="661"/>
        <item m="1" x="4208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m="1" x="5226"/>
        <item m="1" x="5230"/>
        <item m="1" x="3490"/>
        <item m="1" x="7073"/>
        <item x="662"/>
        <item x="675"/>
        <item m="1" x="4425"/>
        <item m="1" x="4428"/>
        <item m="1" x="4434"/>
        <item m="1" x="4446"/>
        <item m="1" x="4450"/>
        <item m="1" x="4453"/>
        <item m="1" x="5990"/>
        <item m="1" x="5993"/>
        <item m="1" x="5995"/>
        <item m="1" x="5996"/>
        <item x="691"/>
        <item x="693"/>
        <item x="697"/>
        <item x="687"/>
        <item m="1" x="3565"/>
        <item m="1" x="3567"/>
        <item x="678"/>
        <item x="679"/>
        <item x="685"/>
        <item x="689"/>
        <item x="694"/>
        <item x="695"/>
        <item x="674"/>
        <item x="677"/>
        <item m="1" x="5623"/>
        <item x="690"/>
        <item x="696"/>
        <item m="1" x="7987"/>
        <item m="1" x="7454"/>
        <item m="1" x="6057"/>
        <item m="1" x="6060"/>
        <item m="1" x="6064"/>
        <item x="684"/>
        <item m="1" x="3502"/>
        <item x="681"/>
        <item x="811"/>
        <item x="828"/>
        <item x="841"/>
        <item x="854"/>
        <item x="865"/>
        <item m="1" x="3022"/>
        <item m="1" x="3027"/>
        <item m="1" x="3031"/>
        <item m="1" x="3033"/>
        <item m="1" x="3035"/>
        <item x="680"/>
        <item m="1" x="3078"/>
        <item m="1" x="2768"/>
        <item m="1" x="2771"/>
        <item x="692"/>
        <item x="698"/>
        <item x="702"/>
        <item m="1" x="7221"/>
        <item m="1" x="4407"/>
        <item x="682"/>
        <item x="686"/>
        <item x="683"/>
        <item m="1" x="6987"/>
        <item m="1" x="6991"/>
        <item m="1" x="6993"/>
        <item m="1" x="6997"/>
        <item x="813"/>
        <item m="1" x="7529"/>
        <item m="1" x="7533"/>
        <item m="1" x="7537"/>
        <item m="1" x="7541"/>
        <item m="1" x="5485"/>
        <item m="1" x="4108"/>
        <item m="1" x="4114"/>
        <item m="1" x="4119"/>
        <item x="688"/>
        <item m="1" x="2724"/>
        <item m="1" x="2728"/>
        <item m="1" x="2731"/>
        <item m="1" x="2735"/>
        <item m="1" x="6642"/>
        <item m="1" x="6644"/>
        <item m="1" x="6648"/>
        <item m="1" x="6652"/>
        <item m="1" x="5295"/>
        <item m="1" x="5297"/>
        <item m="1" x="5298"/>
        <item m="1" x="4856"/>
        <item m="1" x="7390"/>
        <item m="1" x="7448"/>
        <item m="1" x="7455"/>
        <item x="797"/>
        <item x="808"/>
        <item m="1" x="3186"/>
        <item m="1" x="3187"/>
        <item m="1" x="4396"/>
        <item m="1" x="4225"/>
        <item m="1" x="6979"/>
        <item m="1" x="6982"/>
        <item m="1" x="3445"/>
        <item m="1" x="3449"/>
        <item m="1" x="3451"/>
        <item m="1" x="2763"/>
        <item m="1" x="2765"/>
        <item x="798"/>
        <item x="809"/>
        <item x="824"/>
        <item x="836"/>
        <item m="1" x="3303"/>
        <item m="1" x="6769"/>
        <item m="1" x="6774"/>
        <item m="1" x="6778"/>
        <item x="704"/>
        <item x="710"/>
        <item m="1" x="2304"/>
        <item m="1" x="2306"/>
        <item m="1" x="2308"/>
        <item m="1" x="2313"/>
        <item x="823"/>
        <item x="838"/>
        <item m="1" x="6741"/>
        <item m="1" x="2375"/>
        <item x="699"/>
        <item x="701"/>
        <item x="703"/>
        <item x="713"/>
        <item x="799"/>
        <item x="810"/>
        <item x="827"/>
        <item x="840"/>
        <item x="853"/>
        <item x="864"/>
        <item m="1" x="4841"/>
        <item m="1" x="4303"/>
        <item m="1" x="4305"/>
        <item x="719"/>
        <item x="705"/>
        <item m="1" x="4913"/>
        <item m="1" x="4914"/>
        <item m="1" x="4564"/>
        <item x="821"/>
        <item x="837"/>
        <item x="852"/>
        <item x="862"/>
        <item x="871"/>
        <item x="875"/>
        <item x="708"/>
        <item x="720"/>
        <item m="1" x="7031"/>
        <item m="1" x="7033"/>
        <item m="1" x="7037"/>
        <item x="715"/>
        <item x="700"/>
        <item x="706"/>
        <item m="1" x="7617"/>
        <item m="1" x="7620"/>
        <item m="1" x="7626"/>
        <item x="709"/>
        <item x="718"/>
        <item x="727"/>
        <item x="717"/>
        <item x="712"/>
        <item x="722"/>
        <item m="1" x="6659"/>
        <item m="1" x="7007"/>
        <item m="1" x="5823"/>
        <item m="1" x="2358"/>
        <item m="1" x="2364"/>
        <item x="721"/>
        <item x="728"/>
        <item x="735"/>
        <item m="1" x="2424"/>
        <item m="1" x="5415"/>
        <item m="1" x="5418"/>
        <item m="1" x="4915"/>
        <item m="1" x="6611"/>
        <item m="1" x="5918"/>
        <item m="1" x="5920"/>
        <item m="1" x="5923"/>
        <item m="1" x="4665"/>
        <item x="707"/>
        <item x="716"/>
        <item x="724"/>
        <item x="729"/>
        <item x="714"/>
        <item x="723"/>
        <item x="731"/>
        <item x="741"/>
        <item m="1" x="7726"/>
        <item x="818"/>
        <item x="832"/>
        <item x="850"/>
        <item x="857"/>
        <item x="868"/>
        <item m="1" x="3669"/>
        <item m="1" x="3673"/>
        <item m="1" x="3748"/>
        <item x="725"/>
        <item x="732"/>
        <item x="743"/>
        <item m="1" x="3478"/>
        <item m="1" x="6615"/>
        <item m="1" x="5975"/>
        <item m="1" x="5982"/>
        <item x="733"/>
        <item m="1" x="4365"/>
        <item m="1" x="4368"/>
        <item m="1" x="4372"/>
        <item m="1" x="4376"/>
        <item m="1" x="4480"/>
        <item m="1" x="5750"/>
        <item m="1" x="7062"/>
        <item m="1" x="2772"/>
        <item m="1" x="2669"/>
        <item m="1" x="4307"/>
        <item m="1" x="4013"/>
        <item m="1" x="4016"/>
        <item x="872"/>
        <item x="876"/>
        <item x="877"/>
        <item x="878"/>
        <item x="880"/>
        <item x="726"/>
        <item x="734"/>
        <item x="744"/>
        <item x="751"/>
        <item x="737"/>
        <item m="1" x="3012"/>
        <item m="1" x="3014"/>
        <item m="1" x="3017"/>
        <item m="1" x="5884"/>
        <item m="1" x="5891"/>
        <item m="1" x="3480"/>
        <item m="1" x="2657"/>
        <item m="1" x="2414"/>
        <item m="1" x="2366"/>
        <item m="1" x="6389"/>
        <item m="1" x="6394"/>
        <item x="742"/>
        <item x="730"/>
        <item x="736"/>
        <item x="746"/>
        <item x="754"/>
        <item m="1" x="3661"/>
        <item m="1" x="3663"/>
        <item m="1" x="2215"/>
        <item x="738"/>
        <item x="750"/>
        <item x="745"/>
        <item m="1" x="3943"/>
        <item m="1" x="3947"/>
        <item m="1" x="3949"/>
        <item m="1" x="3650"/>
        <item m="1" x="3653"/>
        <item m="1" x="2213"/>
        <item x="807"/>
        <item x="819"/>
        <item x="834"/>
        <item x="848"/>
        <item x="861"/>
        <item m="1" x="7706"/>
        <item m="1" x="3517"/>
        <item m="1" x="3521"/>
        <item m="1" x="2708"/>
        <item m="1" x="7120"/>
        <item m="1" x="7122"/>
        <item m="1" x="7124"/>
        <item m="1" x="3454"/>
        <item x="739"/>
        <item x="749"/>
        <item m="1" x="6119"/>
        <item m="1" x="7402"/>
        <item m="1" x="4944"/>
        <item m="1" x="4946"/>
        <item m="1" x="4949"/>
        <item m="1" x="5285"/>
        <item x="756"/>
        <item x="759"/>
        <item m="1" x="5155"/>
        <item m="1" x="5159"/>
        <item m="1" x="5166"/>
        <item m="1" x="3674"/>
        <item m="1" x="2457"/>
        <item m="1" x="2463"/>
        <item m="1" x="7605"/>
        <item x="753"/>
        <item m="1" x="7913"/>
        <item m="1" x="3188"/>
        <item m="1" x="6661"/>
        <item m="1" x="5339"/>
        <item m="1" x="4487"/>
        <item m="1" x="6112"/>
        <item m="1" x="4363"/>
        <item m="1" x="2712"/>
        <item m="1" x="2721"/>
        <item m="1" x="2725"/>
        <item m="1" x="6122"/>
        <item m="1" x="7516"/>
        <item m="1" x="7520"/>
        <item m="1" x="7525"/>
        <item m="1" x="5208"/>
        <item m="1" x="5211"/>
        <item m="1" x="5213"/>
        <item m="1" x="5216"/>
        <item m="1" x="6295"/>
        <item x="757"/>
        <item x="752"/>
        <item x="758"/>
        <item x="763"/>
        <item x="762"/>
        <item m="1" x="2329"/>
        <item m="1" x="7554"/>
        <item m="1" x="7558"/>
        <item m="1" x="7194"/>
        <item m="1" x="2836"/>
        <item m="1" x="2839"/>
        <item m="1" x="2842"/>
        <item m="1" x="5084"/>
        <item m="1" x="5886"/>
        <item x="765"/>
        <item x="755"/>
        <item m="1" x="3239"/>
        <item m="1" x="3241"/>
        <item m="1" x="6181"/>
        <item m="1" x="6183"/>
        <item m="1" x="6185"/>
        <item m="1" x="6187"/>
        <item x="766"/>
        <item m="1" x="4018"/>
        <item x="767"/>
        <item m="1" x="2253"/>
        <item m="1" x="6856"/>
        <item m="1" x="2689"/>
        <item x="804"/>
        <item x="816"/>
        <item x="833"/>
        <item x="847"/>
        <item x="859"/>
        <item m="1" x="6635"/>
        <item m="1" x="4998"/>
        <item m="1" x="7952"/>
        <item m="1" x="7953"/>
        <item m="1" x="7957"/>
        <item m="1" x="7959"/>
        <item x="747"/>
        <item x="764"/>
        <item m="1" x="4442"/>
        <item m="1" x="3654"/>
        <item m="1" x="3662"/>
        <item m="1" x="3665"/>
        <item x="760"/>
        <item x="772"/>
        <item x="770"/>
        <item x="769"/>
        <item m="1" x="7266"/>
        <item m="1" x="3175"/>
        <item m="1" x="3178"/>
        <item m="1" x="3182"/>
        <item m="1" x="7683"/>
        <item m="1" x="7686"/>
        <item m="1" x="2665"/>
        <item m="1" x="2670"/>
        <item m="1" x="2374"/>
        <item m="1" x="7389"/>
        <item m="1" x="5827"/>
        <item m="1" x="5828"/>
        <item m="1" x="5833"/>
        <item m="1" x="5836"/>
        <item x="761"/>
        <item m="1" x="5260"/>
        <item m="1" x="5263"/>
        <item m="1" x="3512"/>
        <item m="1" x="3514"/>
        <item m="1" x="3518"/>
        <item m="1" x="3522"/>
        <item m="1" x="3266"/>
        <item x="776"/>
        <item m="1" x="4406"/>
        <item x="777"/>
        <item m="1" x="4188"/>
        <item m="1" x="4190"/>
        <item m="1" x="4193"/>
        <item m="1" x="3594"/>
        <item m="1" x="4540"/>
        <item m="1" x="4045"/>
        <item x="740"/>
        <item m="1" x="3486"/>
        <item m="1" x="3491"/>
        <item m="1" x="3493"/>
        <item m="1" x="3494"/>
        <item m="1" x="3496"/>
        <item m="1" x="5686"/>
        <item m="1" x="5690"/>
        <item m="1" x="5694"/>
        <item m="1" x="5696"/>
        <item m="1" x="6083"/>
        <item m="1" x="6087"/>
        <item m="1" x="6090"/>
        <item m="1" x="4476"/>
        <item m="1" x="5401"/>
        <item m="1" x="5404"/>
        <item m="1" x="5409"/>
        <item m="1" x="5413"/>
        <item m="1" x="5487"/>
        <item x="748"/>
        <item x="774"/>
        <item m="1" x="5552"/>
        <item m="1" x="5930"/>
        <item m="1" x="5932"/>
        <item m="1" x="5933"/>
        <item m="1" x="5936"/>
        <item m="1" x="5938"/>
        <item x="768"/>
        <item x="773"/>
        <item m="1" x="6229"/>
        <item m="1" x="7859"/>
        <item m="1" x="7862"/>
        <item m="1" x="7864"/>
        <item m="1" x="7865"/>
        <item m="1" x="2667"/>
        <item x="775"/>
        <item x="786"/>
        <item m="1" x="6103"/>
        <item m="1" x="5154"/>
        <item m="1" x="5158"/>
        <item m="1" x="5162"/>
        <item m="1" x="6901"/>
        <item m="1" x="6905"/>
        <item m="1" x="6748"/>
        <item m="1" x="6435"/>
        <item m="1" x="6041"/>
        <item x="778"/>
        <item x="779"/>
        <item x="781"/>
        <item m="1" x="6581"/>
        <item x="780"/>
        <item m="1" x="6091"/>
        <item m="1" x="6094"/>
        <item m="1" x="6096"/>
        <item m="1" x="6098"/>
        <item x="771"/>
        <item x="782"/>
        <item x="796"/>
        <item x="842"/>
        <item x="783"/>
        <item m="1" x="6486"/>
        <item m="1" x="6490"/>
        <item m="1" x="6494"/>
        <item m="1" x="6500"/>
        <item m="1" x="6502"/>
        <item x="793"/>
        <item x="800"/>
        <item x="815"/>
        <item x="825"/>
        <item x="843"/>
        <item m="1" x="4876"/>
        <item m="1" x="5368"/>
        <item m="1" x="4216"/>
        <item m="1" x="4220"/>
        <item m="1" x="4226"/>
        <item m="1" x="4227"/>
        <item m="1" x="4229"/>
        <item x="789"/>
        <item x="794"/>
        <item m="1" x="2537"/>
        <item m="1" x="2541"/>
        <item m="1" x="2543"/>
        <item m="1" x="2546"/>
        <item m="1" x="2551"/>
        <item m="1" x="3058"/>
        <item m="1" x="3158"/>
        <item m="1" x="3160"/>
        <item m="1" x="4766"/>
        <item m="1" x="4774"/>
        <item m="1" x="5707"/>
        <item m="1" x="5708"/>
        <item m="1" x="5713"/>
        <item m="1" x="5717"/>
        <item m="1" x="4259"/>
        <item m="1" x="7762"/>
        <item m="1" x="7830"/>
        <item m="1" x="7832"/>
        <item m="1" x="7836"/>
        <item m="1" x="7838"/>
        <item m="1" x="7842"/>
        <item m="1" x="6580"/>
        <item m="1" x="6583"/>
        <item x="784"/>
        <item x="788"/>
        <item x="791"/>
        <item x="803"/>
        <item m="1" x="7735"/>
        <item m="1" x="7738"/>
        <item m="1" x="7740"/>
        <item m="1" x="3910"/>
        <item m="1" x="3912"/>
        <item m="1" x="3915"/>
        <item m="1" x="4787"/>
        <item m="1" x="5862"/>
        <item m="1" x="5864"/>
        <item m="1" x="5865"/>
        <item m="1" x="3744"/>
        <item m="1" x="3746"/>
        <item m="1" x="3749"/>
        <item m="1" x="5908"/>
        <item m="1" x="3226"/>
        <item m="1" x="3229"/>
        <item m="1" x="3233"/>
        <item m="1" x="3236"/>
        <item x="792"/>
        <item m="1" x="7444"/>
        <item m="1" x="7449"/>
        <item m="1" x="7456"/>
        <item x="830"/>
        <item x="879"/>
        <item m="1" x="6197"/>
        <item m="1" x="7457"/>
        <item m="1" x="4975"/>
        <item x="787"/>
        <item x="801"/>
        <item x="785"/>
        <item x="790"/>
        <item x="795"/>
        <item x="806"/>
        <item m="1" x="5631"/>
        <item m="1" x="5635"/>
        <item m="1" x="7356"/>
        <item m="1" x="7034"/>
        <item m="1" x="3972"/>
        <item x="802"/>
        <item x="817"/>
        <item x="829"/>
        <item x="844"/>
        <item m="1" x="2527"/>
        <item m="1" x="2530"/>
        <item m="1" x="2532"/>
        <item m="1" x="6875"/>
        <item m="1" x="5604"/>
        <item m="1" x="5609"/>
        <item m="1" x="5613"/>
        <item m="1" x="5617"/>
        <item m="1" x="5257"/>
        <item m="1" x="5261"/>
        <item m="1" x="5264"/>
        <item m="1" x="5269"/>
        <item x="814"/>
        <item m="1" x="2355"/>
        <item m="1" x="2361"/>
        <item m="1" x="3928"/>
        <item x="805"/>
        <item x="822"/>
        <item x="835"/>
        <item m="1" x="4595"/>
        <item m="1" x="4597"/>
        <item m="1" x="4599"/>
        <item x="812"/>
        <item x="826"/>
        <item m="1" x="5829"/>
        <item m="1" x="5834"/>
        <item m="1" x="5837"/>
        <item m="1" x="5842"/>
        <item x="820"/>
        <item x="851"/>
        <item x="845"/>
        <item x="858"/>
        <item x="869"/>
        <item x="846"/>
        <item x="860"/>
        <item x="870"/>
        <item m="1" x="3609"/>
        <item m="1" x="6556"/>
        <item x="839"/>
        <item x="863"/>
        <item x="855"/>
        <item x="866"/>
        <item x="873"/>
        <item x="831"/>
        <item x="849"/>
        <item x="856"/>
        <item x="867"/>
        <item x="874"/>
        <item m="1" x="4784"/>
        <item m="1" x="3716"/>
        <item m="1" x="4543"/>
        <item m="1" x="5336"/>
        <item m="1" x="5338"/>
        <item m="1" x="5341"/>
        <item m="1" x="5344"/>
        <item m="1" x="3367"/>
        <item m="1" x="4152"/>
        <item m="1" x="3608"/>
        <item m="1" x="3847"/>
        <item m="1" x="6342"/>
        <item m="1" x="7480"/>
        <item m="1" x="7923"/>
        <item m="1" x="5972"/>
        <item x="886"/>
        <item x="883"/>
        <item m="1" x="5754"/>
        <item x="884"/>
        <item x="881"/>
        <item x="887"/>
        <item x="892"/>
        <item m="1" x="2349"/>
        <item x="889"/>
        <item x="885"/>
        <item x="893"/>
        <item m="1" x="3371"/>
        <item m="1" x="3372"/>
        <item m="1" x="3373"/>
        <item x="882"/>
        <item x="890"/>
        <item m="1" x="7329"/>
        <item m="1" x="2437"/>
        <item x="900"/>
        <item m="1" x="5044"/>
        <item x="891"/>
        <item x="901"/>
        <item m="1" x="5036"/>
        <item x="894"/>
        <item x="895"/>
        <item m="1" x="2295"/>
        <item m="1" x="3028"/>
        <item m="1" x="3094"/>
        <item m="1" x="3917"/>
        <item m="1" x="3488"/>
        <item x="888"/>
        <item x="899"/>
        <item x="906"/>
        <item m="1" x="4970"/>
        <item m="1" x="4973"/>
        <item m="1" x="4976"/>
        <item m="1" x="3528"/>
        <item m="1" x="3534"/>
        <item m="1" x="3539"/>
        <item m="1" x="2475"/>
        <item m="1" x="2479"/>
        <item m="1" x="2398"/>
        <item x="902"/>
        <item x="896"/>
        <item x="907"/>
        <item x="897"/>
        <item x="908"/>
        <item m="1" x="7881"/>
        <item m="1" x="7884"/>
        <item m="1" x="7888"/>
        <item m="1" x="3954"/>
        <item x="904"/>
        <item x="920"/>
        <item x="909"/>
        <item m="1" x="3325"/>
        <item m="1" x="3328"/>
        <item m="1" x="3332"/>
        <item x="903"/>
        <item x="911"/>
        <item x="914"/>
        <item m="1" x="4339"/>
        <item m="1" x="4344"/>
        <item m="1" x="7380"/>
        <item m="1" x="7384"/>
        <item m="1" x="6783"/>
        <item m="1" x="6785"/>
        <item m="1" x="6786"/>
        <item m="1" x="6063"/>
        <item m="1" x="6067"/>
        <item m="1" x="5711"/>
        <item m="1" x="5715"/>
        <item m="1" x="5721"/>
        <item m="1" x="6296"/>
        <item x="919"/>
        <item x="934"/>
        <item m="1" x="3166"/>
        <item m="1" x="6512"/>
        <item m="1" x="6515"/>
        <item m="1" x="6519"/>
        <item m="1" x="6524"/>
        <item m="1" x="6528"/>
        <item x="898"/>
        <item x="910"/>
        <item m="1" x="5628"/>
        <item m="1" x="5630"/>
        <item m="1" x="7928"/>
        <item m="1" x="6256"/>
        <item m="1" x="6259"/>
        <item x="912"/>
        <item x="905"/>
        <item x="913"/>
        <item x="915"/>
        <item m="1" x="3800"/>
        <item m="1" x="5575"/>
        <item m="1" x="2690"/>
        <item m="1" x="2694"/>
        <item m="1" x="2696"/>
        <item x="926"/>
        <item m="1" x="7850"/>
        <item m="1" x="3638"/>
        <item m="1" x="4022"/>
        <item m="1" x="2849"/>
        <item m="1" x="7990"/>
        <item m="1" x="3597"/>
        <item x="916"/>
        <item m="1" x="4990"/>
        <item m="1" x="3854"/>
        <item m="1" x="3857"/>
        <item m="1" x="3329"/>
        <item m="1" x="3333"/>
        <item m="1" x="3336"/>
        <item m="1" x="5835"/>
        <item m="1" x="6045"/>
        <item m="1" x="6482"/>
        <item x="923"/>
        <item m="1" x="3612"/>
        <item m="1" x="4031"/>
        <item m="1" x="4751"/>
        <item m="1" x="4752"/>
        <item m="1" x="4697"/>
        <item m="1" x="3198"/>
        <item m="1" x="2614"/>
        <item m="1" x="4310"/>
        <item m="1" x="6567"/>
        <item m="1" x="5909"/>
        <item m="1" x="6890"/>
        <item m="1" x="7935"/>
        <item m="1" x="5340"/>
        <item m="1" x="5040"/>
        <item m="1" x="4195"/>
        <item m="1" x="6413"/>
        <item m="1" x="3048"/>
        <item m="1" x="7942"/>
        <item x="927"/>
        <item m="1" x="7637"/>
        <item m="1" x="6371"/>
        <item x="931"/>
        <item m="1" x="2239"/>
        <item m="1" x="2243"/>
        <item m="1" x="2245"/>
        <item m="1" x="7278"/>
        <item m="1" x="7279"/>
        <item m="1" x="3803"/>
        <item m="1" x="3379"/>
        <item m="1" x="4854"/>
        <item m="1" x="5240"/>
        <item m="1" x="6767"/>
        <item m="1" x="2930"/>
        <item m="1" x="2627"/>
        <item m="1" x="7718"/>
        <item m="1" x="7453"/>
        <item m="1" x="5867"/>
        <item m="1" x="5871"/>
        <item m="1" x="3392"/>
        <item m="1" x="3251"/>
        <item m="1" x="7267"/>
        <item m="1" x="6922"/>
        <item m="1" x="6656"/>
        <item m="1" x="7423"/>
        <item m="1" x="7426"/>
        <item m="1" x="7428"/>
        <item m="1" x="7431"/>
        <item m="1" x="7434"/>
        <item m="1" x="7437"/>
        <item m="1" x="7441"/>
        <item m="1" x="7445"/>
        <item m="1" x="7450"/>
        <item m="1" x="2744"/>
        <item m="1" x="5826"/>
        <item m="1" x="6916"/>
        <item m="1" x="2577"/>
        <item x="940"/>
        <item m="1" x="6951"/>
        <item m="1" x="4793"/>
        <item m="1" x="4796"/>
        <item x="921"/>
        <item x="933"/>
        <item x="944"/>
        <item m="1" x="4244"/>
        <item x="930"/>
        <item m="1" x="7135"/>
        <item m="1" x="7357"/>
        <item m="1" x="7362"/>
        <item m="1" x="7366"/>
        <item m="1" x="7036"/>
        <item m="1" x="7040"/>
        <item m="1" x="5857"/>
        <item m="1" x="7539"/>
        <item m="1" x="7274"/>
        <item m="1" x="7275"/>
        <item m="1" x="7277"/>
        <item m="1" x="2902"/>
        <item m="1" x="2376"/>
        <item x="943"/>
        <item m="1" x="6484"/>
        <item x="946"/>
        <item x="924"/>
        <item x="935"/>
        <item m="1" x="6547"/>
        <item m="1" x="3500"/>
        <item m="1" x="4083"/>
        <item m="1" x="4087"/>
        <item m="1" x="4090"/>
        <item m="1" x="5992"/>
        <item m="1" x="5994"/>
        <item m="1" x="3155"/>
        <item m="1" x="5622"/>
        <item m="1" x="5104"/>
        <item m="1" x="7820"/>
        <item m="1" x="7822"/>
        <item m="1" x="4646"/>
        <item m="1" x="7295"/>
        <item m="1" x="2350"/>
        <item m="1" x="2415"/>
        <item m="1" x="2834"/>
        <item x="922"/>
        <item x="936"/>
        <item x="945"/>
        <item m="1" x="5931"/>
        <item m="1" x="4955"/>
        <item m="1" x="3252"/>
        <item m="1" x="6477"/>
        <item m="1" x="2658"/>
        <item m="1" x="3632"/>
        <item m="1" x="2701"/>
        <item m="1" x="7000"/>
        <item m="1" x="7592"/>
        <item m="1" x="5305"/>
        <item m="1" x="5312"/>
        <item m="1" x="4700"/>
        <item m="1" x="7293"/>
        <item m="1" x="6693"/>
        <item m="1" x="6375"/>
        <item m="1" x="5722"/>
        <item x="937"/>
        <item m="1" x="3610"/>
        <item m="1" x="3613"/>
        <item x="925"/>
        <item x="938"/>
        <item x="948"/>
        <item x="932"/>
        <item x="941"/>
        <item x="947"/>
        <item m="1" x="3737"/>
        <item m="1" x="3738"/>
        <item m="1" x="3741"/>
        <item m="1" x="3431"/>
        <item m="1" x="3434"/>
        <item m="1" x="3437"/>
        <item m="1" x="3440"/>
        <item m="1" x="3441"/>
        <item m="1" x="7685"/>
        <item m="1" x="7692"/>
        <item m="1" x="4231"/>
        <item m="1" x="7803"/>
        <item m="1" x="7809"/>
        <item m="1" x="3090"/>
        <item m="1" x="3197"/>
        <item m="1" x="5134"/>
        <item m="1" x="7103"/>
        <item m="1" x="7106"/>
        <item m="1" x="7465"/>
        <item m="1" x="7469"/>
        <item m="1" x="7136"/>
        <item m="1" x="7138"/>
        <item m="1" x="7954"/>
        <item m="1" x="2631"/>
        <item m="1" x="2634"/>
        <item m="1" x="7282"/>
        <item m="1" x="6943"/>
        <item m="1" x="6365"/>
        <item m="1" x="6048"/>
        <item m="1" x="3324"/>
        <item m="1" x="4529"/>
        <item m="1" x="4534"/>
        <item m="1" x="3131"/>
        <item m="1" x="3307"/>
        <item m="1" x="3310"/>
        <item m="1" x="3314"/>
        <item m="1" x="2870"/>
        <item m="1" x="2874"/>
        <item m="1" x="2877"/>
        <item m="1" x="7967"/>
        <item m="1" x="3018"/>
        <item m="1" x="5960"/>
        <item m="1" x="6421"/>
        <item m="1" x="5123"/>
        <item m="1" x="3072"/>
        <item m="1" x="7891"/>
        <item m="1" x="7894"/>
        <item m="1" x="4242"/>
        <item m="1" x="7808"/>
        <item m="1" x="3984"/>
        <item x="917"/>
        <item x="928"/>
        <item x="939"/>
        <item m="1" x="6554"/>
        <item x="918"/>
        <item x="929"/>
        <item x="942"/>
        <item m="1" x="7920"/>
        <item m="1" x="7348"/>
        <item m="1" x="2454"/>
        <item m="1" x="3656"/>
        <item m="1" x="2890"/>
        <item m="1" x="2600"/>
        <item m="1" x="2602"/>
        <item m="1" x="6248"/>
        <item m="1" x="5661"/>
        <item m="1" x="5666"/>
        <item m="1" x="7314"/>
        <item m="1" x="4138"/>
        <item m="1" x="3151"/>
        <item m="1" x="3153"/>
        <item m="1" x="3742"/>
        <item m="1" x="2575"/>
        <item m="1" x="4123"/>
        <item m="1" x="7498"/>
        <item m="1" x="4945"/>
        <item m="1" x="3421"/>
        <item m="1" x="2882"/>
        <item m="1" x="2887"/>
        <item m="1" x="5877"/>
        <item m="1" x="3825"/>
        <item m="1" x="5125"/>
        <item m="1" x="4513"/>
        <item m="1" x="4847"/>
        <item m="1" x="4851"/>
        <item m="1" x="7337"/>
        <item m="1" x="7341"/>
        <item m="1" x="5429"/>
        <item m="1" x="7831"/>
        <item m="1" x="3380"/>
        <item m="1" x="3382"/>
        <item m="1" x="7369"/>
        <item m="1" x="5275"/>
        <item m="1" x="7350"/>
        <item m="1" x="7352"/>
        <item m="1" x="2893"/>
        <item m="1" x="4938"/>
        <item m="1" x="2347"/>
        <item m="1" x="7229"/>
        <item m="1" x="7634"/>
        <item m="1" x="6425"/>
        <item m="1" x="3248"/>
        <item m="1" x="2558"/>
        <item m="1" x="2915"/>
        <item m="1" x="4678"/>
        <item m="1" x="5249"/>
        <item m="1" x="4391"/>
        <item m="1" x="3205"/>
        <item m="1" x="3209"/>
        <item m="1" x="3215"/>
        <item m="1" x="2403"/>
        <item m="1" x="2408"/>
        <item m="1" x="5345"/>
        <item m="1" x="4951"/>
        <item m="1" x="6931"/>
        <item m="1" x="2540"/>
        <item m="1" x="2220"/>
        <item m="1" x="4741"/>
        <item m="1" x="6114"/>
        <item m="1" x="6561"/>
        <item m="1" x="5163"/>
        <item m="1" x="5168"/>
        <item m="1" x="5171"/>
        <item m="1" x="7134"/>
        <item m="1" x="7924"/>
        <item m="1" x="6047"/>
        <item m="1" x="3504"/>
        <item m="1" x="5764"/>
        <item m="1" x="4801"/>
        <item m="1" x="4556"/>
        <item m="1" x="4268"/>
        <item m="1" x="4271"/>
        <item m="1" x="2460"/>
        <item m="1" x="6913"/>
        <item m="1" x="7240"/>
        <item m="1" x="4817"/>
        <item m="1" x="4213"/>
        <item m="1" x="3621"/>
        <item m="1" x="2780"/>
        <item m="1" x="2782"/>
        <item m="1" x="3200"/>
        <item m="1" x="2918"/>
        <item m="1" x="6839"/>
        <item m="1" x="6551"/>
        <item m="1" x="6557"/>
        <item m="1" x="6954"/>
        <item m="1" x="6958"/>
        <item m="1" x="6694"/>
        <item m="1" x="6700"/>
        <item m="1" x="6377"/>
        <item m="1" x="6381"/>
        <item m="1" x="6072"/>
        <item m="1" x="6077"/>
        <item m="1" x="3356"/>
        <item m="1" x="7619"/>
        <item m="1" x="7625"/>
        <item m="1" x="4024"/>
        <item m="1" x="6823"/>
        <item m="1" x="5755"/>
        <item m="1" x="6326"/>
        <item m="1" x="3038"/>
        <item m="1" x="6225"/>
        <item m="1" x="4373"/>
        <item m="1" x="4377"/>
        <item m="1" x="3627"/>
        <item m="1" x="3628"/>
        <item m="1" x="6427"/>
        <item m="1" x="3327"/>
        <item m="1" x="3330"/>
        <item m="1" x="3335"/>
        <item m="1" x="3337"/>
        <item m="1" x="3342"/>
        <item m="1" x="3346"/>
        <item m="1" x="3349"/>
        <item m="1" x="3353"/>
        <item m="1" x="2231"/>
        <item m="1" x="2979"/>
        <item m="1" x="3100"/>
        <item m="1" x="4390"/>
        <item m="1" x="4073"/>
        <item m="1" x="6662"/>
        <item m="1" x="6666"/>
        <item m="1" x="2873"/>
        <item m="1" x="3212"/>
        <item m="1" x="2461"/>
        <item m="1" x="4514"/>
        <item m="1" x="3988"/>
        <item m="1" x="4630"/>
        <item m="1" x="3438"/>
        <item m="1" x="5577"/>
        <item m="1" x="7997"/>
        <item m="1" x="7317"/>
        <item m="1" x="6366"/>
        <item m="1" x="2805"/>
        <item m="1" x="3718"/>
        <item m="1" x="2578"/>
        <item m="1" x="7158"/>
        <item m="1" x="2734"/>
        <item m="1" x="3871"/>
        <item m="1" x="7174"/>
        <item m="1" x="7178"/>
        <item m="1" x="7180"/>
        <item m="1" x="7183"/>
        <item m="1" x="3944"/>
        <item m="1" x="7502"/>
        <item m="1" x="5669"/>
        <item m="1" x="5107"/>
        <item m="1" x="7146"/>
        <item m="1" x="4049"/>
        <item m="1" x="5065"/>
        <item m="1" x="4261"/>
        <item m="1" x="3589"/>
        <item m="1" x="3323"/>
        <item m="1" x="3075"/>
        <item m="1" x="2762"/>
        <item m="1" x="2464"/>
        <item m="1" x="3125"/>
        <item m="1" x="2935"/>
        <item m="1" x="4725"/>
        <item m="1" x="4479"/>
        <item m="1" x="4162"/>
        <item m="1" x="3888"/>
        <item m="1" x="3579"/>
        <item m="1" x="3312"/>
        <item m="1" x="3063"/>
        <item m="1" x="2752"/>
        <item m="1" x="7048"/>
        <item m="1" x="6770"/>
        <item m="1" x="6451"/>
        <item m="1" x="6176"/>
        <item m="1" x="5810"/>
        <item m="1" x="5477"/>
        <item m="1" x="5161"/>
        <item m="1" x="4838"/>
        <item m="1" x="4587"/>
        <item m="1" x="4299"/>
        <item m="1" x="4007"/>
        <item m="1" x="3722"/>
        <item m="1" x="3419"/>
        <item x="17"/>
        <item m="1" x="7599"/>
        <item m="1" x="7259"/>
        <item m="1" x="6917"/>
        <item m="1" x="6649"/>
        <item m="1" x="6337"/>
        <item m="1" x="6006"/>
        <item m="1" x="5676"/>
        <item m="1" x="5333"/>
        <item m="1" x="5031"/>
        <item m="1" x="4733"/>
        <item m="1" x="5597"/>
        <item m="1" x="5255"/>
        <item m="1" x="4952"/>
        <item m="1" x="7572"/>
        <item m="1" x="5201"/>
        <item m="1" x="4897"/>
        <item m="1" x="5937"/>
        <item m="1" x="5272"/>
        <item m="1" x="4967"/>
        <item m="1" x="4685"/>
        <item m="1" x="7022"/>
        <item m="1" x="2687"/>
        <item m="1" x="2391"/>
        <item m="1" x="4729"/>
        <item m="1" x="7741"/>
        <item m="1" x="7381"/>
        <item m="1" x="7056"/>
        <item m="1" x="4137"/>
        <item m="1" x="3846"/>
        <item m="1" x="3551"/>
        <item m="1" x="3296"/>
        <item m="1" x="3036"/>
        <item m="1" x="2722"/>
        <item m="1" x="2428"/>
        <item m="1" x="5370"/>
        <item m="1" x="5068"/>
        <item m="1" x="4753"/>
        <item m="1" x="4506"/>
        <item m="1" x="4218"/>
        <item m="1" x="3916"/>
        <item m="1" x="3634"/>
        <item m="1" x="3362"/>
        <item m="1" x="3097"/>
        <item m="1" x="2795"/>
        <item m="1" x="6754"/>
        <item m="1" x="6433"/>
        <item m="1" x="6153"/>
        <item m="1" x="5787"/>
        <item m="1" x="5458"/>
        <item m="1" x="5144"/>
        <item m="1" x="4820"/>
        <item m="1" x="4576"/>
        <item m="1" x="4276"/>
        <item m="1" x="3994"/>
        <item m="1" x="7785"/>
        <item m="1" x="7443"/>
        <item m="1" x="7123"/>
        <item m="1" x="6824"/>
        <item m="1" x="6521"/>
        <item m="1" x="6216"/>
        <item m="1" x="5873"/>
        <item m="1" x="2392"/>
        <item m="1" x="2473"/>
        <item m="1" x="2309"/>
        <item m="1" x="4780"/>
        <item m="1" x="3636"/>
        <item m="1" x="6607"/>
        <item m="1" x="3206"/>
        <item m="1" x="2920"/>
        <item m="1" x="2317"/>
        <item m="1" x="7717"/>
        <item m="1" x="7358"/>
        <item m="1" x="4432"/>
        <item m="1" x="7773"/>
        <item m="1" x="7110"/>
        <item m="1" x="6806"/>
        <item m="1" x="6205"/>
        <item m="1" x="5847"/>
        <item m="1" x="5528"/>
        <item x="3"/>
        <item x="7"/>
        <item x="10"/>
        <item x="12"/>
        <item x="14"/>
        <item x="16"/>
        <item x="19"/>
        <item x="6"/>
        <item x="9"/>
        <item x="5"/>
        <item x="2"/>
        <item x="1"/>
        <item x="4"/>
        <item x="8"/>
        <item x="11"/>
        <item x="13"/>
        <item x="15"/>
        <item x="18"/>
        <item x="20"/>
        <item x="21"/>
        <item x="24"/>
        <item x="25"/>
        <item x="26"/>
        <item x="0"/>
        <item x="36"/>
        <item x="35"/>
        <item x="34"/>
        <item x="33"/>
        <item x="32"/>
        <item x="31"/>
        <item x="30"/>
        <item x="29"/>
        <item x="28"/>
        <item x="27"/>
        <item m="1" x="4811"/>
        <item m="1" x="7922"/>
        <item m="1" x="6092"/>
        <item m="1" x="7025"/>
        <item m="1" x="5860"/>
        <item m="1" x="3077"/>
        <item m="1" x="4097"/>
        <item m="1" x="6363"/>
        <item m="1" x="4536"/>
        <item m="1" x="7155"/>
        <item m="1" x="2866"/>
        <item m="1" x="5311"/>
        <item m="1" x="3139"/>
        <item m="1" x="5612"/>
        <item m="1" x="5858"/>
        <item m="1" x="6609"/>
        <item m="1" x="2319"/>
        <item x="2188"/>
        <item x="949"/>
        <item m="1" x="3435"/>
        <item m="1" x="7193"/>
        <item m="1" x="6335"/>
        <item m="1" x="2608"/>
        <item m="1" x="2293"/>
        <item m="1" x="2921"/>
        <item m="1" x="2843"/>
        <item m="1" x="2785"/>
        <item m="1" x="6430"/>
        <item m="1" x="6822"/>
        <item x="950"/>
        <item m="1" x="2894"/>
        <item m="1" x="2965"/>
        <item m="1" x="7186"/>
        <item m="1" x="2891"/>
        <item m="1" x="6672"/>
        <item m="1" x="2876"/>
        <item m="1" x="4516"/>
        <item m="1" x="6142"/>
        <item m="1" x="5182"/>
        <item m="1" x="4054"/>
        <item m="1" x="5765"/>
        <item m="1" x="7108"/>
        <item m="1" x="7839"/>
        <item m="1" x="4415"/>
        <item m="1" x="4676"/>
        <item x="951"/>
        <item x="952"/>
        <item x="953"/>
        <item x="954"/>
        <item m="1" x="4490"/>
        <item m="1" x="6046"/>
        <item m="1" x="7280"/>
        <item m="1" x="2969"/>
        <item m="1" x="3383"/>
        <item m="1" x="2219"/>
        <item m="1" x="3317"/>
        <item m="1" x="4903"/>
        <item m="1" x="2881"/>
        <item m="1" x="4639"/>
        <item m="1" x="6328"/>
        <item m="1" x="5342"/>
        <item m="1" x="3444"/>
        <item x="955"/>
        <item x="956"/>
        <item m="1" x="7898"/>
        <item m="1" x="7197"/>
        <item m="1" x="6338"/>
        <item m="1" x="5445"/>
        <item m="1" x="5127"/>
        <item m="1" x="4799"/>
        <item m="1" x="4142"/>
        <item m="1" x="6379"/>
        <item m="1" x="3792"/>
        <item m="1" x="2899"/>
        <item m="1" x="6074"/>
        <item m="1" x="4205"/>
        <item m="1" x="5374"/>
        <item m="1" x="2495"/>
        <item m="1" x="5725"/>
        <item m="1" x="3357"/>
        <item x="957"/>
        <item m="1" x="2867"/>
        <item m="1" x="4059"/>
        <item m="1" x="2788"/>
        <item m="1" x="4383"/>
        <item m="1" x="3104"/>
        <item m="1" x="3199"/>
        <item m="1" x="6750"/>
        <item m="1" x="6940"/>
        <item m="1" x="7628"/>
        <item m="1" x="6683"/>
        <item m="1" x="2975"/>
        <item x="958"/>
        <item m="1" x="2895"/>
        <item m="1" x="6675"/>
        <item m="1" x="2879"/>
        <item m="1" x="4519"/>
        <item m="1" x="7699"/>
        <item m="1" x="7927"/>
        <item m="1" x="2484"/>
        <item m="1" x="4551"/>
        <item m="1" x="3948"/>
        <item m="1" x="6578"/>
        <item m="1" x="3807"/>
        <item m="1" x="5050"/>
        <item m="1" x="5071"/>
        <item m="1" x="3258"/>
        <item m="1" x="5743"/>
        <item m="1" x="3319"/>
        <item m="1" x="6049"/>
        <item m="1" x="4906"/>
        <item m="1" x="7233"/>
        <item m="1" x="2886"/>
        <item m="1" x="7283"/>
        <item m="1" x="4641"/>
        <item m="1" x="4272"/>
        <item m="1" x="2446"/>
        <item m="1" x="3385"/>
        <item m="1" x="2823"/>
        <item m="1" x="4098"/>
        <item m="1" x="6706"/>
        <item m="1" x="3247"/>
        <item x="959"/>
        <item x="960"/>
        <item m="1" x="4387"/>
        <item m="1" x="6190"/>
        <item m="1" x="3796"/>
        <item x="961"/>
        <item m="1" x="5716"/>
        <item m="1" x="7201"/>
        <item m="1" x="6339"/>
        <item m="1" x="2845"/>
        <item m="1" x="2582"/>
        <item m="1" x="2791"/>
        <item m="1" x="3202"/>
        <item m="1" x="6434"/>
        <item m="1" x="6826"/>
        <item m="1" x="7743"/>
        <item m="1" x="6687"/>
        <item m="1" x="6137"/>
        <item x="962"/>
        <item m="1" x="7198"/>
        <item m="1" x="2900"/>
        <item m="1" x="6679"/>
        <item m="1" x="2883"/>
        <item m="1" x="2688"/>
        <item m="1" x="2998"/>
        <item m="1" x="6740"/>
        <item m="1" x="7976"/>
        <item m="1" x="6412"/>
        <item m="1" x="5583"/>
        <item m="1" x="2548"/>
        <item m="1" x="2274"/>
        <item m="1" x="5463"/>
        <item m="1" x="3162"/>
        <item m="1" x="5964"/>
        <item m="1" x="5683"/>
        <item m="1" x="4747"/>
        <item m="1" x="2622"/>
        <item x="963"/>
        <item x="964"/>
        <item x="965"/>
        <item x="966"/>
        <item m="1" x="4522"/>
        <item m="1" x="4867"/>
        <item m="1" x="5548"/>
        <item m="1" x="7931"/>
        <item m="1" x="2488"/>
        <item m="1" x="7694"/>
        <item m="1" x="5876"/>
        <item m="1" x="2533"/>
        <item m="1" x="2671"/>
        <item m="1" x="5175"/>
        <item m="1" x="6053"/>
        <item m="1" x="5640"/>
        <item m="1" x="6612"/>
        <item m="1" x="5139"/>
        <item m="1" x="3515"/>
        <item m="1" x="7202"/>
        <item m="1" x="5258"/>
        <item m="1" x="5407"/>
        <item m="1" x="2222"/>
        <item m="1" x="2528"/>
        <item m="1" x="4562"/>
        <item m="1" x="4448"/>
        <item m="1" x="7631"/>
        <item m="1" x="2330"/>
        <item m="1" x="6050"/>
        <item m="1" x="2847"/>
        <item m="1" x="6308"/>
        <item m="1" x="4287"/>
        <item m="1" x="6618"/>
        <item m="1" x="4995"/>
        <item m="1" x="7305"/>
        <item m="1" x="7597"/>
        <item m="1" x="2624"/>
        <item m="1" x="4872"/>
        <item m="1" x="2467"/>
        <item m="1" x="2741"/>
        <item m="1" x="4507"/>
        <item m="1" x="5181"/>
        <item m="1" x="5580"/>
        <item m="1" x="7728"/>
        <item m="1" x="3743"/>
        <item m="1" x="7242"/>
        <item m="1" x="6140"/>
        <item m="1" x="5217"/>
        <item m="1" x="5547"/>
        <item m="1" x="6116"/>
        <item x="967"/>
        <item m="1" x="5113"/>
        <item m="1" x="5916"/>
        <item m="1" x="2985"/>
        <item m="1" x="6621"/>
        <item m="1" x="5020"/>
        <item m="1" x="7269"/>
        <item m="1" x="3023"/>
        <item m="1" x="5072"/>
        <item m="1" x="6723"/>
        <item m="1" x="7745"/>
        <item m="1" x="4744"/>
        <item m="1" x="4275"/>
        <item m="1" x="7645"/>
        <item m="1" x="6988"/>
        <item m="1" x="5746"/>
        <item m="1" x="2287"/>
        <item m="1" x="4802"/>
        <item m="1" x="3540"/>
        <item m="1" x="3797"/>
        <item m="1" x="5075"/>
        <item m="1" x="6261"/>
        <item m="1" x="4559"/>
        <item m="1" x="3858"/>
        <item m="1" x="5966"/>
        <item m="1" x="7300"/>
        <item m="1" x="3584"/>
        <item x="968"/>
        <item m="1" x="7207"/>
        <item m="1" x="2903"/>
        <item m="1" x="2794"/>
        <item m="1" x="6682"/>
        <item m="1" x="2971"/>
        <item m="1" x="4029"/>
        <item m="1" x="4110"/>
        <item m="1" x="3208"/>
        <item m="1" x="6720"/>
        <item m="1" x="4078"/>
        <item m="1" x="3530"/>
        <item m="1" x="7895"/>
        <item m="1" x="4548"/>
        <item m="1" x="5687"/>
        <item m="1" x="5578"/>
        <item m="1" x="3533"/>
        <item m="1" x="4382"/>
        <item m="1" x="2217"/>
        <item m="1" x="4451"/>
        <item m="1" x="5111"/>
        <item m="1" x="6387"/>
        <item m="1" x="2896"/>
        <item m="1" x="6180"/>
        <item m="1" x="4515"/>
        <item m="1" x="7144"/>
        <item m="1" x="7346"/>
        <item m="1" x="4378"/>
        <item m="1" x="3463"/>
        <item m="1" x="6084"/>
        <item m="1" x="2356"/>
        <item m="1" x="4748"/>
        <item m="1" x="2628"/>
        <item m="1" x="3999"/>
        <item m="1" x="4877"/>
        <item m="1" x="7021"/>
        <item m="1" x="3923"/>
        <item m="1" x="3462"/>
        <item m="1" x="5647"/>
        <item m="1" x="2336"/>
        <item m="1" x="4093"/>
        <item m="1" x="7243"/>
        <item m="1" x="3030"/>
        <item m="1" x="6663"/>
        <item m="1" x="5525"/>
        <item m="1" x="7812"/>
        <item m="1" x="7858"/>
        <item m="1" x="4746"/>
        <item m="1" x="2378"/>
        <item m="1" x="2492"/>
        <item m="1" x="6099"/>
        <item x="969"/>
        <item m="1" x="7951"/>
        <item m="1" x="5644"/>
        <item m="1" x="7647"/>
        <item m="1" x="6832"/>
        <item m="1" x="7689"/>
        <item x="970"/>
        <item m="1" x="5262"/>
        <item m="1" x="6234"/>
        <item m="1" x="7562"/>
        <item m="1" x="7206"/>
        <item m="1" x="3207"/>
        <item m="1" x="3281"/>
        <item m="1" x="6626"/>
        <item m="1" x="2276"/>
        <item m="1" x="2491"/>
        <item m="1" x="3416"/>
        <item m="1" x="3039"/>
        <item m="1" x="2335"/>
        <item m="1" x="5588"/>
        <item m="1" x="2729"/>
        <item m="1" x="4755"/>
        <item m="1" x="6787"/>
        <item x="971"/>
        <item x="972"/>
        <item m="1" x="7518"/>
        <item m="1" x="5199"/>
        <item m="1" x="3644"/>
        <item m="1" x="3263"/>
        <item m="1" x="4163"/>
        <item m="1" x="6144"/>
        <item m="1" x="7086"/>
        <item m="1" x="3042"/>
        <item x="973"/>
        <item m="1" x="3835"/>
        <item m="1" x="3525"/>
        <item m="1" x="5582"/>
        <item m="1" x="7731"/>
        <item m="1" x="7654"/>
        <item m="1" x="4565"/>
        <item m="1" x="6990"/>
        <item m="1" x="7248"/>
        <item m="1" x="7177"/>
        <item m="1" x="6352"/>
        <item m="1" x="4647"/>
        <item m="1" x="5642"/>
        <item m="1" x="5728"/>
        <item m="1" x="6613"/>
        <item m="1" x="6309"/>
        <item m="1" x="3519"/>
        <item m="1" x="6625"/>
        <item m="1" x="7214"/>
        <item m="1" x="5568"/>
        <item m="1" x="5411"/>
        <item m="1" x="5510"/>
        <item m="1" x="2764"/>
        <item m="1" x="2770"/>
        <item m="1" x="2801"/>
        <item m="1" x="6539"/>
        <item m="1" x="3485"/>
        <item m="1" x="5105"/>
        <item m="1" x="2926"/>
        <item m="1" x="6504"/>
        <item m="1" x="5769"/>
        <item m="1" x="7418"/>
        <item m="1" x="3585"/>
        <item m="1" x="5732"/>
        <item m="1" x="7077"/>
        <item x="974"/>
        <item m="1" x="5714"/>
        <item m="1" x="7270"/>
        <item m="1" x="5203"/>
        <item m="1" x="4157"/>
        <item m="1" x="7847"/>
        <item m="1" x="6310"/>
        <item m="1" x="7355"/>
        <item m="1" x="3276"/>
        <item m="1" x="3880"/>
        <item m="1" x="4085"/>
        <item m="1" x="6707"/>
        <item m="1" x="4707"/>
        <item m="1" x="7712"/>
        <item m="1" x="2982"/>
        <item m="1" x="4115"/>
        <item m="1" x="5266"/>
        <item m="1" x="3213"/>
        <item m="1" x="7566"/>
        <item m="1" x="7213"/>
        <item m="1" x="5691"/>
        <item m="1" x="3538"/>
        <item m="1" x="4769"/>
        <item m="1" x="7458"/>
        <item m="1" x="4285"/>
        <item m="1" x="7746"/>
        <item m="1" x="2727"/>
        <item m="1" x="5375"/>
        <item x="975"/>
        <item m="1" x="6690"/>
        <item m="1" x="4691"/>
        <item m="1" x="3305"/>
        <item m="1" x="3489"/>
        <item m="1" x="3900"/>
        <item m="1" x="2766"/>
        <item m="1" x="5943"/>
        <item m="1" x="7217"/>
        <item m="1" x="2905"/>
        <item m="1" x="5558"/>
        <item m="1" x="3536"/>
        <item m="1" x="2478"/>
        <item m="1" x="5596"/>
        <item m="1" x="5664"/>
        <item m="1" x="2787"/>
        <item m="1" x="6390"/>
        <item m="1" x="2776"/>
        <item m="1" x="2226"/>
        <item m="1" x="5999"/>
        <item m="1" x="7080"/>
        <item m="1" x="4631"/>
        <item m="1" x="3726"/>
        <item m="1" x="3818"/>
        <item m="1" x="7265"/>
        <item m="1" x="6330"/>
        <item m="1" x="2590"/>
        <item m="1" x="6001"/>
        <item m="1" x="3575"/>
        <item m="1" x="4068"/>
        <item m="1" x="5194"/>
        <item m="1" x="6665"/>
        <item m="1" x="3884"/>
        <item m="1" x="3465"/>
        <item m="1" x="5652"/>
        <item m="1" x="4232"/>
        <item m="1" x="2850"/>
        <item m="1" x="2232"/>
        <item m="1" x="7477"/>
        <item m="1" x="3883"/>
        <item m="1" x="6930"/>
        <item m="1" x="3889"/>
        <item m="1" x="2561"/>
        <item m="1" x="5205"/>
        <item m="1" x="4106"/>
        <item m="1" x="6230"/>
        <item m="1" x="5077"/>
        <item m="1" x="6095"/>
        <item m="1" x="7701"/>
        <item x="976"/>
        <item m="1" x="7209"/>
        <item m="1" x="4963"/>
        <item m="1" x="6460"/>
        <item m="1" x="5538"/>
        <item m="1" x="5748"/>
        <item m="1" x="2806"/>
        <item m="1" x="5395"/>
        <item m="1" x="6442"/>
        <item m="1" x="5002"/>
        <item m="1" x="5594"/>
        <item m="1" x="4329"/>
        <item m="1" x="3754"/>
        <item m="1" x="5045"/>
        <item m="1" x="4166"/>
        <item m="1" x="3580"/>
        <item m="1" x="4457"/>
        <item m="1" x="5768"/>
        <item m="1" x="5373"/>
        <item m="1" x="3243"/>
        <item m="1" x="2980"/>
        <item m="1" x="6835"/>
        <item m="1" x="4394"/>
        <item m="1" x="4315"/>
        <item m="1" x="5953"/>
        <item m="1" x="3172"/>
        <item m="1" x="7307"/>
        <item m="1" x="5265"/>
        <item m="1" x="2679"/>
        <item m="1" x="7697"/>
        <item m="1" x="6406"/>
        <item m="1" x="2587"/>
        <item x="977"/>
        <item x="978"/>
        <item m="1" x="5003"/>
        <item m="1" x="5770"/>
        <item m="1" x="4500"/>
        <item m="1" x="6897"/>
        <item m="1" x="4511"/>
        <item m="1" x="5459"/>
        <item m="1" x="3130"/>
        <item m="1" x="7985"/>
        <item m="1" x="2321"/>
        <item m="1" x="6163"/>
        <item m="1" x="6545"/>
        <item m="1" x="6830"/>
        <item m="1" x="7354"/>
        <item m="1" x="5645"/>
        <item m="1" x="3400"/>
        <item m="1" x="6617"/>
        <item m="1" x="7791"/>
        <item m="1" x="3523"/>
        <item m="1" x="2923"/>
        <item m="1" x="7219"/>
        <item m="1" x="7833"/>
        <item m="1" x="7071"/>
        <item m="1" x="5416"/>
        <item m="1" x="4837"/>
        <item m="1" x="2534"/>
        <item m="1" x="5897"/>
        <item m="1" x="6834"/>
        <item m="1" x="7289"/>
        <item m="1" x="2928"/>
        <item m="1" x="4264"/>
        <item m="1" x="7564"/>
        <item m="1" x="4657"/>
        <item m="1" x="4333"/>
        <item m="1" x="4164"/>
        <item m="1" x="6246"/>
        <item m="1" x="4569"/>
        <item m="1" x="7816"/>
        <item m="1" x="3840"/>
        <item m="1" x="3960"/>
        <item m="1" x="5561"/>
        <item m="1" x="6312"/>
        <item m="1" x="6631"/>
        <item m="1" x="5000"/>
        <item m="1" x="5420"/>
        <item m="1" x="5512"/>
        <item x="979"/>
        <item m="1" x="7503"/>
        <item m="1" x="5271"/>
        <item m="1" x="7573"/>
        <item m="1" x="7216"/>
        <item m="1" x="2476"/>
        <item m="1" x="2746"/>
        <item m="1" x="4822"/>
        <item m="1" x="5939"/>
        <item m="1" x="2234"/>
        <item m="1" x="5586"/>
        <item m="1" x="7733"/>
        <item m="1" x="3571"/>
        <item m="1" x="6358"/>
        <item m="1" x="5554"/>
        <item m="1" x="7252"/>
        <item m="1" x="7560"/>
        <item m="1" x="5878"/>
        <item m="1" x="2562"/>
        <item m="1" x="6724"/>
        <item m="1" x="5117"/>
        <item m="1" x="5921"/>
        <item m="1" x="2992"/>
        <item m="1" x="5700"/>
        <item m="1" x="6132"/>
        <item m="1" x="2348"/>
        <item m="1" x="2779"/>
        <item m="1" x="4047"/>
        <item m="1" x="7878"/>
        <item m="1" x="6518"/>
        <item m="1" x="2931"/>
        <item m="1" x="4326"/>
        <item m="1" x="6265"/>
        <item m="1" x="4257"/>
        <item m="1" x="2767"/>
        <item m="1" x="5112"/>
        <item m="1" x="4719"/>
        <item m="1" x="3588"/>
        <item m="1" x="5739"/>
        <item x="980"/>
        <item m="1" x="5718"/>
        <item m="1" x="5196"/>
        <item m="1" x="3881"/>
        <item m="1" x="6727"/>
        <item m="1" x="7715"/>
        <item m="1" x="6043"/>
        <item m="1" x="2816"/>
        <item m="1" x="4504"/>
        <item m="1" x="3675"/>
        <item m="1" x="3242"/>
        <item m="1" x="4786"/>
        <item m="1" x="4777"/>
        <item m="1" x="5206"/>
        <item m="1" x="6976"/>
        <item m="1" x="3029"/>
        <item m="1" x="4443"/>
        <item m="1" x="2448"/>
        <item x="981"/>
        <item m="1" x="5081"/>
        <item m="1" x="3470"/>
        <item m="1" x="5997"/>
        <item m="1" x="7050"/>
        <item m="1" x="7849"/>
        <item x="982"/>
        <item m="1" x="6395"/>
        <item m="1" x="7886"/>
        <item m="1" x="2270"/>
        <item m="1" x="6232"/>
        <item m="1" x="3483"/>
        <item m="1" x="2290"/>
        <item m="1" x="5408"/>
        <item m="1" x="6402"/>
        <item m="1" x="2228"/>
        <item m="1" x="2987"/>
        <item m="1" x="6994"/>
        <item m="1" x="4581"/>
        <item m="1" x="7084"/>
        <item m="1" x="4596"/>
        <item m="1" x="4635"/>
        <item m="1" x="3544"/>
        <item m="1" x="2381"/>
        <item m="1" x="2719"/>
        <item m="1" x="4693"/>
        <item m="1" x="4241"/>
        <item m="1" x="5861"/>
        <item m="1" x="3886"/>
        <item m="1" x="3747"/>
        <item m="1" x="4920"/>
        <item m="1" x="7349"/>
        <item m="1" x="4712"/>
        <item m="1" x="6710"/>
        <item m="1" x="3203"/>
        <item m="1" x="3067"/>
        <item m="1" x="7339"/>
        <item m="1" x="6333"/>
        <item m="1" x="3823"/>
        <item m="1" x="5352"/>
        <item m="1" x="6093"/>
        <item m="1" x="3384"/>
        <item m="1" x="5097"/>
        <item m="1" x="7998"/>
        <item m="1" x="3901"/>
        <item m="1" x="5973"/>
        <item m="1" x="7767"/>
        <item m="1" x="3359"/>
        <item m="1" x="5744"/>
        <item m="1" x="5600"/>
        <item m="1" x="2986"/>
        <item m="1" x="3578"/>
        <item m="1" x="4520"/>
        <item m="1" x="7225"/>
        <item m="1" x="4247"/>
        <item m="1" x="2907"/>
        <item m="1" x="4942"/>
        <item m="1" x="2399"/>
        <item m="1" x="3154"/>
        <item m="1" x="4120"/>
        <item m="1" x="5423"/>
        <item m="1" x="3217"/>
        <item m="1" x="6671"/>
        <item m="1" x="5028"/>
        <item m="1" x="6784"/>
        <item m="1" x="5563"/>
        <item m="1" x="4081"/>
        <item m="1" x="5655"/>
        <item m="1" x="2862"/>
        <item m="1" x="5110"/>
        <item m="1" x="6680"/>
        <item m="1" x="5256"/>
        <item m="1" x="7485"/>
        <item m="1" x="6867"/>
        <item m="1" x="3541"/>
        <item m="1" x="2933"/>
        <item m="1" x="6485"/>
        <item m="1" x="7725"/>
        <item m="1" x="7057"/>
        <item m="1" x="5004"/>
        <item m="1" x="6933"/>
        <item m="1" x="2828"/>
        <item m="1" x="6673"/>
        <item m="1" x="6463"/>
        <item m="1" x="3092"/>
        <item m="1" x="6449"/>
        <item m="1" x="3913"/>
        <item m="1" x="7861"/>
        <item m="1" x="5060"/>
        <item m="1" x="4462"/>
        <item m="1" x="2383"/>
        <item m="1" x="7208"/>
        <item m="1" x="2502"/>
        <item m="1" x="4471"/>
        <item m="1" x="5326"/>
        <item m="1" x="5379"/>
        <item m="1" x="6836"/>
        <item m="1" x="7700"/>
        <item m="1" x="2261"/>
        <item m="1" x="3843"/>
        <item m="1" x="3099"/>
        <item m="1" x="3216"/>
        <item m="1" x="3284"/>
        <item m="1" x="6992"/>
        <item m="1" x="3704"/>
        <item m="1" x="2418"/>
        <item m="1" x="3892"/>
        <item m="1" x="4109"/>
        <item m="1" x="4919"/>
        <item m="1" x="6223"/>
        <item m="1" x="2568"/>
        <item m="1" x="2686"/>
        <item m="1" x="7818"/>
        <item m="1" x="4158"/>
        <item m="1" x="6149"/>
        <item m="1" x="7377"/>
        <item m="1" x="7868"/>
        <item m="1" x="5598"/>
        <item m="1" x="5955"/>
        <item m="1" x="7323"/>
        <item m="1" x="5673"/>
        <item x="983"/>
        <item m="1" x="5277"/>
        <item m="1" x="7747"/>
        <item m="1" x="7577"/>
        <item m="1" x="7218"/>
        <item m="1" x="7359"/>
        <item m="1" x="4979"/>
        <item m="1" x="7285"/>
        <item m="1" x="3456"/>
        <item m="1" x="5209"/>
        <item x="984"/>
        <item m="1" x="5049"/>
        <item m="1" x="4169"/>
        <item m="1" x="3728"/>
        <item m="1" x="4397"/>
        <item m="1" x="5095"/>
        <item m="1" x="4317"/>
        <item m="1" x="6781"/>
        <item x="985"/>
        <item m="1" x="4055"/>
        <item m="1" x="5688"/>
        <item m="1" x="2563"/>
        <item m="1" x="4679"/>
        <item m="1" x="6962"/>
        <item m="1" x="5419"/>
        <item m="1" x="7570"/>
        <item m="1" x="4051"/>
        <item m="1" x="4623"/>
        <item m="1" x="5088"/>
        <item m="1" x="4168"/>
        <item x="986"/>
        <item m="1" x="7736"/>
        <item m="1" x="3964"/>
        <item m="1" x="5556"/>
        <item m="1" x="6523"/>
        <item m="1" x="5309"/>
        <item m="1" x="5422"/>
        <item m="1" x="7563"/>
        <item m="1" x="4721"/>
        <item m="1" x="5515"/>
        <item m="1" x="5880"/>
        <item m="1" x="2565"/>
        <item m="1" x="5130"/>
        <item x="987"/>
        <item x="988"/>
        <item m="1" x="5380"/>
        <item m="1" x="2238"/>
        <item m="1" x="3513"/>
        <item m="1" x="5212"/>
        <item m="1" x="7255"/>
        <item m="1" x="7304"/>
        <item m="1" x="4538"/>
        <item m="1" x="6628"/>
        <item m="1" x="3425"/>
        <item m="1" x="6857"/>
        <item m="1" x="7253"/>
        <item m="1" x="2990"/>
        <item m="1" x="3724"/>
        <item m="1" x="3764"/>
        <item m="1" x="5010"/>
        <item m="1" x="4251"/>
        <item m="1" x="3220"/>
        <item m="1" x="7111"/>
        <item m="1" x="3942"/>
        <item m="1" x="4782"/>
        <item x="989"/>
        <item m="1" x="6241"/>
        <item m="1" x="5354"/>
        <item m="1" x="3903"/>
        <item m="1" x="2981"/>
        <item m="1" x="2909"/>
        <item m="1" x="5424"/>
        <item m="1" x="4147"/>
        <item m="1" x="3545"/>
        <item m="1" x="4726"/>
        <item m="1" x="6533"/>
        <item m="1" x="6000"/>
        <item m="1" x="4652"/>
        <item m="1" x="6356"/>
        <item m="1" x="5351"/>
        <item m="1" x="4246"/>
        <item m="1" x="2808"/>
        <item m="1" x="3833"/>
        <item m="1" x="7770"/>
        <item m="1" x="5603"/>
        <item m="1" x="3582"/>
        <item m="1" x="3689"/>
        <item m="1" x="3887"/>
        <item x="990"/>
        <item m="1" x="6935"/>
        <item m="1" x="5892"/>
        <item m="1" x="6235"/>
        <item m="1" x="3141"/>
        <item m="1" x="6676"/>
        <item m="1" x="4764"/>
        <item m="1" x="2616"/>
        <item m="1" x="5541"/>
        <item m="1" x="5063"/>
        <item m="1" x="4466"/>
        <item m="1" x="2991"/>
        <item m="1" x="7702"/>
        <item x="991"/>
        <item m="1" x="4501"/>
        <item m="1" x="4145"/>
        <item m="1" x="4718"/>
        <item m="1" x="3894"/>
        <item m="1" x="5215"/>
        <item m="1" x="4923"/>
        <item m="1" x="4402"/>
        <item m="1" x="6331"/>
        <item m="1" x="7667"/>
        <item m="1" x="6070"/>
        <item m="1" x="3180"/>
        <item m="1" x="3527"/>
        <item m="1" x="5092"/>
        <item m="1" x="6100"/>
        <item m="1" x="2430"/>
        <item m="1" x="6535"/>
        <item m="1" x="3132"/>
        <item m="1" x="4972"/>
        <item m="1" x="3977"/>
        <item m="1" x="7705"/>
        <item m="1" x="5557"/>
        <item m="1" x="5737"/>
        <item m="1" x="4332"/>
        <item m="1" x="2807"/>
        <item m="1" x="7994"/>
        <item m="1" x="6158"/>
        <item m="1" x="2978"/>
        <item m="1" x="5052"/>
        <item m="1" x="4176"/>
        <item m="1" x="2566"/>
        <item m="1" x="2325"/>
        <item m="1" x="7315"/>
        <item m="1" x="4460"/>
        <item m="1" x="7978"/>
        <item m="1" x="5007"/>
        <item m="1" x="5701"/>
        <item m="1" x="4107"/>
        <item m="1" x="6269"/>
        <item m="1" x="6184"/>
        <item m="1" x="4215"/>
        <item m="1" x="4228"/>
        <item m="1" x="7234"/>
        <item m="1" x="6549"/>
        <item m="1" x="4400"/>
        <item m="1" x="4320"/>
        <item m="1" x="6353"/>
        <item m="1" x="5958"/>
        <item m="1" x="5276"/>
        <item m="1" x="5366"/>
        <item m="1" x="4080"/>
        <item m="1" x="4060"/>
        <item m="1" x="5775"/>
        <item m="1" x="7547"/>
        <item m="1" x="5742"/>
        <item m="1" x="7078"/>
        <item m="1" x="4927"/>
        <item m="1" x="3676"/>
        <item m="1" x="3501"/>
        <item m="1" x="7264"/>
        <item m="1" x="4848"/>
        <item m="1" x="7534"/>
        <item m="1" x="3505"/>
        <item m="1" x="6906"/>
        <item m="1" x="2538"/>
        <item m="1" x="5900"/>
        <item m="1" x="6838"/>
        <item m="1" x="4388"/>
        <item m="1" x="6955"/>
        <item m="1" x="4758"/>
        <item m="1" x="4445"/>
        <item m="1" x="5133"/>
        <item m="1" x="2481"/>
        <item m="1" x="3221"/>
        <item m="1" x="7427"/>
        <item m="1" x="7112"/>
        <item m="1" x="3257"/>
        <item m="1" x="2503"/>
        <item m="1" x="4827"/>
        <item m="1" x="3775"/>
        <item m="1" x="7574"/>
        <item m="1" x="5039"/>
        <item m="1" x="2487"/>
        <item m="1" x="4626"/>
        <item m="1" x="2250"/>
        <item m="1" x="3844"/>
        <item m="1" x="5184"/>
        <item m="1" x="5132"/>
        <item m="1" x="7231"/>
        <item m="1" x="2262"/>
        <item x="992"/>
        <item m="1" x="6811"/>
        <item m="1" x="2483"/>
        <item m="1" x="2753"/>
        <item m="1" x="4826"/>
        <item m="1" x="4494"/>
        <item m="1" x="7650"/>
        <item m="1" x="5073"/>
        <item m="1" x="5911"/>
        <item m="1" x="2285"/>
        <item m="1" x="4584"/>
        <item m="1" x="5562"/>
        <item m="1" x="5771"/>
        <item m="1" x="3146"/>
        <item m="1" x="5991"/>
        <item m="1" x="7567"/>
        <item m="1" x="5882"/>
        <item m="1" x="5126"/>
        <item m="1" x="5925"/>
        <item m="1" x="4598"/>
        <item m="1" x="6215"/>
        <item m="1" x="6136"/>
        <item m="1" x="7568"/>
        <item m="1" x="5813"/>
        <item m="1" x="6853"/>
        <item m="1" x="6527"/>
        <item m="1" x="5210"/>
        <item m="1" x="6495"/>
        <item m="1" x="7330"/>
        <item m="1" x="4624"/>
        <item m="1" x="7166"/>
        <item m="1" x="3890"/>
        <item m="1" x="6731"/>
        <item m="1" x="5569"/>
        <item m="1" x="6051"/>
        <item m="1" x="4371"/>
        <item m="1" x="7604"/>
        <item m="1" x="5108"/>
        <item m="1" x="5220"/>
        <item m="1" x="3423"/>
        <item m="1" x="2265"/>
        <item m="1" x="6105"/>
        <item m="1" x="2292"/>
        <item m="1" x="6404"/>
        <item m="1" x="4230"/>
        <item m="1" x="5115"/>
        <item m="1" x="7391"/>
        <item m="1" x="4566"/>
        <item m="1" x="7795"/>
        <item m="1" x="5872"/>
        <item m="1" x="4724"/>
        <item m="1" x="7874"/>
        <item m="1" x="3814"/>
        <item m="1" x="7254"/>
        <item m="1" x="4330"/>
        <item m="1" x="6141"/>
        <item m="1" x="4545"/>
        <item m="1" x="4524"/>
        <item m="1" x="2423"/>
        <item m="1" x="4962"/>
        <item m="1" x="4149"/>
        <item m="1" x="6898"/>
        <item m="1" x="7630"/>
        <item m="1" x="3692"/>
        <item m="1" x="3982"/>
        <item m="1" x="5094"/>
        <item m="1" x="6864"/>
        <item m="1" x="6681"/>
        <item m="1" x="3475"/>
        <item m="1" x="6004"/>
        <item m="1" x="6736"/>
        <item m="1" x="4771"/>
        <item m="1" x="6177"/>
        <item m="1" x="2617"/>
        <item m="1" x="3918"/>
        <item m="1" x="7719"/>
        <item m="1" x="6749"/>
        <item m="1" x="2829"/>
        <item m="1" x="7863"/>
        <item m="1" x="4695"/>
        <item m="1" x="4250"/>
        <item m="1" x="5067"/>
        <item m="1" x="4965"/>
        <item m="1" x="4111"/>
        <item m="1" x="5697"/>
        <item m="1" x="2811"/>
        <item m="1" x="7102"/>
        <item m="1" x="6936"/>
        <item m="1" x="7829"/>
        <item m="1" x="6194"/>
        <item m="1" x="7351"/>
        <item m="1" x="7342"/>
        <item m="1" x="4196"/>
        <item m="1" x="5632"/>
        <item m="1" x="7184"/>
        <item m="1" x="7910"/>
        <item m="1" x="3836"/>
        <item m="1" x="5356"/>
        <item m="1" x="7774"/>
        <item m="1" x="3761"/>
        <item m="1" x="5607"/>
        <item m="1" x="2984"/>
        <item m="1" x="5268"/>
        <item m="1" x="2993"/>
        <item m="1" x="7703"/>
        <item m="1" x="4880"/>
        <item m="1" x="4100"/>
        <item m="1" x="6367"/>
        <item m="1" x="4985"/>
        <item m="1" x="5033"/>
        <item m="1" x="4656"/>
        <item m="1" x="2652"/>
        <item m="1" x="6871"/>
        <item m="1" x="3548"/>
        <item m="1" x="2289"/>
        <item m="1" x="4541"/>
        <item m="1" x="4873"/>
        <item m="1" x="4832"/>
        <item m="1" x="6542"/>
        <item m="1" x="7713"/>
        <item m="1" x="5252"/>
        <item m="1" x="3895"/>
        <item m="1" x="5949"/>
        <item m="1" x="2466"/>
        <item m="1" x="4121"/>
        <item m="1" x="5387"/>
        <item m="1" x="2432"/>
        <item m="1" x="3978"/>
        <item m="1" x="7730"/>
        <item m="1" x="6162"/>
        <item m="1" x="5430"/>
        <item m="1" x="5859"/>
        <item m="1" x="5405"/>
        <item m="1" x="2425"/>
        <item m="1" x="6186"/>
        <item m="1" x="4689"/>
        <item m="1" x="4439"/>
        <item m="1" x="4759"/>
        <item m="1" x="3331"/>
        <item m="1" x="5961"/>
        <item m="1" x="7917"/>
        <item m="1" x="2755"/>
        <item m="1" x="4637"/>
        <item m="1" x="5838"/>
        <item m="1" x="4104"/>
        <item m="1" x="6069"/>
        <item m="1" x="3630"/>
        <item m="1" x="7748"/>
        <item m="1" x="2297"/>
        <item m="1" x="3503"/>
        <item m="1" x="7268"/>
        <item m="1" x="7538"/>
        <item m="1" x="4393"/>
        <item m="1" x="6959"/>
        <item m="1" x="7363"/>
        <item m="1" x="3019"/>
        <item m="1" x="3793"/>
        <item m="1" x="5135"/>
        <item m="1" x="3283"/>
        <item m="1" x="4983"/>
        <item m="1" x="3262"/>
        <item m="1" x="7461"/>
        <item m="1" x="5653"/>
        <item m="1" x="5070"/>
        <item m="1" x="5223"/>
        <item m="1" x="3230"/>
        <item m="1" x="5053"/>
        <item m="1" x="4181"/>
        <item m="1" x="4053"/>
        <item m="1" x="6373"/>
        <item m="1" x="4401"/>
        <item m="1" x="2830"/>
        <item m="1" x="4324"/>
        <item m="1" x="5843"/>
        <item m="1" x="7246"/>
        <item m="1" x="7030"/>
        <item m="1" x="3877"/>
        <item m="1" x="6479"/>
        <item m="1" x="4233"/>
        <item m="1" x="4517"/>
        <item m="1" x="3791"/>
        <item m="1" x="6236"/>
        <item m="1" x="6385"/>
        <item m="1" x="2312"/>
        <item m="1" x="4628"/>
        <item m="1" x="4179"/>
        <item x="993"/>
        <item m="1" x="2569"/>
        <item m="1" x="5227"/>
        <item m="1" x="3255"/>
        <item m="1" x="5096"/>
        <item m="1" x="7260"/>
        <item m="1" x="2621"/>
        <item m="1" x="4589"/>
        <item m="1" x="3635"/>
        <item m="1" x="5914"/>
        <item m="1" x="4586"/>
        <item m="1" x="7394"/>
        <item m="1" x="6534"/>
        <item m="1" x="4884"/>
        <item m="1" x="2508"/>
        <item m="1" x="4570"/>
        <item m="1" x="2388"/>
        <item m="1" x="3133"/>
        <item m="1" x="4461"/>
        <item m="1" x="5564"/>
        <item m="1" x="7257"/>
        <item m="1" x="4335"/>
        <item m="1" x="6145"/>
        <item m="1" x="5782"/>
        <item m="1" x="5025"/>
        <item m="1" x="4094"/>
        <item m="1" x="5572"/>
        <item m="1" x="5385"/>
        <item m="1" x="6903"/>
        <item m="1" x="6573"/>
        <item m="1" x="4788"/>
        <item m="1" x="3476"/>
        <item m="1" x="6752"/>
        <item m="1" x="2831"/>
        <item m="1" x="5709"/>
        <item m="1" x="4971"/>
        <item m="1" x="4117"/>
        <item m="1" x="3272"/>
        <item m="1" x="5698"/>
        <item m="1" x="7749"/>
        <item m="1" x="2656"/>
        <item m="1" x="7105"/>
        <item m="1" x="5636"/>
        <item m="1" x="7187"/>
        <item m="1" x="5359"/>
        <item m="1" x="2988"/>
        <item m="1" x="6061"/>
        <item m="1" x="2598"/>
        <item m="1" x="5615"/>
        <item m="1" x="5274"/>
        <item m="1" x="5365"/>
        <item m="1" x="3520"/>
        <item m="1" x="5319"/>
        <item m="1" x="4186"/>
        <item m="1" x="4658"/>
        <item m="1" x="2659"/>
        <item m="1" x="6866"/>
        <item m="1" x="7722"/>
        <item m="1" x="6173"/>
        <item m="1" x="4943"/>
        <item m="1" x="6171"/>
        <item m="1" x="7345"/>
        <item m="1" x="5979"/>
        <item m="1" x="4012"/>
        <item m="1" x="4989"/>
        <item m="1" x="6576"/>
        <item m="1" x="5668"/>
        <item m="1" x="4861"/>
        <item m="1" x="2938"/>
        <item m="1" x="4300"/>
        <item m="1" x="6240"/>
        <item m="1" x="3145"/>
        <item m="1" x="7793"/>
        <item m="1" x="2620"/>
        <item m="1" x="5634"/>
        <item m="1" x="4418"/>
        <item m="1" x="6019"/>
        <item m="1" x="7704"/>
        <item m="1" x="5349"/>
        <item m="1" x="3407"/>
        <item m="1" x="6155"/>
        <item m="1" x="3896"/>
        <item m="1" x="3184"/>
        <item m="1" x="3532"/>
        <item m="1" x="5394"/>
        <item m="1" x="2434"/>
        <item m="1" x="4732"/>
        <item m="1" x="2647"/>
        <item m="1" x="3980"/>
        <item m="1" x="6168"/>
        <item m="1" x="2438"/>
        <item m="1" x="5954"/>
        <item m="1" x="7150"/>
        <item m="1" x="3429"/>
        <item m="1" x="5703"/>
        <item m="1" x="4217"/>
        <item m="1" x="5980"/>
        <item m="1" x="3817"/>
        <item m="1" x="4762"/>
        <item m="1" x="2427"/>
        <item m="1" x="2737"/>
        <item m="1" x="5967"/>
        <item m="1" x="3645"/>
        <item m="1" x="7026"/>
        <item m="1" x="7542"/>
        <item m="1" x="4395"/>
        <item m="1" x="6965"/>
        <item m="1" x="4449"/>
        <item m="1" x="5137"/>
        <item m="1" x="3287"/>
        <item m="1" x="2310"/>
        <item m="1" x="2916"/>
        <item m="1" x="3334"/>
        <item x="994"/>
        <item m="1" x="4632"/>
        <item m="1" x="2490"/>
        <item m="1" x="5099"/>
        <item m="1" x="4183"/>
        <item m="1" x="6104"/>
        <item m="1" x="6258"/>
        <item m="1" x="6209"/>
        <item m="1" x="2592"/>
        <item m="1" x="3080"/>
        <item m="1" x="6481"/>
        <item m="1" x="2605"/>
        <item m="1" x="4960"/>
        <item m="1" x="5816"/>
        <item m="1" x="2833"/>
        <item m="1" x="5848"/>
        <item m="1" x="3340"/>
        <item m="1" x="3298"/>
        <item m="1" x="6795"/>
        <item m="1" x="6368"/>
        <item m="1" x="2316"/>
        <item m="1" x="5467"/>
        <item m="1" x="7639"/>
        <item m="1" x="3443"/>
        <item m="1" x="7104"/>
        <item m="1" x="7993"/>
        <item m="1" x="6058"/>
        <item m="1" x="4411"/>
        <item m="1" x="6446"/>
        <item m="1" x="7429"/>
        <item m="1" x="4930"/>
        <item x="995"/>
        <item m="1" x="3259"/>
        <item m="1" x="6107"/>
        <item x="996"/>
        <item m="1" x="5946"/>
        <item m="1" x="6026"/>
        <item m="1" x="4887"/>
        <item m="1" x="4571"/>
        <item m="1" x="7716"/>
        <item m="1" x="7734"/>
        <item m="1" x="3292"/>
        <item m="1" x="4338"/>
        <item m="1" x="6147"/>
        <item m="1" x="7172"/>
        <item m="1" x="6804"/>
        <item m="1" x="7636"/>
        <item m="1" x="6688"/>
        <item m="1" x="5296"/>
        <item m="1" x="6033"/>
        <item m="1" x="7970"/>
        <item m="1" x="6570"/>
        <item m="1" x="2264"/>
        <item m="1" x="7153"/>
        <item m="1" x="2513"/>
        <item m="1" x="3062"/>
        <item m="1" x="7813"/>
        <item m="1" x="7483"/>
        <item m="1" x="6562"/>
        <item m="1" x="7587"/>
        <item m="1" x="7925"/>
        <item m="1" x="4974"/>
        <item m="1" x="4124"/>
        <item m="1" x="3278"/>
        <item m="1" x="5702"/>
        <item m="1" x="7751"/>
        <item m="1" x="5363"/>
        <item m="1" x="7543"/>
        <item m="1" x="5620"/>
        <item m="1" x="5281"/>
        <item m="1" x="3174"/>
        <item m="1" x="3524"/>
        <item m="1" x="7076"/>
        <item m="1" x="5320"/>
        <item m="1" x="4843"/>
        <item m="1" x="3466"/>
        <item m="1" x="5398"/>
        <item m="1" x="6686"/>
        <item m="1" x="6007"/>
        <item m="1" x="6262"/>
        <item x="997"/>
        <item m="1" x="2651"/>
        <item m="1" x="2994"/>
        <item m="1" x="7484"/>
        <item m="1" x="4255"/>
        <item m="1" x="5151"/>
        <item m="1" x="6164"/>
        <item m="1" x="3433"/>
        <item m="1" x="4908"/>
        <item m="1" x="3339"/>
        <item m="1" x="2369"/>
        <item m="1" x="4770"/>
        <item m="1" x="4521"/>
        <item m="1" x="4015"/>
        <item m="1" x="2742"/>
        <item m="1" x="5976"/>
        <item m="1" x="4070"/>
        <item m="1" x="6370"/>
        <item m="1" x="5759"/>
        <item m="1" x="2516"/>
        <item m="1" x="4422"/>
        <item m="1" x="7001"/>
        <item m="1" x="4221"/>
        <item m="1" x="4863"/>
        <item m="1" x="6971"/>
        <item m="1" x="7169"/>
        <item m="1" x="2500"/>
        <item m="1" x="3291"/>
        <item m="1" x="2314"/>
        <item m="1" x="2567"/>
        <item m="1" x="6761"/>
        <item m="1" x="2844"/>
        <item m="1" x="7163"/>
        <item x="998"/>
        <item m="1" x="5027"/>
        <item m="1" x="5436"/>
        <item m="1" x="2611"/>
        <item m="1" x="5469"/>
        <item m="1" x="3326"/>
        <item m="1" x="4292"/>
        <item m="1" x="3460"/>
        <item m="1" x="4794"/>
        <item m="1" x="7629"/>
        <item m="1" x="2468"/>
        <item m="1" x="4433"/>
        <item m="1" x="5851"/>
        <item m="1" x="7107"/>
        <item m="1" x="7249"/>
        <item m="1" x="4666"/>
        <item m="1" x="5677"/>
        <item m="1" x="5804"/>
        <item m="1" x="3509"/>
        <item m="1" x="4775"/>
        <item m="1" x="3111"/>
        <item m="1" x="4267"/>
        <item m="1" x="6799"/>
        <item m="1" x="7995"/>
        <item m="1" x="2678"/>
        <item m="1" x="7032"/>
        <item m="1" x="4523"/>
        <item m="1" x="6620"/>
        <item m="1" x="3671"/>
        <item m="1" x="6798"/>
        <item m="1" x="5618"/>
        <item m="1" x="2691"/>
        <item m="1" x="3002"/>
        <item m="1" x="6210"/>
        <item m="1" x="5518"/>
        <item m="1" x="2597"/>
        <item m="1" x="5330"/>
        <item m="1" x="2211"/>
        <item m="1" x="2936"/>
        <item m="1" x="6510"/>
        <item m="1" x="2880"/>
        <item m="1" x="7750"/>
        <item m="1" x="2334"/>
        <item m="1" x="2619"/>
        <item m="1" x="3933"/>
        <item m="1" x="6937"/>
        <item m="1" x="7591"/>
        <item m="1" x="7245"/>
        <item m="1" x="7035"/>
        <item m="1" x="2547"/>
        <item m="1" x="5907"/>
        <item m="1" x="6841"/>
        <item m="1" x="6636"/>
        <item m="1" x="6372"/>
        <item m="1" x="4932"/>
        <item m="1" x="5917"/>
        <item m="1" x="3593"/>
        <item m="1" x="7955"/>
        <item m="1" x="2322"/>
        <item m="1" x="2249"/>
        <item m="1" x="3789"/>
        <item m="1" x="4763"/>
        <item m="1" x="2497"/>
        <item m="1" x="3965"/>
        <item m="1" x="7621"/>
        <item m="1" x="2368"/>
        <item m="1" x="6880"/>
        <item m="1" x="4189"/>
        <item m="1" x="7535"/>
        <item m="1" x="7016"/>
        <item m="1" x="4497"/>
        <item m="1" x="4132"/>
        <item m="1" x="5500"/>
        <item m="1" x="7401"/>
        <item m="1" x="5801"/>
        <item m="1" x="6439"/>
        <item m="1" x="4681"/>
        <item m="1" x="6487"/>
        <item m="1" x="5757"/>
        <item m="1" x="5471"/>
        <item m="1" x="4328"/>
        <item m="1" x="3812"/>
        <item m="1" x="4066"/>
        <item m="1" x="2846"/>
        <item m="1" x="3093"/>
        <item m="1" x="5726"/>
        <item m="1" x="7466"/>
        <item m="1" x="6318"/>
        <item m="1" x="6608"/>
        <item m="1" x="5251"/>
        <item m="1" x="4916"/>
        <item m="1" x="5950"/>
        <item m="1" x="3083"/>
        <item m="1" x="7548"/>
        <item m="1" x="7020"/>
        <item m="1" x="7223"/>
        <item m="1" x="7961"/>
        <item m="1" x="6156"/>
        <item m="1" x="6678"/>
        <item m="1" x="4174"/>
        <item m="1" x="6891"/>
        <item m="1" x="3049"/>
        <item m="1" x="2223"/>
        <item m="1" x="3345"/>
        <item m="1" x="5831"/>
        <item m="1" x="3260"/>
        <item m="1" x="4804"/>
        <item m="1" x="7181"/>
        <item m="1" x="7760"/>
        <item m="1" x="4668"/>
        <item m="1" x="4947"/>
        <item m="1" x="6212"/>
        <item m="1" x="7613"/>
        <item m="1" x="4364"/>
        <item m="1" x="4684"/>
        <item m="1" x="3558"/>
        <item m="1" x="7676"/>
        <item m="1" x="4842"/>
        <item m="1" x="7602"/>
        <item m="1" x="5929"/>
        <item m="1" x="3076"/>
        <item m="1" x="5590"/>
        <item m="1" x="2929"/>
        <item m="1" x="2704"/>
        <item m="1" x="6529"/>
        <item m="1" x="2748"/>
        <item m="1" x="6574"/>
        <item m="1" x="2267"/>
        <item m="1" x="2636"/>
        <item m="1" x="6444"/>
        <item m="1" x="4341"/>
        <item m="1" x="3051"/>
        <item m="1" x="6509"/>
        <item m="1" x="6264"/>
        <item m="1" x="5910"/>
        <item m="1" x="7376"/>
        <item m="1" x="6579"/>
        <item m="1" x="5573"/>
        <item m="1" x="6689"/>
        <item m="1" x="3447"/>
        <item m="1" x="3108"/>
        <item m="1" x="5819"/>
        <item x="999"/>
        <item x="1000"/>
        <item m="1" x="4890"/>
        <item m="1" x="4574"/>
        <item m="1" x="4977"/>
        <item m="1" x="4126"/>
        <item m="1" x="3282"/>
        <item m="1" x="6220"/>
        <item m="1" x="3813"/>
        <item m="1" x="5705"/>
        <item m="1" x="7754"/>
        <item m="1" x="6877"/>
        <item m="1" x="5608"/>
        <item m="1" x="3458"/>
        <item m="1" x="7170"/>
        <item m="1" x="6277"/>
        <item m="1" x="6590"/>
        <item m="1" x="3201"/>
        <item m="1" x="7545"/>
        <item m="1" x="5465"/>
        <item m="1" x="5624"/>
        <item m="1" x="5287"/>
        <item m="1" x="7737"/>
        <item m="1" x="3294"/>
        <item m="1" x="3529"/>
        <item m="1" x="7082"/>
        <item m="1" x="6068"/>
        <item m="1" x="4413"/>
        <item m="1" x="6809"/>
        <item x="1001"/>
        <item x="1002"/>
        <item x="1003"/>
        <item m="1" x="5046"/>
        <item m="1" x="7665"/>
        <item m="1" x="5735"/>
        <item m="1" x="4622"/>
        <item m="1" x="5846"/>
        <item m="1" x="6915"/>
        <item m="1" x="6640"/>
        <item m="1" x="3164"/>
        <item m="1" x="7250"/>
        <item m="1" x="5998"/>
        <item m="1" x="7594"/>
        <item m="1" x="4940"/>
        <item m="1" x="4662"/>
        <item m="1" x="5866"/>
        <item m="1" x="6876"/>
        <item m="1" x="4040"/>
        <item m="1" x="4017"/>
        <item m="1" x="5164"/>
        <item m="1" x="5738"/>
        <item m="1" x="2758"/>
        <item m="1" x="7488"/>
        <item m="1" x="4258"/>
        <item m="1" x="6086"/>
        <item m="1" x="4525"/>
        <item m="1" x="2937"/>
        <item m="1" x="7776"/>
        <item x="1004"/>
        <item m="1" x="4544"/>
        <item x="1005"/>
        <item m="1" x="2996"/>
        <item m="1" x="5863"/>
        <item m="1" x="5539"/>
        <item m="1" x="5724"/>
        <item m="1" x="2745"/>
        <item x="1006"/>
        <item m="1" x="6450"/>
        <item x="1007"/>
        <item m="1" x="5671"/>
        <item m="1" x="2927"/>
        <item m="1" x="2814"/>
        <item m="1" x="4585"/>
        <item m="1" x="5855"/>
        <item m="1" x="7164"/>
        <item x="1008"/>
        <item m="1" x="4667"/>
        <item m="1" x="6910"/>
        <item m="1" x="3085"/>
        <item m="1" x="4336"/>
        <item m="1" x="5334"/>
        <item m="1" x="7550"/>
        <item m="1" x="4456"/>
        <item m="1" x="6480"/>
        <item m="1" x="6511"/>
        <item m="1" x="2695"/>
        <item m="1" x="3450"/>
        <item m="1" x="3347"/>
        <item x="1009"/>
        <item m="1" x="3938"/>
        <item m="1" x="7038"/>
        <item m="1" x="5820"/>
        <item m="1" x="2736"/>
        <item m="1" x="3249"/>
        <item m="1" x="6483"/>
        <item m="1" x="2326"/>
        <item m="1" x="6267"/>
        <item m="1" x="7879"/>
        <item m="1" x="5503"/>
        <item m="1" x="6065"/>
        <item m="1" x="6226"/>
        <item m="1" x="3979"/>
        <item m="1" x="5799"/>
        <item m="1" x="6968"/>
        <item m="1" x="6071"/>
        <item m="1" x="4414"/>
        <item x="1010"/>
        <item m="1" x="3951"/>
        <item m="1" x="5051"/>
        <item m="1" x="5294"/>
        <item x="1011"/>
        <item m="1" x="3268"/>
        <item m="1" x="5741"/>
        <item m="1" x="7281"/>
        <item x="1012"/>
        <item m="1" x="4894"/>
        <item m="1" x="3138"/>
        <item m="1" x="6423"/>
        <item m="1" x="2389"/>
        <item m="1" x="4601"/>
        <item m="1" x="5693"/>
        <item m="1" x="2607"/>
        <item m="1" x="2898"/>
        <item m="1" x="3295"/>
        <item x="1013"/>
        <item m="1" x="3829"/>
        <item m="1" x="3179"/>
        <item m="1" x="2342"/>
        <item m="1" x="4978"/>
        <item m="1" x="4130"/>
        <item m="1" x="3286"/>
        <item m="1" x="3815"/>
        <item m="1" x="5706"/>
        <item m="1" x="7759"/>
        <item m="1" x="7091"/>
        <item m="1" x="6268"/>
        <item m="1" x="5367"/>
        <item m="1" x="3697"/>
        <item m="1" x="2832"/>
        <item m="1" x="6108"/>
        <item m="1" x="4568"/>
        <item m="1" x="6407"/>
        <item m="1" x="7549"/>
        <item m="1" x="3985"/>
        <item m="1" x="2550"/>
        <item m="1" x="5753"/>
        <item m="1" x="4269"/>
        <item m="1" x="4669"/>
        <item m="1" x="3872"/>
        <item m="1" x="5626"/>
        <item m="1" x="5290"/>
        <item m="1" x="3177"/>
        <item m="1" x="3535"/>
        <item m="1" x="7087"/>
        <item m="1" x="3196"/>
        <item x="1014"/>
        <item x="1015"/>
        <item m="1" x="7407"/>
        <item m="1" x="2273"/>
        <item m="1" x="3684"/>
        <item m="1" x="5649"/>
        <item m="1" x="4527"/>
        <item m="1" x="6012"/>
        <item m="1" x="2775"/>
        <item m="1" x="7727"/>
        <item m="1" x="5745"/>
        <item m="1" x="7964"/>
        <item m="1" x="4467"/>
        <item m="1" x="6169"/>
        <item m="1" x="4910"/>
        <item m="1" x="6300"/>
        <item m="1" x="2576"/>
        <item m="1" x="3225"/>
        <item m="1" x="7319"/>
        <item m="1" x="3777"/>
        <item m="1" x="4379"/>
        <item m="1" x="3224"/>
        <item m="1" x="4019"/>
        <item m="1" x="3185"/>
        <item x="1016"/>
        <item m="1" x="2318"/>
        <item m="1" x="5762"/>
        <item m="1" x="7772"/>
        <item m="1" x="2573"/>
        <item m="1" x="5014"/>
        <item m="1" x="2401"/>
        <item x="1017"/>
        <item m="1" x="5535"/>
        <item m="1" x="3468"/>
        <item m="1" x="5672"/>
        <item m="1" x="6902"/>
        <item m="1" x="5524"/>
        <item m="1" x="7059"/>
        <item m="1" x="6396"/>
        <item m="1" x="6270"/>
        <item x="1018"/>
        <item m="1" x="3240"/>
        <item m="1" x="3459"/>
        <item m="1" x="2288"/>
        <item x="1019"/>
        <item m="1" x="6200"/>
        <item m="1" x="6257"/>
        <item m="1" x="3712"/>
        <item m="1" x="7739"/>
        <item m="1" x="5032"/>
        <item m="1" x="4062"/>
        <item m="1" x="7492"/>
        <item m="1" x="7755"/>
        <item m="1" x="5247"/>
        <item m="1" x="4633"/>
        <item m="1" x="4342"/>
        <item m="1" x="2932"/>
        <item m="1" x="3556"/>
        <item m="1" x="6410"/>
        <item m="1" x="6424"/>
        <item m="1" x="2951"/>
        <item m="1" x="6870"/>
        <item m="1" x="6250"/>
        <item m="1" x="7595"/>
        <item m="1" x="3467"/>
        <item m="1" x="7165"/>
        <item m="1" x="5727"/>
        <item m="1" x="6791"/>
        <item m="1" x="2910"/>
        <item m="1" x="6732"/>
        <item m="1" x="4526"/>
        <item m="1" x="2747"/>
        <item m="1" x="5353"/>
        <item m="1" x="7113"/>
        <item m="1" x="5988"/>
        <item m="1" x="7618"/>
        <item x="1020"/>
        <item x="1021"/>
        <item x="1022"/>
        <item m="1" x="4075"/>
        <item m="1" x="4547"/>
        <item m="1" x="3119"/>
        <item m="1" x="2848"/>
        <item m="1" x="3750"/>
        <item m="1" x="3730"/>
        <item m="1" x="4672"/>
        <item m="1" x="5680"/>
        <item m="1" x="4431"/>
        <item m="1" x="6350"/>
        <item m="1" x="3194"/>
        <item m="1" x="2419"/>
        <item m="1" x="5807"/>
        <item m="1" x="7404"/>
        <item m="1" x="3116"/>
        <item m="1" x="7101"/>
        <item m="1" x="4957"/>
        <item m="1" x="5034"/>
        <item m="1" x="7167"/>
        <item m="1" x="4099"/>
        <item m="1" x="6911"/>
        <item m="1" x="3009"/>
        <item m="1" x="6032"/>
        <item m="1" x="4355"/>
        <item m="1" x="3987"/>
        <item m="1" x="7968"/>
        <item m="1" x="4298"/>
        <item m="1" x="2773"/>
        <item m="1" x="4528"/>
        <item m="1" x="6762"/>
        <item m="1" x="6908"/>
        <item m="1" x="6213"/>
        <item m="1" x="6178"/>
        <item m="1" x="7869"/>
        <item m="1" x="2700"/>
        <item m="1" x="2489"/>
        <item m="1" x="7904"/>
        <item m="1" x="2216"/>
        <item m="1" x="4265"/>
        <item m="1" x="3725"/>
        <item m="1" x="4765"/>
        <item m="1" x="6764"/>
        <item m="1" x="5797"/>
        <item m="1" x="6513"/>
        <item m="1" x="6172"/>
        <item m="1" x="2698"/>
        <item x="1023"/>
        <item m="1" x="7752"/>
        <item m="1" x="2339"/>
        <item m="1" x="7328"/>
        <item m="1" x="6938"/>
        <item m="1" x="6602"/>
        <item m="1" x="7042"/>
        <item m="1" x="6848"/>
        <item m="1" x="2365"/>
        <item m="1" x="5174"/>
        <item m="1" x="3861"/>
        <item m="1" x="5922"/>
        <item m="1" x="6660"/>
        <item m="1" x="7580"/>
        <item m="1" x="3598"/>
        <item m="1" x="4663"/>
        <item m="1" x="4314"/>
        <item m="1" x="2300"/>
        <item m="1" x="2257"/>
        <item m="1" x="2507"/>
        <item m="1" x="7411"/>
        <item m="1" x="2240"/>
        <item m="1" x="6496"/>
        <item m="1" x="5476"/>
        <item m="1" x="7473"/>
        <item m="1" x="6319"/>
        <item m="1" x="4922"/>
        <item m="1" x="7553"/>
        <item m="1" x="7023"/>
        <item m="1" x="7236"/>
        <item m="1" x="3739"/>
        <item m="1" x="5760"/>
        <item m="1" x="6928"/>
        <item m="1" x="7622"/>
        <item m="1" x="3350"/>
        <item m="1" x="5839"/>
        <item m="1" x="3269"/>
        <item x="1024"/>
        <item m="1" x="2853"/>
        <item m="1" x="6238"/>
        <item m="1" x="4687"/>
        <item m="1" x="3117"/>
        <item m="1" x="4850"/>
        <item m="1" x="3969"/>
        <item m="1" x="5502"/>
        <item m="1" x="2739"/>
        <item m="1" x="2640"/>
        <item m="1" x="3059"/>
        <item m="1" x="3765"/>
        <item m="1" x="6999"/>
        <item m="1" x="6272"/>
        <item m="1" x="5481"/>
        <item m="1" x="4816"/>
        <item m="1" x="6237"/>
        <item m="1" x="5490"/>
        <item m="1" x="7132"/>
        <item m="1" x="5078"/>
        <item m="1" x="6340"/>
        <item m="1" x="5869"/>
        <item m="1" x="5118"/>
        <item m="1" x="2279"/>
        <item m="1" x="5824"/>
        <item m="1" x="6488"/>
        <item m="1" x="7331"/>
        <item m="1" x="5591"/>
        <item m="1" x="5506"/>
        <item m="1" x="5584"/>
        <item m="1" x="6440"/>
        <item x="1025"/>
        <item x="1026"/>
        <item m="1" x="5956"/>
        <item m="1" x="7707"/>
        <item m="1" x="6231"/>
        <item m="1" x="4140"/>
        <item m="1" x="3552"/>
        <item m="1" x="6002"/>
        <item m="1" x="2367"/>
        <item m="1" x="2411"/>
        <item m="1" x="3940"/>
        <item m="1" x="5470"/>
        <item m="1" x="7365"/>
        <item m="1" x="6076"/>
        <item m="1" x="4416"/>
        <item x="1027"/>
        <item x="1028"/>
        <item m="1" x="3267"/>
        <item m="1" x="3953"/>
        <item m="1" x="7787"/>
        <item m="1" x="2422"/>
        <item m="1" x="6960"/>
        <item m="1" x="5662"/>
        <item m="1" x="5018"/>
        <item m="1" x="7758"/>
        <item m="1" x="7353"/>
        <item m="1" x="4052"/>
        <item m="1" x="6369"/>
        <item m="1" x="3492"/>
        <item m="1" x="3740"/>
        <item m="1" x="2942"/>
        <item m="1" x="7801"/>
        <item x="1029"/>
        <item m="1" x="4531"/>
        <item m="1" x="3484"/>
        <item m="1" x="6018"/>
        <item m="1" x="7271"/>
        <item m="1" x="6742"/>
        <item m="1" x="6275"/>
        <item x="1030"/>
        <item m="1" x="2778"/>
        <item m="1" x="3183"/>
        <item m="1" x="3821"/>
        <item x="1031"/>
        <item x="1032"/>
        <item m="1" x="5399"/>
        <item m="1" x="5747"/>
        <item m="1" x="4386"/>
        <item m="1" x="7658"/>
        <item m="1" x="3290"/>
        <item m="1" x="3820"/>
        <item m="1" x="4470"/>
        <item m="1" x="3142"/>
        <item m="1" x="7764"/>
        <item m="1" x="2439"/>
        <item m="1" x="4348"/>
        <item m="1" x="6274"/>
        <item m="1" x="7607"/>
        <item m="1" x="7819"/>
        <item m="1" x="3398"/>
        <item m="1" x="3601"/>
        <item m="1" x="6165"/>
        <item m="1" x="5306"/>
        <item m="1" x="7121"/>
        <item m="1" x="6907"/>
        <item m="1" x="7054"/>
        <item m="1" x="6302"/>
        <item m="1" x="3448"/>
        <item m="1" x="6411"/>
        <item m="1" x="4380"/>
        <item m="1" x="2962"/>
        <item m="1" x="4605"/>
        <item m="1" x="7860"/>
        <item m="1" x="5152"/>
        <item m="1" x="6837"/>
        <item m="1" x="6188"/>
        <item m="1" x="4828"/>
        <item m="1" x="2774"/>
        <item m="1" x="5887"/>
        <item m="1" x="7094"/>
        <item m="1" x="4020"/>
        <item m="1" x="7115"/>
        <item m="1" x="4351"/>
        <item m="1" x="4895"/>
        <item m="1" x="4798"/>
        <item x="1033"/>
        <item m="1" x="4340"/>
        <item m="1" x="4374"/>
        <item m="1" x="7947"/>
        <item m="1" x="4661"/>
        <item m="1" x="5962"/>
        <item m="1" x="6217"/>
        <item m="1" x="4489"/>
        <item m="1" x="7093"/>
        <item m="1" x="3507"/>
        <item m="1" x="3149"/>
        <item m="1" x="4673"/>
        <item m="1" x="7088"/>
        <item m="1" x="3432"/>
        <item m="1" x="2574"/>
        <item m="1" x="3686"/>
        <item m="1" x="6759"/>
        <item m="1" x="6565"/>
        <item m="1" x="3481"/>
        <item m="1" x="7237"/>
        <item m="1" x="3624"/>
        <item m="1" x="4590"/>
        <item m="1" x="5433"/>
        <item m="1" x="6408"/>
        <item m="1" x="7840"/>
        <item m="1" x="4643"/>
        <item m="1" x="4050"/>
        <item m="1" x="2493"/>
        <item m="1" x="3461"/>
        <item m="1" x="2655"/>
        <item m="1" x="7569"/>
        <item m="1" x="3600"/>
        <item m="1" x="2693"/>
        <item m="1" x="7742"/>
        <item m="1" x="3304"/>
        <item m="1" x="3082"/>
        <item m="1" x="7496"/>
        <item m="1" x="4552"/>
        <item m="1" x="6123"/>
        <item m="1" x="4791"/>
        <item m="1" x="6873"/>
        <item m="1" x="4731"/>
        <item m="1" x="7596"/>
        <item m="1" x="3168"/>
        <item m="1" x="7513"/>
        <item m="1" x="5195"/>
        <item m="1" x="7168"/>
        <item m="1" x="4530"/>
        <item m="1" x="6301"/>
        <item m="1" x="2710"/>
        <item m="1" x="3218"/>
        <item m="1" x="7504"/>
        <item m="1" x="3404"/>
        <item m="1" x="3003"/>
        <item m="1" x="5592"/>
        <item m="1" x="3344"/>
        <item m="1" x="3732"/>
        <item m="1" x="6336"/>
        <item m="1" x="3681"/>
        <item m="1" x="4437"/>
        <item m="1" x="6357"/>
        <item m="1" x="6115"/>
        <item m="1" x="6202"/>
        <item m="1" x="3649"/>
        <item m="1" x="2210"/>
        <item m="1" x="7405"/>
        <item m="1" x="5238"/>
        <item m="1" x="3859"/>
        <item m="1" x="3231"/>
        <item m="1" x="5343"/>
        <item m="1" x="5310"/>
        <item m="1" x="4135"/>
        <item m="1" x="2740"/>
        <item m="1" x="7460"/>
        <item m="1" x="7555"/>
        <item x="1034"/>
        <item x="1035"/>
        <item m="1" x="5156"/>
        <item x="1036"/>
        <item m="1" x="5250"/>
        <item m="1" x="4636"/>
        <item m="1" x="3559"/>
        <item m="1" x="5729"/>
        <item m="1" x="6734"/>
        <item m="1" x="2750"/>
        <item m="1" x="5355"/>
        <item x="1037"/>
        <item m="1" x="5504"/>
        <item m="1" x="6566"/>
        <item m="1" x="4642"/>
        <item m="1" x="2641"/>
        <item m="1" x="6454"/>
        <item m="1" x="4063"/>
        <item m="1" x="7761"/>
        <item m="1" x="7097"/>
        <item m="1" x="2912"/>
        <item m="1" x="6643"/>
        <item m="1" x="3052"/>
        <item x="1038"/>
        <item m="1" x="3121"/>
        <item m="1" x="6914"/>
        <item m="1" x="7415"/>
        <item m="1" x="4982"/>
        <item m="1" x="2579"/>
        <item m="1" x="5109"/>
        <item m="1" x="6909"/>
        <item m="1" x="2410"/>
        <item m="1" x="7190"/>
        <item m="1" x="6243"/>
        <item m="1" x="2707"/>
        <item m="1" x="2494"/>
        <item m="1" x="4458"/>
        <item m="1" x="4198"/>
        <item m="1" x="5957"/>
        <item m="1" x="4739"/>
        <item m="1" x="3256"/>
        <item m="1" x="5638"/>
        <item m="1" x="2705"/>
        <item m="1" x="4694"/>
        <item m="1" x="6298"/>
        <item x="1039"/>
        <item m="1" x="2340"/>
        <item m="1" x="4430"/>
        <item m="1" x="3866"/>
        <item m="1" x="5667"/>
        <item m="1" x="5023"/>
        <item m="1" x="6211"/>
        <item m="1" x="6805"/>
        <item m="1" x="3211"/>
        <item m="1" x="3195"/>
        <item m="1" x="4084"/>
        <item m="1" x="6280"/>
        <item m="1" x="7200"/>
        <item m="1" x="5484"/>
        <item m="1" x="4823"/>
        <item m="1" x="4935"/>
        <item m="1" x="6242"/>
        <item m="1" x="6445"/>
        <item x="1040"/>
        <item m="1" x="7709"/>
        <item m="1" x="7055"/>
        <item m="1" x="7478"/>
        <item m="1" x="4359"/>
        <item m="1" x="7173"/>
        <item m="1" x="6638"/>
        <item m="1" x="6109"/>
        <item m="1" x="5496"/>
        <item m="1" x="7133"/>
        <item m="1" x="4929"/>
        <item m="1" x="3983"/>
        <item m="1" x="3555"/>
        <item m="1" x="7527"/>
        <item m="1" x="3848"/>
        <item m="1" x="4602"/>
        <item m="1" x="2372"/>
        <item m="1" x="7578"/>
        <item m="1" x="5818"/>
        <item m="1" x="5083"/>
        <item m="1" x="5267"/>
        <item m="1" x="2934"/>
        <item m="1" x="4690"/>
        <item m="1" x="7294"/>
        <item m="1" x="4696"/>
        <item m="1" x="3354"/>
        <item m="1" x="6079"/>
        <item m="1" x="4417"/>
        <item m="1" x="7117"/>
        <item m="1" x="3273"/>
        <item x="1041"/>
        <item m="1" x="2855"/>
        <item m="1" x="6386"/>
        <item m="1" x="5122"/>
        <item m="1" x="3219"/>
        <item m="1" x="2531"/>
        <item m="1" x="7671"/>
        <item m="1" x="3934"/>
        <item m="1" x="3464"/>
        <item m="1" x="6966"/>
        <item m="1" x="3189"/>
        <item m="1" x="3253"/>
        <item m="1" x="6492"/>
        <item m="1" x="6593"/>
        <item m="1" x="6802"/>
        <item m="1" x="7834"/>
        <item m="1" x="3767"/>
        <item m="1" x="7333"/>
        <item m="1" x="6279"/>
        <item m="1" x="2946"/>
        <item m="1" x="5082"/>
        <item m="1" x="7272"/>
        <item m="1" x="7288"/>
        <item x="1042"/>
        <item m="1" x="2820"/>
        <item m="1" x="6491"/>
        <item m="1" x="4389"/>
        <item m="1" x="7662"/>
        <item m="1" x="3147"/>
        <item m="1" x="2441"/>
        <item m="1" x="5314"/>
        <item m="1" x="6244"/>
        <item m="1" x="3088"/>
        <item m="1" x="4384"/>
        <item m="1" x="2442"/>
        <item m="1" x="4996"/>
        <item m="1" x="2633"/>
        <item m="1" x="4151"/>
        <item m="1" x="6198"/>
        <item m="1" x="5183"/>
        <item m="1" x="6221"/>
        <item m="1" x="4491"/>
        <item m="1" x="3436"/>
        <item m="1" x="4079"/>
        <item m="1" x="5808"/>
        <item m="1" x="5850"/>
        <item m="1" x="7835"/>
        <item m="1" x="3878"/>
        <item m="1" x="3487"/>
        <item m="1" x="6743"/>
        <item m="1" x="6790"/>
        <item m="1" x="2343"/>
        <item m="1" x="7145"/>
        <item m="1" x="5648"/>
        <item m="1" x="2604"/>
        <item m="1" x="3453"/>
        <item x="1043"/>
        <item m="1" x="6024"/>
        <item m="1" x="5507"/>
        <item m="1" x="6569"/>
        <item m="1" x="3690"/>
        <item m="1" x="4911"/>
        <item m="1" x="6374"/>
        <item m="1" x="4535"/>
        <item m="1" x="6025"/>
        <item x="1044"/>
        <item m="1" x="2781"/>
        <item m="1" x="2305"/>
        <item x="1045"/>
        <item m="1" x="7805"/>
        <item m="1" x="4472"/>
        <item m="1" x="6305"/>
        <item m="1" x="6415"/>
        <item m="1" x="4143"/>
        <item m="1" x="7623"/>
        <item m="1" x="4701"/>
        <item m="1" x="5559"/>
        <item m="1" x="5225"/>
        <item x="1046"/>
        <item m="1" x="4346"/>
        <item m="1" x="7714"/>
        <item m="1" x="4508"/>
        <item m="1" x="4492"/>
        <item m="1" x="7744"/>
        <item m="1" x="3308"/>
        <item m="1" x="7500"/>
        <item m="1" x="6062"/>
        <item m="1" x="3769"/>
        <item m="1" x="4781"/>
        <item m="1" x="7171"/>
        <item m="1" x="3378"/>
        <item m="1" x="3651"/>
        <item m="1" x="6788"/>
        <item m="1" x="3005"/>
        <item m="1" x="4436"/>
        <item m="1" x="7298"/>
        <item x="1047"/>
        <item x="1048"/>
        <item m="1" x="2555"/>
        <item m="1" x="5670"/>
        <item m="1" x="4419"/>
        <item m="1" x="2405"/>
        <item m="1" x="5011"/>
        <item m="1" x="4644"/>
        <item m="1" x="5114"/>
        <item m="1" x="3439"/>
        <item m="1" x="7853"/>
        <item m="1" x="2644"/>
        <item m="1" x="3643"/>
        <item m="1" x="6397"/>
        <item m="1" x="6283"/>
        <item m="1" x="3794"/>
        <item m="1" x="3837"/>
        <item m="1" x="3479"/>
        <item m="1" x="5940"/>
        <item m="1" x="6568"/>
        <item m="1" x="7933"/>
        <item m="1" x="5160"/>
        <item m="1" x="2413"/>
        <item m="1" x="7195"/>
        <item x="1049"/>
        <item m="1" x="2697"/>
        <item m="1" x="3007"/>
        <item m="1" x="6182"/>
        <item m="1" x="3228"/>
        <item m="1" x="6594"/>
        <item m="1" x="6297"/>
        <item m="1" x="7326"/>
        <item m="1" x="4469"/>
        <item m="1" x="4136"/>
        <item m="1" x="2713"/>
        <item m="1" x="5037"/>
        <item m="1" x="2709"/>
        <item m="1" x="2499"/>
        <item m="1" x="6278"/>
        <item m="1" x="7092"/>
        <item m="1" x="4345"/>
        <item m="1" x="5253"/>
        <item m="1" x="4638"/>
        <item m="1" x="5388"/>
        <item m="1" x="5282"/>
        <item m="1" x="4095"/>
        <item m="1" x="6417"/>
        <item m="1" x="7514"/>
        <item m="1" x="4146"/>
        <item m="1" x="3469"/>
        <item m="1" x="2821"/>
        <item m="1" x="3735"/>
        <item m="1" x="4127"/>
        <item m="1" x="5736"/>
        <item m="1" x="2913"/>
        <item m="1" x="6645"/>
        <item m="1" x="3008"/>
        <item m="1" x="5228"/>
        <item m="1" x="4191"/>
        <item m="1" x="3109"/>
        <item m="1" x="7065"/>
        <item m="1" x="5357"/>
        <item m="1" x="7005"/>
        <item m="1" x="4403"/>
        <item m="1" x="4805"/>
        <item m="1" x="7432"/>
        <item m="1" x="7804"/>
        <item m="1" x="3169"/>
        <item m="1" x="4864"/>
        <item m="1" x="2803"/>
        <item x="1050"/>
        <item x="1051"/>
        <item m="1" x="3122"/>
        <item m="1" x="7723"/>
        <item m="1" x="5468"/>
        <item m="1" x="2498"/>
        <item m="1" x="5529"/>
        <item m="1" x="5913"/>
        <item x="1052"/>
        <item m="1" x="6307"/>
        <item m="1" x="7414"/>
        <item m="1" x="2371"/>
        <item m="1" x="6516"/>
        <item m="1" x="5587"/>
        <item m="1" x="6110"/>
        <item m="1" x="4797"/>
        <item m="1" x="2618"/>
        <item m="1" x="2338"/>
        <item m="1" x="4308"/>
        <item m="1" x="5438"/>
        <item m="1" x="7419"/>
        <item m="1" x="7379"/>
        <item m="1" x="4304"/>
        <item m="1" x="6669"/>
        <item m="1" x="7584"/>
        <item m="1" x="4358"/>
        <item m="1" x="3780"/>
        <item m="1" x="2947"/>
        <item m="1" x="7690"/>
        <item m="1" x="7972"/>
        <item m="1" x="6874"/>
        <item x="1053"/>
        <item m="1" x="2857"/>
        <item m="1" x="6282"/>
        <item m="1" x="5844"/>
        <item m="1" x="2851"/>
        <item x="1054"/>
        <item x="1055"/>
        <item x="1056"/>
        <item m="1" x="6571"/>
        <item m="1" x="7338"/>
        <item m="1" x="4885"/>
        <item m="1" x="3557"/>
        <item m="1" x="6349"/>
        <item m="1" x="6081"/>
        <item m="1" x="4420"/>
        <item x="1057"/>
        <item x="1058"/>
        <item m="1" x="6972"/>
        <item m="1" x="4234"/>
        <item m="1" x="3664"/>
        <item x="1059"/>
        <item m="1" x="7668"/>
        <item m="1" x="7557"/>
        <item m="1" x="3770"/>
        <item m="1" x="7800"/>
        <item m="1" x="6206"/>
        <item m="1" x="4153"/>
        <item m="1" x="3863"/>
        <item m="1" x="5874"/>
        <item m="1" x="3511"/>
        <item m="1" x="7523"/>
        <item m="1" x="4441"/>
        <item x="1060"/>
        <item m="1" x="7388"/>
        <item m="1" x="4058"/>
        <item m="1" x="6376"/>
        <item m="1" x="3306"/>
        <item m="1" x="6031"/>
        <item m="1" x="6286"/>
        <item m="1" x="7769"/>
        <item x="1061"/>
        <item x="1062"/>
        <item m="1" x="6010"/>
        <item m="1" x="6013"/>
        <item m="1" x="3879"/>
        <item m="1" x="5579"/>
        <item x="1063"/>
        <item m="1" x="4474"/>
        <item m="1" x="2609"/>
        <item m="1" x="2212"/>
        <item m="1" x="7627"/>
        <item m="1" x="5358"/>
        <item m="1" x="5473"/>
        <item m="1" x="4575"/>
        <item m="1" x="5058"/>
        <item m="1" x="7507"/>
        <item x="1064"/>
        <item m="1" x="6030"/>
        <item x="1065"/>
        <item x="1066"/>
        <item m="1" x="4901"/>
        <item m="1" x="6323"/>
        <item m="1" x="5200"/>
        <item m="1" x="6763"/>
        <item m="1" x="5821"/>
        <item m="1" x="3235"/>
        <item m="1" x="4423"/>
        <item m="1" x="3341"/>
        <item m="1" x="5015"/>
        <item m="1" x="4350"/>
        <item m="1" x="4640"/>
        <item m="1" x="6684"/>
        <item m="1" x="3010"/>
        <item m="1" x="6143"/>
        <item m="1" x="5361"/>
        <item m="1" x="5522"/>
        <item x="1067"/>
        <item m="1" x="7051"/>
        <item m="1" x="2949"/>
        <item m="1" x="2648"/>
        <item m="1" x="6399"/>
        <item m="1" x="3232"/>
        <item m="1" x="6457"/>
        <item m="1" x="6255"/>
        <item m="1" x="7843"/>
        <item m="1" x="5231"/>
        <item m="1" x="5360"/>
        <item m="1" x="3056"/>
        <item m="1" x="4790"/>
        <item m="1" x="4532"/>
        <item m="1" x="7069"/>
        <item m="1" x="4405"/>
        <item m="1" x="5442"/>
        <item x="1068"/>
        <item m="1" x="4273"/>
        <item m="1" x="2583"/>
        <item m="1" x="5761"/>
        <item m="1" x="3647"/>
        <item x="1069"/>
        <item m="1" x="5376"/>
        <item m="1" x="2504"/>
        <item m="1" x="7684"/>
        <item m="1" x="3455"/>
        <item m="1" x="6929"/>
        <item m="1" x="5684"/>
        <item x="1070"/>
        <item m="1" x="6251"/>
        <item m="1" x="7210"/>
        <item m="1" x="3079"/>
        <item m="1" x="6082"/>
        <item m="1" x="5254"/>
        <item m="1" x="7490"/>
        <item m="1" x="7182"/>
        <item m="1" x="6364"/>
        <item m="1" x="6878"/>
        <item m="1" x="6347"/>
        <item m="1" x="7914"/>
        <item m="1" x="2296"/>
        <item x="1071"/>
        <item m="1" x="4444"/>
        <item m="1" x="6393"/>
        <item m="1" x="6075"/>
        <item m="1" x="7028"/>
        <item m="1" x="3190"/>
        <item x="1072"/>
        <item m="1" x="6285"/>
        <item m="1" x="3053"/>
        <item m="1" x="7140"/>
        <item m="1" x="4014"/>
        <item m="1" x="2852"/>
        <item m="1" x="2955"/>
        <item m="1" x="5650"/>
        <item m="1" x="3302"/>
        <item m="1" x="7276"/>
        <item m="1" x="6290"/>
        <item m="1" x="5516"/>
        <item m="1" x="2751"/>
        <item m="1" x="3389"/>
        <item m="1" x="2783"/>
        <item m="1" x="5193"/>
        <item m="1" x="4754"/>
        <item m="1" x="4502"/>
        <item m="1" x="4263"/>
        <item m="1" x="4362"/>
        <item m="1" x="5625"/>
        <item m="1" x="7781"/>
        <item m="1" x="4888"/>
        <item m="1" x="3560"/>
        <item m="1" x="6320"/>
        <item m="1" x="4021"/>
        <item m="1" x="7508"/>
        <item m="1" x="6254"/>
        <item m="1" x="2344"/>
        <item m="1" x="7284"/>
        <item m="1" x="7261"/>
        <item m="1" x="4392"/>
        <item m="1" x="6273"/>
        <item m="1" x="6322"/>
        <item m="1" x="4235"/>
        <item m="1" x="6208"/>
        <item m="1" x="4692"/>
        <item m="1" x="7729"/>
        <item m="1" x="4426"/>
        <item m="1" x="7530"/>
        <item m="1" x="2858"/>
        <item m="1" x="7119"/>
        <item m="1" x="5903"/>
        <item m="1" x="6201"/>
        <item x="1073"/>
        <item m="1" x="7024"/>
        <item m="1" x="4452"/>
        <item m="1" x="3756"/>
        <item x="1074"/>
        <item x="1075"/>
        <item m="1" x="7873"/>
        <item m="1" x="6840"/>
        <item m="1" x="3173"/>
        <item m="1" x="6453"/>
        <item m="1" x="4956"/>
        <item m="1" x="4061"/>
        <item m="1" x="7996"/>
        <item m="1" x="3849"/>
        <item m="1" x="7663"/>
        <item m="1" x="6245"/>
        <item m="1" x="4953"/>
        <item m="1" x="5204"/>
        <item m="1" x="2469"/>
        <item m="1" x="6977"/>
        <item x="1076"/>
        <item m="1" x="6443"/>
        <item m="1" x="5244"/>
        <item m="1" x="6414"/>
        <item m="1" x="7766"/>
        <item m="1" x="2298"/>
        <item m="1" x="4688"/>
        <item m="1" x="3897"/>
        <item m="1" x="3358"/>
        <item m="1" x="6420"/>
        <item m="1" x="5325"/>
        <item m="1" x="3288"/>
        <item m="1" x="5019"/>
        <item m="1" x="2591"/>
        <item x="1077"/>
        <item m="1" x="5478"/>
        <item x="1078"/>
        <item m="1" x="6035"/>
        <item x="1079"/>
        <item x="1080"/>
        <item x="1081"/>
        <item m="1" x="3553"/>
        <item m="1" x="3222"/>
        <item m="1" x="3841"/>
        <item m="1" x="2394"/>
        <item m="1" x="5362"/>
        <item m="1" x="4749"/>
        <item x="1082"/>
        <item x="1083"/>
        <item x="1084"/>
        <item x="1085"/>
        <item m="1" x="4354"/>
        <item m="1" x="6146"/>
        <item m="1" x="6191"/>
        <item x="1086"/>
        <item m="1" x="4447"/>
        <item x="1087"/>
        <item m="1" x="4064"/>
        <item x="1088"/>
        <item m="1" x="7098"/>
        <item m="1" x="7844"/>
        <item m="1" x="6343"/>
        <item m="1" x="7009"/>
        <item m="1" x="4408"/>
        <item x="1089"/>
        <item x="1090"/>
        <item x="1091"/>
        <item m="1" x="3057"/>
        <item m="1" x="4757"/>
        <item m="1" x="6324"/>
        <item m="1" x="2860"/>
        <item m="1" x="6175"/>
        <item m="1" x="4891"/>
        <item m="1" x="3562"/>
        <item m="1" x="4023"/>
        <item m="1" x="4429"/>
        <item x="1092"/>
        <item x="1093"/>
        <item m="1" x="7383"/>
        <item m="1" x="6980"/>
        <item m="1" x="7536"/>
        <item x="1094"/>
        <item m="1" x="7400"/>
        <item x="1095"/>
        <item m="1" x="5682"/>
        <item x="1096"/>
        <item x="1097"/>
        <item x="1098"/>
        <item m="1" x="4357"/>
        <item m="1" x="6756"/>
        <item x="1099"/>
        <item m="1" x="3603"/>
        <item m="1" x="2666"/>
        <item m="1" x="4578"/>
        <item m="1" x="5527"/>
        <item x="1100"/>
        <item m="1" x="5235"/>
        <item x="1101"/>
        <item m="1" x="3348"/>
        <item m="1" x="7141"/>
        <item m="1" x="4065"/>
        <item m="1" x="4549"/>
        <item m="1" x="2345"/>
        <item m="1" x="7083"/>
        <item m="1" x="4409"/>
        <item x="1102"/>
        <item m="1" x="6776"/>
        <item m="1" x="7286"/>
        <item x="1103"/>
        <item m="1" x="2509"/>
        <item m="1" x="6346"/>
        <item m="1" x="7691"/>
        <item m="1" x="6016"/>
        <item x="1104"/>
        <item m="1" x="7474"/>
        <item m="1" x="6698"/>
        <item m="1" x="6881"/>
        <item x="1105"/>
        <item m="1" x="3061"/>
        <item m="1" x="6189"/>
        <item m="1" x="4760"/>
        <item m="1" x="6325"/>
        <item m="1" x="2941"/>
        <item m="1" x="2863"/>
        <item m="1" x="4306"/>
        <item x="1106"/>
        <item m="1" x="5146"/>
        <item m="1" x="7403"/>
        <item m="1" x="3758"/>
        <item m="1" x="4025"/>
        <item m="1" x="4600"/>
        <item m="1" x="4435"/>
        <item m="1" x="7540"/>
        <item m="1" x="5685"/>
        <item x="1107"/>
        <item x="1108"/>
        <item m="1" x="6983"/>
        <item x="1109"/>
        <item x="1110"/>
        <item m="1" x="5346"/>
        <item m="1" x="5530"/>
        <item x="1111"/>
        <item m="1" x="3351"/>
        <item m="1" x="3375"/>
        <item x="1112"/>
        <item m="1" x="7519"/>
        <item m="1" x="3659"/>
        <item x="1113"/>
        <item m="1" x="2672"/>
        <item m="1" x="6879"/>
        <item m="1" x="3000"/>
        <item m="1" x="5550"/>
        <item x="1114"/>
        <item m="1" x="4360"/>
        <item x="1115"/>
        <item m="1" x="4067"/>
        <item m="1" x="2351"/>
        <item m="1" x="7089"/>
        <item m="1" x="4410"/>
        <item x="1116"/>
        <item x="1117"/>
        <item m="1" x="7287"/>
        <item m="1" x="6703"/>
        <item m="1" x="2328"/>
        <item m="1" x="3064"/>
        <item m="1" x="4612"/>
        <item m="1" x="4316"/>
        <item m="1" x="5218"/>
        <item x="1118"/>
        <item m="1" x="7109"/>
        <item m="1" x="3101"/>
        <item m="1" x="7494"/>
        <item m="1" x="5391"/>
        <item m="1" x="4253"/>
        <item m="1" x="5488"/>
        <item m="1" x="7189"/>
        <item m="1" x="2511"/>
        <item m="1" x="6327"/>
        <item m="1" x="2945"/>
        <item m="1" x="3531"/>
        <item m="1" x="6351"/>
        <item m="1" x="6883"/>
        <item x="1119"/>
        <item m="1" x="4677"/>
        <item m="1" x="2864"/>
        <item m="1" x="5526"/>
        <item m="1" x="5785"/>
        <item x="1120"/>
        <item x="1121"/>
        <item x="1122"/>
        <item m="1" x="5856"/>
        <item x="1123"/>
        <item m="1" x="3781"/>
        <item m="1" x="7340"/>
        <item m="1" x="3868"/>
        <item m="1" x="6294"/>
        <item m="1" x="5299"/>
        <item m="1" x="5140"/>
        <item m="1" x="6827"/>
        <item m="1" x="4027"/>
        <item m="1" x="4440"/>
        <item m="1" x="7060"/>
        <item m="1" x="7385"/>
        <item m="1" x="5659"/>
        <item m="1" x="5221"/>
        <item m="1" x="6985"/>
        <item m="1" x="2302"/>
        <item m="1" x="6055"/>
        <item m="1" x="5460"/>
        <item m="1" x="6868"/>
        <item m="1" x="4503"/>
        <item m="1" x="3759"/>
        <item m="1" x="5633"/>
        <item m="1" x="5593"/>
        <item m="1" x="4604"/>
        <item m="1" x="7544"/>
        <item m="1" x="2684"/>
        <item m="1" x="3911"/>
        <item m="1" x="6344"/>
        <item x="1124"/>
        <item m="1" x="2327"/>
        <item m="1" x="7408"/>
        <item m="1" x="7824"/>
        <item m="1" x="7157"/>
        <item m="1" x="7438"/>
        <item m="1" x="2585"/>
        <item m="1" x="3457"/>
        <item m="1" x="7899"/>
        <item m="1" x="5335"/>
        <item x="1125"/>
        <item x="1126"/>
        <item m="1" x="7396"/>
        <item m="1" x="2601"/>
        <item m="1" x="2451"/>
        <item m="1" x="3069"/>
        <item m="1" x="3277"/>
        <item m="1" x="5532"/>
        <item m="1" x="5237"/>
        <item x="1127"/>
        <item m="1" x="6967"/>
        <item m="1" x="6505"/>
        <item m="1" x="6653"/>
        <item m="1" x="3355"/>
        <item m="1" x="3134"/>
        <item m="1" x="5304"/>
        <item m="1" x="5313"/>
        <item m="1" x="5978"/>
        <item x="1128"/>
        <item m="1" x="6664"/>
        <item m="1" x="5449"/>
        <item m="1" x="4072"/>
        <item m="1" x="3043"/>
        <item m="1" x="5029"/>
        <item m="1" x="4654"/>
        <item m="1" x="2207"/>
        <item m="1" x="4260"/>
        <item m="1" x="2254"/>
        <item m="1" x="4609"/>
        <item m="1" x="4912"/>
        <item m="1" x="3410"/>
        <item m="1" x="7981"/>
        <item m="1" x="4537"/>
        <item m="1" x="3386"/>
        <item m="1" x="7420"/>
        <item m="1" x="4830"/>
        <item m="1" x="4361"/>
        <item m="1" x="2638"/>
        <item m="1" x="3700"/>
        <item m="1" x="2726"/>
        <item m="1" x="2353"/>
        <item m="1" x="4028"/>
        <item m="1" x="5549"/>
        <item m="1" x="3666"/>
        <item m="1" x="5565"/>
        <item m="1" x="6708"/>
        <item m="1" x="7943"/>
        <item m="1" x="4893"/>
        <item m="1" x="2825"/>
        <item m="1" x="3745"/>
        <item m="1" x="5464"/>
        <item m="1" x="7851"/>
        <item m="1" x="5919"/>
        <item x="1129"/>
        <item m="1" x="4009"/>
        <item m="1" x="7095"/>
        <item m="1" x="2675"/>
        <item m="1" x="3001"/>
        <item m="1" x="3237"/>
        <item m="1" x="7299"/>
        <item x="1130"/>
        <item m="1" x="4591"/>
        <item m="1" x="4728"/>
        <item m="1" x="2517"/>
        <item m="1" x="3338"/>
        <item m="1" x="4866"/>
        <item m="1" x="4993"/>
        <item m="1" x="4991"/>
        <item m="1" x="7226"/>
        <item m="1" x="6584"/>
        <item m="1" x="2535"/>
        <item m="1" x="5935"/>
        <item m="1" x="4818"/>
        <item m="1" x="6738"/>
        <item m="1" x="7472"/>
        <item m="1" x="5497"/>
        <item m="1" x="7641"/>
        <item m="1" x="5555"/>
        <item m="1" x="4710"/>
        <item m="1" x="6939"/>
        <item m="1" x="2237"/>
        <item x="1131"/>
        <item m="1" x="7965"/>
        <item m="1" x="4618"/>
        <item m="1" x="4318"/>
        <item m="1" x="4937"/>
        <item m="1" x="4286"/>
        <item x="1132"/>
        <item m="1" x="2809"/>
        <item m="1" x="7652"/>
        <item m="1" x="5396"/>
        <item m="1" x="5456"/>
        <item m="1" x="3537"/>
        <item m="1" x="7698"/>
        <item m="1" x="3037"/>
        <item m="1" x="5789"/>
        <item m="1" x="5141"/>
        <item m="1" x="6400"/>
        <item m="1" x="5546"/>
        <item x="1133"/>
        <item m="1" x="7479"/>
        <item m="1" x="6747"/>
        <item m="1" x="6705"/>
        <item m="1" x="2542"/>
        <item m="1" x="2723"/>
        <item m="1" x="6655"/>
        <item m="1" x="7373"/>
        <item m="1" x="6923"/>
        <item m="1" x="2443"/>
        <item m="1" x="3640"/>
        <item m="1" x="3862"/>
        <item m="1" x="6667"/>
        <item m="1" x="2922"/>
        <item m="1" x="3783"/>
        <item m="1" x="3733"/>
        <item m="1" x="7114"/>
        <item m="1" x="7499"/>
        <item m="1" x="5493"/>
        <item m="1" x="6884"/>
        <item m="1" x="7191"/>
        <item m="1" x="4493"/>
        <item m="1" x="6885"/>
        <item m="1" x="4167"/>
        <item m="1" x="5451"/>
        <item m="1" x="7687"/>
        <item x="1134"/>
        <item x="1135"/>
        <item m="1" x="7045"/>
        <item m="1" x="5466"/>
        <item x="1136"/>
        <item m="1" x="7368"/>
        <item m="1" x="3068"/>
        <item m="1" x="7068"/>
        <item m="1" x="6192"/>
        <item m="1" x="2271"/>
        <item m="1" x="4254"/>
        <item m="1" x="6329"/>
        <item m="1" x="2948"/>
        <item m="1" x="5239"/>
        <item m="1" x="4680"/>
        <item m="1" x="4421"/>
        <item m="1" x="2865"/>
        <item m="1" x="5147"/>
        <item m="1" x="7058"/>
        <item m="1" x="3495"/>
        <item m="1" x="2730"/>
        <item m="1" x="3574"/>
        <item m="1" x="4239"/>
        <item m="1" x="4282"/>
        <item m="1" x="7655"/>
        <item m="1" x="2416"/>
        <item x="1137"/>
        <item m="1" x="3105"/>
        <item m="1" x="2733"/>
        <item m="1" x="5143"/>
        <item m="1" x="6831"/>
        <item m="1" x="7609"/>
        <item m="1" x="3403"/>
        <item m="1" x="6159"/>
        <item m="1" x="4030"/>
        <item m="1" x="7841"/>
        <item m="1" x="5790"/>
        <item m="1" x="6855"/>
        <item m="1" x="2581"/>
        <item m="1" x="3024"/>
        <item m="1" x="2716"/>
        <item m="1" x="7306"/>
        <item m="1" x="6912"/>
        <item m="1" x="6989"/>
        <item m="1" x="3898"/>
        <item m="1" x="4812"/>
        <item m="1" x="7451"/>
        <item m="1" x="4868"/>
        <item m="1" x="5520"/>
        <item m="1" x="5190"/>
        <item m="1" x="5149"/>
        <item m="1" x="4980"/>
        <item m="1" x="6311"/>
        <item m="1" x="7395"/>
        <item m="1" x="2291"/>
        <item m="1" x="6793"/>
        <item m="1" x="7296"/>
        <item m="1" x="2972"/>
        <item m="1" x="2209"/>
        <item m="1" x="3642"/>
        <item x="1138"/>
        <item x="1139"/>
        <item m="1" x="7416"/>
        <item m="1" x="7614"/>
        <item m="1" x="7412"/>
        <item x="1140"/>
        <item x="1141"/>
        <item x="1142"/>
        <item m="1" x="2799"/>
        <item m="1" x="3619"/>
        <item m="1" x="5637"/>
        <item m="1" x="2606"/>
        <item m="1" x="7161"/>
        <item m="1" x="4831"/>
        <item m="1" x="6088"/>
        <item m="1" x="2837"/>
        <item m="1" x="7794"/>
        <item m="1" x="2455"/>
        <item m="1" x="3073"/>
        <item m="1" x="7029"/>
        <item m="1" x="7493"/>
        <item m="1" x="4290"/>
        <item m="1" x="2674"/>
        <item m="1" x="6345"/>
        <item m="1" x="2275"/>
        <item m="1" x="7262"/>
        <item m="1" x="3672"/>
        <item m="1" x="3388"/>
        <item m="1" x="5421"/>
        <item m="1" x="6384"/>
        <item m="1" x="3838"/>
        <item m="1" x="2973"/>
        <item m="1" x="3280"/>
        <item m="1" x="6919"/>
        <item m="1" x="5712"/>
        <item m="1" x="6685"/>
        <item m="1" x="2554"/>
        <item m="1" x="6179"/>
        <item m="1" x="2589"/>
        <item m="1" x="4608"/>
        <item m="1" x="7852"/>
        <item m="1" x="3006"/>
        <item m="1" x="7546"/>
        <item m="1" x="5533"/>
        <item m="1" x="7137"/>
        <item m="1" x="6260"/>
        <item m="1" x="4042"/>
        <item m="1" x="5186"/>
        <item m="1" x="3966"/>
        <item m="1" x="4171"/>
        <item x="1143"/>
        <item m="1" x="3482"/>
        <item m="1" x="5963"/>
        <item m="1" x="5327"/>
        <item m="1" x="3516"/>
        <item m="1" x="3599"/>
        <item m="1" x="3343"/>
        <item m="1" x="2225"/>
        <item m="1" x="2593"/>
        <item m="1" x="7696"/>
        <item m="1" x="6712"/>
        <item m="1" x="6973"/>
        <item m="1" x="2450"/>
        <item m="1" x="5733"/>
        <item m="1" x="5815"/>
        <item m="1" x="4918"/>
        <item m="1" x="4477"/>
        <item m="1" x="3135"/>
        <item m="1" x="5302"/>
        <item m="1" x="3587"/>
        <item m="1" x="7422"/>
        <item m="1" x="6228"/>
        <item m="1" x="5567"/>
        <item m="1" x="7643"/>
        <item m="1" x="7467"/>
        <item m="1" x="6429"/>
        <item m="1" x="2680"/>
        <item m="1" x="3004"/>
        <item m="1" x="7638"/>
        <item m="1" x="4674"/>
        <item m="1" x="5749"/>
        <item m="1" x="5348"/>
        <item m="1" x="6942"/>
        <item x="1144"/>
        <item m="1" x="7973"/>
        <item m="1" x="5984"/>
        <item m="1" x="4664"/>
        <item m="1" x="4835"/>
        <item m="1" x="6595"/>
        <item m="1" x="3693"/>
        <item m="1" x="4367"/>
        <item m="1" x="5185"/>
        <item m="1" x="6711"/>
        <item m="1" x="4088"/>
        <item m="1" x="5777"/>
        <item x="1145"/>
        <item m="1" x="6670"/>
        <item m="1" x="5085"/>
        <item m="1" x="4594"/>
        <item m="1" x="7648"/>
        <item m="1" x="6348"/>
        <item m="1" x="7052"/>
        <item m="1" x="2629"/>
        <item m="1" x="7203"/>
        <item m="1" x="2357"/>
        <item m="1" x="2869"/>
        <item m="1" x="4670"/>
        <item m="1" x="4284"/>
        <item m="1" x="2224"/>
        <item m="1" x="5372"/>
        <item m="1" x="7099"/>
        <item m="1" x="5381"/>
        <item m="1" x="3782"/>
        <item m="1" x="2884"/>
        <item x="1146"/>
        <item m="1" x="4730"/>
        <item x="1147"/>
        <item m="1" x="2950"/>
        <item x="1148"/>
        <item m="1" x="5402"/>
        <item m="1" x="3542"/>
        <item m="1" x="5337"/>
        <item m="1" x="2377"/>
        <item m="1" x="7008"/>
        <item m="1" x="2856"/>
        <item m="1" x="4948"/>
        <item m="1" x="3406"/>
        <item m="1" x="2346"/>
        <item m="1" x="3040"/>
        <item m="1" x="6003"/>
        <item m="1" x="6313"/>
        <item m="1" x="4736"/>
        <item m="1" x="5793"/>
        <item m="1" x="5038"/>
        <item m="1" x="6401"/>
        <item m="1" x="4465"/>
        <item m="1" x="6709"/>
        <item m="1" x="2649"/>
        <item m="1" x="2301"/>
        <item m="1" x="2471"/>
        <item m="1" x="3873"/>
        <item m="1" x="6447"/>
        <item m="1" x="5924"/>
        <item m="1" x="5509"/>
        <item m="1" x="6126"/>
        <item m="1" x="3107"/>
        <item m="1" x="2810"/>
        <item m="1" x="2914"/>
        <item m="1" x="4116"/>
        <item m="1" x="7424"/>
        <item m="1" x="2518"/>
        <item m="1" x="3245"/>
        <item m="1" x="3577"/>
        <item m="1" x="2635"/>
        <item m="1" x="7053"/>
        <item m="1" x="3071"/>
        <item m="1" x="4192"/>
        <item m="1" x="7072"/>
        <item m="1" x="7660"/>
        <item x="1149"/>
        <item m="1" x="6945"/>
        <item m="1" x="3679"/>
        <item m="1" x="3401"/>
        <item m="1" x="5498"/>
        <item m="1" x="5145"/>
        <item m="1" x="6886"/>
        <item m="1" x="6833"/>
        <item m="1" x="7611"/>
        <item m="1" x="4939"/>
        <item m="1" x="6332"/>
        <item m="1" x="2953"/>
        <item m="1" x="6166"/>
        <item m="1" x="3962"/>
        <item m="1" x="4496"/>
        <item m="1" x="6887"/>
        <item m="1" x="4032"/>
        <item m="1" x="5791"/>
        <item m="1" x="4170"/>
        <item m="1" x="5242"/>
        <item m="1" x="5452"/>
        <item m="1" x="5868"/>
        <item m="1" x="7215"/>
        <item m="1" x="5148"/>
        <item m="1" x="2599"/>
        <item m="1" x="6860"/>
        <item m="1" x="2586"/>
        <item m="1" x="4682"/>
        <item m="1" x="2256"/>
        <item m="1" x="5927"/>
        <item m="1" x="2868"/>
        <item m="1" x="7063"/>
        <item m="1" x="5928"/>
        <item x="1150"/>
        <item m="1" x="3136"/>
        <item m="1" x="7309"/>
        <item m="1" x="4243"/>
        <item x="1151"/>
        <item x="1152"/>
        <item m="1" x="3234"/>
        <item m="1" x="5663"/>
        <item m="1" x="6438"/>
        <item m="1" x="4156"/>
        <item m="1" x="5462"/>
        <item m="1" x="4819"/>
        <item m="1" x="7343"/>
        <item m="1" x="3313"/>
        <item m="1" x="3771"/>
        <item m="1" x="3204"/>
        <item m="1" x="4615"/>
        <item m="1" x="7796"/>
        <item m="1" x="3719"/>
        <item m="1" x="4294"/>
        <item m="1" x="6921"/>
        <item m="1" x="5595"/>
        <item m="1" x="4611"/>
        <item m="1" x="7551"/>
        <item m="1" x="5968"/>
        <item m="1" x="4004"/>
        <item x="1153"/>
        <item m="1" x="6995"/>
        <item x="1154"/>
        <item m="1" x="7826"/>
        <item m="1" x="7162"/>
        <item m="1" x="2840"/>
        <item m="1" x="3808"/>
        <item m="1" x="7442"/>
        <item m="1" x="7856"/>
        <item m="1" x="6431"/>
        <item m="1" x="2227"/>
        <item x="1155"/>
        <item m="1" x="6796"/>
        <item m="1" x="3568"/>
        <item m="1" x="2612"/>
        <item m="1" x="4836"/>
        <item m="1" x="2459"/>
        <item m="1" x="3074"/>
        <item m="1" x="3842"/>
        <item m="1" x="5537"/>
        <item x="1156"/>
        <item m="1" x="5553"/>
        <item m="1" x="6978"/>
        <item m="1" x="3867"/>
        <item m="1" x="7425"/>
        <item m="1" x="3191"/>
        <item m="1" x="2757"/>
        <item m="1" x="7651"/>
        <item m="1" x="2682"/>
        <item m="1" x="7948"/>
        <item m="1" x="4256"/>
        <item m="1" x="6924"/>
        <item m="1" x="2229"/>
        <item m="1" x="2653"/>
        <item m="1" x="6944"/>
        <item m="1" x="5316"/>
        <item m="1" x="6753"/>
        <item m="1" x="2677"/>
        <item m="1" x="6847"/>
        <item m="1" x="3698"/>
        <item m="1" x="4924"/>
        <item m="1" x="4789"/>
        <item m="1" x="6432"/>
        <item x="1157"/>
        <item m="1" x="3620"/>
        <item m="1" x="5089"/>
        <item m="1" x="4997"/>
        <item m="1" x="4212"/>
        <item m="1" x="7301"/>
        <item m="1" x="5453"/>
        <item m="1" x="4288"/>
        <item m="1" x="2888"/>
        <item m="1" x="7509"/>
        <item m="1" x="5985"/>
        <item m="1" x="7966"/>
        <item m="1" x="4289"/>
        <item x="1158"/>
        <item m="1" x="4539"/>
        <item m="1" x="3045"/>
        <item m="1" x="4840"/>
        <item m="1" x="3546"/>
        <item m="1" x="2382"/>
        <item m="1" x="2732"/>
        <item m="1" x="7064"/>
        <item m="1" x="2363"/>
        <item m="1" x="5187"/>
        <item m="1" x="2673"/>
        <item m="1" x="2859"/>
        <item m="1" x="4091"/>
        <item m="1" x="7125"/>
        <item m="1" x="6725"/>
        <item m="1" x="5646"/>
        <item m="1" x="7116"/>
        <item m="1" x="4928"/>
        <item m="1" x="3044"/>
        <item m="1" x="6005"/>
        <item x="1159"/>
        <item m="1" x="7974"/>
        <item m="1" x="3322"/>
        <item m="1" x="7321"/>
        <item m="1" x="5796"/>
        <item m="1" x="6403"/>
        <item x="1160"/>
        <item m="1" x="6713"/>
        <item m="1" x="2544"/>
        <item m="1" x="7118"/>
        <item m="1" x="5494"/>
        <item m="1" x="3176"/>
        <item m="1" x="4734"/>
        <item m="1" x="4128"/>
        <item m="1" x="7235"/>
        <item m="1" x="6589"/>
        <item m="1" x="2447"/>
        <item m="1" x="5328"/>
        <item m="1" x="5776"/>
        <item m="1" x="3870"/>
        <item m="1" x="2303"/>
        <item m="1" x="6354"/>
        <item m="1" x="4478"/>
        <item m="1" x="4237"/>
        <item m="1" x="6895"/>
        <item m="1" x="4056"/>
        <item m="1" x="3736"/>
        <item m="1" x="7238"/>
        <item m="1" x="7603"/>
        <item m="1" x="5222"/>
        <item m="1" x="7188"/>
        <item m="1" x="6737"/>
        <item m="1" x="6106"/>
        <item m="1" x="7435"/>
        <item m="1" x="6129"/>
        <item m="1" x="7128"/>
        <item m="1" x="5616"/>
        <item m="1" x="3899"/>
        <item m="1" x="3967"/>
        <item m="1" x="4498"/>
        <item m="1" x="4177"/>
        <item m="1" x="5454"/>
        <item m="1" x="5369"/>
        <item m="1" x="4505"/>
        <item m="1" x="3390"/>
        <item m="1" x="7827"/>
        <item m="1" x="3110"/>
        <item m="1" x="2911"/>
        <item m="1" x="3875"/>
        <item m="1" x="7512"/>
        <item m="1" x="6585"/>
        <item m="1" x="7531"/>
        <item m="1" x="6745"/>
        <item m="1" x="2813"/>
        <item m="1" x="2917"/>
        <item m="1" x="4204"/>
        <item x="1161"/>
        <item m="1" x="3396"/>
        <item x="1162"/>
        <item m="1" x="4122"/>
        <item m="1" x="3958"/>
        <item m="1" x="5064"/>
        <item m="1" x="2595"/>
        <item m="1" x="5679"/>
        <item m="1" x="7347"/>
        <item m="1" x="3316"/>
        <item m="1" x="3590"/>
        <item m="1" x="3790"/>
        <item m="1" x="7855"/>
        <item m="1" x="7079"/>
        <item m="1" x="6195"/>
        <item m="1" x="2977"/>
        <item m="1" x="7481"/>
        <item m="1" x="4720"/>
        <item m="1" x="6816"/>
        <item m="1" x="2989"/>
        <item m="1" x="3102"/>
        <item m="1" x="5447"/>
        <item m="1" x="6996"/>
        <item m="1" x="3526"/>
        <item m="1" x="5895"/>
        <item m="1" x="4129"/>
        <item m="1" x="5941"/>
        <item m="1" x="4671"/>
        <item m="1" x="7013"/>
        <item m="1" x="7336"/>
        <item m="1" x="4071"/>
        <item m="1" x="6846"/>
        <item m="1" x="7845"/>
        <item m="1" x="6334"/>
        <item m="1" x="2959"/>
        <item m="1" x="6789"/>
        <item m="1" x="5599"/>
        <item m="1" x="5224"/>
        <item m="1" x="4002"/>
        <item m="1" x="7406"/>
        <item m="1" x="5969"/>
        <item m="1" x="6316"/>
        <item m="1" x="2974"/>
        <item m="1" x="4650"/>
        <item m="1" x="5870"/>
        <item m="1" x="7446"/>
        <item m="1" x="3778"/>
        <item m="1" x="2760"/>
        <item m="1" x="4683"/>
        <item m="1" x="2871"/>
        <item m="1" x="7067"/>
        <item m="1" x="7695"/>
        <item m="1" x="6461"/>
        <item m="1" x="3363"/>
        <item m="1" x="6150"/>
        <item m="1" x="3254"/>
        <item x="1163"/>
        <item m="1" x="3497"/>
        <item m="1" x="3581"/>
        <item m="1" x="3908"/>
        <item m="1" x="6508"/>
        <item m="1" x="4209"/>
        <item m="1" x="3688"/>
        <item m="1" x="4293"/>
        <item m="1" x="4248"/>
        <item m="1" x="4968"/>
        <item m="1" x="4563"/>
        <item m="1" x="2426"/>
        <item m="1" x="5207"/>
        <item m="1" x="5093"/>
        <item m="1" x="4582"/>
        <item m="1" x="4745"/>
        <item m="1" x="6306"/>
        <item m="1" x="3935"/>
        <item m="1" x="4325"/>
        <item m="1" x="3696"/>
        <item m="1" x="3095"/>
        <item m="1" x="3054"/>
        <item m="1" x="4648"/>
        <item m="1" x="6882"/>
        <item m="1" x="4112"/>
        <item m="1" x="7633"/>
        <item m="1" x="7693"/>
        <item m="1" x="5730"/>
        <item m="1" x="2506"/>
        <item m="1" x="6289"/>
        <item m="1" x="5699"/>
        <item m="1" x="4561"/>
        <item m="1" x="2246"/>
        <item m="1" x="7334"/>
        <item m="1" x="2570"/>
        <item m="1" x="5621"/>
        <item m="1" x="3150"/>
        <item m="1" x="5131"/>
        <item m="1" x="6780"/>
        <item m="1" x="3615"/>
        <item m="1" x="2282"/>
        <item m="1" x="6017"/>
        <item m="1" x="3320"/>
        <item x="1164"/>
        <item m="1" x="2545"/>
        <item m="1" x="4756"/>
        <item m="1" x="6170"/>
        <item m="1" x="4034"/>
        <item m="1" x="5794"/>
        <item m="1" x="6288"/>
        <item m="1" x="4222"/>
        <item m="1" x="4509"/>
        <item m="1" x="4709"/>
        <item m="1" x="7877"/>
        <item m="1" x="2235"/>
        <item m="1" x="4297"/>
        <item m="1" x="4614"/>
        <item x="1165"/>
        <item x="1166"/>
        <item m="1" x="3909"/>
        <item m="1" x="4207"/>
        <item m="1" x="2462"/>
        <item m="1" x="7657"/>
        <item m="1" x="3811"/>
        <item m="1" x="7857"/>
        <item m="1" x="7806"/>
        <item m="1" x="2458"/>
        <item m="1" x="5450"/>
        <item m="1" x="3422"/>
        <item m="1" x="4845"/>
        <item m="1" x="6597"/>
        <item m="1" x="3701"/>
        <item m="1" x="5189"/>
        <item m="1" x="7127"/>
        <item m="1" x="5780"/>
        <item x="1167"/>
        <item m="1" x="5786"/>
        <item m="1" x="5959"/>
        <item m="1" x="4715"/>
        <item m="1" x="7061"/>
        <item m="1" x="3680"/>
        <item m="1" x="5945"/>
        <item m="1" x="2370"/>
        <item m="1" x="3851"/>
        <item m="1" x="3137"/>
        <item m="1" x="7765"/>
        <item m="1" x="5377"/>
        <item m="1" x="4510"/>
        <item m="1" x="5779"/>
        <item m="1" x="3549"/>
        <item m="1" x="3586"/>
        <item m="1" x="2676"/>
        <item m="1" x="2861"/>
        <item m="1" x="6714"/>
        <item m="1" x="6641"/>
        <item m="1" x="6926"/>
        <item m="1" x="7322"/>
        <item m="1" x="5802"/>
        <item m="1" x="6405"/>
        <item m="1" x="6716"/>
        <item m="1" x="6900"/>
        <item m="1" x="6133"/>
        <item m="1" x="3970"/>
        <item m="1" x="7792"/>
        <item m="1" x="6587"/>
        <item m="1" x="4211"/>
        <item x="1168"/>
        <item m="1" x="3046"/>
        <item x="1169"/>
        <item m="1" x="5970"/>
        <item m="1" x="7526"/>
        <item m="1" x="5601"/>
        <item m="1" x="4043"/>
        <item m="1" x="2277"/>
        <item m="1" x="5540"/>
        <item x="1170"/>
        <item x="1171"/>
        <item m="1" x="6465"/>
        <item m="1" x="3695"/>
        <item x="1172"/>
        <item m="1" x="3397"/>
        <item m="1" x="6292"/>
        <item m="1" x="5474"/>
        <item m="1" x="5318"/>
        <item m="1" x="4716"/>
        <item m="1" x="5417"/>
        <item x="1173"/>
        <item m="1" x="3592"/>
        <item m="1" x="3773"/>
        <item m="1" x="3214"/>
        <item m="1" x="4619"/>
        <item m="1" x="2519"/>
        <item x="1174"/>
        <item x="1175"/>
        <item x="1176"/>
        <item m="1" x="5798"/>
        <item m="1" x="7945"/>
        <item m="1" x="7561"/>
        <item m="1" x="5026"/>
        <item m="1" x="5150"/>
        <item x="1177"/>
        <item x="1178"/>
        <item x="1179"/>
        <item x="1180"/>
        <item x="1181"/>
        <item m="1" x="5983"/>
        <item x="1182"/>
        <item m="1" x="4046"/>
        <item m="1" x="6998"/>
        <item x="1183"/>
        <item m="1" x="6218"/>
        <item x="1184"/>
        <item m="1" x="2559"/>
        <item m="1" x="4385"/>
        <item m="1" x="4870"/>
        <item x="1185"/>
        <item x="1186"/>
        <item x="1187"/>
        <item x="1188"/>
        <item m="1" x="7459"/>
        <item m="1" x="6821"/>
        <item m="1" x="4846"/>
        <item x="1189"/>
        <item m="1" x="5689"/>
        <item m="1" x="2754"/>
        <item x="1190"/>
        <item x="1191"/>
        <item x="1192"/>
        <item m="1" x="5560"/>
        <item m="1" x="2359"/>
        <item m="1" x="5021"/>
        <item m="1" x="2995"/>
        <item m="1" x="3192"/>
        <item m="1" x="7291"/>
        <item x="1193"/>
        <item x="1194"/>
        <item x="1195"/>
        <item m="1" x="3845"/>
        <item m="1" x="6436"/>
        <item m="1" x="2603"/>
        <item m="1" x="3607"/>
        <item x="1196"/>
        <item x="1197"/>
        <item x="1198"/>
        <item x="1199"/>
        <item m="1" x="6932"/>
        <item m="1" x="7999"/>
        <item m="1" x="5803"/>
        <item m="1" x="2889"/>
        <item x="1200"/>
        <item x="1201"/>
        <item m="1" x="3667"/>
        <item m="1" x="3713"/>
        <item m="1" x="3118"/>
        <item m="1" x="5482"/>
        <item m="1" x="6757"/>
        <item m="1" x="3703"/>
        <item x="1202"/>
        <item x="1203"/>
        <item x="1204"/>
        <item x="1205"/>
        <item m="1" x="5191"/>
        <item m="1" x="5888"/>
        <item m="1" x="2642"/>
        <item m="1" x="5570"/>
        <item m="1" x="6437"/>
        <item x="1206"/>
        <item x="1207"/>
        <item m="1" x="5371"/>
        <item m="1" x="7360"/>
        <item m="1" x="7027"/>
        <item m="1" x="2943"/>
        <item m="1" x="4134"/>
        <item m="1" x="4825"/>
        <item x="1208"/>
        <item m="1" x="7303"/>
        <item m="1" x="3788"/>
        <item m="1" x="7227"/>
        <item m="1" x="6391"/>
        <item m="1" x="5157"/>
        <item m="1" x="4984"/>
        <item x="1209"/>
        <item x="1210"/>
        <item x="1211"/>
        <item m="1" x="6629"/>
        <item m="1" x="4296"/>
        <item x="1212"/>
        <item m="1" x="4266"/>
        <item x="1213"/>
        <item x="1214"/>
        <item x="1215"/>
        <item m="1" x="3498"/>
        <item m="1" x="4546"/>
        <item m="1" x="4347"/>
        <item m="1" x="2259"/>
        <item m="1" x="6222"/>
        <item m="1" x="6717"/>
        <item m="1" x="4102"/>
        <item x="1216"/>
        <item x="1217"/>
        <item x="1218"/>
        <item x="1219"/>
        <item m="1" x="2307"/>
        <item m="1" x="6904"/>
        <item m="1" x="4742"/>
        <item m="1" x="7244"/>
        <item m="1" x="7608"/>
        <item m="1" x="7066"/>
        <item m="1" x="6956"/>
        <item m="1" x="6138"/>
        <item m="1" x="7325"/>
        <item x="1220"/>
        <item x="1221"/>
        <item x="1222"/>
        <item x="1223"/>
        <item m="1" x="7074"/>
        <item m="1" x="2373"/>
        <item m="1" x="2681"/>
        <item m="1" x="6540"/>
        <item m="1" x="4645"/>
        <item m="1" x="6696"/>
        <item m="1" x="3115"/>
        <item x="1224"/>
        <item x="1225"/>
        <item x="1226"/>
        <item x="1227"/>
        <item x="1228"/>
        <item x="1229"/>
        <item m="1" x="2258"/>
        <item m="1" x="4553"/>
        <item x="1230"/>
        <item x="1231"/>
        <item m="1" x="3050"/>
        <item m="1" x="5783"/>
        <item m="1" x="3047"/>
        <item m="1" x="2997"/>
        <item m="1" x="3106"/>
        <item x="1232"/>
        <item x="1233"/>
        <item x="1234"/>
        <item m="1" x="7532"/>
        <item m="1" x="6657"/>
        <item m="1" x="3015"/>
        <item m="1" x="5165"/>
        <item m="1" x="5883"/>
        <item m="1" x="3060"/>
        <item m="1" x="2283"/>
        <item m="1" x="7310"/>
        <item m="1" x="5543"/>
        <item m="1" x="6359"/>
        <item m="1" x="4038"/>
        <item x="1235"/>
        <item x="1236"/>
        <item x="1237"/>
        <item x="1238"/>
        <item x="1239"/>
        <item x="1240"/>
        <item m="1" x="6469"/>
        <item m="1" x="6207"/>
        <item x="1241"/>
        <item m="1" x="3499"/>
        <item m="1" x="3639"/>
        <item x="1242"/>
        <item m="1" x="7256"/>
        <item m="1" x="4926"/>
        <item m="1" x="6888"/>
        <item m="1" x="5974"/>
        <item m="1" x="7524"/>
        <item m="1" x="4301"/>
        <item m="1" x="7327"/>
        <item x="1243"/>
        <item x="1244"/>
        <item m="1" x="5805"/>
        <item m="1" x="3399"/>
        <item m="1" x="3411"/>
        <item m="1" x="7308"/>
        <item m="1" x="5479"/>
        <item m="1" x="3193"/>
        <item m="1" x="3065"/>
        <item m="1" x="5610"/>
        <item m="1" x="3583"/>
        <item m="1" x="5001"/>
        <item m="1" x="7486"/>
        <item m="1" x="7152"/>
        <item m="1" x="7979"/>
        <item m="1" x="7815"/>
        <item x="1245"/>
        <item x="1246"/>
        <item x="1247"/>
        <item x="1248"/>
        <item x="1249"/>
        <item m="1" x="5695"/>
        <item x="1250"/>
        <item m="1" x="3996"/>
        <item m="1" x="3596"/>
        <item m="1" x="4577"/>
        <item m="1" x="4713"/>
        <item m="1" x="5024"/>
        <item m="1" x="5788"/>
        <item m="1" x="7901"/>
        <item m="1" x="4738"/>
        <item m="1" x="6927"/>
        <item x="1251"/>
        <item x="1252"/>
        <item x="1253"/>
        <item m="1" x="7949"/>
        <item m="1" x="5030"/>
        <item m="1" x="5153"/>
        <item m="1" x="3629"/>
        <item m="1" x="3925"/>
        <item m="1" x="2294"/>
        <item m="1" x="2525"/>
        <item m="1" x="4454"/>
        <item m="1" x="5675"/>
        <item m="1" x="2260"/>
        <item m="1" x="4727"/>
        <item x="1254"/>
        <item m="1" x="7571"/>
        <item x="1255"/>
        <item x="1256"/>
        <item m="1" x="3626"/>
        <item m="1" x="4279"/>
        <item m="1" x="2610"/>
        <item x="1257"/>
        <item x="1258"/>
        <item m="1" x="5232"/>
        <item m="1" x="6227"/>
        <item m="1" x="6008"/>
        <item m="1" x="7344"/>
        <item x="1259"/>
        <item m="1" x="2718"/>
        <item m="1" x="6224"/>
        <item m="1" x="3802"/>
        <item m="1" x="3932"/>
        <item m="1" x="2514"/>
        <item m="1" x="3973"/>
        <item x="1260"/>
        <item x="1261"/>
        <item x="1262"/>
        <item x="1263"/>
        <item m="1" x="5981"/>
        <item m="1" x="7814"/>
        <item m="1" x="2892"/>
        <item m="1" x="4558"/>
        <item m="1" x="6744"/>
        <item m="1" x="3816"/>
        <item m="1" x="3731"/>
        <item m="1" x="3210"/>
        <item m="1" x="2925"/>
        <item m="1" x="7462"/>
        <item m="1" x="6066"/>
        <item m="1" x="7768"/>
        <item x="1264"/>
        <item x="1265"/>
        <item x="1266"/>
        <item x="1267"/>
        <item x="1268"/>
        <item x="1269"/>
        <item x="1270"/>
        <item x="1271"/>
        <item m="1" x="3717"/>
        <item m="1" x="3824"/>
        <item m="1" x="7777"/>
        <item m="1" x="2510"/>
        <item m="1" x="7364"/>
        <item m="1" x="4958"/>
        <item m="1" x="6899"/>
        <item m="1" x="7297"/>
        <item m="1" x="4675"/>
        <item m="1" x="5641"/>
        <item m="1" x="7720"/>
        <item m="1" x="6266"/>
        <item m="1" x="6303"/>
        <item m="1" x="7640"/>
        <item m="1" x="3112"/>
        <item m="1" x="5881"/>
        <item m="1" x="4438"/>
        <item m="1" x="6464"/>
        <item m="1" x="6073"/>
        <item m="1" x="6782"/>
        <item m="1" x="7565"/>
        <item m="1" x="7211"/>
        <item m="1" x="6695"/>
        <item m="1" x="6739"/>
        <item m="1" x="4381"/>
        <item m="1" x="6378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m="1" x="5492"/>
        <item m="1" x="2792"/>
        <item m="1" x="6559"/>
        <item m="1" x="6247"/>
        <item m="1" x="6844"/>
        <item m="1" x="2505"/>
        <item m="1" x="7147"/>
        <item m="1" x="4468"/>
        <item m="1" x="3864"/>
        <item m="1" x="4776"/>
        <item x="1287"/>
        <item x="1288"/>
        <item x="1289"/>
        <item m="1" x="6633"/>
        <item m="1" x="2465"/>
        <item x="1290"/>
        <item x="1291"/>
        <item x="1292"/>
        <item x="1293"/>
        <item m="1" x="5784"/>
        <item x="1294"/>
        <item m="1" x="2683"/>
        <item m="1" x="4616"/>
        <item x="1295"/>
        <item x="1296"/>
        <item x="1297"/>
        <item x="1298"/>
        <item x="1299"/>
        <item x="1300"/>
        <item x="1301"/>
        <item m="1" x="3604"/>
        <item x="1302"/>
        <item m="1" x="2311"/>
        <item x="1303"/>
        <item x="1304"/>
        <item x="1305"/>
        <item x="1306"/>
        <item x="1307"/>
        <item x="1308"/>
        <item x="1309"/>
        <item x="1310"/>
        <item m="1" x="3020"/>
        <item m="1" x="5169"/>
        <item m="1" x="7711"/>
        <item m="1" x="6428"/>
        <item m="1" x="6249"/>
        <item x="1311"/>
        <item x="1312"/>
        <item x="1313"/>
        <item x="1314"/>
        <item x="1315"/>
        <item x="1316"/>
        <item x="1317"/>
        <item x="1318"/>
        <item x="1319"/>
        <item x="1320"/>
        <item m="1" x="2571"/>
        <item m="1" x="3402"/>
        <item m="1" x="3414"/>
        <item m="1" x="7312"/>
        <item x="1321"/>
        <item x="1322"/>
        <item x="1323"/>
        <item x="1324"/>
        <item m="1" x="5055"/>
        <item x="1325"/>
        <item m="1" x="3776"/>
        <item x="1326"/>
        <item x="1327"/>
        <item m="1" x="5035"/>
        <item x="1328"/>
        <item x="1329"/>
        <item x="1330"/>
        <item m="1" x="3956"/>
        <item x="1331"/>
        <item x="1332"/>
        <item x="1333"/>
        <item m="1" x="5809"/>
        <item x="1334"/>
        <item x="1335"/>
        <item x="1336"/>
        <item x="1337"/>
        <item x="1338"/>
        <item m="1" x="2482"/>
        <item x="1339"/>
        <item m="1" x="7204"/>
        <item x="1340"/>
        <item m="1" x="2717"/>
        <item x="1341"/>
        <item x="1342"/>
        <item m="1" x="3081"/>
        <item x="1343"/>
        <item x="1344"/>
        <item x="1345"/>
        <item x="1346"/>
        <item x="1347"/>
        <item m="1" x="6314"/>
        <item x="1348"/>
        <item x="1349"/>
        <item x="1350"/>
        <item x="1351"/>
        <item x="1352"/>
        <item m="1" x="3721"/>
        <item x="1353"/>
        <item x="1354"/>
        <item x="1355"/>
        <item x="1356"/>
        <item m="1" x="6828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m="1" x="4026"/>
        <item m="1" x="289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m="1" x="4184"/>
        <item m="1" x="4620"/>
        <item x="1379"/>
        <item x="1380"/>
        <item x="1381"/>
        <item x="1382"/>
        <item x="1383"/>
        <item x="1384"/>
        <item x="1385"/>
        <item x="1386"/>
        <item x="1387"/>
        <item x="1388"/>
        <item m="1" x="3055"/>
        <item x="1389"/>
        <item x="1390"/>
        <item x="1391"/>
        <item x="1392"/>
        <item x="1393"/>
        <item x="1394"/>
        <item x="1395"/>
        <item m="1" x="5172"/>
        <item m="1" x="7988"/>
        <item m="1" x="2268"/>
        <item x="1396"/>
        <item x="1397"/>
        <item x="1398"/>
        <item x="1399"/>
        <item x="1400"/>
        <item x="1401"/>
        <item m="1" x="5926"/>
        <item x="1402"/>
        <item m="1" x="5987"/>
        <item m="1" x="5875"/>
        <item x="1403"/>
        <item m="1" x="3945"/>
        <item m="1" x="2970"/>
        <item x="1404"/>
        <item m="1" x="4567"/>
        <item m="1" x="3070"/>
        <item x="1405"/>
        <item m="1" x="3025"/>
        <item x="1406"/>
        <item m="1" x="4606"/>
        <item m="1" x="3641"/>
        <item x="1407"/>
        <item m="1" x="6803"/>
        <item m="1" x="7871"/>
        <item m="1" x="3387"/>
        <item m="1" x="7417"/>
        <item x="1408"/>
        <item x="1409"/>
        <item x="1410"/>
        <item m="1" x="3550"/>
        <item x="1411"/>
        <item m="1" x="7371"/>
        <item m="1" x="4860"/>
        <item m="1" x="7606"/>
        <item x="1412"/>
        <item x="1413"/>
        <item x="1414"/>
        <item x="1415"/>
        <item x="1416"/>
        <item m="1" x="3727"/>
        <item x="1417"/>
        <item x="1418"/>
        <item x="1419"/>
        <item m="1" x="4133"/>
        <item m="1" x="2486"/>
        <item m="1" x="5889"/>
        <item x="1420"/>
        <item x="1421"/>
        <item m="1" x="7788"/>
        <item x="1422"/>
        <item x="1423"/>
        <item m="1" x="2769"/>
        <item m="1" x="3152"/>
        <item x="1424"/>
        <item m="1" x="7397"/>
        <item x="1425"/>
        <item x="1426"/>
        <item x="1427"/>
        <item m="1" x="2790"/>
        <item x="1428"/>
        <item m="1" x="7361"/>
        <item m="1" x="7439"/>
        <item m="1" x="6550"/>
        <item m="1" x="4649"/>
        <item m="1" x="7763"/>
        <item m="1" x="4573"/>
        <item m="1" x="3576"/>
        <item m="1" x="7010"/>
        <item m="1" x="5491"/>
        <item x="1429"/>
        <item x="1430"/>
        <item x="1431"/>
        <item x="1432"/>
        <item x="1433"/>
        <item x="1434"/>
        <item m="1" x="7575"/>
        <item x="1435"/>
        <item m="1" x="4048"/>
        <item x="1436"/>
        <item x="1437"/>
        <item x="1438"/>
        <item x="1439"/>
        <item x="1440"/>
        <item m="1" x="6120"/>
        <item m="1" x="3096"/>
        <item x="1441"/>
        <item x="1442"/>
        <item m="1" x="6467"/>
        <item m="1" x="7616"/>
        <item x="1443"/>
        <item x="1444"/>
        <item m="1" x="5425"/>
        <item x="1445"/>
        <item x="1446"/>
        <item x="1447"/>
        <item x="1448"/>
        <item x="1449"/>
        <item m="1" x="4370"/>
        <item x="1450"/>
        <item x="1451"/>
        <item x="1452"/>
        <item x="1453"/>
        <item x="1454"/>
        <item x="1455"/>
        <item x="1456"/>
        <item x="1457"/>
        <item m="1" x="5822"/>
        <item m="1" x="6918"/>
        <item x="1458"/>
        <item x="1459"/>
        <item x="1460"/>
        <item x="1461"/>
        <item x="1462"/>
        <item x="1463"/>
        <item m="1" x="2702"/>
        <item m="1" x="2204"/>
        <item x="1464"/>
        <item m="1" x="7129"/>
        <item x="1465"/>
        <item x="1466"/>
        <item m="1" x="4857"/>
        <item m="1" x="5042"/>
        <item m="1" x="3822"/>
        <item x="1467"/>
        <item x="1468"/>
        <item m="1" x="3086"/>
        <item m="1" x="5180"/>
        <item x="1469"/>
        <item x="1470"/>
        <item x="1471"/>
        <item x="1472"/>
        <item x="1473"/>
        <item x="1474"/>
        <item x="1475"/>
        <item x="1476"/>
        <item x="1477"/>
        <item x="1478"/>
        <item m="1" x="7610"/>
        <item x="1479"/>
        <item x="1480"/>
        <item x="1481"/>
        <item x="1482"/>
        <item x="1483"/>
        <item m="1" x="7258"/>
        <item m="1" x="4240"/>
        <item m="1" x="3734"/>
        <item x="1484"/>
        <item x="1485"/>
        <item x="1486"/>
        <item x="1487"/>
        <item x="1488"/>
        <item m="1" x="7708"/>
        <item m="1" x="4036"/>
        <item m="1" x="5192"/>
        <item x="1489"/>
        <item x="1490"/>
        <item x="1491"/>
        <item x="1492"/>
        <item x="1493"/>
        <item m="1" x="7600"/>
        <item m="1" x="2711"/>
        <item x="1494"/>
        <item m="1" x="6380"/>
        <item m="1" x="4238"/>
        <item m="1" x="7495"/>
        <item m="1" x="3297"/>
        <item m="1" x="3041"/>
        <item x="1495"/>
        <item x="1496"/>
        <item x="1497"/>
        <item m="1" x="7799"/>
        <item x="1498"/>
        <item x="1499"/>
        <item m="1" x="7517"/>
        <item m="1" x="2596"/>
        <item x="1500"/>
        <item x="1501"/>
        <item m="1" x="2822"/>
        <item m="1" x="6117"/>
        <item x="1502"/>
        <item x="1503"/>
        <item x="1504"/>
        <item x="1505"/>
        <item x="1506"/>
        <item m="1" x="2436"/>
        <item x="1507"/>
        <item x="1508"/>
        <item x="1509"/>
        <item m="1" x="2406"/>
        <item m="1" x="2524"/>
        <item m="1" x="2269"/>
        <item m="1" x="7939"/>
        <item m="1" x="7290"/>
        <item x="1510"/>
        <item m="1" x="4699"/>
        <item m="1" x="5766"/>
        <item x="1511"/>
        <item x="1512"/>
        <item x="1513"/>
        <item x="1514"/>
        <item x="1515"/>
        <item m="1" x="3285"/>
        <item x="1516"/>
        <item m="1" x="2286"/>
        <item m="1" x="7175"/>
        <item m="1" x="4139"/>
        <item m="1" x="3904"/>
        <item x="1517"/>
        <item x="1518"/>
        <item x="1519"/>
        <item x="1520"/>
        <item x="1521"/>
        <item x="1522"/>
        <item m="1" x="4651"/>
        <item x="1523"/>
        <item x="1524"/>
        <item x="1525"/>
        <item x="1526"/>
        <item x="1527"/>
        <item x="1528"/>
        <item x="1529"/>
        <item x="1530"/>
        <item x="1531"/>
        <item x="1532"/>
        <item m="1" x="7581"/>
        <item x="1533"/>
        <item m="1" x="7156"/>
        <item m="1" x="3660"/>
        <item m="1" x="5678"/>
        <item x="1534"/>
        <item x="1535"/>
        <item x="1536"/>
        <item m="1" x="3293"/>
        <item x="1537"/>
        <item x="1538"/>
        <item x="1539"/>
        <item x="1540"/>
        <item m="1" x="6941"/>
        <item m="1" x="5763"/>
        <item m="1" x="5896"/>
        <item m="1" x="5814"/>
        <item x="1541"/>
        <item x="1542"/>
        <item x="1543"/>
        <item m="1" x="6862"/>
        <item m="1" x="2299"/>
        <item x="1544"/>
        <item x="1545"/>
        <item m="1" x="5825"/>
        <item m="1" x="6920"/>
        <item m="1" x="3361"/>
        <item x="1546"/>
        <item x="1547"/>
        <item x="1548"/>
        <item x="1549"/>
        <item m="1" x="6592"/>
        <item m="1" x="7316"/>
        <item x="1550"/>
        <item x="1551"/>
        <item m="1" x="6362"/>
        <item m="1" x="3804"/>
        <item m="1" x="4322"/>
        <item m="1" x="6121"/>
        <item m="1" x="6193"/>
        <item m="1" x="3543"/>
        <item m="1" x="2924"/>
        <item x="1552"/>
        <item x="1553"/>
        <item x="1554"/>
        <item x="1555"/>
        <item m="1" x="7002"/>
        <item m="1" x="7680"/>
        <item m="1" x="3831"/>
        <item m="1" x="3089"/>
        <item x="1556"/>
        <item x="1557"/>
        <item m="1" x="6668"/>
        <item m="1" x="7678"/>
        <item m="1" x="6934"/>
        <item m="1" x="7019"/>
        <item x="1558"/>
        <item m="1" x="7612"/>
        <item x="1559"/>
        <item x="1560"/>
        <item x="1561"/>
        <item x="1562"/>
        <item x="1563"/>
        <item m="1" x="7263"/>
        <item m="1" x="3633"/>
        <item x="1564"/>
        <item x="1565"/>
        <item x="1566"/>
        <item x="1567"/>
        <item x="1568"/>
        <item x="1569"/>
        <item x="1570"/>
        <item m="1" x="4041"/>
        <item x="1571"/>
        <item x="1572"/>
        <item x="1573"/>
        <item x="1574"/>
        <item x="1575"/>
        <item m="1" x="5534"/>
        <item x="1576"/>
        <item x="1577"/>
        <item x="1578"/>
        <item m="1" x="2714"/>
        <item m="1" x="3013"/>
        <item x="1579"/>
        <item x="1580"/>
        <item m="1" x="6382"/>
        <item m="1" x="4206"/>
        <item m="1" x="4859"/>
        <item x="1581"/>
        <item x="1582"/>
        <item x="1583"/>
        <item x="1584"/>
        <item m="1" x="7802"/>
        <item m="1" x="2906"/>
        <item m="1" x="7775"/>
        <item m="1" x="2214"/>
        <item x="1585"/>
        <item m="1" x="7521"/>
        <item m="1" x="6808"/>
        <item x="1586"/>
        <item m="1" x="4103"/>
        <item m="1" x="4698"/>
        <item m="1" x="3853"/>
        <item x="1587"/>
        <item x="1588"/>
        <item x="1589"/>
        <item x="1590"/>
        <item x="1591"/>
        <item x="1592"/>
        <item x="1593"/>
        <item x="1594"/>
        <item m="1" x="6409"/>
        <item m="1" x="2272"/>
        <item m="1" x="7946"/>
        <item m="1" x="3832"/>
        <item m="1" x="3992"/>
        <item x="1595"/>
        <item x="1596"/>
        <item m="1" x="2564"/>
        <item m="1" x="2703"/>
        <item m="1" x="7015"/>
        <item m="1" x="5128"/>
        <item m="1" x="7848"/>
        <item x="1597"/>
        <item x="1598"/>
        <item x="1599"/>
        <item x="1600"/>
        <item x="1601"/>
        <item m="1" x="4057"/>
        <item x="1602"/>
        <item m="1" x="4931"/>
        <item x="1603"/>
        <item m="1" x="7367"/>
        <item m="1" x="3472"/>
        <item m="1" x="5426"/>
        <item x="1604"/>
        <item x="1605"/>
        <item x="1606"/>
        <item m="1" x="2662"/>
        <item x="1607"/>
        <item x="1608"/>
        <item x="1609"/>
        <item x="1610"/>
        <item x="1611"/>
        <item x="1612"/>
        <item m="1" x="4655"/>
        <item m="1" x="5581"/>
        <item m="1" x="2395"/>
        <item m="1" x="3963"/>
        <item m="1" x="2626"/>
        <item x="1613"/>
        <item x="1614"/>
        <item x="1615"/>
        <item m="1" x="2512"/>
        <item m="1" x="3021"/>
        <item m="1" x="5651"/>
        <item x="1616"/>
        <item m="1" x="4852"/>
        <item m="1" x="2402"/>
        <item x="1617"/>
        <item x="1618"/>
        <item m="1" x="3657"/>
        <item m="1" x="6596"/>
        <item m="1" x="3120"/>
        <item m="1" x="4808"/>
        <item x="1619"/>
        <item x="1620"/>
        <item x="1621"/>
        <item m="1" x="2646"/>
        <item m="1" x="7398"/>
        <item x="1622"/>
        <item x="1623"/>
        <item x="1624"/>
        <item x="1625"/>
        <item m="1" x="3250"/>
        <item m="1" x="4722"/>
        <item m="1" x="3506"/>
        <item m="1" x="4141"/>
        <item m="1" x="6969"/>
        <item m="1" x="2692"/>
        <item m="1" x="3417"/>
        <item m="1" x="4767"/>
        <item m="1" x="4424"/>
        <item m="1" x="6468"/>
        <item m="1" x="5681"/>
        <item x="1626"/>
        <item m="1" x="3066"/>
        <item m="1" x="3655"/>
        <item m="1" x="6315"/>
        <item m="1" x="5047"/>
        <item m="1" x="7635"/>
        <item m="1" x="3902"/>
        <item m="1" x="3975"/>
        <item m="1" x="4366"/>
        <item m="1" x="6701"/>
        <item m="1" x="2352"/>
        <item m="1" x="6699"/>
        <item m="1" x="4557"/>
        <item m="1" x="2654"/>
        <item m="1" x="3606"/>
        <item m="1" x="7918"/>
        <item m="1" x="3772"/>
        <item m="1" x="6600"/>
        <item m="1" x="3570"/>
        <item m="1" x="7311"/>
        <item m="1" x="5248"/>
        <item m="1" x="5781"/>
        <item m="1" x="7497"/>
        <item m="1" x="4909"/>
        <item x="1627"/>
        <item m="1" x="3113"/>
        <item m="1" x="2496"/>
        <item m="1" x="6416"/>
        <item x="1628"/>
        <item m="1" x="7318"/>
        <item m="1" x="3921"/>
        <item m="1" x="3981"/>
        <item m="1" x="7688"/>
        <item x="1629"/>
        <item m="1" x="7012"/>
        <item x="1630"/>
        <item m="1" x="6252"/>
        <item m="1" x="3547"/>
        <item m="1" x="2720"/>
        <item m="1" x="5912"/>
        <item m="1" x="6650"/>
        <item m="1" x="2456"/>
        <item m="1" x="7004"/>
        <item m="1" x="6974"/>
        <item m="1" x="3876"/>
        <item m="1" x="5178"/>
        <item m="1" x="6520"/>
        <item m="1" x="5720"/>
        <item m="1" x="5751"/>
        <item m="1" x="3156"/>
        <item m="1" x="4160"/>
        <item m="1" x="5658"/>
        <item m="1" x="6849"/>
        <item m="1" x="4144"/>
        <item m="1" x="5536"/>
        <item m="1" x="3366"/>
        <item m="1" x="2452"/>
        <item m="1" x="7784"/>
        <item m="1" x="2885"/>
        <item m="1" x="5952"/>
        <item m="1" x="3016"/>
        <item m="1" x="4803"/>
        <item x="1631"/>
        <item m="1" x="4560"/>
        <item x="1632"/>
        <item x="1633"/>
        <item m="1" x="5441"/>
        <item m="1" x="5270"/>
        <item m="1" x="3850"/>
        <item m="1" x="3646"/>
        <item m="1" x="4274"/>
        <item m="1" x="4312"/>
        <item m="1" x="2661"/>
        <item m="1" x="2668"/>
        <item m="1" x="3413"/>
        <item m="1" x="4313"/>
        <item m="1" x="6478"/>
        <item x="1634"/>
        <item m="1" x="2251"/>
        <item x="1635"/>
        <item x="1636"/>
        <item x="1637"/>
        <item m="1" x="7892"/>
        <item x="1638"/>
        <item m="1" x="5179"/>
        <item x="1639"/>
        <item x="1640"/>
        <item x="1641"/>
        <item m="1" x="3370"/>
        <item m="1" x="5412"/>
        <item m="1" x="3990"/>
        <item m="1" x="6746"/>
        <item m="1" x="7756"/>
        <item m="1" x="7506"/>
        <item m="1" x="2819"/>
        <item m="1" x="6321"/>
        <item m="1" x="6843"/>
        <item m="1" x="4495"/>
        <item m="1" x="5428"/>
        <item m="1" x="3374"/>
        <item m="1" x="4499"/>
        <item m="1" x="6637"/>
        <item x="1642"/>
        <item x="1643"/>
        <item m="1" x="4214"/>
        <item m="1" x="7615"/>
        <item x="1644"/>
        <item x="1645"/>
        <item x="1646"/>
        <item x="1647"/>
        <item m="1" x="4941"/>
        <item m="1" x="5197"/>
        <item x="1648"/>
        <item x="1649"/>
        <item m="1" x="6360"/>
        <item m="1" x="4533"/>
        <item x="1650"/>
        <item x="1651"/>
        <item x="1652"/>
        <item x="1653"/>
        <item m="1" x="5531"/>
        <item m="1" x="7975"/>
        <item m="1" x="7710"/>
        <item m="1" x="4044"/>
        <item m="1" x="3103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1654"/>
        <item x="1655"/>
        <item x="1656"/>
        <item x="1657"/>
        <item m="1" x="6214"/>
        <item m="1" x="2341"/>
        <item m="1" x="5947"/>
        <item x="1658"/>
        <item x="1659"/>
        <item x="1660"/>
        <item m="1" x="3618"/>
        <item m="1" x="3352"/>
        <item m="1" x="4210"/>
        <item x="1661"/>
        <item x="1662"/>
        <item m="1" x="4862"/>
        <item m="1" x="4735"/>
        <item x="1663"/>
        <item x="1664"/>
        <item x="1665"/>
        <item x="1666"/>
        <item x="1667"/>
        <item m="1" x="7807"/>
        <item m="1" x="2908"/>
        <item m="1" x="4936"/>
        <item x="1668"/>
        <item x="1669"/>
        <item x="1670"/>
        <item x="1671"/>
        <item x="1672"/>
        <item x="1673"/>
        <item x="1674"/>
        <item m="1" x="2854"/>
        <item x="1675"/>
        <item m="1" x="4703"/>
        <item x="1676"/>
        <item m="1" x="3856"/>
        <item x="1677"/>
        <item x="1678"/>
        <item x="1679"/>
        <item x="1680"/>
        <item m="1" x="5136"/>
        <item x="1681"/>
        <item m="1" x="6525"/>
        <item m="1" x="3157"/>
        <item m="1" x="2967"/>
        <item m="1" x="2421"/>
        <item m="1" x="4082"/>
        <item m="1" x="3430"/>
        <item x="1682"/>
        <item m="1" x="5364"/>
        <item m="1" x="4096"/>
        <item x="1683"/>
        <item m="1" x="4592"/>
        <item m="1" x="2526"/>
        <item x="1684"/>
        <item x="1685"/>
        <item x="1686"/>
        <item x="1687"/>
        <item x="1688"/>
        <item m="1" x="4555"/>
        <item m="1" x="2826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m="1" x="3774"/>
        <item m="1" x="3852"/>
        <item m="1" x="4280"/>
        <item m="1" x="5905"/>
        <item m="1" x="5879"/>
        <item m="1" x="6691"/>
        <item x="1700"/>
        <item m="1" x="3473"/>
        <item x="1701"/>
        <item x="1702"/>
        <item x="1703"/>
        <item x="1704"/>
        <item x="1705"/>
        <item x="1706"/>
        <item m="1" x="6851"/>
        <item x="1707"/>
        <item m="1" x="2230"/>
        <item m="1" x="5830"/>
        <item x="1708"/>
        <item m="1" x="3011"/>
        <item m="1" x="2835"/>
        <item x="1709"/>
        <item x="1710"/>
        <item x="1711"/>
        <item x="1712"/>
        <item x="1713"/>
        <item x="1714"/>
        <item x="1715"/>
        <item x="1716"/>
        <item x="1717"/>
        <item m="1" x="2715"/>
        <item m="1" x="6854"/>
        <item m="1" x="3026"/>
        <item m="1" x="3691"/>
        <item m="1" x="5852"/>
        <item m="1" x="3826"/>
        <item m="1" x="3391"/>
        <item m="1" x="4653"/>
        <item m="1" x="4148"/>
        <item m="1" x="5832"/>
        <item m="1" x="5654"/>
        <item m="1" x="2429"/>
        <item m="1" x="4236"/>
        <item m="1" x="7782"/>
        <item x="1718"/>
        <item x="1719"/>
        <item x="1720"/>
        <item m="1" x="7674"/>
        <item x="1721"/>
        <item m="1" x="5177"/>
        <item m="1" x="4039"/>
        <item m="1" x="6599"/>
        <item x="1722"/>
        <item x="1723"/>
        <item x="1724"/>
        <item m="1" x="4037"/>
        <item x="1725"/>
        <item m="1" x="3171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m="1" x="7160"/>
        <item m="1" x="3784"/>
        <item m="1" x="6020"/>
        <item m="1" x="4723"/>
        <item m="1" x="3508"/>
        <item m="1" x="5501"/>
        <item m="1" x="2664"/>
        <item m="1" x="3395"/>
        <item m="1" x="6975"/>
        <item m="1" x="5455"/>
        <item m="1" x="7159"/>
        <item m="1" x="3762"/>
        <item m="1" x="4223"/>
        <item m="1" x="7908"/>
        <item m="1" x="5692"/>
        <item m="1" x="7018"/>
        <item m="1" x="3798"/>
        <item m="1" x="7447"/>
        <item m="1" x="5719"/>
        <item m="1" x="5069"/>
        <item m="1" x="7559"/>
        <item m="1" x="4334"/>
        <item m="1" x="7273"/>
        <item m="1" x="5606"/>
        <item m="1" x="3755"/>
        <item m="1" x="6646"/>
        <item m="1" x="4427"/>
        <item m="1" x="6472"/>
        <item m="1" x="6925"/>
        <item m="1" x="4473"/>
        <item x="1737"/>
        <item x="1738"/>
        <item x="1739"/>
        <item x="1740"/>
        <item x="1741"/>
        <item m="1" x="7771"/>
        <item m="1" x="6036"/>
        <item x="1742"/>
        <item x="1743"/>
        <item m="1" x="6499"/>
        <item x="1744"/>
        <item m="1" x="5121"/>
        <item x="1745"/>
        <item m="1" x="5400"/>
        <item m="1" x="5986"/>
        <item m="1" x="4369"/>
        <item m="1" x="3381"/>
        <item m="1" x="6704"/>
        <item m="1" x="4743"/>
        <item m="1" x="4201"/>
        <item m="1" x="3855"/>
        <item m="1" x="5915"/>
        <item x="1746"/>
        <item m="1" x="6603"/>
        <item m="1" x="3573"/>
        <item m="1" x="7313"/>
        <item m="1" x="7585"/>
        <item m="1" x="3360"/>
        <item m="1" x="5817"/>
        <item m="1" x="3477"/>
        <item m="1" x="3376"/>
        <item m="1" x="3779"/>
        <item m="1" x="6304"/>
        <item m="1" x="5307"/>
        <item m="1" x="3227"/>
        <item m="1" x="4992"/>
        <item m="1" x="5176"/>
        <item m="1" x="2956"/>
        <item m="1" x="3114"/>
        <item m="1" x="5643"/>
        <item m="1" x="5965"/>
        <item m="1" x="2663"/>
        <item m="1" x="6598"/>
        <item m="1" x="6470"/>
        <item m="1" x="4813"/>
        <item m="1" x="3238"/>
        <item m="1" x="3839"/>
        <item m="1" x="2501"/>
        <item m="1" x="6419"/>
        <item x="1747"/>
        <item x="1748"/>
        <item m="1" x="6418"/>
        <item m="1" x="7320"/>
        <item m="1" x="3926"/>
        <item m="1" x="3986"/>
        <item x="1749"/>
        <item x="1750"/>
        <item m="1" x="7409"/>
        <item x="1751"/>
        <item x="1752"/>
        <item x="1753"/>
        <item x="1754"/>
        <item x="1755"/>
        <item x="1756"/>
        <item m="1" x="3882"/>
        <item m="1" x="7721"/>
        <item x="1757"/>
        <item m="1" x="6531"/>
        <item m="1" x="5723"/>
        <item m="1" x="5322"/>
        <item m="1" x="5752"/>
        <item m="1" x="3159"/>
        <item m="1" x="3409"/>
        <item m="1" x="7915"/>
        <item m="1" x="3246"/>
        <item m="1" x="6852"/>
        <item m="1" x="2362"/>
        <item m="1" x="7598"/>
        <item m="1" x="3300"/>
        <item m="1" x="5674"/>
        <item m="1" x="4800"/>
        <item m="1" x="4512"/>
        <item m="1" x="3637"/>
        <item m="1" x="3974"/>
        <item m="1" x="5129"/>
        <item m="1" x="3181"/>
        <item m="1" x="2824"/>
        <item m="1" x="4089"/>
        <item m="1" x="7528"/>
        <item m="1" x="4892"/>
        <item m="1" x="7885"/>
        <item m="1" x="7682"/>
        <item m="1" x="3123"/>
        <item m="1" x="5331"/>
        <item m="1" x="5241"/>
        <item m="1" x="5246"/>
        <item m="1" x="6892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t="default"/>
      </items>
    </pivotField>
    <pivotField showAll="0"/>
    <pivotField axis="axisRow" showAll="0" sortType="descending">
      <items count="795">
        <item sd="0" m="1" x="713"/>
        <item sd="0" m="1" x="326"/>
        <item sd="0" x="15"/>
        <item sd="0" m="1" x="418"/>
        <item sd="0" m="1" x="355"/>
        <item sd="0" m="1" x="253"/>
        <item sd="0" m="1" x="591"/>
        <item sd="0" m="1" x="712"/>
        <item sd="0" x="172"/>
        <item sd="0" m="1" x="294"/>
        <item sd="0" m="1" x="252"/>
        <item sd="0" x="196"/>
        <item sd="0" m="1" x="437"/>
        <item sd="0" m="1" x="311"/>
        <item sd="0" x="112"/>
        <item sd="0" m="1" x="445"/>
        <item sd="0" x="95"/>
        <item sd="0" m="1" x="507"/>
        <item sd="0" m="1" x="313"/>
        <item sd="0" m="1" x="231"/>
        <item sd="0" m="1" x="763"/>
        <item sd="0" x="7"/>
        <item sd="0" m="1" x="739"/>
        <item sd="0" x="197"/>
        <item sd="0" m="1" x="340"/>
        <item sd="0" m="1" x="755"/>
        <item sd="0" m="1" x="733"/>
        <item sd="0" x="8"/>
        <item sd="0" m="1" x="629"/>
        <item sd="0" m="1" x="275"/>
        <item sd="0" m="1" x="696"/>
        <item sd="0" m="1" x="606"/>
        <item sd="0" m="1" x="735"/>
        <item sd="0" x="145"/>
        <item sd="0" m="1" x="314"/>
        <item sd="0" m="1" x="345"/>
        <item sd="0" m="1" x="539"/>
        <item sd="0" m="1" x="511"/>
        <item sd="0" m="1" x="365"/>
        <item sd="0" m="1" x="321"/>
        <item sd="0" m="1" x="783"/>
        <item sd="0" m="1" x="235"/>
        <item sd="0" m="1" x="317"/>
        <item sd="0" m="1" x="578"/>
        <item sd="0" m="1" x="453"/>
        <item sd="0" m="1" x="751"/>
        <item sd="0" m="1" x="498"/>
        <item sd="0" m="1" x="348"/>
        <item sd="0" x="103"/>
        <item sd="0" m="1" x="542"/>
        <item sd="0" m="1" x="496"/>
        <item sd="0" x="198"/>
        <item sd="0" m="1" x="264"/>
        <item sd="0" x="209"/>
        <item sd="0" m="1" x="322"/>
        <item sd="0" m="1" x="562"/>
        <item sd="0" m="1" x="239"/>
        <item sd="0" m="1" x="338"/>
        <item sd="0" x="56"/>
        <item sd="0" x="92"/>
        <item sd="0" x="117"/>
        <item sd="0" m="1" x="255"/>
        <item sd="0" m="1" x="318"/>
        <item sd="0" m="1" x="487"/>
        <item sd="0" m="1" x="560"/>
        <item sd="0" x="130"/>
        <item sd="0" m="1" x="229"/>
        <item sd="0" x="93"/>
        <item sd="0" x="97"/>
        <item sd="0" x="54"/>
        <item sd="0" m="1" x="274"/>
        <item sd="0" m="1" x="639"/>
        <item sd="0" m="1" x="708"/>
        <item sd="0" m="1" x="772"/>
        <item sd="0" x="210"/>
        <item sd="0" m="1" x="371"/>
        <item sd="0" m="1" x="341"/>
        <item sd="0" m="1" x="320"/>
        <item sd="0" m="1" x="528"/>
        <item sd="0" m="1" x="556"/>
        <item sd="0" m="1" x="626"/>
        <item sd="0" m="1" x="280"/>
        <item sd="0" x="87"/>
        <item sd="0" x="37"/>
        <item sd="0" x="88"/>
        <item sd="0" m="1" x="296"/>
        <item sd="0" m="1" x="297"/>
        <item sd="0" m="1" x="392"/>
        <item sd="0" x="176"/>
        <item sd="0" m="1" x="509"/>
        <item sd="0" m="1" x="791"/>
        <item sd="0" m="1" x="547"/>
        <item sd="0" x="6"/>
        <item sd="0" x="127"/>
        <item sd="0" m="1" x="596"/>
        <item sd="0" m="1" x="244"/>
        <item sd="0" m="1" x="537"/>
        <item sd="0" m="1" x="456"/>
        <item sd="0" x="28"/>
        <item sd="0" m="1" x="406"/>
        <item sd="0" m="1" x="575"/>
        <item sd="0" x="17"/>
        <item sd="0" m="1" x="241"/>
        <item sd="0" x="26"/>
        <item sd="0" x="41"/>
        <item sd="0" m="1" x="250"/>
        <item sd="0" m="1" x="310"/>
        <item sd="0" m="1" x="585"/>
        <item sd="0" m="1" x="559"/>
        <item sd="0" x="158"/>
        <item sd="0" m="1" x="725"/>
        <item sd="0" x="83"/>
        <item sd="0" x="79"/>
        <item sd="0" x="91"/>
        <item sd="0" m="1" x="731"/>
        <item sd="0" m="1" x="462"/>
        <item sd="0" m="1" x="242"/>
        <item sd="0" m="1" x="346"/>
        <item sd="0" m="1" x="494"/>
        <item sd="0" m="1" x="551"/>
        <item sd="0" m="1" x="477"/>
        <item sd="0" m="1" x="654"/>
        <item sd="0" m="1" x="385"/>
        <item sd="0" m="1" x="692"/>
        <item sd="0" x="22"/>
        <item sd="0" m="1" x="248"/>
        <item sd="0" m="1" x="678"/>
        <item sd="0" m="1" x="524"/>
        <item sd="0" m="1" x="746"/>
        <item sd="0" m="1" x="749"/>
        <item sd="0" m="1" x="646"/>
        <item sd="0" m="1" x="669"/>
        <item sd="0" m="1" x="334"/>
        <item sd="0" m="1" x="773"/>
        <item sd="0" m="1" x="579"/>
        <item sd="0" m="1" x="717"/>
        <item sd="0" m="1" x="582"/>
        <item sd="0" m="1" x="306"/>
        <item sd="0" m="1" x="781"/>
        <item sd="0" m="1" x="290"/>
        <item sd="0" m="1" x="683"/>
        <item sd="0" m="1" x="745"/>
        <item sd="0" m="1" x="370"/>
        <item sd="0" m="1" x="694"/>
        <item sd="0" m="1" x="303"/>
        <item sd="0" m="1" x="421"/>
        <item sd="0" m="1" x="432"/>
        <item sd="0" m="1" x="665"/>
        <item sd="0" m="1" x="364"/>
        <item sd="0" m="1" x="399"/>
        <item sd="0" m="1" x="589"/>
        <item sd="0" m="1" x="468"/>
        <item sd="0" m="1" x="414"/>
        <item sd="0" x="98"/>
        <item sd="0" m="1" x="624"/>
        <item sd="0" x="85"/>
        <item sd="0" m="1" x="426"/>
        <item sd="0" m="1" x="727"/>
        <item sd="0" m="1" x="505"/>
        <item sd="0" m="1" x="592"/>
        <item sd="0" x="60"/>
        <item sd="0" m="1" x="535"/>
        <item sd="0" m="1" x="375"/>
        <item sd="0" x="16"/>
        <item sd="0" m="1" x="761"/>
        <item sd="0" m="1" x="663"/>
        <item sd="0" x="148"/>
        <item sd="0" m="1" x="553"/>
        <item sd="0" m="1" x="718"/>
        <item sd="0" x="96"/>
        <item sd="0" x="173"/>
        <item sd="0" m="1" x="430"/>
        <item sd="0" m="1" x="466"/>
        <item sd="0" m="1" x="408"/>
        <item sd="0" x="180"/>
        <item sd="0" x="159"/>
        <item sd="0" m="1" x="580"/>
        <item sd="0" m="1" x="485"/>
        <item sd="0" m="1" x="281"/>
        <item sd="0" x="3"/>
        <item sd="0" m="1" x="401"/>
        <item sd="0" m="1" x="226"/>
        <item sd="0" x="137"/>
        <item sd="0" m="1" x="750"/>
        <item sd="0" x="170"/>
        <item sd="0" m="1" x="393"/>
        <item sd="0" m="1" x="699"/>
        <item sd="0" m="1" x="586"/>
        <item sd="0" x="42"/>
        <item sd="0" m="1" x="525"/>
        <item sd="0" m="1" x="695"/>
        <item sd="0" x="80"/>
        <item sd="0" m="1" x="261"/>
        <item sd="0" m="1" x="420"/>
        <item sd="0" m="1" x="728"/>
        <item sd="0" m="1" x="620"/>
        <item sd="0" m="1" x="607"/>
        <item sd="0" m="1" x="625"/>
        <item sd="0" m="1" x="601"/>
        <item sd="0" m="1" x="583"/>
        <item sd="0" m="1" x="634"/>
        <item sd="0" m="1" x="523"/>
        <item sd="0" m="1" x="765"/>
        <item sd="0" x="75"/>
        <item sd="0" m="1" x="566"/>
        <item sd="0" m="1" x="403"/>
        <item sd="0" x="33"/>
        <item sd="0" m="1" x="333"/>
        <item sd="0" x="29"/>
        <item sd="0" m="1" x="786"/>
        <item sd="0" x="120"/>
        <item sd="0" x="151"/>
        <item sd="0" m="1" x="759"/>
        <item sd="0" m="1" x="434"/>
        <item sd="0" x="43"/>
        <item sd="0" x="72"/>
        <item sd="0" m="1" x="325"/>
        <item sd="0" m="1" x="245"/>
        <item sd="0" m="1" x="790"/>
        <item sd="0" m="1" x="673"/>
        <item sd="0" m="1" x="688"/>
        <item sd="0" m="1" x="298"/>
        <item sd="0" m="1" x="495"/>
        <item sd="0" m="1" x="700"/>
        <item sd="0" x="150"/>
        <item sd="0" x="115"/>
        <item sd="0" x="125"/>
        <item sd="0" x="59"/>
        <item sd="0" m="1" x="647"/>
        <item sd="0" m="1" x="277"/>
        <item sd="0" m="1" x="617"/>
        <item sd="0" x="45"/>
        <item sd="0" m="1" x="441"/>
        <item sd="0" m="1" x="527"/>
        <item sd="0" x="138"/>
        <item sd="0" m="1" x="400"/>
        <item sd="0" m="1" x="390"/>
        <item sd="0" x="141"/>
        <item sd="0" x="27"/>
        <item sd="0" m="1" x="661"/>
        <item sd="0" m="1" x="621"/>
        <item sd="0" m="1" x="653"/>
        <item sd="0" m="1" x="307"/>
        <item sd="0" m="1" x="684"/>
        <item sd="0" x="19"/>
        <item sd="0" m="1" x="433"/>
        <item sd="0" m="1" x="544"/>
        <item sd="0" m="1" x="534"/>
        <item sd="0" m="1" x="517"/>
        <item sd="0" m="1" x="510"/>
        <item sd="0" m="1" x="501"/>
        <item sd="0" m="1" x="491"/>
        <item sd="0" m="1" x="475"/>
        <item sd="0" m="1" x="571"/>
        <item sd="0" m="1" x="563"/>
        <item sd="0" x="36"/>
        <item sd="0" m="1" x="557"/>
        <item sd="0" x="128"/>
        <item sd="0" m="1" x="457"/>
        <item sd="0" m="1" x="279"/>
        <item sd="0" m="1" x="780"/>
        <item sd="0" m="1" x="518"/>
        <item sd="0" m="1" x="548"/>
        <item sd="0" m="1" x="273"/>
        <item sd="0" m="1" x="597"/>
        <item sd="0" m="1" x="711"/>
        <item sd="0" m="1" x="742"/>
        <item sd="0" x="177"/>
        <item sd="0" m="1" x="652"/>
        <item sd="0" x="38"/>
        <item sd="0" m="1" x="538"/>
        <item sd="0" x="152"/>
        <item sd="0" m="1" x="497"/>
        <item sd="0" m="1" x="484"/>
        <item sd="0" m="1" x="545"/>
        <item sd="0" m="1" x="685"/>
        <item sd="0" m="1" x="758"/>
        <item sd="0" x="139"/>
        <item sd="0" m="1" x="753"/>
        <item sd="0" m="1" x="618"/>
        <item sd="0" x="102"/>
        <item sd="0" m="1" x="305"/>
        <item sd="0" x="144"/>
        <item sd="0" m="1" x="258"/>
        <item sd="0" x="90"/>
        <item sd="0" m="1" x="605"/>
        <item sd="0" m="1" x="764"/>
        <item sd="0" x="211"/>
        <item sd="0" x="11"/>
        <item sd="0" m="1" x="681"/>
        <item sd="0" m="1" x="622"/>
        <item sd="0" x="35"/>
        <item sd="0" x="202"/>
        <item sd="0" x="49"/>
        <item sd="0" x="50"/>
        <item sd="0" x="55"/>
        <item sd="0" x="46"/>
        <item sd="0" x="47"/>
        <item sd="0" x="51"/>
        <item sd="0" x="52"/>
        <item sd="0" x="53"/>
        <item sd="0" x="48"/>
        <item sd="0" m="1" x="488"/>
        <item sd="0" m="1" x="590"/>
        <item sd="0" m="1" x="335"/>
        <item sd="0" m="1" x="748"/>
        <item sd="0" m="1" x="752"/>
        <item sd="0" m="1" x="569"/>
        <item sd="0" x="146"/>
        <item sd="0" x="136"/>
        <item sd="0" x="134"/>
        <item sd="0" x="131"/>
        <item sd="0" x="153"/>
        <item sd="0" x="23"/>
        <item sd="0" x="20"/>
        <item sd="0" x="18"/>
        <item sd="0" m="1" x="664"/>
        <item sd="0" x="203"/>
        <item sd="0" x="132"/>
        <item sd="0" x="57"/>
        <item sd="0" x="71"/>
        <item sd="0" x="58"/>
        <item sd="0" x="69"/>
        <item sd="0" x="70"/>
        <item sd="0" x="116"/>
        <item sd="0" x="113"/>
        <item sd="0" m="1" x="644"/>
        <item sd="0" m="1" x="707"/>
        <item sd="0" m="1" x="564"/>
        <item sd="0" m="1" x="444"/>
        <item sd="0" x="63"/>
        <item sd="0" x="39"/>
        <item sd="0" x="40"/>
        <item sd="0" m="1" x="737"/>
        <item sd="0" x="204"/>
        <item sd="0" m="1" x="357"/>
        <item sd="0" m="1" x="638"/>
        <item sd="0" x="0"/>
        <item sd="0" m="1" x="594"/>
        <item sd="0" m="1" x="476"/>
        <item sd="0" m="1" x="232"/>
        <item sd="0" m="1" x="623"/>
        <item sd="0" m="1" x="676"/>
        <item sd="0" x="9"/>
        <item sd="0" x="61"/>
        <item sd="0" m="1" x="276"/>
        <item sd="0" m="1" x="263"/>
        <item sd="0" x="30"/>
        <item sd="0" m="1" x="703"/>
        <item sd="0" m="1" x="368"/>
        <item sd="0" m="1" x="481"/>
        <item sd="0" m="1" x="649"/>
        <item sd="0" m="1" x="561"/>
        <item sd="0" m="1" x="282"/>
        <item sd="0" m="1" x="291"/>
        <item sd="0" m="1" x="734"/>
        <item sd="0" m="1" x="363"/>
        <item sd="0" m="1" x="655"/>
        <item sd="0" x="188"/>
        <item sd="0" m="1" x="531"/>
        <item sd="0" m="1" x="689"/>
        <item sd="0" m="1" x="256"/>
        <item sd="0" m="1" x="577"/>
        <item sd="0" m="1" x="486"/>
        <item sd="0" m="1" x="705"/>
        <item sd="0" m="1" x="593"/>
        <item sd="0" x="123"/>
        <item sd="0" m="1" x="633"/>
        <item sd="0" m="1" x="595"/>
        <item sd="0" x="66"/>
        <item sd="0" m="1" x="521"/>
        <item sd="0" m="1" x="425"/>
        <item sd="0" m="1" x="721"/>
        <item sd="0" m="1" x="777"/>
        <item sd="0" x="89"/>
        <item sd="0" m="1" x="554"/>
        <item sd="0" m="1" x="584"/>
        <item sd="0" x="212"/>
        <item sd="0" x="64"/>
        <item sd="0" m="1" x="549"/>
        <item sd="0" m="1" x="374"/>
        <item sd="0" m="1" x="698"/>
        <item sd="0" x="4"/>
        <item sd="0" m="1" x="760"/>
        <item sd="0" m="1" x="284"/>
        <item sd="0" m="1" x="270"/>
        <item sd="0" m="1" x="533"/>
        <item sd="0" x="189"/>
        <item sd="0" m="1" x="389"/>
        <item sd="0" m="1" x="351"/>
        <item sd="0" m="1" x="319"/>
        <item sd="0" m="1" x="736"/>
        <item sd="0" m="1" x="573"/>
        <item sd="0" m="1" x="706"/>
        <item sd="0" m="1" x="782"/>
        <item sd="0" x="181"/>
        <item sd="0" m="1" x="234"/>
        <item sd="0" m="1" x="361"/>
        <item sd="0" m="1" x="272"/>
        <item sd="0" m="1" x="567"/>
        <item sd="0" m="1" x="423"/>
        <item sd="0" m="1" x="383"/>
        <item sd="0" m="1" x="724"/>
        <item sd="0" m="1" x="343"/>
        <item sd="0" m="1" x="251"/>
        <item sd="0" m="1" x="332"/>
        <item sd="0" x="182"/>
        <item sd="0" m="1" x="513"/>
        <item sd="0" m="1" x="719"/>
        <item sd="0" x="214"/>
        <item sd="0" m="1" x="246"/>
        <item sd="0" m="1" x="558"/>
        <item sd="0" x="168"/>
        <item sd="0" m="1" x="356"/>
        <item sd="0" m="1" x="429"/>
        <item sd="0" m="1" x="540"/>
        <item sd="0" m="1" x="574"/>
        <item sd="0" m="1" x="265"/>
        <item sd="0" m="1" x="628"/>
        <item sd="0" m="1" x="349"/>
        <item sd="0" m="1" x="744"/>
        <item sd="0" m="1" x="609"/>
        <item sd="0" m="1" x="442"/>
        <item sd="0" m="1" x="324"/>
        <item sd="0" m="1" x="447"/>
        <item sd="0" x="114"/>
        <item sd="0" x="68"/>
        <item sd="0" x="12"/>
        <item sd="0" m="1" x="756"/>
        <item sd="0" m="1" x="723"/>
        <item sd="0" x="171"/>
        <item sd="0" m="1" x="615"/>
        <item sd="0" m="1" x="701"/>
        <item sd="0" x="76"/>
        <item sd="0" m="1" x="570"/>
        <item sd="0" x="78"/>
        <item sd="0" x="99"/>
        <item sd="0" m="1" x="581"/>
        <item sd="0" m="1" x="474"/>
        <item sd="0" m="1" x="603"/>
        <item sd="0" x="191"/>
        <item sd="0" m="1" x="384"/>
        <item sd="0" x="192"/>
        <item sd="0" m="1" x="461"/>
        <item sd="0" x="142"/>
        <item sd="0" x="81"/>
        <item sd="0" m="1" x="238"/>
        <item sd="0" x="108"/>
        <item sd="0" m="1" x="666"/>
        <item sd="0" x="129"/>
        <item sd="0" x="2"/>
        <item sd="0" m="1" x="757"/>
        <item sd="0" m="1" x="774"/>
        <item sd="0" m="1" x="611"/>
        <item sd="0" m="1" x="397"/>
        <item sd="0" x="77"/>
        <item sd="0" x="166"/>
        <item sd="0" m="1" x="230"/>
        <item sd="0" m="1" x="722"/>
        <item sd="0" x="122"/>
        <item sd="0" x="207"/>
        <item sd="0" m="1" x="470"/>
        <item sd="0" m="1" x="369"/>
        <item sd="0" m="1" x="373"/>
        <item sd="0" m="1" x="598"/>
        <item sd="0" x="21"/>
        <item sd="0" m="1" x="778"/>
        <item sd="0" m="1" x="480"/>
        <item sd="0" x="24"/>
        <item sd="0" m="1" x="614"/>
        <item sd="0" x="25"/>
        <item sd="0" x="109"/>
        <item sd="0" m="1" x="687"/>
        <item sd="0" m="1" x="565"/>
        <item sd="0" m="1" x="490"/>
        <item sd="0" m="1" x="641"/>
        <item sd="0" m="1" x="249"/>
        <item sd="0" m="1" x="516"/>
        <item sd="0" m="1" x="443"/>
        <item sd="0" m="1" x="358"/>
        <item sd="0" m="1" x="395"/>
        <item sd="0" m="1" x="402"/>
        <item sd="0" m="1" x="422"/>
        <item sd="0" m="1" x="686"/>
        <item sd="0" m="1" x="388"/>
        <item sd="0" m="1" x="285"/>
        <item sd="0" m="1" x="459"/>
        <item sd="0" m="1" x="714"/>
        <item sd="0" m="1" x="690"/>
        <item sd="0" m="1" x="339"/>
        <item sd="0" x="10"/>
        <item sd="0" m="1" x="642"/>
        <item sd="0" m="1" x="568"/>
        <item sd="0" m="1" x="377"/>
        <item sd="0" m="1" x="702"/>
        <item sd="0" m="1" x="412"/>
        <item sd="0" m="1" x="353"/>
        <item sd="0" x="5"/>
        <item sd="0" x="73"/>
        <item sd="0" x="217"/>
        <item sd="0" m="1" x="323"/>
        <item sd="0" m="1" x="754"/>
        <item sd="0" m="1" x="658"/>
        <item sd="0" x="14"/>
        <item sd="0" m="1" x="670"/>
        <item sd="0" m="1" x="419"/>
        <item sd="0" x="44"/>
        <item sd="0" m="1" x="287"/>
        <item sd="0" m="1" x="674"/>
        <item sd="0" m="1" x="260"/>
        <item sd="0" m="1" x="394"/>
        <item sd="0" m="1" x="376"/>
        <item sd="0" m="1" x="267"/>
        <item sd="0" m="1" x="271"/>
        <item sd="0" m="1" x="387"/>
        <item sd="0" m="1" x="289"/>
        <item sd="0" m="1" x="636"/>
        <item sd="0" m="1" x="458"/>
        <item sd="0" m="1" x="243"/>
        <item sd="0" x="219"/>
        <item sd="0" m="1" x="779"/>
        <item sd="0" m="1" x="767"/>
        <item sd="0" m="1" x="522"/>
        <item sd="0" x="185"/>
        <item sd="0" m="1" x="512"/>
        <item sd="0" m="1" x="367"/>
        <item sd="0" m="1" x="295"/>
        <item sd="0" m="1" x="693"/>
        <item sd="0" x="104"/>
        <item sd="0" m="1" x="631"/>
        <item sd="0" x="155"/>
        <item sd="0" m="1" x="504"/>
        <item sd="0" m="1" x="471"/>
        <item sd="0" x="162"/>
        <item sd="0" x="84"/>
        <item sd="0" m="1" x="482"/>
        <item sd="0" m="1" x="613"/>
        <item sd="0" m="1" x="612"/>
        <item sd="0" m="1" x="472"/>
        <item sd="0" m="1" x="337"/>
        <item sd="0" m="1" x="493"/>
        <item sd="0" m="1" x="478"/>
        <item sd="0" x="82"/>
        <item sd="0" x="100"/>
        <item sd="0" m="1" x="449"/>
        <item sd="0" m="1" x="771"/>
        <item sd="0" m="1" x="769"/>
        <item sd="0" x="149"/>
        <item sd="0" x="175"/>
        <item sd="0" m="1" x="391"/>
        <item sd="0" m="1" x="463"/>
        <item sd="0" m="1" x="379"/>
        <item sd="0" m="1" x="316"/>
        <item sd="0" m="1" x="315"/>
        <item sd="0" m="1" x="262"/>
        <item sd="0" m="1" x="740"/>
        <item sd="0" m="1" x="679"/>
        <item sd="0" m="1" x="667"/>
        <item sd="0" m="1" x="237"/>
        <item sd="0" m="1" x="428"/>
        <item sd="0" x="32"/>
        <item sd="0" m="1" x="344"/>
        <item sd="0" m="1" x="366"/>
        <item sd="0" m="1" x="257"/>
        <item sd="0" x="74"/>
        <item sd="0" m="1" x="536"/>
        <item sd="0" m="1" x="328"/>
        <item sd="0" m="1" x="743"/>
        <item sd="0" x="221"/>
        <item sd="0" m="1" x="407"/>
        <item sd="0" m="1" x="648"/>
        <item sd="0" m="1" x="227"/>
        <item sd="0" x="194"/>
        <item sd="0" x="124"/>
        <item sd="0" m="1" x="330"/>
        <item sd="0" m="1" x="269"/>
        <item sd="0" x="34"/>
        <item sd="0" x="222"/>
        <item sd="0" m="1" x="635"/>
        <item sd="0" m="1" x="720"/>
        <item sd="0" m="1" x="451"/>
        <item sd="0" m="1" x="225"/>
        <item sd="0" m="1" x="228"/>
        <item sd="0" x="133"/>
        <item sd="0" m="1" x="299"/>
        <item sd="0" m="1" x="300"/>
        <item sd="0" m="1" x="304"/>
        <item sd="0" m="1" x="378"/>
        <item sd="0" m="1" x="380"/>
        <item sd="0" x="62"/>
        <item sd="0" m="1" x="381"/>
        <item sd="0" x="86"/>
        <item sd="0" x="94"/>
        <item sd="0" x="143"/>
        <item sd="0" m="1" x="576"/>
        <item sd="0" m="1" x="454"/>
        <item sd="0" m="1" x="308"/>
        <item sd="0" m="1" x="436"/>
        <item sd="0" m="1" x="550"/>
        <item sd="0" x="13"/>
        <item sd="0" m="1" x="396"/>
        <item sd="0" m="1" x="747"/>
        <item sd="0" m="1" x="473"/>
        <item sd="0" x="195"/>
        <item sd="0" m="1" x="312"/>
        <item sd="0" m="1" x="588"/>
        <item sd="0" m="1" x="555"/>
        <item sd="0" m="1" x="283"/>
        <item sd="0" m="1" x="405"/>
        <item sd="0" x="164"/>
        <item sd="0" m="1" x="352"/>
        <item sd="0" x="106"/>
        <item sd="0" m="1" x="792"/>
        <item sd="0" m="1" x="439"/>
        <item sd="0" m="1" x="360"/>
        <item sd="0" x="1"/>
        <item sd="0" m="1" x="788"/>
        <item sd="0" m="1" x="515"/>
        <item sd="0" m="1" x="766"/>
        <item sd="0" m="1" x="677"/>
        <item sd="0" m="1" x="278"/>
        <item sd="0" x="31"/>
        <item sd="0" x="67"/>
        <item sd="0" m="1" x="729"/>
        <item sd="0" m="1" x="657"/>
        <item sd="0" x="223"/>
        <item sd="0" m="1" x="741"/>
        <item sd="0" x="213"/>
        <item sd="0" m="1" x="362"/>
        <item sd="0" m="1" x="716"/>
        <item sd="0" x="156"/>
        <item sd="0" m="1" x="762"/>
        <item sd="0" m="1" x="359"/>
        <item sd="0" x="65"/>
        <item sd="0" m="1" x="785"/>
        <item sd="0" m="1" x="460"/>
        <item sd="0" m="1" x="435"/>
        <item sd="0" m="1" x="691"/>
        <item sd="0" x="160"/>
        <item sd="0" m="1" x="479"/>
        <item sd="0" m="1" x="680"/>
        <item sd="0" m="1" x="643"/>
        <item sd="0" m="1" x="546"/>
        <item sd="0" x="101"/>
        <item sd="0" m="1" x="327"/>
        <item sd="0" m="1" x="526"/>
        <item sd="0" m="1" x="726"/>
        <item sd="0" x="105"/>
        <item sd="0" x="179"/>
        <item sd="0" x="121"/>
        <item sd="0" m="1" x="446"/>
        <item sd="0" m="1" x="464"/>
        <item sd="0" m="1" x="662"/>
        <item sd="0" m="1" x="543"/>
        <item sd="0" x="154"/>
        <item sd="0" m="1" x="529"/>
        <item sd="0" m="1" x="514"/>
        <item sd="0" x="107"/>
        <item sd="0" m="1" x="710"/>
        <item sd="0" m="1" x="587"/>
        <item sd="0" m="1" x="604"/>
        <item sd="0" x="163"/>
        <item sd="0" m="1" x="520"/>
        <item sd="0" m="1" x="489"/>
        <item sd="0" m="1" x="259"/>
        <item sd="0" m="1" x="632"/>
        <item sd="0" x="190"/>
        <item sd="0" m="1" x="770"/>
        <item sd="0" x="215"/>
        <item sd="0" m="1" x="236"/>
        <item sd="0" m="1" x="309"/>
        <item sd="0" x="110"/>
        <item sd="0" m="1" x="541"/>
        <item sd="0" m="1" x="630"/>
        <item sd="0" m="1" x="697"/>
        <item sd="0" m="1" x="775"/>
        <item sd="0" m="1" x="608"/>
        <item sd="0" m="1" x="448"/>
        <item sd="0" m="1" x="656"/>
        <item sd="0" m="1" x="301"/>
        <item sd="0" m="1" x="292"/>
        <item sd="0" m="1" x="715"/>
        <item sd="0" m="1" x="500"/>
        <item sd="0" m="1" x="600"/>
        <item sd="0" m="1" x="671"/>
        <item sd="0" m="1" x="467"/>
        <item sd="0" m="1" x="651"/>
        <item sd="0" m="1" x="293"/>
        <item sd="0" m="1" x="645"/>
        <item sd="0" m="1" x="704"/>
        <item sd="0" m="1" x="286"/>
        <item sd="0" m="1" x="382"/>
        <item sd="0" m="1" x="350"/>
        <item sd="0" x="184"/>
        <item sd="0" m="1" x="288"/>
        <item sd="0" m="1" x="372"/>
        <item sd="0" m="1" x="469"/>
        <item sd="0" m="1" x="789"/>
        <item sd="0" m="1" x="659"/>
        <item sd="0" m="1" x="347"/>
        <item sd="0" m="1" x="342"/>
        <item sd="0" m="1" x="682"/>
        <item sd="0" m="1" x="508"/>
        <item sd="0" m="1" x="784"/>
        <item sd="0" m="1" x="247"/>
        <item sd="0" m="1" x="398"/>
        <item sd="0" x="111"/>
        <item sd="0" m="1" x="254"/>
        <item sd="0" m="1" x="416"/>
        <item sd="0" m="1" x="660"/>
        <item sd="0" m="1" x="738"/>
        <item sd="0" m="1" x="452"/>
        <item sd="0" m="1" x="668"/>
        <item sd="0" x="118"/>
        <item sd="0" x="119"/>
        <item sd="0" m="1" x="503"/>
        <item sd="0" m="1" x="627"/>
        <item sd="0" m="1" x="499"/>
        <item sd="0" m="1" x="413"/>
        <item sd="0" x="187"/>
        <item sd="0" m="1" x="455"/>
        <item sd="0" m="1" x="440"/>
        <item sd="0" x="178"/>
        <item sd="0" m="1" x="331"/>
        <item sd="0" m="1" x="233"/>
        <item sd="0" m="1" x="572"/>
        <item sd="0" m="1" x="732"/>
        <item sd="0" m="1" x="450"/>
        <item sd="0" m="1" x="465"/>
        <item sd="0" m="1" x="787"/>
        <item sd="0" m="1" x="409"/>
        <item sd="0" m="1" x="610"/>
        <item sd="0" m="1" x="675"/>
        <item sd="0" m="1" x="417"/>
        <item sd="0" m="1" x="768"/>
        <item sd="0" m="1" x="532"/>
        <item sd="0" m="1" x="530"/>
        <item sd="0" m="1" x="730"/>
        <item sd="0" m="1" x="386"/>
        <item sd="0" m="1" x="410"/>
        <item sd="0" x="205"/>
        <item sd="0" m="1" x="616"/>
        <item sd="0" m="1" x="709"/>
        <item sd="0" m="1" x="268"/>
        <item sd="0" m="1" x="431"/>
        <item sd="0" m="1" x="506"/>
        <item sd="0" m="1" x="266"/>
        <item sd="0" x="126"/>
        <item sd="0" m="1" x="483"/>
        <item sd="0" m="1" x="776"/>
        <item sd="0" m="1" x="599"/>
        <item sd="0" m="1" x="354"/>
        <item sd="0" m="1" x="619"/>
        <item sd="0" m="1" x="240"/>
        <item sd="0" x="135"/>
        <item sd="0" m="1" x="492"/>
        <item sd="0" x="206"/>
        <item sd="0" m="1" x="411"/>
        <item sd="0" m="1" x="672"/>
        <item sd="0" m="1" x="415"/>
        <item sd="0" m="1" x="637"/>
        <item sd="0" m="1" x="427"/>
        <item sd="0" m="1" x="793"/>
        <item sd="0" m="1" x="650"/>
        <item sd="0" m="1" x="329"/>
        <item sd="0" x="224"/>
        <item sd="0" x="140"/>
        <item m="1" x="552"/>
        <item x="165"/>
        <item m="1" x="302"/>
        <item x="220"/>
        <item m="1" x="640"/>
        <item m="1" x="519"/>
        <item x="193"/>
        <item m="1" x="336"/>
        <item m="1" x="404"/>
        <item m="1" x="602"/>
        <item m="1" x="438"/>
        <item m="1" x="424"/>
        <item m="1" x="502"/>
        <item x="218"/>
        <item x="147"/>
        <item x="157"/>
        <item x="161"/>
        <item x="167"/>
        <item x="169"/>
        <item x="174"/>
        <item x="183"/>
        <item x="186"/>
        <item x="199"/>
        <item x="200"/>
        <item x="201"/>
        <item x="208"/>
        <item x="216"/>
        <item t="default" sd="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4" showAll="0"/>
    <pivotField numFmtId="3" showAll="0"/>
    <pivotField dataField="1" numFmtId="4" showAll="0"/>
    <pivotField showAll="0"/>
    <pivotField numFmtId="3"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3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0"/>
        <item sd="0" x="10"/>
        <item x="11"/>
        <item t="default" sd="0"/>
      </items>
    </pivotField>
  </pivotFields>
  <rowFields count="4">
    <field x="4"/>
    <field x="14"/>
    <field x="0"/>
    <field x="2"/>
  </rowFields>
  <rowItems count="243">
    <i>
      <x v="225"/>
    </i>
    <i>
      <x v="337"/>
    </i>
    <i>
      <x v="325"/>
    </i>
    <i>
      <x v="324"/>
    </i>
    <i>
      <x v="542"/>
    </i>
    <i>
      <x v="255"/>
    </i>
    <i>
      <x v="374"/>
    </i>
    <i>
      <x v="294"/>
    </i>
    <i>
      <x v="226"/>
    </i>
    <i>
      <x v="124"/>
    </i>
    <i>
      <x v="649"/>
    </i>
    <i>
      <x v="468"/>
    </i>
    <i>
      <x v="378"/>
    </i>
    <i>
      <x v="301"/>
    </i>
    <i>
      <x v="59"/>
    </i>
    <i>
      <x v="318"/>
    </i>
    <i>
      <x v="182"/>
    </i>
    <i>
      <x v="82"/>
    </i>
    <i>
      <x v="444"/>
    </i>
    <i>
      <x v="436"/>
    </i>
    <i>
      <x v="65"/>
    </i>
    <i>
      <x v="311"/>
    </i>
    <i>
      <x v="238"/>
    </i>
    <i>
      <x v="456"/>
    </i>
    <i>
      <x v="60"/>
    </i>
    <i>
      <x v="155"/>
    </i>
    <i>
      <x v="231"/>
    </i>
    <i>
      <x v="573"/>
    </i>
    <i>
      <x v="638"/>
    </i>
    <i>
      <x v="310"/>
    </i>
    <i>
      <x v="611"/>
    </i>
    <i>
      <x v="234"/>
    </i>
    <i>
      <x v="288"/>
    </i>
    <i>
      <x v="269"/>
    </i>
    <i>
      <x v="447"/>
    </i>
    <i>
      <x v="309"/>
    </i>
    <i>
      <x v="330"/>
    </i>
    <i>
      <x v="112"/>
    </i>
    <i>
      <x v="315"/>
    </i>
    <i>
      <x v="277"/>
    </i>
    <i>
      <x v="68"/>
    </i>
    <i>
      <x v="16"/>
    </i>
    <i>
      <x v="314"/>
    </i>
    <i>
      <x v="179"/>
    </i>
    <i>
      <x v="297"/>
    </i>
    <i>
      <x v="615"/>
    </i>
    <i>
      <x v="208"/>
    </i>
    <i>
      <x v="98"/>
    </i>
    <i>
      <x v="490"/>
    </i>
    <i>
      <x v="298"/>
    </i>
    <i>
      <x v="459"/>
    </i>
    <i>
      <x v="754"/>
    </i>
    <i>
      <x v="560"/>
    </i>
    <i>
      <x v="153"/>
    </i>
    <i>
      <x v="547"/>
    </i>
    <i>
      <x v="412"/>
    </i>
    <i>
      <x v="206"/>
    </i>
    <i>
      <x v="69"/>
    </i>
    <i>
      <x v="449"/>
    </i>
    <i>
      <x v="300"/>
    </i>
    <i>
      <x v="366"/>
    </i>
    <i>
      <x v="93"/>
    </i>
    <i>
      <x v="83"/>
    </i>
    <i>
      <x v="48"/>
    </i>
    <i>
      <x v="382"/>
    </i>
    <i>
      <x v="295"/>
    </i>
    <i>
      <x v="280"/>
    </i>
    <i>
      <x v="450"/>
    </i>
    <i>
      <x v="271"/>
    </i>
    <i>
      <x v="426"/>
    </i>
    <i>
      <x v="530"/>
    </i>
    <i>
      <x v="343"/>
    </i>
    <i>
      <x v="630"/>
    </i>
    <i>
      <x v="27"/>
    </i>
    <i>
      <x v="111"/>
    </i>
    <i>
      <x v="88"/>
    </i>
    <i>
      <x v="471"/>
    </i>
    <i>
      <x v="503"/>
    </i>
    <i>
      <x v="543"/>
    </i>
    <i>
      <x v="344"/>
    </i>
    <i>
      <x v="163"/>
    </i>
    <i>
      <x v="593"/>
    </i>
    <i>
      <x v="506"/>
    </i>
    <i>
      <x v="445"/>
    </i>
    <i>
      <x v="175"/>
    </i>
    <i>
      <x v="427"/>
    </i>
    <i>
      <x v="92"/>
    </i>
    <i>
      <x v="296"/>
    </i>
    <i>
      <x v="282"/>
    </i>
    <i>
      <x v="497"/>
    </i>
    <i>
      <x v="722"/>
    </i>
    <i>
      <x v="244"/>
    </i>
    <i>
      <x v="576"/>
    </i>
    <i>
      <x v="661"/>
    </i>
    <i>
      <x v="84"/>
    </i>
    <i>
      <x v="430"/>
    </i>
    <i>
      <x v="766"/>
    </i>
    <i>
      <x v="621"/>
    </i>
    <i>
      <x v="789"/>
    </i>
    <i r="1">
      <x v="10"/>
    </i>
    <i>
      <x v="308"/>
    </i>
    <i>
      <x v="599"/>
    </i>
    <i>
      <x v="21"/>
    </i>
    <i>
      <x v="312"/>
    </i>
    <i>
      <x v="425"/>
    </i>
    <i>
      <x v="548"/>
    </i>
    <i>
      <x v="210"/>
    </i>
    <i>
      <x v="313"/>
    </i>
    <i>
      <x v="498"/>
    </i>
    <i>
      <x v="184"/>
    </i>
    <i>
      <x v="58"/>
    </i>
    <i>
      <x v="747"/>
    </i>
    <i>
      <x v="101"/>
    </i>
    <i>
      <x v="51"/>
    </i>
    <i>
      <x v="564"/>
    </i>
    <i>
      <x v="369"/>
    </i>
    <i>
      <x v="103"/>
    </i>
    <i>
      <x v="435"/>
    </i>
    <i>
      <x v="113"/>
    </i>
    <i>
      <x v="224"/>
    </i>
    <i>
      <x v="332"/>
    </i>
    <i>
      <x v="104"/>
    </i>
    <i>
      <x v="609"/>
    </i>
    <i>
      <x v="322"/>
    </i>
    <i>
      <x v="568"/>
    </i>
    <i>
      <x v="237"/>
    </i>
    <i>
      <x v="460"/>
    </i>
    <i>
      <x v="455"/>
    </i>
    <i>
      <x v="470"/>
    </i>
    <i>
      <x v="773"/>
    </i>
    <i r="1">
      <x v="10"/>
    </i>
    <i>
      <x v="299"/>
    </i>
    <i>
      <x v="713"/>
    </i>
    <i>
      <x v="347"/>
    </i>
    <i>
      <x v="2"/>
    </i>
    <i>
      <x v="169"/>
    </i>
    <i>
      <x v="67"/>
    </i>
    <i>
      <x v="166"/>
    </i>
    <i>
      <x v="293"/>
    </i>
    <i>
      <x v="215"/>
    </i>
    <i>
      <x v="33"/>
    </i>
    <i>
      <x v="188"/>
    </i>
    <i>
      <x v="321"/>
    </i>
    <i>
      <x v="740"/>
    </i>
    <i>
      <x v="706"/>
    </i>
    <i>
      <x v="577"/>
    </i>
    <i>
      <x v="284"/>
    </i>
    <i>
      <x v="785"/>
    </i>
    <i r="1">
      <x v="10"/>
    </i>
    <i>
      <x v="714"/>
    </i>
    <i>
      <x v="622"/>
    </i>
    <i>
      <x v="211"/>
    </i>
    <i>
      <x v="465"/>
    </i>
    <i>
      <x v="323"/>
    </i>
    <i>
      <x v="319"/>
    </i>
    <i>
      <x v="499"/>
    </i>
    <i>
      <x v="395"/>
    </i>
    <i>
      <x v="160"/>
    </i>
    <i>
      <x v="227"/>
    </i>
    <i>
      <x v="528"/>
    </i>
    <i>
      <x v="648"/>
    </i>
    <i>
      <x v="291"/>
    </i>
    <i>
      <x v="572"/>
    </i>
    <i>
      <x v="533"/>
    </i>
    <i>
      <x v="668"/>
    </i>
    <i>
      <x v="523"/>
    </i>
    <i>
      <x v="780"/>
    </i>
    <i r="1">
      <x v="10"/>
    </i>
    <i>
      <x v="534"/>
    </i>
    <i>
      <x v="174"/>
    </i>
    <i>
      <x v="633"/>
    </i>
    <i>
      <x v="11"/>
    </i>
    <i>
      <x v="657"/>
    </i>
    <i>
      <x v="782"/>
    </i>
    <i r="1">
      <x v="10"/>
    </i>
    <i>
      <x v="214"/>
    </i>
    <i>
      <x v="267"/>
    </i>
    <i>
      <x v="768"/>
    </i>
    <i r="1">
      <x v="10"/>
    </i>
    <i>
      <x v="693"/>
    </i>
    <i>
      <x v="287"/>
    </i>
    <i>
      <x v="765"/>
    </i>
    <i>
      <x v="627"/>
    </i>
    <i>
      <x v="8"/>
    </i>
    <i>
      <x v="257"/>
    </i>
    <i>
      <x v="719"/>
    </i>
    <i>
      <x v="14"/>
    </i>
    <i>
      <x v="74"/>
    </i>
    <i>
      <x v="647"/>
    </i>
    <i>
      <x v="770"/>
    </i>
    <i r="1">
      <x v="10"/>
    </i>
    <i>
      <x v="317"/>
    </i>
    <i>
      <x v="387"/>
    </i>
    <i>
      <x v="643"/>
    </i>
    <i>
      <x v="589"/>
    </i>
    <i>
      <x v="783"/>
    </i>
    <i r="1">
      <x v="10"/>
    </i>
    <i>
      <x v="592"/>
    </i>
    <i>
      <x v="320"/>
    </i>
    <i>
      <x v="191"/>
    </i>
    <i>
      <x v="442"/>
    </i>
    <i>
      <x v="792"/>
    </i>
    <i r="1">
      <x v="10"/>
    </i>
    <i>
      <x v="519"/>
    </i>
    <i>
      <x v="377"/>
    </i>
    <i>
      <x v="787"/>
    </i>
    <i r="1">
      <x v="10"/>
    </i>
    <i>
      <x v="170"/>
    </i>
    <i>
      <x v="666"/>
    </i>
    <i>
      <x v="433"/>
    </i>
    <i>
      <x v="203"/>
    </i>
    <i>
      <x v="292"/>
    </i>
    <i>
      <x v="603"/>
    </i>
    <i>
      <x v="331"/>
    </i>
    <i>
      <x v="358"/>
    </i>
    <i>
      <x v="409"/>
    </i>
    <i>
      <x v="781"/>
    </i>
    <i r="1">
      <x v="10"/>
    </i>
    <i>
      <x v="790"/>
    </i>
    <i r="1">
      <x v="10"/>
    </i>
    <i>
      <x v="109"/>
    </i>
    <i>
      <x v="654"/>
    </i>
    <i>
      <x v="784"/>
    </i>
    <i r="1">
      <x v="10"/>
    </i>
    <i>
      <x v="786"/>
    </i>
    <i r="1">
      <x v="10"/>
    </i>
    <i>
      <x v="756"/>
    </i>
    <i>
      <x v="440"/>
    </i>
    <i>
      <x v="583"/>
    </i>
    <i>
      <x v="406"/>
    </i>
    <i>
      <x v="791"/>
    </i>
    <i r="1">
      <x v="10"/>
    </i>
    <i>
      <x v="53"/>
    </i>
    <i>
      <x v="334"/>
    </i>
    <i>
      <x v="788"/>
    </i>
    <i r="1">
      <x v="10"/>
    </i>
    <i>
      <x v="591"/>
    </i>
    <i>
      <x v="23"/>
    </i>
    <i>
      <x v="793"/>
    </i>
    <i r="1">
      <x v="10"/>
    </i>
    <i>
      <x v="671"/>
    </i>
    <i>
      <x v="625"/>
    </i>
    <i t="grand">
      <x/>
    </i>
  </rowItems>
  <colFields count="1">
    <field x="-2"/>
  </colFields>
  <colItems count="2">
    <i>
      <x/>
    </i>
    <i i="1">
      <x v="1"/>
    </i>
  </colItems>
  <dataFields count="2">
    <dataField name="R$ Vencido" fld="7" baseField="14" baseItem="1" numFmtId="43"/>
    <dataField name="%Rep" fld="7" showDataAs="percentOfTotal" baseField="14" baseItem="11" numFmtId="10"/>
  </dataFields>
  <formats count="249">
    <format dxfId="268">
      <pivotArea outline="0" collapsedLevelsAreSubtotals="1" fieldPosition="0"/>
    </format>
    <format dxfId="267">
      <pivotArea outline="0" fieldPosition="0">
        <references count="1">
          <reference field="4294967294" count="1">
            <x v="1"/>
          </reference>
        </references>
      </pivotArea>
    </format>
    <format dxfId="266">
      <pivotArea field="4" type="button" dataOnly="0" labelOnly="1" outline="0" axis="axisRow" fieldPosition="0"/>
    </format>
    <format dxfId="2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4">
      <pivotArea field="4" type="button" dataOnly="0" labelOnly="1" outline="0" axis="axisRow" fieldPosition="0"/>
    </format>
    <format dxfId="2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2">
      <pivotArea collapsedLevelsAreSubtotals="1" fieldPosition="0">
        <references count="1">
          <reference field="4" count="1">
            <x v="541"/>
          </reference>
        </references>
      </pivotArea>
    </format>
    <format dxfId="261">
      <pivotArea dataOnly="0" labelOnly="1" fieldPosition="0">
        <references count="1">
          <reference field="4" count="1">
            <x v="541"/>
          </reference>
        </references>
      </pivotArea>
    </format>
    <format dxfId="260">
      <pivotArea collapsedLevelsAreSubtotals="1" fieldPosition="0">
        <references count="1">
          <reference field="4" count="1">
            <x v="557"/>
          </reference>
        </references>
      </pivotArea>
    </format>
    <format dxfId="259">
      <pivotArea dataOnly="0" labelOnly="1" fieldPosition="0">
        <references count="1">
          <reference field="4" count="1">
            <x v="557"/>
          </reference>
        </references>
      </pivotArea>
    </format>
    <format dxfId="258">
      <pivotArea collapsedLevelsAreSubtotals="1" fieldPosition="0">
        <references count="1">
          <reference field="4" count="1">
            <x v="606"/>
          </reference>
        </references>
      </pivotArea>
    </format>
    <format dxfId="257">
      <pivotArea dataOnly="0" labelOnly="1" fieldPosition="0">
        <references count="1">
          <reference field="4" count="1">
            <x v="606"/>
          </reference>
        </references>
      </pivotArea>
    </format>
    <format dxfId="256">
      <pivotArea collapsedLevelsAreSubtotals="1" fieldPosition="0">
        <references count="1">
          <reference field="4" count="1">
            <x v="505"/>
          </reference>
        </references>
      </pivotArea>
    </format>
    <format dxfId="255">
      <pivotArea dataOnly="0" labelOnly="1" fieldPosition="0">
        <references count="1">
          <reference field="4" count="1">
            <x v="505"/>
          </reference>
        </references>
      </pivotArea>
    </format>
    <format dxfId="254">
      <pivotArea collapsedLevelsAreSubtotals="1" fieldPosition="0">
        <references count="1">
          <reference field="4" count="1">
            <x v="6"/>
          </reference>
        </references>
      </pivotArea>
    </format>
    <format dxfId="253">
      <pivotArea dataOnly="0" labelOnly="1" fieldPosition="0">
        <references count="1">
          <reference field="4" count="1">
            <x v="6"/>
          </reference>
        </references>
      </pivotArea>
    </format>
    <format dxfId="252">
      <pivotArea collapsedLevelsAreSubtotals="1" fieldPosition="0">
        <references count="1">
          <reference field="4" count="1">
            <x v="12"/>
          </reference>
        </references>
      </pivotArea>
    </format>
    <format dxfId="251">
      <pivotArea dataOnly="0" labelOnly="1" fieldPosition="0">
        <references count="1">
          <reference field="4" count="1">
            <x v="12"/>
          </reference>
        </references>
      </pivotArea>
    </format>
    <format dxfId="250">
      <pivotArea collapsedLevelsAreSubtotals="1" fieldPosition="0">
        <references count="1">
          <reference field="4" count="1">
            <x v="35"/>
          </reference>
        </references>
      </pivotArea>
    </format>
    <format dxfId="249">
      <pivotArea dataOnly="0" labelOnly="1" fieldPosition="0">
        <references count="1">
          <reference field="4" count="1">
            <x v="35"/>
          </reference>
        </references>
      </pivotArea>
    </format>
    <format dxfId="248">
      <pivotArea collapsedLevelsAreSubtotals="1" fieldPosition="0">
        <references count="1">
          <reference field="4" count="1">
            <x v="102"/>
          </reference>
        </references>
      </pivotArea>
    </format>
    <format dxfId="247">
      <pivotArea dataOnly="0" labelOnly="1" fieldPosition="0">
        <references count="1">
          <reference field="4" count="1">
            <x v="102"/>
          </reference>
        </references>
      </pivotArea>
    </format>
    <format dxfId="246">
      <pivotArea collapsedLevelsAreSubtotals="1" fieldPosition="0">
        <references count="1">
          <reference field="4" count="1">
            <x v="110"/>
          </reference>
        </references>
      </pivotArea>
    </format>
    <format dxfId="245">
      <pivotArea dataOnly="0" labelOnly="1" fieldPosition="0">
        <references count="1">
          <reference field="4" count="1">
            <x v="110"/>
          </reference>
        </references>
      </pivotArea>
    </format>
    <format dxfId="244">
      <pivotArea collapsedLevelsAreSubtotals="1" fieldPosition="0">
        <references count="1">
          <reference field="4" count="1">
            <x v="114"/>
          </reference>
        </references>
      </pivotArea>
    </format>
    <format dxfId="243">
      <pivotArea dataOnly="0" labelOnly="1" fieldPosition="0">
        <references count="1">
          <reference field="4" count="1">
            <x v="114"/>
          </reference>
        </references>
      </pivotArea>
    </format>
    <format dxfId="242">
      <pivotArea collapsedLevelsAreSubtotals="1" fieldPosition="0">
        <references count="1">
          <reference field="4" count="1">
            <x v="164"/>
          </reference>
        </references>
      </pivotArea>
    </format>
    <format dxfId="241">
      <pivotArea dataOnly="0" labelOnly="1" fieldPosition="0">
        <references count="1">
          <reference field="4" count="1">
            <x v="164"/>
          </reference>
        </references>
      </pivotArea>
    </format>
    <format dxfId="240">
      <pivotArea collapsedLevelsAreSubtotals="1" fieldPosition="0">
        <references count="1">
          <reference field="4" count="1">
            <x v="187"/>
          </reference>
        </references>
      </pivotArea>
    </format>
    <format dxfId="239">
      <pivotArea dataOnly="0" labelOnly="1" fieldPosition="0">
        <references count="1">
          <reference field="4" count="1">
            <x v="187"/>
          </reference>
        </references>
      </pivotArea>
    </format>
    <format dxfId="238">
      <pivotArea collapsedLevelsAreSubtotals="1" fieldPosition="0">
        <references count="1">
          <reference field="4" count="1">
            <x v="190"/>
          </reference>
        </references>
      </pivotArea>
    </format>
    <format dxfId="237">
      <pivotArea dataOnly="0" labelOnly="1" fieldPosition="0">
        <references count="1">
          <reference field="4" count="1">
            <x v="190"/>
          </reference>
        </references>
      </pivotArea>
    </format>
    <format dxfId="236">
      <pivotArea collapsedLevelsAreSubtotals="1" fieldPosition="0">
        <references count="1">
          <reference field="4" count="1">
            <x v="223"/>
          </reference>
        </references>
      </pivotArea>
    </format>
    <format dxfId="235">
      <pivotArea dataOnly="0" labelOnly="1" fieldPosition="0">
        <references count="1">
          <reference field="4" count="1">
            <x v="223"/>
          </reference>
        </references>
      </pivotArea>
    </format>
    <format dxfId="234">
      <pivotArea collapsedLevelsAreSubtotals="1" fieldPosition="0">
        <references count="1">
          <reference field="4" count="1">
            <x v="235"/>
          </reference>
        </references>
      </pivotArea>
    </format>
    <format dxfId="233">
      <pivotArea dataOnly="0" labelOnly="1" fieldPosition="0">
        <references count="1">
          <reference field="4" count="1">
            <x v="235"/>
          </reference>
        </references>
      </pivotArea>
    </format>
    <format dxfId="232">
      <pivotArea collapsedLevelsAreSubtotals="1" fieldPosition="0">
        <references count="1">
          <reference field="4" count="1">
            <x v="243"/>
          </reference>
        </references>
      </pivotArea>
    </format>
    <format dxfId="231">
      <pivotArea dataOnly="0" labelOnly="1" fieldPosition="0">
        <references count="1">
          <reference field="4" count="1">
            <x v="243"/>
          </reference>
        </references>
      </pivotArea>
    </format>
    <format dxfId="230">
      <pivotArea collapsedLevelsAreSubtotals="1" fieldPosition="0">
        <references count="1">
          <reference field="4" count="1">
            <x v="270"/>
          </reference>
        </references>
      </pivotArea>
    </format>
    <format dxfId="229">
      <pivotArea dataOnly="0" labelOnly="1" fieldPosition="0">
        <references count="1">
          <reference field="4" count="1">
            <x v="270"/>
          </reference>
        </references>
      </pivotArea>
    </format>
    <format dxfId="228">
      <pivotArea collapsedLevelsAreSubtotals="1" fieldPosition="0">
        <references count="1">
          <reference field="4" count="1">
            <x v="508"/>
          </reference>
        </references>
      </pivotArea>
    </format>
    <format dxfId="227">
      <pivotArea dataOnly="0" labelOnly="1" fieldPosition="0">
        <references count="1">
          <reference field="4" count="1">
            <x v="508"/>
          </reference>
        </references>
      </pivotArea>
    </format>
    <format dxfId="226">
      <pivotArea collapsedLevelsAreSubtotals="1" fieldPosition="0">
        <references count="1">
          <reference field="4" count="1">
            <x v="518"/>
          </reference>
        </references>
      </pivotArea>
    </format>
    <format dxfId="225">
      <pivotArea dataOnly="0" labelOnly="1" fieldPosition="0">
        <references count="1">
          <reference field="4" count="1">
            <x v="518"/>
          </reference>
        </references>
      </pivotArea>
    </format>
    <format dxfId="224">
      <pivotArea collapsedLevelsAreSubtotals="1" fieldPosition="0">
        <references count="1">
          <reference field="4" count="1">
            <x v="415"/>
          </reference>
        </references>
      </pivotArea>
    </format>
    <format dxfId="223">
      <pivotArea dataOnly="0" labelOnly="1" fieldPosition="0">
        <references count="1">
          <reference field="4" count="1">
            <x v="415"/>
          </reference>
        </references>
      </pivotArea>
    </format>
    <format dxfId="222">
      <pivotArea collapsedLevelsAreSubtotals="1" fieldPosition="0">
        <references count="1">
          <reference field="4" count="1">
            <x v="154"/>
          </reference>
        </references>
      </pivotArea>
    </format>
    <format dxfId="221">
      <pivotArea dataOnly="0" labelOnly="1" fieldPosition="0">
        <references count="1">
          <reference field="4" count="1">
            <x v="154"/>
          </reference>
        </references>
      </pivotArea>
    </format>
    <format dxfId="220">
      <pivotArea collapsedLevelsAreSubtotals="1" fieldPosition="0">
        <references count="1">
          <reference field="4" count="1">
            <x v="283"/>
          </reference>
        </references>
      </pivotArea>
    </format>
    <format dxfId="219">
      <pivotArea dataOnly="0" labelOnly="1" fieldPosition="0">
        <references count="1">
          <reference field="4" count="1">
            <x v="283"/>
          </reference>
        </references>
      </pivotArea>
    </format>
    <format dxfId="218">
      <pivotArea dataOnly="0" fieldPosition="0">
        <references count="1">
          <reference field="4" count="1">
            <x v="325"/>
          </reference>
        </references>
      </pivotArea>
    </format>
    <format dxfId="217">
      <pivotArea dataOnly="0" fieldPosition="0">
        <references count="1">
          <reference field="4" count="1">
            <x v="311"/>
          </reference>
        </references>
      </pivotArea>
    </format>
    <format dxfId="216">
      <pivotArea collapsedLevelsAreSubtotals="1" fieldPosition="0">
        <references count="1">
          <reference field="4" count="1">
            <x v="16"/>
          </reference>
        </references>
      </pivotArea>
    </format>
    <format dxfId="215">
      <pivotArea collapsedLevelsAreSubtotals="1" fieldPosition="0">
        <references count="1">
          <reference field="4" count="1">
            <x v="21"/>
          </reference>
        </references>
      </pivotArea>
    </format>
    <format dxfId="214">
      <pivotArea collapsedLevelsAreSubtotals="1" fieldPosition="0">
        <references count="1">
          <reference field="4" count="1">
            <x v="27"/>
          </reference>
        </references>
      </pivotArea>
    </format>
    <format dxfId="213">
      <pivotArea collapsedLevelsAreSubtotals="1" fieldPosition="0">
        <references count="1">
          <reference field="4" count="1">
            <x v="28"/>
          </reference>
        </references>
      </pivotArea>
    </format>
    <format dxfId="212">
      <pivotArea collapsedLevelsAreSubtotals="1" fieldPosition="0">
        <references count="1">
          <reference field="4" count="1">
            <x v="30"/>
          </reference>
        </references>
      </pivotArea>
    </format>
    <format dxfId="211">
      <pivotArea collapsedLevelsAreSubtotals="1" fieldPosition="0">
        <references count="1">
          <reference field="4" count="1">
            <x v="48"/>
          </reference>
        </references>
      </pivotArea>
    </format>
    <format dxfId="210">
      <pivotArea collapsedLevelsAreSubtotals="1" fieldPosition="0">
        <references count="1">
          <reference field="4" count="1">
            <x v="51"/>
          </reference>
        </references>
      </pivotArea>
    </format>
    <format dxfId="209">
      <pivotArea collapsedLevelsAreSubtotals="1" fieldPosition="0">
        <references count="1">
          <reference field="4" count="1">
            <x v="53"/>
          </reference>
        </references>
      </pivotArea>
    </format>
    <format dxfId="208">
      <pivotArea collapsedLevelsAreSubtotals="1" fieldPosition="0">
        <references count="1">
          <reference field="4" count="1">
            <x v="58"/>
          </reference>
        </references>
      </pivotArea>
    </format>
    <format dxfId="207">
      <pivotArea collapsedLevelsAreSubtotals="1" fieldPosition="0">
        <references count="1">
          <reference field="4" count="1">
            <x v="59"/>
          </reference>
        </references>
      </pivotArea>
    </format>
    <format dxfId="206">
      <pivotArea collapsedLevelsAreSubtotals="1" fieldPosition="0">
        <references count="1">
          <reference field="4" count="1">
            <x v="60"/>
          </reference>
        </references>
      </pivotArea>
    </format>
    <format dxfId="205">
      <pivotArea collapsedLevelsAreSubtotals="1" fieldPosition="0">
        <references count="1">
          <reference field="4" count="1">
            <x v="62"/>
          </reference>
        </references>
      </pivotArea>
    </format>
    <format dxfId="204">
      <pivotArea collapsedLevelsAreSubtotals="1" fieldPosition="0">
        <references count="1">
          <reference field="4" count="1">
            <x v="65"/>
          </reference>
        </references>
      </pivotArea>
    </format>
    <format dxfId="203">
      <pivotArea collapsedLevelsAreSubtotals="1" fieldPosition="0">
        <references count="1">
          <reference field="4" count="1">
            <x v="67"/>
          </reference>
        </references>
      </pivotArea>
    </format>
    <format dxfId="202">
      <pivotArea collapsedLevelsAreSubtotals="1" fieldPosition="0">
        <references count="1">
          <reference field="4" count="1">
            <x v="68"/>
          </reference>
        </references>
      </pivotArea>
    </format>
    <format dxfId="201">
      <pivotArea collapsedLevelsAreSubtotals="1" fieldPosition="0">
        <references count="1">
          <reference field="4" count="1">
            <x v="69"/>
          </reference>
        </references>
      </pivotArea>
    </format>
    <format dxfId="200">
      <pivotArea collapsedLevelsAreSubtotals="1" fieldPosition="0">
        <references count="1">
          <reference field="4" count="1">
            <x v="74"/>
          </reference>
        </references>
      </pivotArea>
    </format>
    <format dxfId="199">
      <pivotArea collapsedLevelsAreSubtotals="1" fieldPosition="0">
        <references count="1">
          <reference field="4" count="1">
            <x v="82"/>
          </reference>
        </references>
      </pivotArea>
    </format>
    <format dxfId="198">
      <pivotArea collapsedLevelsAreSubtotals="1" fieldPosition="0">
        <references count="1">
          <reference field="4" count="1">
            <x v="83"/>
          </reference>
        </references>
      </pivotArea>
    </format>
    <format dxfId="197">
      <pivotArea collapsedLevelsAreSubtotals="1" fieldPosition="0">
        <references count="1">
          <reference field="4" count="1">
            <x v="84"/>
          </reference>
        </references>
      </pivotArea>
    </format>
    <format dxfId="196">
      <pivotArea collapsedLevelsAreSubtotals="1" fieldPosition="0">
        <references count="1">
          <reference field="4" count="1">
            <x v="92"/>
          </reference>
        </references>
      </pivotArea>
    </format>
    <format dxfId="195">
      <pivotArea collapsedLevelsAreSubtotals="1" fieldPosition="0">
        <references count="1">
          <reference field="4" count="1">
            <x v="93"/>
          </reference>
        </references>
      </pivotArea>
    </format>
    <format dxfId="194">
      <pivotArea collapsedLevelsAreSubtotals="1" fieldPosition="0">
        <references count="1">
          <reference field="4" count="1">
            <x v="98"/>
          </reference>
        </references>
      </pivotArea>
    </format>
    <format dxfId="193">
      <pivotArea collapsedLevelsAreSubtotals="1" fieldPosition="0">
        <references count="1">
          <reference field="4" count="1">
            <x v="101"/>
          </reference>
        </references>
      </pivotArea>
    </format>
    <format dxfId="192">
      <pivotArea collapsedLevelsAreSubtotals="1" fieldPosition="0">
        <references count="1">
          <reference field="4" count="1">
            <x v="103"/>
          </reference>
        </references>
      </pivotArea>
    </format>
    <format dxfId="191">
      <pivotArea collapsedLevelsAreSubtotals="1" fieldPosition="0">
        <references count="1">
          <reference field="4" count="1">
            <x v="104"/>
          </reference>
        </references>
      </pivotArea>
    </format>
    <format dxfId="190">
      <pivotArea collapsedLevelsAreSubtotals="1" fieldPosition="0">
        <references count="1">
          <reference field="4" count="1">
            <x v="109"/>
          </reference>
        </references>
      </pivotArea>
    </format>
    <format dxfId="189">
      <pivotArea collapsedLevelsAreSubtotals="1" fieldPosition="0">
        <references count="1">
          <reference field="4" count="1">
            <x v="111"/>
          </reference>
        </references>
      </pivotArea>
    </format>
    <format dxfId="188">
      <pivotArea collapsedLevelsAreSubtotals="1" fieldPosition="0">
        <references count="1">
          <reference field="4" count="1">
            <x v="112"/>
          </reference>
        </references>
      </pivotArea>
    </format>
    <format dxfId="187">
      <pivotArea collapsedLevelsAreSubtotals="1" fieldPosition="0">
        <references count="1">
          <reference field="4" count="1">
            <x v="113"/>
          </reference>
        </references>
      </pivotArea>
    </format>
    <format dxfId="186">
      <pivotArea collapsedLevelsAreSubtotals="1" fieldPosition="0">
        <references count="1">
          <reference field="4" count="1">
            <x v="120"/>
          </reference>
        </references>
      </pivotArea>
    </format>
    <format dxfId="185">
      <pivotArea collapsedLevelsAreSubtotals="1" fieldPosition="0">
        <references count="1">
          <reference field="4" count="1">
            <x v="121"/>
          </reference>
        </references>
      </pivotArea>
    </format>
    <format dxfId="184">
      <pivotArea collapsedLevelsAreSubtotals="1" fieldPosition="0">
        <references count="1">
          <reference field="4" count="1">
            <x v="124"/>
          </reference>
        </references>
      </pivotArea>
    </format>
    <format dxfId="183">
      <pivotArea collapsedLevelsAreSubtotals="1" fieldPosition="0">
        <references count="1">
          <reference field="4" count="1">
            <x v="130"/>
          </reference>
        </references>
      </pivotArea>
    </format>
    <format dxfId="182">
      <pivotArea collapsedLevelsAreSubtotals="1" fieldPosition="0">
        <references count="1">
          <reference field="4" count="1">
            <x v="135"/>
          </reference>
        </references>
      </pivotArea>
    </format>
    <format dxfId="181">
      <pivotArea collapsedLevelsAreSubtotals="1" fieldPosition="0">
        <references count="1">
          <reference field="4" count="1">
            <x v="136"/>
          </reference>
        </references>
      </pivotArea>
    </format>
    <format dxfId="180">
      <pivotArea collapsedLevelsAreSubtotals="1" fieldPosition="0">
        <references count="1">
          <reference field="4" count="1">
            <x v="138"/>
          </reference>
        </references>
      </pivotArea>
    </format>
    <format dxfId="179">
      <pivotArea collapsedLevelsAreSubtotals="1" fieldPosition="0">
        <references count="1">
          <reference field="4" count="1">
            <x v="149"/>
          </reference>
        </references>
      </pivotArea>
    </format>
    <format dxfId="178">
      <pivotArea collapsedLevelsAreSubtotals="1" fieldPosition="0">
        <references count="1">
          <reference field="4" count="1">
            <x v="153"/>
          </reference>
        </references>
      </pivotArea>
    </format>
    <format dxfId="177">
      <pivotArea collapsedLevelsAreSubtotals="1" fieldPosition="0">
        <references count="1">
          <reference field="4" count="1">
            <x v="155"/>
          </reference>
        </references>
      </pivotArea>
    </format>
    <format dxfId="176">
      <pivotArea collapsedLevelsAreSubtotals="1" fieldPosition="0">
        <references count="1">
          <reference field="4" count="1">
            <x v="160"/>
          </reference>
        </references>
      </pivotArea>
    </format>
    <format dxfId="175">
      <pivotArea collapsedLevelsAreSubtotals="1" fieldPosition="0">
        <references count="1">
          <reference field="4" count="1">
            <x v="163"/>
          </reference>
        </references>
      </pivotArea>
    </format>
    <format dxfId="174">
      <pivotArea collapsedLevelsAreSubtotals="1" fieldPosition="0">
        <references count="1">
          <reference field="4" count="1">
            <x v="169"/>
          </reference>
        </references>
      </pivotArea>
    </format>
    <format dxfId="173">
      <pivotArea collapsedLevelsAreSubtotals="1" fieldPosition="0">
        <references count="1">
          <reference field="4" count="1">
            <x v="171"/>
          </reference>
        </references>
      </pivotArea>
    </format>
    <format dxfId="172">
      <pivotArea collapsedLevelsAreSubtotals="1" fieldPosition="0">
        <references count="1">
          <reference field="4" count="1">
            <x v="175"/>
          </reference>
        </references>
      </pivotArea>
    </format>
    <format dxfId="171">
      <pivotArea collapsedLevelsAreSubtotals="1" fieldPosition="0">
        <references count="1">
          <reference field="4" count="1">
            <x v="179"/>
          </reference>
        </references>
      </pivotArea>
    </format>
    <format dxfId="170">
      <pivotArea collapsedLevelsAreSubtotals="1" fieldPosition="0">
        <references count="1">
          <reference field="4" count="1">
            <x v="182"/>
          </reference>
        </references>
      </pivotArea>
    </format>
    <format dxfId="169">
      <pivotArea collapsedLevelsAreSubtotals="1" fieldPosition="0">
        <references count="1">
          <reference field="4" count="1">
            <x v="184"/>
          </reference>
        </references>
      </pivotArea>
    </format>
    <format dxfId="168">
      <pivotArea collapsedLevelsAreSubtotals="1" fieldPosition="0">
        <references count="1">
          <reference field="4" count="1">
            <x v="188"/>
          </reference>
        </references>
      </pivotArea>
    </format>
    <format dxfId="167">
      <pivotArea collapsedLevelsAreSubtotals="1" fieldPosition="0">
        <references count="1">
          <reference field="4" count="1">
            <x v="189"/>
          </reference>
        </references>
      </pivotArea>
    </format>
    <format dxfId="166">
      <pivotArea collapsedLevelsAreSubtotals="1" fieldPosition="0">
        <references count="1">
          <reference field="4" count="1">
            <x v="191"/>
          </reference>
        </references>
      </pivotArea>
    </format>
    <format dxfId="165">
      <pivotArea collapsedLevelsAreSubtotals="1" fieldPosition="0">
        <references count="1">
          <reference field="4" count="1">
            <x v="192"/>
          </reference>
        </references>
      </pivotArea>
    </format>
    <format dxfId="164">
      <pivotArea collapsedLevelsAreSubtotals="1" fieldPosition="0">
        <references count="1">
          <reference field="4" count="1">
            <x v="196"/>
          </reference>
        </references>
      </pivotArea>
    </format>
    <format dxfId="163">
      <pivotArea collapsedLevelsAreSubtotals="1" fieldPosition="0">
        <references count="1">
          <reference field="4" count="1">
            <x v="197"/>
          </reference>
        </references>
      </pivotArea>
    </format>
    <format dxfId="162">
      <pivotArea collapsedLevelsAreSubtotals="1" fieldPosition="0">
        <references count="1">
          <reference field="4" count="1">
            <x v="199"/>
          </reference>
        </references>
      </pivotArea>
    </format>
    <format dxfId="161">
      <pivotArea collapsedLevelsAreSubtotals="1" fieldPosition="0">
        <references count="1">
          <reference field="4" count="1">
            <x v="201"/>
          </reference>
        </references>
      </pivotArea>
    </format>
    <format dxfId="160">
      <pivotArea collapsedLevelsAreSubtotals="1" fieldPosition="0">
        <references count="1">
          <reference field="4" count="1">
            <x v="202"/>
          </reference>
        </references>
      </pivotArea>
    </format>
    <format dxfId="159">
      <pivotArea collapsedLevelsAreSubtotals="1" fieldPosition="0">
        <references count="1">
          <reference field="4" count="1">
            <x v="203"/>
          </reference>
        </references>
      </pivotArea>
    </format>
    <format dxfId="158">
      <pivotArea collapsedLevelsAreSubtotals="1" fieldPosition="0">
        <references count="1">
          <reference field="4" count="1">
            <x v="206"/>
          </reference>
        </references>
      </pivotArea>
    </format>
    <format dxfId="157">
      <pivotArea collapsedLevelsAreSubtotals="1" fieldPosition="0">
        <references count="1">
          <reference field="4" count="1">
            <x v="208"/>
          </reference>
        </references>
      </pivotArea>
    </format>
    <format dxfId="156">
      <pivotArea collapsedLevelsAreSubtotals="1" fieldPosition="0">
        <references count="1">
          <reference field="4" count="1">
            <x v="210"/>
          </reference>
        </references>
      </pivotArea>
    </format>
    <format dxfId="155">
      <pivotArea collapsedLevelsAreSubtotals="1" fieldPosition="0">
        <references count="1">
          <reference field="4" count="1">
            <x v="213"/>
          </reference>
        </references>
      </pivotArea>
    </format>
    <format dxfId="154">
      <pivotArea collapsedLevelsAreSubtotals="1" fieldPosition="0">
        <references count="1">
          <reference field="4" count="1">
            <x v="214"/>
          </reference>
        </references>
      </pivotArea>
    </format>
    <format dxfId="153">
      <pivotArea collapsedLevelsAreSubtotals="1" fieldPosition="0">
        <references count="1">
          <reference field="4" count="1">
            <x v="215"/>
          </reference>
        </references>
      </pivotArea>
    </format>
    <format dxfId="152">
      <pivotArea collapsedLevelsAreSubtotals="1" fieldPosition="0">
        <references count="1">
          <reference field="4" count="1">
            <x v="225"/>
          </reference>
        </references>
      </pivotArea>
    </format>
    <format dxfId="151">
      <pivotArea collapsedLevelsAreSubtotals="1" fieldPosition="0">
        <references count="1">
          <reference field="4" count="1">
            <x v="226"/>
          </reference>
        </references>
      </pivotArea>
    </format>
    <format dxfId="150">
      <pivotArea collapsedLevelsAreSubtotals="1" fieldPosition="0">
        <references count="1">
          <reference field="4" count="1">
            <x v="227"/>
          </reference>
        </references>
      </pivotArea>
    </format>
    <format dxfId="149">
      <pivotArea collapsedLevelsAreSubtotals="1" fieldPosition="0">
        <references count="1">
          <reference field="4" count="1">
            <x v="231"/>
          </reference>
        </references>
      </pivotArea>
    </format>
    <format dxfId="148">
      <pivotArea collapsedLevelsAreSubtotals="1" fieldPosition="0">
        <references count="1">
          <reference field="4" count="1">
            <x v="232"/>
          </reference>
        </references>
      </pivotArea>
    </format>
    <format dxfId="147">
      <pivotArea collapsedLevelsAreSubtotals="1" fieldPosition="0">
        <references count="1">
          <reference field="4" count="1">
            <x v="234"/>
          </reference>
        </references>
      </pivotArea>
    </format>
    <format dxfId="146">
      <pivotArea collapsedLevelsAreSubtotals="1" fieldPosition="0">
        <references count="1">
          <reference field="4" count="1">
            <x v="238"/>
          </reference>
        </references>
      </pivotArea>
    </format>
    <format dxfId="145">
      <pivotArea collapsedLevelsAreSubtotals="1" fieldPosition="0">
        <references count="1">
          <reference field="4" count="1">
            <x v="244"/>
          </reference>
        </references>
      </pivotArea>
    </format>
    <format dxfId="144">
      <pivotArea collapsedLevelsAreSubtotals="1" fieldPosition="0">
        <references count="1">
          <reference field="4" count="1">
            <x v="255"/>
          </reference>
        </references>
      </pivotArea>
    </format>
    <format dxfId="143">
      <pivotArea collapsedLevelsAreSubtotals="1" fieldPosition="0">
        <references count="1">
          <reference field="4" count="1">
            <x v="266"/>
          </reference>
        </references>
      </pivotArea>
    </format>
    <format dxfId="142">
      <pivotArea collapsedLevelsAreSubtotals="1" fieldPosition="0">
        <references count="1">
          <reference field="4" count="1">
            <x v="269"/>
          </reference>
        </references>
      </pivotArea>
    </format>
    <format dxfId="141">
      <pivotArea collapsedLevelsAreSubtotals="1" fieldPosition="0">
        <references count="1">
          <reference field="4" count="1">
            <x v="271"/>
          </reference>
        </references>
      </pivotArea>
    </format>
    <format dxfId="140">
      <pivotArea collapsedLevelsAreSubtotals="1" fieldPosition="0">
        <references count="1">
          <reference field="4" count="1">
            <x v="277"/>
          </reference>
        </references>
      </pivotArea>
    </format>
    <format dxfId="139">
      <pivotArea collapsedLevelsAreSubtotals="1" fieldPosition="0">
        <references count="1">
          <reference field="4" count="1">
            <x v="280"/>
          </reference>
        </references>
      </pivotArea>
    </format>
    <format dxfId="138">
      <pivotArea collapsedLevelsAreSubtotals="1" fieldPosition="0">
        <references count="1">
          <reference field="4" count="1">
            <x v="282"/>
          </reference>
        </references>
      </pivotArea>
    </format>
    <format dxfId="137">
      <pivotArea collapsedLevelsAreSubtotals="1" fieldPosition="0">
        <references count="1">
          <reference field="4" count="1">
            <x v="284"/>
          </reference>
        </references>
      </pivotArea>
    </format>
    <format dxfId="136">
      <pivotArea collapsedLevelsAreSubtotals="1" fieldPosition="0">
        <references count="1">
          <reference field="4" count="1">
            <x v="286"/>
          </reference>
        </references>
      </pivotArea>
    </format>
    <format dxfId="135">
      <pivotArea collapsedLevelsAreSubtotals="1" fieldPosition="0">
        <references count="1">
          <reference field="4" count="1">
            <x v="288"/>
          </reference>
        </references>
      </pivotArea>
    </format>
    <format dxfId="134">
      <pivotArea collapsedLevelsAreSubtotals="1" fieldPosition="0">
        <references count="1">
          <reference field="4" count="1">
            <x v="290"/>
          </reference>
        </references>
      </pivotArea>
    </format>
    <format dxfId="133">
      <pivotArea collapsedLevelsAreSubtotals="1" fieldPosition="0">
        <references count="1">
          <reference field="4" count="1">
            <x v="291"/>
          </reference>
        </references>
      </pivotArea>
    </format>
    <format dxfId="132">
      <pivotArea collapsedLevelsAreSubtotals="1" fieldPosition="0">
        <references count="1">
          <reference field="4" count="1">
            <x v="293"/>
          </reference>
        </references>
      </pivotArea>
    </format>
    <format dxfId="131">
      <pivotArea collapsedLevelsAreSubtotals="1" fieldPosition="0">
        <references count="1">
          <reference field="4" count="1">
            <x v="294"/>
          </reference>
        </references>
      </pivotArea>
    </format>
    <format dxfId="130">
      <pivotArea collapsedLevelsAreSubtotals="1" fieldPosition="0">
        <references count="1">
          <reference field="4" count="1">
            <x v="295"/>
          </reference>
        </references>
      </pivotArea>
    </format>
    <format dxfId="129">
      <pivotArea collapsedLevelsAreSubtotals="1" fieldPosition="0">
        <references count="1">
          <reference field="4" count="1">
            <x v="296"/>
          </reference>
        </references>
      </pivotArea>
    </format>
    <format dxfId="128">
      <pivotArea collapsedLevelsAreSubtotals="1" fieldPosition="0">
        <references count="1">
          <reference field="4" count="1">
            <x v="297"/>
          </reference>
        </references>
      </pivotArea>
    </format>
    <format dxfId="127">
      <pivotArea collapsedLevelsAreSubtotals="1" fieldPosition="0">
        <references count="1">
          <reference field="4" count="1">
            <x v="298"/>
          </reference>
        </references>
      </pivotArea>
    </format>
    <format dxfId="126">
      <pivotArea collapsedLevelsAreSubtotals="1" fieldPosition="0">
        <references count="1">
          <reference field="4" count="1">
            <x v="299"/>
          </reference>
        </references>
      </pivotArea>
    </format>
    <format dxfId="125">
      <pivotArea collapsedLevelsAreSubtotals="1" fieldPosition="0">
        <references count="1">
          <reference field="4" count="1">
            <x v="300"/>
          </reference>
        </references>
      </pivotArea>
    </format>
    <format dxfId="124">
      <pivotArea collapsedLevelsAreSubtotals="1" fieldPosition="0">
        <references count="1">
          <reference field="4" count="1">
            <x v="301"/>
          </reference>
        </references>
      </pivotArea>
    </format>
    <format dxfId="123">
      <pivotArea collapsedLevelsAreSubtotals="1" fieldPosition="0">
        <references count="1">
          <reference field="4" count="1">
            <x v="304"/>
          </reference>
        </references>
      </pivotArea>
    </format>
    <format dxfId="122">
      <pivotArea collapsedLevelsAreSubtotals="1" fieldPosition="0">
        <references count="1">
          <reference field="4" count="1">
            <x v="308"/>
          </reference>
        </references>
      </pivotArea>
    </format>
    <format dxfId="121">
      <pivotArea collapsedLevelsAreSubtotals="1" fieldPosition="0">
        <references count="1">
          <reference field="4" count="1">
            <x v="309"/>
          </reference>
        </references>
      </pivotArea>
    </format>
    <format dxfId="120">
      <pivotArea collapsedLevelsAreSubtotals="1" fieldPosition="0">
        <references count="1">
          <reference field="4" count="1">
            <x v="310"/>
          </reference>
        </references>
      </pivotArea>
    </format>
    <format dxfId="119">
      <pivotArea collapsedLevelsAreSubtotals="1" fieldPosition="0">
        <references count="1">
          <reference field="4" count="1">
            <x v="311"/>
          </reference>
        </references>
      </pivotArea>
    </format>
    <format dxfId="118">
      <pivotArea collapsedLevelsAreSubtotals="1" fieldPosition="0">
        <references count="1">
          <reference field="4" count="1">
            <x v="312"/>
          </reference>
        </references>
      </pivotArea>
    </format>
    <format dxfId="117">
      <pivotArea collapsedLevelsAreSubtotals="1" fieldPosition="0">
        <references count="1">
          <reference field="4" count="1">
            <x v="313"/>
          </reference>
        </references>
      </pivotArea>
    </format>
    <format dxfId="116">
      <pivotArea collapsedLevelsAreSubtotals="1" fieldPosition="0">
        <references count="1">
          <reference field="4" count="1">
            <x v="314"/>
          </reference>
        </references>
      </pivotArea>
    </format>
    <format dxfId="115">
      <pivotArea collapsedLevelsAreSubtotals="1" fieldPosition="0">
        <references count="1">
          <reference field="4" count="1">
            <x v="315"/>
          </reference>
        </references>
      </pivotArea>
    </format>
    <format dxfId="114">
      <pivotArea collapsedLevelsAreSubtotals="1" fieldPosition="0">
        <references count="1">
          <reference field="4" count="1">
            <x v="317"/>
          </reference>
        </references>
      </pivotArea>
    </format>
    <format dxfId="113">
      <pivotArea collapsedLevelsAreSubtotals="1" fieldPosition="0">
        <references count="1">
          <reference field="4" count="1">
            <x v="318"/>
          </reference>
        </references>
      </pivotArea>
    </format>
    <format dxfId="112">
      <pivotArea collapsedLevelsAreSubtotals="1" fieldPosition="0">
        <references count="1">
          <reference field="4" count="1">
            <x v="319"/>
          </reference>
        </references>
      </pivotArea>
    </format>
    <format dxfId="111">
      <pivotArea collapsedLevelsAreSubtotals="1" fieldPosition="0">
        <references count="1">
          <reference field="4" count="1">
            <x v="320"/>
          </reference>
        </references>
      </pivotArea>
    </format>
    <format dxfId="110">
      <pivotArea collapsedLevelsAreSubtotals="1" fieldPosition="0">
        <references count="1">
          <reference field="4" count="1">
            <x v="321"/>
          </reference>
        </references>
      </pivotArea>
    </format>
    <format dxfId="109">
      <pivotArea collapsedLevelsAreSubtotals="1" fieldPosition="0">
        <references count="1">
          <reference field="4" count="1">
            <x v="322"/>
          </reference>
        </references>
      </pivotArea>
    </format>
    <format dxfId="108">
      <pivotArea collapsedLevelsAreSubtotals="1" fieldPosition="0">
        <references count="1">
          <reference field="4" count="1">
            <x v="323"/>
          </reference>
        </references>
      </pivotArea>
    </format>
    <format dxfId="107">
      <pivotArea collapsedLevelsAreSubtotals="1" fieldPosition="0">
        <references count="1">
          <reference field="4" count="1">
            <x v="324"/>
          </reference>
        </references>
      </pivotArea>
    </format>
    <format dxfId="106">
      <pivotArea collapsedLevelsAreSubtotals="1" fieldPosition="0">
        <references count="1">
          <reference field="4" count="1">
            <x v="325"/>
          </reference>
        </references>
      </pivotArea>
    </format>
    <format dxfId="105">
      <pivotArea collapsedLevelsAreSubtotals="1" fieldPosition="0">
        <references count="1">
          <reference field="4" count="1">
            <x v="330"/>
          </reference>
        </references>
      </pivotArea>
    </format>
    <format dxfId="104">
      <pivotArea collapsedLevelsAreSubtotals="1" fieldPosition="0">
        <references count="1">
          <reference field="4" count="1">
            <x v="331"/>
          </reference>
        </references>
      </pivotArea>
    </format>
    <format dxfId="103">
      <pivotArea collapsedLevelsAreSubtotals="1" fieldPosition="0">
        <references count="1">
          <reference field="4" count="1">
            <x v="332"/>
          </reference>
        </references>
      </pivotArea>
    </format>
    <format dxfId="102">
      <pivotArea collapsedLevelsAreSubtotals="1" fieldPosition="0">
        <references count="1">
          <reference field="4" count="1">
            <x v="337"/>
          </reference>
        </references>
      </pivotArea>
    </format>
    <format dxfId="101">
      <pivotArea collapsedLevelsAreSubtotals="1" fieldPosition="0">
        <references count="1">
          <reference field="4" count="1">
            <x v="339"/>
          </reference>
        </references>
      </pivotArea>
    </format>
    <format dxfId="100">
      <pivotArea collapsedLevelsAreSubtotals="1" fieldPosition="0">
        <references count="1">
          <reference field="4" count="1">
            <x v="343"/>
          </reference>
        </references>
      </pivotArea>
    </format>
    <format dxfId="99">
      <pivotArea collapsedLevelsAreSubtotals="1" fieldPosition="0">
        <references count="1">
          <reference field="4" count="1">
            <x v="344"/>
          </reference>
        </references>
      </pivotArea>
    </format>
    <format dxfId="98">
      <pivotArea collapsedLevelsAreSubtotals="1" fieldPosition="0">
        <references count="1">
          <reference field="4" count="1">
            <x v="347"/>
          </reference>
        </references>
      </pivotArea>
    </format>
    <format dxfId="97">
      <pivotArea collapsedLevelsAreSubtotals="1" fieldPosition="0">
        <references count="1">
          <reference field="4" count="1">
            <x v="363"/>
          </reference>
        </references>
      </pivotArea>
    </format>
    <format dxfId="96">
      <pivotArea collapsedLevelsAreSubtotals="1" fieldPosition="0">
        <references count="1">
          <reference field="4" count="1">
            <x v="364"/>
          </reference>
        </references>
      </pivotArea>
    </format>
    <format dxfId="95">
      <pivotArea collapsedLevelsAreSubtotals="1" fieldPosition="0">
        <references count="1">
          <reference field="4" count="1">
            <x v="369"/>
          </reference>
        </references>
      </pivotArea>
    </format>
    <format dxfId="94">
      <pivotArea collapsedLevelsAreSubtotals="1" fieldPosition="0">
        <references count="1">
          <reference field="4" count="1">
            <x v="374"/>
          </reference>
        </references>
      </pivotArea>
    </format>
    <format dxfId="93">
      <pivotArea collapsedLevelsAreSubtotals="1" fieldPosition="0">
        <references count="1">
          <reference field="4" count="1">
            <x v="375"/>
          </reference>
        </references>
      </pivotArea>
    </format>
    <format dxfId="92">
      <pivotArea collapsedLevelsAreSubtotals="1" fieldPosition="0">
        <references count="1">
          <reference field="4" count="1">
            <x v="377"/>
          </reference>
        </references>
      </pivotArea>
    </format>
    <format dxfId="91">
      <pivotArea collapsedLevelsAreSubtotals="1" fieldPosition="0">
        <references count="1">
          <reference field="4" count="1">
            <x v="378"/>
          </reference>
        </references>
      </pivotArea>
    </format>
    <format dxfId="90">
      <pivotArea collapsedLevelsAreSubtotals="1" fieldPosition="0">
        <references count="1">
          <reference field="4" count="1">
            <x v="382"/>
          </reference>
        </references>
      </pivotArea>
    </format>
    <format dxfId="89">
      <pivotArea collapsedLevelsAreSubtotals="1" fieldPosition="0">
        <references count="1">
          <reference field="4" count="1">
            <x v="396"/>
          </reference>
        </references>
      </pivotArea>
    </format>
    <format dxfId="88">
      <pivotArea collapsedLevelsAreSubtotals="1" fieldPosition="0">
        <references count="1">
          <reference field="4" count="1">
            <x v="401"/>
          </reference>
        </references>
      </pivotArea>
    </format>
    <format dxfId="87">
      <pivotArea collapsedLevelsAreSubtotals="1" fieldPosition="0">
        <references count="1">
          <reference field="4" count="1">
            <x v="403"/>
          </reference>
        </references>
      </pivotArea>
    </format>
    <format dxfId="86">
      <pivotArea collapsedLevelsAreSubtotals="1" fieldPosition="0">
        <references count="1">
          <reference field="4" count="1">
            <x v="421"/>
          </reference>
        </references>
      </pivotArea>
    </format>
    <format dxfId="85">
      <pivotArea collapsedLevelsAreSubtotals="1" fieldPosition="0">
        <references count="1">
          <reference field="4" count="1">
            <x v="425"/>
          </reference>
        </references>
      </pivotArea>
    </format>
    <format dxfId="84">
      <pivotArea collapsedLevelsAreSubtotals="1" fieldPosition="0">
        <references count="1">
          <reference field="4" count="1">
            <x v="426"/>
          </reference>
        </references>
      </pivotArea>
    </format>
    <format dxfId="83">
      <pivotArea collapsedLevelsAreSubtotals="1" fieldPosition="0">
        <references count="1">
          <reference field="4" count="1">
            <x v="427"/>
          </reference>
        </references>
      </pivotArea>
    </format>
    <format dxfId="82">
      <pivotArea collapsedLevelsAreSubtotals="1" fieldPosition="0">
        <references count="1">
          <reference field="4" count="1">
            <x v="432"/>
          </reference>
        </references>
      </pivotArea>
    </format>
    <format dxfId="81">
      <pivotArea collapsedLevelsAreSubtotals="1" fieldPosition="0">
        <references count="1">
          <reference field="4" count="1">
            <x v="433"/>
          </reference>
        </references>
      </pivotArea>
    </format>
    <format dxfId="80">
      <pivotArea collapsedLevelsAreSubtotals="1" fieldPosition="0">
        <references count="1">
          <reference field="4" count="1">
            <x v="434"/>
          </reference>
        </references>
      </pivotArea>
    </format>
    <format dxfId="79">
      <pivotArea collapsedLevelsAreSubtotals="1" fieldPosition="0">
        <references count="1">
          <reference field="4" count="1">
            <x v="435"/>
          </reference>
        </references>
      </pivotArea>
    </format>
    <format dxfId="78">
      <pivotArea collapsedLevelsAreSubtotals="1" fieldPosition="0">
        <references count="1">
          <reference field="4" count="1">
            <x v="436"/>
          </reference>
        </references>
      </pivotArea>
    </format>
    <format dxfId="77">
      <pivotArea collapsedLevelsAreSubtotals="1" fieldPosition="0">
        <references count="1">
          <reference field="4" count="1">
            <x v="440"/>
          </reference>
        </references>
      </pivotArea>
    </format>
    <format dxfId="76">
      <pivotArea collapsedLevelsAreSubtotals="1" fieldPosition="0">
        <references count="1">
          <reference field="4" count="1">
            <x v="443"/>
          </reference>
        </references>
      </pivotArea>
    </format>
    <format dxfId="75">
      <pivotArea collapsedLevelsAreSubtotals="1" fieldPosition="0">
        <references count="1">
          <reference field="4" count="1">
            <x v="444"/>
          </reference>
        </references>
      </pivotArea>
    </format>
    <format dxfId="74">
      <pivotArea collapsedLevelsAreSubtotals="1" fieldPosition="0">
        <references count="1">
          <reference field="4" count="1">
            <x v="445"/>
          </reference>
        </references>
      </pivotArea>
    </format>
    <format dxfId="73">
      <pivotArea collapsedLevelsAreSubtotals="1" fieldPosition="0">
        <references count="1">
          <reference field="4" count="1">
            <x v="450"/>
          </reference>
        </references>
      </pivotArea>
    </format>
    <format dxfId="72">
      <pivotArea collapsedLevelsAreSubtotals="1" fieldPosition="0">
        <references count="1">
          <reference field="4" count="1">
            <x v="455"/>
          </reference>
        </references>
      </pivotArea>
    </format>
    <format dxfId="71">
      <pivotArea collapsedLevelsAreSubtotals="1" fieldPosition="0">
        <references count="1">
          <reference field="4" count="1">
            <x v="456"/>
          </reference>
        </references>
      </pivotArea>
    </format>
    <format dxfId="70">
      <pivotArea collapsedLevelsAreSubtotals="1" fieldPosition="0">
        <references count="1">
          <reference field="4" count="1">
            <x v="459"/>
          </reference>
        </references>
      </pivotArea>
    </format>
    <format dxfId="69">
      <pivotArea collapsedLevelsAreSubtotals="1" fieldPosition="0">
        <references count="1">
          <reference field="4" count="1">
            <x v="465"/>
          </reference>
        </references>
      </pivotArea>
    </format>
    <format dxfId="68">
      <pivotArea collapsedLevelsAreSubtotals="1" fieldPosition="0">
        <references count="1">
          <reference field="4" count="1">
            <x v="468"/>
          </reference>
        </references>
      </pivotArea>
    </format>
    <format dxfId="67">
      <pivotArea collapsedLevelsAreSubtotals="1" fieldPosition="0">
        <references count="1">
          <reference field="4" count="1">
            <x v="470"/>
          </reference>
        </references>
      </pivotArea>
    </format>
    <format dxfId="66">
      <pivotArea collapsedLevelsAreSubtotals="1" fieldPosition="0">
        <references count="1">
          <reference field="4" count="1">
            <x v="474"/>
          </reference>
        </references>
      </pivotArea>
    </format>
    <format dxfId="65">
      <pivotArea collapsedLevelsAreSubtotals="1" fieldPosition="0">
        <references count="1">
          <reference field="4" count="1">
            <x v="480"/>
          </reference>
        </references>
      </pivotArea>
    </format>
    <format dxfId="64">
      <pivotArea collapsedLevelsAreSubtotals="1" fieldPosition="0">
        <references count="1">
          <reference field="4" count="1">
            <x v="489"/>
          </reference>
        </references>
      </pivotArea>
    </format>
    <format dxfId="63">
      <pivotArea collapsedLevelsAreSubtotals="1" fieldPosition="0">
        <references count="1">
          <reference field="4" count="1">
            <x v="490"/>
          </reference>
        </references>
      </pivotArea>
    </format>
    <format dxfId="62">
      <pivotArea collapsedLevelsAreSubtotals="1" fieldPosition="0">
        <references count="1">
          <reference field="4" count="1">
            <x v="491"/>
          </reference>
        </references>
      </pivotArea>
    </format>
    <format dxfId="61">
      <pivotArea collapsedLevelsAreSubtotals="1" fieldPosition="0">
        <references count="1">
          <reference field="4" count="1">
            <x v="495"/>
          </reference>
        </references>
      </pivotArea>
    </format>
    <format dxfId="60">
      <pivotArea collapsedLevelsAreSubtotals="1" fieldPosition="0">
        <references count="1">
          <reference field="4" count="1">
            <x v="496"/>
          </reference>
        </references>
      </pivotArea>
    </format>
    <format dxfId="59">
      <pivotArea collapsedLevelsAreSubtotals="1" fieldPosition="0">
        <references count="1">
          <reference field="4" count="1">
            <x v="497"/>
          </reference>
        </references>
      </pivotArea>
    </format>
    <format dxfId="58">
      <pivotArea collapsedLevelsAreSubtotals="1" fieldPosition="0">
        <references count="1">
          <reference field="4" count="1">
            <x v="498"/>
          </reference>
        </references>
      </pivotArea>
    </format>
    <format dxfId="57">
      <pivotArea collapsedLevelsAreSubtotals="1" fieldPosition="0">
        <references count="1">
          <reference field="4" count="1">
            <x v="503"/>
          </reference>
        </references>
      </pivotArea>
    </format>
    <format dxfId="56">
      <pivotArea collapsedLevelsAreSubtotals="1" fieldPosition="0">
        <references count="1">
          <reference field="4" count="1">
            <x v="506"/>
          </reference>
        </references>
      </pivotArea>
    </format>
    <format dxfId="55">
      <pivotArea collapsedLevelsAreSubtotals="1" fieldPosition="0">
        <references count="1">
          <reference field="4" count="1">
            <x v="516"/>
          </reference>
        </references>
      </pivotArea>
    </format>
    <format dxfId="54">
      <pivotArea collapsedLevelsAreSubtotals="1" fieldPosition="0">
        <references count="1">
          <reference field="4" count="1">
            <x v="520"/>
          </reference>
        </references>
      </pivotArea>
    </format>
    <format dxfId="53">
      <pivotArea collapsedLevelsAreSubtotals="1" fieldPosition="0">
        <references count="1">
          <reference field="4" count="1">
            <x v="525"/>
          </reference>
        </references>
      </pivotArea>
    </format>
    <format dxfId="52">
      <pivotArea collapsedLevelsAreSubtotals="1" fieldPosition="0">
        <references count="1">
          <reference field="4" count="1">
            <x v="529"/>
          </reference>
        </references>
      </pivotArea>
    </format>
    <format dxfId="51">
      <pivotArea collapsedLevelsAreSubtotals="1" fieldPosition="0">
        <references count="1">
          <reference field="4" count="1">
            <x v="533"/>
          </reference>
        </references>
      </pivotArea>
    </format>
    <format dxfId="50">
      <pivotArea collapsedLevelsAreSubtotals="1" fieldPosition="0">
        <references count="1">
          <reference field="4" count="1">
            <x v="534"/>
          </reference>
        </references>
      </pivotArea>
    </format>
    <format dxfId="49">
      <pivotArea collapsedLevelsAreSubtotals="1" fieldPosition="0">
        <references count="1">
          <reference field="4" count="1">
            <x v="535"/>
          </reference>
        </references>
      </pivotArea>
    </format>
    <format dxfId="48">
      <pivotArea collapsedLevelsAreSubtotals="1" fieldPosition="0">
        <references count="1">
          <reference field="4" count="1">
            <x v="542"/>
          </reference>
        </references>
      </pivotArea>
    </format>
    <format dxfId="47">
      <pivotArea collapsedLevelsAreSubtotals="1" fieldPosition="0">
        <references count="1">
          <reference field="4" count="1">
            <x v="543"/>
          </reference>
        </references>
      </pivotArea>
    </format>
    <format dxfId="46">
      <pivotArea collapsedLevelsAreSubtotals="1" fieldPosition="0">
        <references count="1">
          <reference field="4" count="1">
            <x v="547"/>
          </reference>
        </references>
      </pivotArea>
    </format>
    <format dxfId="45">
      <pivotArea collapsedLevelsAreSubtotals="1" fieldPosition="0">
        <references count="1">
          <reference field="4" count="1">
            <x v="548"/>
          </reference>
        </references>
      </pivotArea>
    </format>
    <format dxfId="44">
      <pivotArea collapsedLevelsAreSubtotals="1" fieldPosition="0">
        <references count="1">
          <reference field="4" count="1">
            <x v="551"/>
          </reference>
        </references>
      </pivotArea>
    </format>
    <format dxfId="43">
      <pivotArea collapsedLevelsAreSubtotals="1" fieldPosition="0">
        <references count="1">
          <reference field="4" count="1">
            <x v="560"/>
          </reference>
        </references>
      </pivotArea>
    </format>
    <format dxfId="42">
      <pivotArea collapsedLevelsAreSubtotals="1" fieldPosition="0">
        <references count="1">
          <reference field="4" count="1">
            <x v="561"/>
          </reference>
        </references>
      </pivotArea>
    </format>
    <format dxfId="41">
      <pivotArea collapsedLevelsAreSubtotals="1" fieldPosition="0">
        <references count="1">
          <reference field="4" count="1">
            <x v="564"/>
          </reference>
        </references>
      </pivotArea>
    </format>
    <format dxfId="40">
      <pivotArea collapsedLevelsAreSubtotals="1" fieldPosition="0">
        <references count="1">
          <reference field="4" count="1">
            <x v="573"/>
          </reference>
        </references>
      </pivotArea>
    </format>
    <format dxfId="39">
      <pivotArea collapsedLevelsAreSubtotals="1" fieldPosition="0">
        <references count="1">
          <reference field="4" count="1">
            <x v="576"/>
          </reference>
        </references>
      </pivotArea>
    </format>
    <format dxfId="38">
      <pivotArea collapsedLevelsAreSubtotals="1" fieldPosition="0">
        <references count="1">
          <reference field="4" count="1">
            <x v="577"/>
          </reference>
        </references>
      </pivotArea>
    </format>
    <format dxfId="37">
      <pivotArea collapsedLevelsAreSubtotals="1" fieldPosition="0">
        <references count="1">
          <reference field="4" count="1">
            <x v="589"/>
          </reference>
        </references>
      </pivotArea>
    </format>
    <format dxfId="36">
      <pivotArea collapsedLevelsAreSubtotals="1" fieldPosition="0">
        <references count="1">
          <reference field="4" count="1">
            <x v="591"/>
          </reference>
        </references>
      </pivotArea>
    </format>
    <format dxfId="35">
      <pivotArea collapsedLevelsAreSubtotals="1" fieldPosition="0">
        <references count="1">
          <reference field="4" count="1">
            <x v="592"/>
          </reference>
        </references>
      </pivotArea>
    </format>
    <format dxfId="34">
      <pivotArea collapsedLevelsAreSubtotals="1" fieldPosition="0">
        <references count="1">
          <reference field="4" count="1">
            <x v="593"/>
          </reference>
        </references>
      </pivotArea>
    </format>
    <format dxfId="33">
      <pivotArea collapsedLevelsAreSubtotals="1" fieldPosition="0">
        <references count="1">
          <reference field="4" count="1">
            <x v="596"/>
          </reference>
        </references>
      </pivotArea>
    </format>
    <format dxfId="32">
      <pivotArea collapsedLevelsAreSubtotals="1" fieldPosition="0">
        <references count="1">
          <reference field="4" count="1">
            <x v="597"/>
          </reference>
        </references>
      </pivotArea>
    </format>
    <format dxfId="31">
      <pivotArea collapsedLevelsAreSubtotals="1" fieldPosition="0">
        <references count="1">
          <reference field="4" count="1">
            <x v="599"/>
          </reference>
        </references>
      </pivotArea>
    </format>
    <format dxfId="30">
      <pivotArea collapsedLevelsAreSubtotals="1" fieldPosition="0">
        <references count="1">
          <reference field="4" count="1">
            <x v="615"/>
          </reference>
        </references>
      </pivotArea>
    </format>
    <format dxfId="29">
      <pivotArea collapsedLevelsAreSubtotals="1" fieldPosition="0">
        <references count="1">
          <reference field="4" count="1">
            <x v="620"/>
          </reference>
        </references>
      </pivotArea>
    </format>
    <format dxfId="28">
      <pivotArea collapsedLevelsAreSubtotals="1" fieldPosition="0">
        <references count="1">
          <reference field="4" count="1">
            <x v="621"/>
          </reference>
        </references>
      </pivotArea>
    </format>
    <format dxfId="27">
      <pivotArea collapsedLevelsAreSubtotals="1" fieldPosition="0">
        <references count="1">
          <reference field="4" count="1">
            <x v="622"/>
          </reference>
        </references>
      </pivotArea>
    </format>
    <format dxfId="26">
      <pivotArea collapsedLevelsAreSubtotals="1" fieldPosition="0">
        <references count="1">
          <reference field="4" count="1">
            <x v="625"/>
          </reference>
        </references>
      </pivotArea>
    </format>
    <format dxfId="25">
      <pivotArea dataOnly="0" labelOnly="1" fieldPosition="0">
        <references count="1">
          <reference field="4" count="50">
            <x v="16"/>
            <x v="21"/>
            <x v="27"/>
            <x v="28"/>
            <x v="30"/>
            <x v="48"/>
            <x v="51"/>
            <x v="53"/>
            <x v="58"/>
            <x v="59"/>
            <x v="60"/>
            <x v="62"/>
            <x v="65"/>
            <x v="67"/>
            <x v="68"/>
            <x v="69"/>
            <x v="74"/>
            <x v="82"/>
            <x v="83"/>
            <x v="84"/>
            <x v="92"/>
            <x v="93"/>
            <x v="98"/>
            <x v="101"/>
            <x v="103"/>
            <x v="104"/>
            <x v="109"/>
            <x v="111"/>
            <x v="112"/>
            <x v="113"/>
            <x v="120"/>
            <x v="121"/>
            <x v="124"/>
            <x v="130"/>
            <x v="135"/>
            <x v="136"/>
            <x v="138"/>
            <x v="149"/>
            <x v="153"/>
            <x v="155"/>
            <x v="160"/>
            <x v="163"/>
            <x v="169"/>
            <x v="171"/>
            <x v="175"/>
            <x v="179"/>
            <x v="182"/>
            <x v="184"/>
            <x v="188"/>
            <x v="189"/>
          </reference>
        </references>
      </pivotArea>
    </format>
    <format dxfId="24">
      <pivotArea dataOnly="0" labelOnly="1" fieldPosition="0">
        <references count="1">
          <reference field="4" count="50">
            <x v="191"/>
            <x v="192"/>
            <x v="196"/>
            <x v="197"/>
            <x v="199"/>
            <x v="201"/>
            <x v="202"/>
            <x v="203"/>
            <x v="206"/>
            <x v="208"/>
            <x v="210"/>
            <x v="213"/>
            <x v="214"/>
            <x v="215"/>
            <x v="225"/>
            <x v="226"/>
            <x v="227"/>
            <x v="231"/>
            <x v="232"/>
            <x v="234"/>
            <x v="238"/>
            <x v="244"/>
            <x v="255"/>
            <x v="266"/>
            <x v="269"/>
            <x v="271"/>
            <x v="277"/>
            <x v="280"/>
            <x v="282"/>
            <x v="284"/>
            <x v="286"/>
            <x v="288"/>
            <x v="290"/>
            <x v="291"/>
            <x v="293"/>
            <x v="294"/>
            <x v="295"/>
            <x v="296"/>
            <x v="297"/>
            <x v="298"/>
            <x v="299"/>
            <x v="300"/>
            <x v="301"/>
            <x v="304"/>
            <x v="308"/>
            <x v="309"/>
            <x v="310"/>
            <x v="311"/>
            <x v="312"/>
            <x v="313"/>
          </reference>
        </references>
      </pivotArea>
    </format>
    <format dxfId="23">
      <pivotArea dataOnly="0" labelOnly="1" fieldPosition="0">
        <references count="1">
          <reference field="4" count="50">
            <x v="314"/>
            <x v="315"/>
            <x v="317"/>
            <x v="318"/>
            <x v="319"/>
            <x v="320"/>
            <x v="321"/>
            <x v="322"/>
            <x v="323"/>
            <x v="324"/>
            <x v="325"/>
            <x v="330"/>
            <x v="331"/>
            <x v="332"/>
            <x v="337"/>
            <x v="339"/>
            <x v="343"/>
            <x v="344"/>
            <x v="347"/>
            <x v="363"/>
            <x v="364"/>
            <x v="369"/>
            <x v="374"/>
            <x v="375"/>
            <x v="377"/>
            <x v="378"/>
            <x v="382"/>
            <x v="396"/>
            <x v="401"/>
            <x v="403"/>
            <x v="421"/>
            <x v="425"/>
            <x v="426"/>
            <x v="427"/>
            <x v="432"/>
            <x v="433"/>
            <x v="434"/>
            <x v="435"/>
            <x v="436"/>
            <x v="440"/>
            <x v="443"/>
            <x v="444"/>
            <x v="445"/>
            <x v="450"/>
            <x v="455"/>
            <x v="456"/>
            <x v="459"/>
            <x v="465"/>
            <x v="468"/>
            <x v="470"/>
          </reference>
        </references>
      </pivotArea>
    </format>
    <format dxfId="22">
      <pivotArea dataOnly="0" labelOnly="1" fieldPosition="0">
        <references count="1">
          <reference field="4" count="41">
            <x v="474"/>
            <x v="480"/>
            <x v="489"/>
            <x v="490"/>
            <x v="491"/>
            <x v="495"/>
            <x v="496"/>
            <x v="497"/>
            <x v="498"/>
            <x v="503"/>
            <x v="506"/>
            <x v="516"/>
            <x v="520"/>
            <x v="525"/>
            <x v="529"/>
            <x v="533"/>
            <x v="534"/>
            <x v="535"/>
            <x v="542"/>
            <x v="543"/>
            <x v="547"/>
            <x v="548"/>
            <x v="551"/>
            <x v="560"/>
            <x v="561"/>
            <x v="564"/>
            <x v="573"/>
            <x v="576"/>
            <x v="577"/>
            <x v="589"/>
            <x v="591"/>
            <x v="592"/>
            <x v="593"/>
            <x v="596"/>
            <x v="597"/>
            <x v="599"/>
            <x v="615"/>
            <x v="620"/>
            <x v="621"/>
            <x v="622"/>
            <x v="625"/>
          </reference>
        </references>
      </pivotArea>
    </format>
    <format dxfId="21">
      <pivotArea collapsedLevelsAreSubtotals="1" fieldPosition="0">
        <references count="1">
          <reference field="4" count="1">
            <x v="611"/>
          </reference>
        </references>
      </pivotArea>
    </format>
    <format dxfId="20">
      <pivotArea dataOnly="0" labelOnly="1" fieldPosition="0">
        <references count="1">
          <reference field="4" count="1">
            <x v="6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s" xr10:uid="{EE161A04-35E1-48DC-BAD0-5B5CCB132E3A}" sourceName="Anos">
  <pivotTables>
    <pivotTable tabId="3" name="Tabela dinâmica2"/>
  </pivotTables>
  <data>
    <tabular pivotCacheId="249525421">
      <items count="12">
        <i x="1" s="1"/>
        <i x="2" s="1"/>
        <i x="3" s="1"/>
        <i x="4" s="1"/>
        <i x="5" s="1"/>
        <i x="6" s="1"/>
        <i x="7" s="1"/>
        <i x="8" s="1"/>
        <i x="9" s="1"/>
        <i x="10" s="1"/>
        <i x="0" s="1" nd="1"/>
        <i x="1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s" xr10:uid="{348082D7-2136-4176-A0C6-E8B279DA31AD}" cache="SegmentaçãodeDados_Anos" caption="Anos" startItem="3" columnCount="3" rowHeight="241300"/>
</slicer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Relationship Id="rId4" Type="http://schemas.microsoft.com/office/2007/relationships/slicer" Target="../slicers/slicer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86"/>
  <sheetViews>
    <sheetView showGridLines="0" zoomScale="110" zoomScaleNormal="110" workbookViewId="0">
      <selection activeCell="L19" sqref="L19"/>
    </sheetView>
  </sheetViews>
  <sheetFormatPr defaultRowHeight="15" x14ac:dyDescent="0.25"/>
  <cols>
    <col min="1" max="1" width="11.140625" bestFit="1" customWidth="1"/>
    <col min="2" max="2" width="6.28515625" bestFit="1" customWidth="1"/>
    <col min="3" max="3" width="10.28515625" bestFit="1" customWidth="1"/>
    <col min="4" max="4" width="15.5703125" bestFit="1" customWidth="1"/>
    <col min="5" max="5" width="50" bestFit="1" customWidth="1"/>
    <col min="6" max="6" width="11.42578125" bestFit="1" customWidth="1"/>
    <col min="7" max="8" width="9.28515625" bestFit="1" customWidth="1"/>
    <col min="9" max="9" width="9" bestFit="1" customWidth="1"/>
    <col min="10" max="10" width="11.28515625" bestFit="1" customWidth="1"/>
    <col min="11" max="11" width="6.42578125" bestFit="1" customWidth="1"/>
    <col min="12" max="12" width="41.28515625" bestFit="1" customWidth="1"/>
    <col min="13" max="13" width="28.28515625" bestFit="1" customWidth="1"/>
  </cols>
  <sheetData>
    <row r="1" spans="1:13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</row>
    <row r="2" spans="1:13" x14ac:dyDescent="0.25">
      <c r="A2" s="5">
        <v>40983</v>
      </c>
      <c r="B2" s="2">
        <v>0</v>
      </c>
      <c r="C2" t="s">
        <v>34</v>
      </c>
      <c r="D2" t="s">
        <v>35</v>
      </c>
      <c r="E2" t="s">
        <v>36</v>
      </c>
      <c r="F2" s="3">
        <v>40910</v>
      </c>
      <c r="G2" s="2">
        <v>73</v>
      </c>
      <c r="H2" s="1">
        <v>2777.77</v>
      </c>
      <c r="J2" s="2">
        <v>900</v>
      </c>
      <c r="K2" t="s">
        <v>13</v>
      </c>
      <c r="L2" t="s">
        <v>16</v>
      </c>
      <c r="M2" t="s">
        <v>23</v>
      </c>
    </row>
    <row r="3" spans="1:13" x14ac:dyDescent="0.25">
      <c r="A3" s="5">
        <v>40988</v>
      </c>
      <c r="B3" s="2">
        <v>0</v>
      </c>
      <c r="C3" t="s">
        <v>37</v>
      </c>
      <c r="D3" t="s">
        <v>35</v>
      </c>
      <c r="E3" t="s">
        <v>36</v>
      </c>
      <c r="F3" s="3">
        <v>40744</v>
      </c>
      <c r="G3" s="2">
        <v>244</v>
      </c>
      <c r="H3" s="1">
        <v>1750</v>
      </c>
      <c r="J3" s="2">
        <v>900</v>
      </c>
      <c r="K3" t="s">
        <v>13</v>
      </c>
      <c r="L3" t="s">
        <v>16</v>
      </c>
      <c r="M3" t="s">
        <v>23</v>
      </c>
    </row>
    <row r="4" spans="1:13" x14ac:dyDescent="0.25">
      <c r="A4" s="5">
        <v>41004</v>
      </c>
      <c r="B4" s="2">
        <v>0</v>
      </c>
      <c r="C4" t="s">
        <v>39</v>
      </c>
      <c r="D4" t="s">
        <v>35</v>
      </c>
      <c r="E4" t="s">
        <v>36</v>
      </c>
      <c r="F4" s="3">
        <v>40744</v>
      </c>
      <c r="G4" s="2">
        <v>260</v>
      </c>
      <c r="H4" s="1">
        <v>6075</v>
      </c>
      <c r="J4" s="2">
        <v>900</v>
      </c>
      <c r="K4" t="s">
        <v>13</v>
      </c>
      <c r="L4" t="s">
        <v>16</v>
      </c>
      <c r="M4" t="s">
        <v>23</v>
      </c>
    </row>
    <row r="5" spans="1:13" x14ac:dyDescent="0.25">
      <c r="A5" s="5">
        <v>41008</v>
      </c>
      <c r="B5" s="2">
        <v>0</v>
      </c>
      <c r="C5" t="s">
        <v>40</v>
      </c>
      <c r="D5" t="s">
        <v>35</v>
      </c>
      <c r="E5" t="s">
        <v>36</v>
      </c>
      <c r="F5" s="3">
        <v>40647</v>
      </c>
      <c r="G5" s="2">
        <v>361</v>
      </c>
      <c r="H5" s="1">
        <v>1926.93</v>
      </c>
      <c r="J5" s="2">
        <v>900</v>
      </c>
      <c r="K5" t="s">
        <v>13</v>
      </c>
      <c r="L5" t="s">
        <v>16</v>
      </c>
      <c r="M5" t="s">
        <v>23</v>
      </c>
    </row>
    <row r="6" spans="1:13" x14ac:dyDescent="0.25">
      <c r="A6" s="5">
        <v>41015</v>
      </c>
      <c r="B6" s="2">
        <v>0</v>
      </c>
      <c r="C6" t="s">
        <v>41</v>
      </c>
      <c r="D6" t="s">
        <v>35</v>
      </c>
      <c r="E6" t="s">
        <v>36</v>
      </c>
      <c r="F6" s="3">
        <v>40910</v>
      </c>
      <c r="G6" s="2">
        <v>105</v>
      </c>
      <c r="H6" s="1">
        <v>2777.77</v>
      </c>
      <c r="J6" s="2">
        <v>900</v>
      </c>
      <c r="K6" t="s">
        <v>13</v>
      </c>
      <c r="L6" t="s">
        <v>16</v>
      </c>
      <c r="M6" t="s">
        <v>23</v>
      </c>
    </row>
    <row r="7" spans="1:13" x14ac:dyDescent="0.25">
      <c r="A7" s="5">
        <v>41019</v>
      </c>
      <c r="B7" s="2">
        <v>0</v>
      </c>
      <c r="C7" t="s">
        <v>44</v>
      </c>
      <c r="D7" t="s">
        <v>35</v>
      </c>
      <c r="E7" t="s">
        <v>36</v>
      </c>
      <c r="F7" s="3">
        <v>40744</v>
      </c>
      <c r="G7" s="2">
        <v>275</v>
      </c>
      <c r="H7" s="1">
        <v>6075</v>
      </c>
      <c r="J7" s="2">
        <v>900</v>
      </c>
      <c r="K7" t="s">
        <v>13</v>
      </c>
      <c r="L7" t="s">
        <v>16</v>
      </c>
      <c r="M7" t="s">
        <v>23</v>
      </c>
    </row>
    <row r="8" spans="1:13" x14ac:dyDescent="0.25">
      <c r="A8" s="5">
        <v>41036</v>
      </c>
      <c r="B8" s="2">
        <v>0</v>
      </c>
      <c r="C8" t="s">
        <v>46</v>
      </c>
      <c r="D8" t="s">
        <v>35</v>
      </c>
      <c r="E8" t="s">
        <v>36</v>
      </c>
      <c r="F8" s="3">
        <v>40744</v>
      </c>
      <c r="G8" s="2">
        <v>292</v>
      </c>
      <c r="H8" s="1">
        <v>6075</v>
      </c>
      <c r="J8" s="2">
        <v>900</v>
      </c>
      <c r="K8" t="s">
        <v>13</v>
      </c>
      <c r="L8" t="s">
        <v>16</v>
      </c>
      <c r="M8" t="s">
        <v>23</v>
      </c>
    </row>
    <row r="9" spans="1:13" x14ac:dyDescent="0.25">
      <c r="A9" s="5">
        <v>41036</v>
      </c>
      <c r="B9" s="2">
        <v>0</v>
      </c>
      <c r="C9" t="s">
        <v>47</v>
      </c>
      <c r="D9" t="s">
        <v>35</v>
      </c>
      <c r="E9" t="s">
        <v>36</v>
      </c>
      <c r="F9" s="3">
        <v>40647</v>
      </c>
      <c r="G9" s="2">
        <v>389</v>
      </c>
      <c r="H9" s="1">
        <v>1926.93</v>
      </c>
      <c r="J9" s="2">
        <v>900</v>
      </c>
      <c r="K9" t="s">
        <v>13</v>
      </c>
      <c r="L9" t="s">
        <v>16</v>
      </c>
      <c r="M9" t="s">
        <v>23</v>
      </c>
    </row>
    <row r="10" spans="1:13" x14ac:dyDescent="0.25">
      <c r="A10" s="5">
        <v>41044</v>
      </c>
      <c r="B10" s="2">
        <v>0</v>
      </c>
      <c r="C10" t="s">
        <v>48</v>
      </c>
      <c r="D10" t="s">
        <v>35</v>
      </c>
      <c r="E10" t="s">
        <v>36</v>
      </c>
      <c r="F10" s="3">
        <v>40910</v>
      </c>
      <c r="G10" s="2">
        <v>134</v>
      </c>
      <c r="H10" s="1">
        <v>2777.77</v>
      </c>
      <c r="J10" s="2">
        <v>900</v>
      </c>
      <c r="K10" t="s">
        <v>13</v>
      </c>
      <c r="L10" t="s">
        <v>16</v>
      </c>
      <c r="M10" t="s">
        <v>23</v>
      </c>
    </row>
    <row r="11" spans="1:13" x14ac:dyDescent="0.25">
      <c r="A11" s="5">
        <v>41050</v>
      </c>
      <c r="B11" s="2">
        <v>0</v>
      </c>
      <c r="C11" t="s">
        <v>49</v>
      </c>
      <c r="D11" t="s">
        <v>35</v>
      </c>
      <c r="E11" t="s">
        <v>36</v>
      </c>
      <c r="F11" s="3">
        <v>40744</v>
      </c>
      <c r="G11" s="2">
        <v>306</v>
      </c>
      <c r="H11" s="1">
        <v>6075</v>
      </c>
      <c r="J11" s="2">
        <v>900</v>
      </c>
      <c r="K11" t="s">
        <v>13</v>
      </c>
      <c r="L11" t="s">
        <v>16</v>
      </c>
      <c r="M11" t="s">
        <v>23</v>
      </c>
    </row>
    <row r="12" spans="1:13" x14ac:dyDescent="0.25">
      <c r="A12" s="5">
        <v>41067</v>
      </c>
      <c r="B12" s="2">
        <v>0</v>
      </c>
      <c r="C12" t="s">
        <v>51</v>
      </c>
      <c r="D12" t="s">
        <v>35</v>
      </c>
      <c r="E12" t="s">
        <v>36</v>
      </c>
      <c r="F12" s="3">
        <v>40647</v>
      </c>
      <c r="G12" s="2">
        <v>420</v>
      </c>
      <c r="H12" s="1">
        <v>1926.93</v>
      </c>
      <c r="J12" s="2">
        <v>900</v>
      </c>
      <c r="K12" t="s">
        <v>13</v>
      </c>
      <c r="L12" t="s">
        <v>16</v>
      </c>
      <c r="M12" t="s">
        <v>23</v>
      </c>
    </row>
    <row r="13" spans="1:13" x14ac:dyDescent="0.25">
      <c r="A13" s="5">
        <v>41075</v>
      </c>
      <c r="B13" s="2">
        <v>0</v>
      </c>
      <c r="C13" t="s">
        <v>52</v>
      </c>
      <c r="D13" t="s">
        <v>35</v>
      </c>
      <c r="E13" t="s">
        <v>36</v>
      </c>
      <c r="F13" s="3">
        <v>40910</v>
      </c>
      <c r="G13" s="2">
        <v>165</v>
      </c>
      <c r="H13" s="1">
        <v>2777.77</v>
      </c>
      <c r="J13" s="2">
        <v>900</v>
      </c>
      <c r="K13" t="s">
        <v>13</v>
      </c>
      <c r="L13" t="s">
        <v>16</v>
      </c>
      <c r="M13" t="s">
        <v>23</v>
      </c>
    </row>
    <row r="14" spans="1:13" x14ac:dyDescent="0.25">
      <c r="A14" s="5">
        <v>41099</v>
      </c>
      <c r="B14" s="2">
        <v>0</v>
      </c>
      <c r="C14" t="s">
        <v>53</v>
      </c>
      <c r="D14" t="s">
        <v>35</v>
      </c>
      <c r="E14" t="s">
        <v>36</v>
      </c>
      <c r="F14" s="3">
        <v>40647</v>
      </c>
      <c r="G14" s="2">
        <v>452</v>
      </c>
      <c r="H14" s="1">
        <v>1926.93</v>
      </c>
      <c r="J14" s="2">
        <v>900</v>
      </c>
      <c r="K14" t="s">
        <v>13</v>
      </c>
      <c r="L14" t="s">
        <v>16</v>
      </c>
      <c r="M14" t="s">
        <v>23</v>
      </c>
    </row>
    <row r="15" spans="1:13" x14ac:dyDescent="0.25">
      <c r="A15" s="5">
        <v>41106</v>
      </c>
      <c r="B15" s="2">
        <v>0</v>
      </c>
      <c r="C15" t="s">
        <v>54</v>
      </c>
      <c r="D15" t="s">
        <v>35</v>
      </c>
      <c r="E15" t="s">
        <v>36</v>
      </c>
      <c r="F15" s="3">
        <v>40910</v>
      </c>
      <c r="G15" s="2">
        <v>196</v>
      </c>
      <c r="H15" s="1">
        <v>2777.77</v>
      </c>
      <c r="J15" s="2">
        <v>900</v>
      </c>
      <c r="K15" t="s">
        <v>13</v>
      </c>
      <c r="L15" t="s">
        <v>16</v>
      </c>
      <c r="M15" t="s">
        <v>23</v>
      </c>
    </row>
    <row r="16" spans="1:13" x14ac:dyDescent="0.25">
      <c r="A16" s="5">
        <v>41128</v>
      </c>
      <c r="B16" s="2">
        <v>0</v>
      </c>
      <c r="C16" t="s">
        <v>55</v>
      </c>
      <c r="D16" t="s">
        <v>35</v>
      </c>
      <c r="E16" t="s">
        <v>36</v>
      </c>
      <c r="F16" s="3">
        <v>40647</v>
      </c>
      <c r="G16" s="2">
        <v>481</v>
      </c>
      <c r="H16" s="1">
        <v>1926.93</v>
      </c>
      <c r="J16" s="2">
        <v>900</v>
      </c>
      <c r="K16" t="s">
        <v>13</v>
      </c>
      <c r="L16" t="s">
        <v>16</v>
      </c>
      <c r="M16" t="s">
        <v>23</v>
      </c>
    </row>
    <row r="17" spans="1:13" x14ac:dyDescent="0.25">
      <c r="A17" s="5">
        <v>41136</v>
      </c>
      <c r="B17" s="2">
        <v>0</v>
      </c>
      <c r="C17" t="s">
        <v>56</v>
      </c>
      <c r="D17" t="s">
        <v>35</v>
      </c>
      <c r="E17" t="s">
        <v>36</v>
      </c>
      <c r="F17" s="3">
        <v>40910</v>
      </c>
      <c r="G17" s="2">
        <v>226</v>
      </c>
      <c r="H17" s="1">
        <v>2777.77</v>
      </c>
      <c r="J17" s="2">
        <v>900</v>
      </c>
      <c r="K17" t="s">
        <v>13</v>
      </c>
      <c r="L17" t="s">
        <v>16</v>
      </c>
      <c r="M17" t="s">
        <v>23</v>
      </c>
    </row>
    <row r="18" spans="1:13" x14ac:dyDescent="0.25">
      <c r="A18" s="5">
        <v>41159</v>
      </c>
      <c r="B18" s="2">
        <v>0</v>
      </c>
      <c r="C18" t="s">
        <v>57</v>
      </c>
      <c r="D18" t="s">
        <v>35</v>
      </c>
      <c r="E18" t="s">
        <v>36</v>
      </c>
      <c r="F18" s="3">
        <v>40647</v>
      </c>
      <c r="G18" s="2">
        <v>512</v>
      </c>
      <c r="H18" s="1">
        <v>1926.93</v>
      </c>
      <c r="J18" s="2">
        <v>900</v>
      </c>
      <c r="K18" t="s">
        <v>13</v>
      </c>
      <c r="L18" t="s">
        <v>16</v>
      </c>
      <c r="M18" t="s">
        <v>23</v>
      </c>
    </row>
    <row r="19" spans="1:13" x14ac:dyDescent="0.25">
      <c r="A19" s="5">
        <v>41165</v>
      </c>
      <c r="B19" s="2">
        <v>0</v>
      </c>
      <c r="C19" t="s">
        <v>58</v>
      </c>
      <c r="D19" t="s">
        <v>59</v>
      </c>
      <c r="E19" t="s">
        <v>60</v>
      </c>
      <c r="F19" s="3">
        <v>41019</v>
      </c>
      <c r="G19" s="2">
        <v>146</v>
      </c>
      <c r="H19" s="1">
        <v>3596.21</v>
      </c>
      <c r="I19" t="s">
        <v>61</v>
      </c>
      <c r="J19" s="2">
        <v>1</v>
      </c>
      <c r="K19" t="s">
        <v>13</v>
      </c>
      <c r="M19" t="s">
        <v>62</v>
      </c>
    </row>
    <row r="20" spans="1:13" x14ac:dyDescent="0.25">
      <c r="A20" s="5">
        <v>41169</v>
      </c>
      <c r="B20" s="2">
        <v>0</v>
      </c>
      <c r="C20" t="s">
        <v>63</v>
      </c>
      <c r="D20" t="s">
        <v>35</v>
      </c>
      <c r="E20" t="s">
        <v>36</v>
      </c>
      <c r="F20" s="3">
        <v>40910</v>
      </c>
      <c r="G20" s="2">
        <v>259</v>
      </c>
      <c r="H20" s="1">
        <v>2777.77</v>
      </c>
      <c r="J20" s="2">
        <v>900</v>
      </c>
      <c r="K20" t="s">
        <v>13</v>
      </c>
      <c r="L20" t="s">
        <v>16</v>
      </c>
      <c r="M20" t="s">
        <v>23</v>
      </c>
    </row>
    <row r="21" spans="1:13" x14ac:dyDescent="0.25">
      <c r="A21" s="5">
        <v>41190</v>
      </c>
      <c r="B21" s="2">
        <v>0</v>
      </c>
      <c r="C21" t="s">
        <v>64</v>
      </c>
      <c r="D21" t="s">
        <v>35</v>
      </c>
      <c r="E21" t="s">
        <v>36</v>
      </c>
      <c r="F21" s="3">
        <v>40647</v>
      </c>
      <c r="G21" s="2">
        <v>543</v>
      </c>
      <c r="H21" s="1">
        <v>1926.93</v>
      </c>
      <c r="J21" s="2">
        <v>900</v>
      </c>
      <c r="K21" t="s">
        <v>13</v>
      </c>
      <c r="L21" t="s">
        <v>16</v>
      </c>
      <c r="M21" t="s">
        <v>23</v>
      </c>
    </row>
    <row r="22" spans="1:13" x14ac:dyDescent="0.25">
      <c r="A22" s="5">
        <v>41197</v>
      </c>
      <c r="B22" s="2">
        <v>0</v>
      </c>
      <c r="C22" t="s">
        <v>65</v>
      </c>
      <c r="D22" t="s">
        <v>35</v>
      </c>
      <c r="E22" t="s">
        <v>36</v>
      </c>
      <c r="F22" s="3">
        <v>40910</v>
      </c>
      <c r="G22" s="2">
        <v>287</v>
      </c>
      <c r="H22" s="1">
        <v>2777.77</v>
      </c>
      <c r="J22" s="2">
        <v>900</v>
      </c>
      <c r="K22" t="s">
        <v>13</v>
      </c>
      <c r="L22" t="s">
        <v>16</v>
      </c>
      <c r="M22" t="s">
        <v>23</v>
      </c>
    </row>
    <row r="23" spans="1:13" x14ac:dyDescent="0.25">
      <c r="A23" s="5">
        <v>41228</v>
      </c>
      <c r="B23" s="2">
        <v>0</v>
      </c>
      <c r="C23" t="s">
        <v>66</v>
      </c>
      <c r="D23" t="s">
        <v>35</v>
      </c>
      <c r="E23" t="s">
        <v>36</v>
      </c>
      <c r="F23" s="3">
        <v>40910</v>
      </c>
      <c r="G23" s="2">
        <v>318</v>
      </c>
      <c r="H23" s="1">
        <v>2777.77</v>
      </c>
      <c r="J23" s="2">
        <v>900</v>
      </c>
      <c r="K23" t="s">
        <v>13</v>
      </c>
      <c r="L23" t="s">
        <v>16</v>
      </c>
      <c r="M23" t="s">
        <v>23</v>
      </c>
    </row>
    <row r="24" spans="1:13" x14ac:dyDescent="0.25">
      <c r="A24" s="5">
        <v>41247</v>
      </c>
      <c r="B24" s="2">
        <v>0</v>
      </c>
      <c r="C24" t="s">
        <v>67</v>
      </c>
      <c r="D24" t="s">
        <v>68</v>
      </c>
      <c r="E24" t="s">
        <v>69</v>
      </c>
      <c r="F24" s="3">
        <v>41152</v>
      </c>
      <c r="G24" s="2">
        <v>95</v>
      </c>
      <c r="H24" s="1">
        <v>628.15</v>
      </c>
      <c r="I24" t="s">
        <v>70</v>
      </c>
      <c r="J24" s="2">
        <v>1</v>
      </c>
      <c r="K24" t="s">
        <v>13</v>
      </c>
      <c r="M24" t="s">
        <v>19</v>
      </c>
    </row>
    <row r="25" spans="1:13" x14ac:dyDescent="0.25">
      <c r="A25" s="5">
        <v>41250</v>
      </c>
      <c r="B25" s="2">
        <v>0</v>
      </c>
      <c r="C25" t="s">
        <v>71</v>
      </c>
      <c r="D25" t="s">
        <v>59</v>
      </c>
      <c r="E25" t="s">
        <v>60</v>
      </c>
      <c r="F25" s="3">
        <v>41163</v>
      </c>
      <c r="G25" s="2">
        <v>87</v>
      </c>
      <c r="H25" s="1">
        <v>1138.74</v>
      </c>
      <c r="I25" t="s">
        <v>72</v>
      </c>
      <c r="J25" s="2">
        <v>1</v>
      </c>
      <c r="K25" t="s">
        <v>13</v>
      </c>
      <c r="L25" t="s">
        <v>42</v>
      </c>
      <c r="M25" t="s">
        <v>62</v>
      </c>
    </row>
    <row r="26" spans="1:13" x14ac:dyDescent="0.25">
      <c r="A26" s="5">
        <v>41260</v>
      </c>
      <c r="B26" s="2">
        <v>0</v>
      </c>
      <c r="C26" t="s">
        <v>73</v>
      </c>
      <c r="D26" t="s">
        <v>35</v>
      </c>
      <c r="E26" t="s">
        <v>36</v>
      </c>
      <c r="F26" s="3">
        <v>40910</v>
      </c>
      <c r="G26" s="2">
        <v>350</v>
      </c>
      <c r="H26" s="1">
        <v>2777.77</v>
      </c>
      <c r="J26" s="2">
        <v>900</v>
      </c>
      <c r="K26" t="s">
        <v>13</v>
      </c>
      <c r="L26" t="s">
        <v>16</v>
      </c>
      <c r="M26" t="s">
        <v>23</v>
      </c>
    </row>
    <row r="27" spans="1:13" x14ac:dyDescent="0.25">
      <c r="A27" s="5">
        <v>41289</v>
      </c>
      <c r="B27" s="2">
        <v>0</v>
      </c>
      <c r="C27" t="s">
        <v>74</v>
      </c>
      <c r="D27" t="s">
        <v>35</v>
      </c>
      <c r="E27" t="s">
        <v>36</v>
      </c>
      <c r="F27" s="3">
        <v>40910</v>
      </c>
      <c r="G27" s="2">
        <v>379</v>
      </c>
      <c r="H27" s="1">
        <v>2777.77</v>
      </c>
      <c r="J27" s="2">
        <v>900</v>
      </c>
      <c r="K27" t="s">
        <v>13</v>
      </c>
      <c r="L27" t="s">
        <v>16</v>
      </c>
      <c r="M27" t="s">
        <v>23</v>
      </c>
    </row>
    <row r="28" spans="1:13" x14ac:dyDescent="0.25">
      <c r="A28" s="5">
        <v>41320</v>
      </c>
      <c r="B28" s="2">
        <v>0</v>
      </c>
      <c r="C28" t="s">
        <v>75</v>
      </c>
      <c r="D28" t="s">
        <v>35</v>
      </c>
      <c r="E28" t="s">
        <v>36</v>
      </c>
      <c r="F28" s="3">
        <v>40910</v>
      </c>
      <c r="G28" s="2">
        <v>410</v>
      </c>
      <c r="H28" s="1">
        <v>2777.77</v>
      </c>
      <c r="J28" s="2">
        <v>900</v>
      </c>
      <c r="K28" t="s">
        <v>13</v>
      </c>
      <c r="L28" t="s">
        <v>16</v>
      </c>
      <c r="M28" t="s">
        <v>23</v>
      </c>
    </row>
    <row r="29" spans="1:13" x14ac:dyDescent="0.25">
      <c r="A29" s="5">
        <v>41348</v>
      </c>
      <c r="B29" s="2">
        <v>0</v>
      </c>
      <c r="C29" t="s">
        <v>77</v>
      </c>
      <c r="D29" t="s">
        <v>35</v>
      </c>
      <c r="E29" t="s">
        <v>36</v>
      </c>
      <c r="F29" s="3">
        <v>40910</v>
      </c>
      <c r="G29" s="2">
        <v>438</v>
      </c>
      <c r="H29" s="1">
        <v>8061.74</v>
      </c>
      <c r="J29" s="2">
        <v>900</v>
      </c>
      <c r="K29" t="s">
        <v>13</v>
      </c>
      <c r="L29" t="s">
        <v>16</v>
      </c>
      <c r="M29" t="s">
        <v>23</v>
      </c>
    </row>
    <row r="30" spans="1:13" x14ac:dyDescent="0.25">
      <c r="A30" s="5">
        <v>41409</v>
      </c>
      <c r="B30" s="2">
        <v>0</v>
      </c>
      <c r="C30" t="s">
        <v>80</v>
      </c>
      <c r="D30" t="s">
        <v>35</v>
      </c>
      <c r="E30" t="s">
        <v>36</v>
      </c>
      <c r="F30" s="3">
        <v>40910</v>
      </c>
      <c r="G30" s="2">
        <v>499</v>
      </c>
      <c r="H30" s="1">
        <v>8061.74</v>
      </c>
      <c r="J30" s="2">
        <v>900</v>
      </c>
      <c r="K30" t="s">
        <v>13</v>
      </c>
      <c r="L30" t="s">
        <v>16</v>
      </c>
      <c r="M30" t="s">
        <v>23</v>
      </c>
    </row>
    <row r="31" spans="1:13" x14ac:dyDescent="0.25">
      <c r="A31" s="5">
        <v>41470</v>
      </c>
      <c r="B31" s="2">
        <v>0</v>
      </c>
      <c r="C31" t="s">
        <v>82</v>
      </c>
      <c r="D31" t="s">
        <v>35</v>
      </c>
      <c r="E31" t="s">
        <v>36</v>
      </c>
      <c r="F31" s="3">
        <v>40910</v>
      </c>
      <c r="G31" s="2">
        <v>560</v>
      </c>
      <c r="H31" s="1">
        <v>8061.74</v>
      </c>
      <c r="J31" s="2">
        <v>900</v>
      </c>
      <c r="K31" t="s">
        <v>13</v>
      </c>
      <c r="L31" t="s">
        <v>16</v>
      </c>
      <c r="M31" t="s">
        <v>23</v>
      </c>
    </row>
    <row r="32" spans="1:13" x14ac:dyDescent="0.25">
      <c r="A32" s="5">
        <v>41533</v>
      </c>
      <c r="B32" s="2">
        <v>0</v>
      </c>
      <c r="C32" t="s">
        <v>83</v>
      </c>
      <c r="D32" t="s">
        <v>35</v>
      </c>
      <c r="E32" t="s">
        <v>36</v>
      </c>
      <c r="F32" s="3">
        <v>40910</v>
      </c>
      <c r="G32" s="2">
        <v>623</v>
      </c>
      <c r="H32" s="1">
        <v>8061.74</v>
      </c>
      <c r="J32" s="2">
        <v>900</v>
      </c>
      <c r="K32" t="s">
        <v>13</v>
      </c>
      <c r="L32" t="s">
        <v>16</v>
      </c>
      <c r="M32" t="s">
        <v>23</v>
      </c>
    </row>
    <row r="33" spans="1:13" x14ac:dyDescent="0.25">
      <c r="A33" s="5">
        <v>41562</v>
      </c>
      <c r="B33" s="2">
        <v>0</v>
      </c>
      <c r="C33" t="s">
        <v>84</v>
      </c>
      <c r="D33" t="s">
        <v>35</v>
      </c>
      <c r="E33" t="s">
        <v>36</v>
      </c>
      <c r="F33" s="3">
        <v>40910</v>
      </c>
      <c r="G33" s="2">
        <v>652</v>
      </c>
      <c r="H33" s="1">
        <v>8061.74</v>
      </c>
      <c r="J33" s="2">
        <v>900</v>
      </c>
      <c r="K33" t="s">
        <v>13</v>
      </c>
      <c r="L33" t="s">
        <v>16</v>
      </c>
      <c r="M33" t="s">
        <v>23</v>
      </c>
    </row>
    <row r="34" spans="1:13" x14ac:dyDescent="0.25">
      <c r="A34" s="5">
        <v>41593</v>
      </c>
      <c r="B34" s="2">
        <v>0</v>
      </c>
      <c r="C34" t="s">
        <v>85</v>
      </c>
      <c r="D34" t="s">
        <v>35</v>
      </c>
      <c r="E34" t="s">
        <v>36</v>
      </c>
      <c r="F34" s="3">
        <v>40910</v>
      </c>
      <c r="G34" s="2">
        <v>683</v>
      </c>
      <c r="H34" s="1">
        <v>8061.74</v>
      </c>
      <c r="J34" s="2">
        <v>900</v>
      </c>
      <c r="K34" t="s">
        <v>13</v>
      </c>
      <c r="L34" t="s">
        <v>16</v>
      </c>
      <c r="M34" t="s">
        <v>23</v>
      </c>
    </row>
    <row r="35" spans="1:13" x14ac:dyDescent="0.25">
      <c r="A35" s="5">
        <v>41624</v>
      </c>
      <c r="B35" s="2">
        <v>0</v>
      </c>
      <c r="C35" t="s">
        <v>86</v>
      </c>
      <c r="D35" t="s">
        <v>35</v>
      </c>
      <c r="E35" t="s">
        <v>36</v>
      </c>
      <c r="F35" s="3">
        <v>40910</v>
      </c>
      <c r="G35" s="2">
        <v>714</v>
      </c>
      <c r="H35" s="1">
        <v>8061.74</v>
      </c>
      <c r="J35" s="2">
        <v>900</v>
      </c>
      <c r="K35" t="s">
        <v>13</v>
      </c>
      <c r="L35" t="s">
        <v>16</v>
      </c>
      <c r="M35" t="s">
        <v>23</v>
      </c>
    </row>
    <row r="36" spans="1:13" x14ac:dyDescent="0.25">
      <c r="A36" s="5">
        <v>41654</v>
      </c>
      <c r="B36" s="2">
        <v>0</v>
      </c>
      <c r="C36" t="s">
        <v>87</v>
      </c>
      <c r="D36" t="s">
        <v>35</v>
      </c>
      <c r="E36" t="s">
        <v>36</v>
      </c>
      <c r="F36" s="3">
        <v>41654</v>
      </c>
      <c r="G36" s="2">
        <v>0</v>
      </c>
      <c r="H36" s="1">
        <v>8061.74</v>
      </c>
      <c r="J36" s="2">
        <v>900</v>
      </c>
      <c r="K36" t="s">
        <v>13</v>
      </c>
      <c r="L36" t="s">
        <v>16</v>
      </c>
      <c r="M36" t="s">
        <v>23</v>
      </c>
    </row>
    <row r="37" spans="1:13" x14ac:dyDescent="0.25">
      <c r="A37" s="5">
        <v>41687</v>
      </c>
      <c r="B37" s="2">
        <v>0</v>
      </c>
      <c r="C37" t="s">
        <v>88</v>
      </c>
      <c r="D37" t="s">
        <v>35</v>
      </c>
      <c r="E37" t="s">
        <v>36</v>
      </c>
      <c r="F37" s="3">
        <v>41685</v>
      </c>
      <c r="G37" s="2">
        <v>2</v>
      </c>
      <c r="H37" s="1">
        <v>8061.74</v>
      </c>
      <c r="J37" s="2">
        <v>900</v>
      </c>
      <c r="K37" t="s">
        <v>13</v>
      </c>
      <c r="L37" t="s">
        <v>16</v>
      </c>
      <c r="M37" t="s">
        <v>23</v>
      </c>
    </row>
    <row r="38" spans="1:13" x14ac:dyDescent="0.25">
      <c r="A38" s="5">
        <v>41715</v>
      </c>
      <c r="B38" s="2">
        <v>0</v>
      </c>
      <c r="C38" t="s">
        <v>89</v>
      </c>
      <c r="D38" t="s">
        <v>35</v>
      </c>
      <c r="E38" t="s">
        <v>36</v>
      </c>
      <c r="F38" s="3">
        <v>41713</v>
      </c>
      <c r="G38" s="2">
        <v>2</v>
      </c>
      <c r="H38" s="1">
        <v>8061.74</v>
      </c>
      <c r="J38" s="2">
        <v>900</v>
      </c>
      <c r="K38" t="s">
        <v>13</v>
      </c>
      <c r="L38" t="s">
        <v>16</v>
      </c>
      <c r="M38" t="s">
        <v>23</v>
      </c>
    </row>
    <row r="39" spans="1:13" x14ac:dyDescent="0.25">
      <c r="A39" s="5">
        <v>41932</v>
      </c>
      <c r="B39" s="2">
        <v>0</v>
      </c>
      <c r="C39" t="s">
        <v>91</v>
      </c>
      <c r="D39" t="s">
        <v>59</v>
      </c>
      <c r="E39" t="s">
        <v>60</v>
      </c>
      <c r="F39" s="3">
        <v>41870</v>
      </c>
      <c r="G39" s="2">
        <v>62</v>
      </c>
      <c r="H39" s="1">
        <v>351.16</v>
      </c>
      <c r="I39" t="s">
        <v>92</v>
      </c>
      <c r="J39" s="2">
        <v>1</v>
      </c>
      <c r="K39" t="s">
        <v>13</v>
      </c>
      <c r="M39" t="s">
        <v>62</v>
      </c>
    </row>
    <row r="40" spans="1:13" x14ac:dyDescent="0.25">
      <c r="A40" s="5">
        <v>42121</v>
      </c>
      <c r="B40" s="2">
        <v>0</v>
      </c>
      <c r="C40" t="s">
        <v>94</v>
      </c>
      <c r="D40" t="s">
        <v>59</v>
      </c>
      <c r="E40" t="s">
        <v>60</v>
      </c>
      <c r="F40" s="3">
        <v>42055</v>
      </c>
      <c r="G40" s="2">
        <v>66</v>
      </c>
      <c r="H40" s="1">
        <v>361.38</v>
      </c>
      <c r="I40" t="s">
        <v>95</v>
      </c>
      <c r="J40" s="2">
        <v>1</v>
      </c>
      <c r="K40" t="s">
        <v>13</v>
      </c>
      <c r="M40" t="s">
        <v>62</v>
      </c>
    </row>
    <row r="41" spans="1:13" x14ac:dyDescent="0.25">
      <c r="A41" s="5">
        <v>42219</v>
      </c>
      <c r="B41" s="2">
        <v>0</v>
      </c>
      <c r="C41" t="s">
        <v>96</v>
      </c>
      <c r="D41" t="s">
        <v>97</v>
      </c>
      <c r="E41" t="s">
        <v>98</v>
      </c>
      <c r="F41" s="3">
        <v>42219</v>
      </c>
      <c r="G41" s="2">
        <v>0</v>
      </c>
      <c r="H41" s="1">
        <v>2138</v>
      </c>
      <c r="J41" s="2">
        <v>900</v>
      </c>
      <c r="K41" t="s">
        <v>13</v>
      </c>
      <c r="L41" t="s">
        <v>93</v>
      </c>
      <c r="M41" t="s">
        <v>33</v>
      </c>
    </row>
    <row r="42" spans="1:13" x14ac:dyDescent="0.25">
      <c r="A42" s="5">
        <v>42226</v>
      </c>
      <c r="B42" s="2">
        <v>0</v>
      </c>
      <c r="C42" t="s">
        <v>99</v>
      </c>
      <c r="D42" t="s">
        <v>97</v>
      </c>
      <c r="E42" t="s">
        <v>98</v>
      </c>
      <c r="F42" s="3">
        <v>42220</v>
      </c>
      <c r="G42" s="2">
        <v>6</v>
      </c>
      <c r="H42" s="1">
        <v>531.92999999999995</v>
      </c>
      <c r="I42" t="s">
        <v>100</v>
      </c>
      <c r="J42" s="2">
        <v>1</v>
      </c>
      <c r="K42" t="s">
        <v>13</v>
      </c>
      <c r="L42" t="s">
        <v>93</v>
      </c>
      <c r="M42" t="s">
        <v>33</v>
      </c>
    </row>
    <row r="43" spans="1:13" x14ac:dyDescent="0.25">
      <c r="A43" s="5">
        <v>42227</v>
      </c>
      <c r="B43" s="2">
        <v>0</v>
      </c>
      <c r="C43" t="s">
        <v>101</v>
      </c>
      <c r="D43" t="s">
        <v>97</v>
      </c>
      <c r="E43" t="s">
        <v>98</v>
      </c>
      <c r="F43" s="3">
        <v>42220</v>
      </c>
      <c r="G43" s="2">
        <v>7</v>
      </c>
      <c r="H43" s="1">
        <v>552.51</v>
      </c>
      <c r="I43" t="s">
        <v>102</v>
      </c>
      <c r="J43" s="2">
        <v>1</v>
      </c>
      <c r="K43" t="s">
        <v>13</v>
      </c>
      <c r="L43" t="s">
        <v>93</v>
      </c>
      <c r="M43" t="s">
        <v>33</v>
      </c>
    </row>
    <row r="44" spans="1:13" x14ac:dyDescent="0.25">
      <c r="A44" s="5">
        <v>42228</v>
      </c>
      <c r="B44" s="2">
        <v>0</v>
      </c>
      <c r="C44" t="s">
        <v>103</v>
      </c>
      <c r="D44" t="s">
        <v>97</v>
      </c>
      <c r="E44" t="s">
        <v>98</v>
      </c>
      <c r="F44" s="3">
        <v>42221</v>
      </c>
      <c r="G44" s="2">
        <v>7</v>
      </c>
      <c r="H44" s="1">
        <v>375.39</v>
      </c>
      <c r="I44" t="s">
        <v>104</v>
      </c>
      <c r="J44" s="2">
        <v>1</v>
      </c>
      <c r="K44" t="s">
        <v>13</v>
      </c>
      <c r="L44" t="s">
        <v>93</v>
      </c>
      <c r="M44" t="s">
        <v>33</v>
      </c>
    </row>
    <row r="45" spans="1:13" x14ac:dyDescent="0.25">
      <c r="A45" s="5">
        <v>42228</v>
      </c>
      <c r="B45" s="2">
        <v>0</v>
      </c>
      <c r="C45" t="s">
        <v>105</v>
      </c>
      <c r="D45" t="s">
        <v>97</v>
      </c>
      <c r="E45" t="s">
        <v>98</v>
      </c>
      <c r="F45" s="3">
        <v>42221</v>
      </c>
      <c r="G45" s="2">
        <v>7</v>
      </c>
      <c r="H45" s="1">
        <v>338.58</v>
      </c>
      <c r="I45" t="s">
        <v>106</v>
      </c>
      <c r="J45" s="2">
        <v>1</v>
      </c>
      <c r="K45" t="s">
        <v>13</v>
      </c>
      <c r="L45" t="s">
        <v>93</v>
      </c>
      <c r="M45" t="s">
        <v>33</v>
      </c>
    </row>
    <row r="46" spans="1:13" x14ac:dyDescent="0.25">
      <c r="A46" s="5">
        <v>42237</v>
      </c>
      <c r="B46" s="2">
        <v>0</v>
      </c>
      <c r="C46" t="s">
        <v>107</v>
      </c>
      <c r="D46" t="s">
        <v>97</v>
      </c>
      <c r="E46" t="s">
        <v>98</v>
      </c>
      <c r="F46" s="3">
        <v>42237</v>
      </c>
      <c r="G46" s="2">
        <v>0</v>
      </c>
      <c r="H46" s="1">
        <v>2138</v>
      </c>
      <c r="J46" s="2">
        <v>900</v>
      </c>
      <c r="K46" t="s">
        <v>13</v>
      </c>
      <c r="L46" t="s">
        <v>93</v>
      </c>
      <c r="M46" t="s">
        <v>33</v>
      </c>
    </row>
    <row r="47" spans="1:13" x14ac:dyDescent="0.25">
      <c r="A47" s="5">
        <v>42387</v>
      </c>
      <c r="B47" s="2">
        <v>0</v>
      </c>
      <c r="C47" t="s">
        <v>108</v>
      </c>
      <c r="D47" t="s">
        <v>109</v>
      </c>
      <c r="E47" t="s">
        <v>110</v>
      </c>
      <c r="F47" s="3">
        <v>42381</v>
      </c>
      <c r="G47" s="2">
        <v>6</v>
      </c>
      <c r="H47" s="1">
        <v>3525.88</v>
      </c>
      <c r="I47" t="s">
        <v>111</v>
      </c>
      <c r="J47" s="2">
        <v>1</v>
      </c>
      <c r="K47" t="s">
        <v>13</v>
      </c>
      <c r="L47" t="s">
        <v>21</v>
      </c>
      <c r="M47" t="s">
        <v>15</v>
      </c>
    </row>
    <row r="48" spans="1:13" x14ac:dyDescent="0.25">
      <c r="A48" s="5">
        <v>42409</v>
      </c>
      <c r="B48" s="2">
        <v>0</v>
      </c>
      <c r="C48" t="s">
        <v>112</v>
      </c>
      <c r="D48" t="s">
        <v>113</v>
      </c>
      <c r="E48" t="s">
        <v>114</v>
      </c>
      <c r="F48" s="3">
        <v>42349</v>
      </c>
      <c r="G48" s="2">
        <v>60</v>
      </c>
      <c r="H48" s="1">
        <v>268.48</v>
      </c>
      <c r="I48" t="s">
        <v>115</v>
      </c>
      <c r="J48" s="2">
        <v>1</v>
      </c>
      <c r="K48" t="s">
        <v>13</v>
      </c>
      <c r="L48" t="s">
        <v>30</v>
      </c>
      <c r="M48" t="s">
        <v>116</v>
      </c>
    </row>
    <row r="49" spans="1:13" x14ac:dyDescent="0.25">
      <c r="A49" s="5">
        <v>42416</v>
      </c>
      <c r="B49" s="2">
        <v>0</v>
      </c>
      <c r="C49" t="s">
        <v>117</v>
      </c>
      <c r="D49" t="s">
        <v>113</v>
      </c>
      <c r="E49" t="s">
        <v>114</v>
      </c>
      <c r="F49" s="3">
        <v>42338</v>
      </c>
      <c r="G49" s="2">
        <v>78</v>
      </c>
      <c r="H49" s="1">
        <v>266.61</v>
      </c>
      <c r="I49" t="s">
        <v>118</v>
      </c>
      <c r="J49" s="2">
        <v>1</v>
      </c>
      <c r="K49" t="s">
        <v>13</v>
      </c>
      <c r="L49" t="s">
        <v>30</v>
      </c>
      <c r="M49" t="s">
        <v>116</v>
      </c>
    </row>
    <row r="50" spans="1:13" x14ac:dyDescent="0.25">
      <c r="A50" s="5">
        <v>42429</v>
      </c>
      <c r="B50" s="2">
        <v>0</v>
      </c>
      <c r="C50" t="s">
        <v>119</v>
      </c>
      <c r="D50" t="s">
        <v>113</v>
      </c>
      <c r="E50" t="s">
        <v>114</v>
      </c>
      <c r="F50" s="3">
        <v>42349</v>
      </c>
      <c r="G50" s="2">
        <v>80</v>
      </c>
      <c r="H50" s="1">
        <v>235.75</v>
      </c>
      <c r="I50" t="s">
        <v>115</v>
      </c>
      <c r="J50" s="2">
        <v>1</v>
      </c>
      <c r="K50" t="s">
        <v>13</v>
      </c>
      <c r="L50" t="s">
        <v>30</v>
      </c>
      <c r="M50" t="s">
        <v>116</v>
      </c>
    </row>
    <row r="51" spans="1:13" x14ac:dyDescent="0.25">
      <c r="A51" s="5">
        <v>42433</v>
      </c>
      <c r="B51" s="2">
        <v>0</v>
      </c>
      <c r="C51" t="s">
        <v>120</v>
      </c>
      <c r="D51" t="s">
        <v>113</v>
      </c>
      <c r="E51" t="s">
        <v>114</v>
      </c>
      <c r="F51" s="3">
        <v>42374</v>
      </c>
      <c r="G51" s="2">
        <v>59</v>
      </c>
      <c r="H51" s="1">
        <v>358.28</v>
      </c>
      <c r="I51" t="s">
        <v>121</v>
      </c>
      <c r="J51" s="2">
        <v>1</v>
      </c>
      <c r="K51" t="s">
        <v>13</v>
      </c>
      <c r="L51" t="s">
        <v>30</v>
      </c>
      <c r="M51" t="s">
        <v>116</v>
      </c>
    </row>
    <row r="52" spans="1:13" x14ac:dyDescent="0.25">
      <c r="A52" s="5">
        <v>42443</v>
      </c>
      <c r="B52" s="2">
        <v>0</v>
      </c>
      <c r="C52" t="s">
        <v>122</v>
      </c>
      <c r="D52" t="s">
        <v>113</v>
      </c>
      <c r="E52" t="s">
        <v>114</v>
      </c>
      <c r="F52" s="3">
        <v>42374</v>
      </c>
      <c r="G52" s="2">
        <v>69</v>
      </c>
      <c r="H52" s="1">
        <v>299.83</v>
      </c>
      <c r="I52" t="s">
        <v>121</v>
      </c>
      <c r="J52" s="2">
        <v>1</v>
      </c>
      <c r="K52" t="s">
        <v>13</v>
      </c>
      <c r="L52" t="s">
        <v>30</v>
      </c>
      <c r="M52" t="s">
        <v>116</v>
      </c>
    </row>
    <row r="53" spans="1:13" x14ac:dyDescent="0.25">
      <c r="A53" s="5">
        <v>42452</v>
      </c>
      <c r="B53" s="2">
        <v>0</v>
      </c>
      <c r="C53" t="s">
        <v>123</v>
      </c>
      <c r="D53" t="s">
        <v>124</v>
      </c>
      <c r="E53" t="s">
        <v>125</v>
      </c>
      <c r="F53" s="3">
        <v>42432</v>
      </c>
      <c r="G53" s="2">
        <v>20</v>
      </c>
      <c r="H53" s="1">
        <v>580.51</v>
      </c>
      <c r="I53" t="s">
        <v>126</v>
      </c>
      <c r="J53" s="2">
        <v>1</v>
      </c>
      <c r="K53" t="s">
        <v>13</v>
      </c>
      <c r="L53" t="s">
        <v>30</v>
      </c>
      <c r="M53" t="s">
        <v>38</v>
      </c>
    </row>
    <row r="54" spans="1:13" x14ac:dyDescent="0.25">
      <c r="A54" s="5">
        <v>42453</v>
      </c>
      <c r="B54" s="2">
        <v>0</v>
      </c>
      <c r="C54" t="s">
        <v>127</v>
      </c>
      <c r="D54" t="s">
        <v>113</v>
      </c>
      <c r="E54" t="s">
        <v>114</v>
      </c>
      <c r="F54" s="3">
        <v>42374</v>
      </c>
      <c r="G54" s="2">
        <v>79</v>
      </c>
      <c r="H54" s="1">
        <v>299.83</v>
      </c>
      <c r="I54" t="s">
        <v>121</v>
      </c>
      <c r="J54" s="2">
        <v>1</v>
      </c>
      <c r="K54" t="s">
        <v>13</v>
      </c>
      <c r="L54" t="s">
        <v>30</v>
      </c>
      <c r="M54" t="s">
        <v>116</v>
      </c>
    </row>
    <row r="55" spans="1:13" x14ac:dyDescent="0.25">
      <c r="A55" s="5">
        <v>42457</v>
      </c>
      <c r="B55" s="2">
        <v>0</v>
      </c>
      <c r="C55" t="s">
        <v>128</v>
      </c>
      <c r="D55" t="s">
        <v>129</v>
      </c>
      <c r="E55" t="s">
        <v>130</v>
      </c>
      <c r="F55" s="3">
        <v>42411</v>
      </c>
      <c r="G55" s="2">
        <v>46</v>
      </c>
      <c r="H55" s="1">
        <v>609.16999999999996</v>
      </c>
      <c r="I55" t="s">
        <v>131</v>
      </c>
      <c r="J55" s="2">
        <v>1</v>
      </c>
      <c r="K55" t="s">
        <v>13</v>
      </c>
      <c r="L55" t="s">
        <v>30</v>
      </c>
      <c r="M55" t="s">
        <v>79</v>
      </c>
    </row>
    <row r="56" spans="1:13" x14ac:dyDescent="0.25">
      <c r="A56" s="5">
        <v>42458</v>
      </c>
      <c r="B56" s="2">
        <v>0</v>
      </c>
      <c r="C56" t="s">
        <v>132</v>
      </c>
      <c r="D56" t="s">
        <v>129</v>
      </c>
      <c r="E56" t="s">
        <v>130</v>
      </c>
      <c r="F56" s="3">
        <v>42403</v>
      </c>
      <c r="G56" s="2">
        <v>55</v>
      </c>
      <c r="H56" s="1">
        <v>537.34</v>
      </c>
      <c r="I56" t="s">
        <v>133</v>
      </c>
      <c r="J56" s="2">
        <v>1</v>
      </c>
      <c r="K56" t="s">
        <v>13</v>
      </c>
      <c r="L56" t="s">
        <v>30</v>
      </c>
      <c r="M56" t="s">
        <v>79</v>
      </c>
    </row>
    <row r="57" spans="1:13" x14ac:dyDescent="0.25">
      <c r="A57" s="5">
        <v>42466</v>
      </c>
      <c r="B57" s="2">
        <v>0</v>
      </c>
      <c r="C57" t="s">
        <v>134</v>
      </c>
      <c r="D57" t="s">
        <v>113</v>
      </c>
      <c r="E57" t="s">
        <v>114</v>
      </c>
      <c r="F57" s="3">
        <v>42396</v>
      </c>
      <c r="G57" s="2">
        <v>70</v>
      </c>
      <c r="H57" s="1">
        <v>258.08999999999997</v>
      </c>
      <c r="I57" t="s">
        <v>135</v>
      </c>
      <c r="J57" s="2">
        <v>1</v>
      </c>
      <c r="K57" t="s">
        <v>13</v>
      </c>
      <c r="L57" t="s">
        <v>30</v>
      </c>
      <c r="M57" t="s">
        <v>116</v>
      </c>
    </row>
    <row r="58" spans="1:13" x14ac:dyDescent="0.25">
      <c r="A58" s="5">
        <v>42471</v>
      </c>
      <c r="B58" s="2">
        <v>0</v>
      </c>
      <c r="C58" t="s">
        <v>136</v>
      </c>
      <c r="D58" t="s">
        <v>124</v>
      </c>
      <c r="E58" t="s">
        <v>125</v>
      </c>
      <c r="F58" s="3">
        <v>42451</v>
      </c>
      <c r="G58" s="2">
        <v>20</v>
      </c>
      <c r="H58" s="1">
        <v>431.18</v>
      </c>
      <c r="I58" t="s">
        <v>137</v>
      </c>
      <c r="J58" s="2">
        <v>1</v>
      </c>
      <c r="K58" t="s">
        <v>13</v>
      </c>
      <c r="L58" t="s">
        <v>30</v>
      </c>
      <c r="M58" t="s">
        <v>38</v>
      </c>
    </row>
    <row r="59" spans="1:13" x14ac:dyDescent="0.25">
      <c r="A59" s="5">
        <v>42472</v>
      </c>
      <c r="B59" s="2">
        <v>0</v>
      </c>
      <c r="C59" t="s">
        <v>138</v>
      </c>
      <c r="D59" t="s">
        <v>124</v>
      </c>
      <c r="E59" t="s">
        <v>125</v>
      </c>
      <c r="F59" s="3">
        <v>42432</v>
      </c>
      <c r="G59" s="2">
        <v>40</v>
      </c>
      <c r="H59" s="1">
        <v>580.52</v>
      </c>
      <c r="I59" t="s">
        <v>126</v>
      </c>
      <c r="J59" s="2">
        <v>1</v>
      </c>
      <c r="K59" t="s">
        <v>13</v>
      </c>
      <c r="L59" t="s">
        <v>30</v>
      </c>
      <c r="M59" t="s">
        <v>38</v>
      </c>
    </row>
    <row r="60" spans="1:13" x14ac:dyDescent="0.25">
      <c r="A60" s="5">
        <v>42492</v>
      </c>
      <c r="B60" s="2">
        <v>0</v>
      </c>
      <c r="C60" t="s">
        <v>139</v>
      </c>
      <c r="D60" t="s">
        <v>124</v>
      </c>
      <c r="E60" t="s">
        <v>125</v>
      </c>
      <c r="F60" s="3">
        <v>42451</v>
      </c>
      <c r="G60" s="2">
        <v>41</v>
      </c>
      <c r="H60" s="1">
        <v>431.17</v>
      </c>
      <c r="I60" t="s">
        <v>137</v>
      </c>
      <c r="J60" s="2">
        <v>1</v>
      </c>
      <c r="K60" t="s">
        <v>13</v>
      </c>
      <c r="L60" t="s">
        <v>30</v>
      </c>
      <c r="M60" t="s">
        <v>38</v>
      </c>
    </row>
    <row r="61" spans="1:13" x14ac:dyDescent="0.25">
      <c r="A61" s="5">
        <v>42506</v>
      </c>
      <c r="B61" s="2">
        <v>0</v>
      </c>
      <c r="C61" t="s">
        <v>140</v>
      </c>
      <c r="D61" t="s">
        <v>141</v>
      </c>
      <c r="E61" t="s">
        <v>142</v>
      </c>
      <c r="F61" s="3">
        <v>42447</v>
      </c>
      <c r="G61" s="2">
        <v>59</v>
      </c>
      <c r="H61" s="1">
        <v>360.43</v>
      </c>
      <c r="I61" t="s">
        <v>143</v>
      </c>
      <c r="J61" s="2">
        <v>1</v>
      </c>
      <c r="K61" t="s">
        <v>13</v>
      </c>
      <c r="L61" t="s">
        <v>45</v>
      </c>
      <c r="M61" t="s">
        <v>144</v>
      </c>
    </row>
    <row r="62" spans="1:13" x14ac:dyDescent="0.25">
      <c r="A62" s="5">
        <v>42510</v>
      </c>
      <c r="B62" s="2">
        <v>0</v>
      </c>
      <c r="C62" t="s">
        <v>145</v>
      </c>
      <c r="D62" t="s">
        <v>141</v>
      </c>
      <c r="E62" t="s">
        <v>142</v>
      </c>
      <c r="F62" s="3">
        <v>42460</v>
      </c>
      <c r="G62" s="2">
        <v>50</v>
      </c>
      <c r="H62" s="1">
        <v>270.14</v>
      </c>
      <c r="I62" t="s">
        <v>146</v>
      </c>
      <c r="J62" s="2">
        <v>1</v>
      </c>
      <c r="K62" t="s">
        <v>13</v>
      </c>
      <c r="L62" t="s">
        <v>45</v>
      </c>
      <c r="M62" t="s">
        <v>144</v>
      </c>
    </row>
    <row r="63" spans="1:13" x14ac:dyDescent="0.25">
      <c r="A63" s="5">
        <v>42513</v>
      </c>
      <c r="B63" s="2">
        <v>0</v>
      </c>
      <c r="C63" t="s">
        <v>147</v>
      </c>
      <c r="D63" t="s">
        <v>141</v>
      </c>
      <c r="E63" t="s">
        <v>142</v>
      </c>
      <c r="F63" s="3">
        <v>42433</v>
      </c>
      <c r="G63" s="2">
        <v>80</v>
      </c>
      <c r="H63" s="1">
        <v>227.15</v>
      </c>
      <c r="I63" t="s">
        <v>148</v>
      </c>
      <c r="J63" s="2">
        <v>1</v>
      </c>
      <c r="K63" t="s">
        <v>13</v>
      </c>
      <c r="L63" t="s">
        <v>45</v>
      </c>
      <c r="M63" t="s">
        <v>144</v>
      </c>
    </row>
    <row r="64" spans="1:13" x14ac:dyDescent="0.25">
      <c r="A64" s="5">
        <v>42520</v>
      </c>
      <c r="B64" s="2">
        <v>0</v>
      </c>
      <c r="C64" t="s">
        <v>149</v>
      </c>
      <c r="D64" t="s">
        <v>141</v>
      </c>
      <c r="E64" t="s">
        <v>142</v>
      </c>
      <c r="F64" s="3">
        <v>42460</v>
      </c>
      <c r="G64" s="2">
        <v>60</v>
      </c>
      <c r="H64" s="1">
        <v>270.14</v>
      </c>
      <c r="I64" t="s">
        <v>146</v>
      </c>
      <c r="J64" s="2">
        <v>1</v>
      </c>
      <c r="K64" t="s">
        <v>13</v>
      </c>
      <c r="L64" t="s">
        <v>45</v>
      </c>
      <c r="M64" t="s">
        <v>144</v>
      </c>
    </row>
    <row r="65" spans="1:13" x14ac:dyDescent="0.25">
      <c r="A65" s="5">
        <v>42527</v>
      </c>
      <c r="B65" s="2">
        <v>0</v>
      </c>
      <c r="C65" t="s">
        <v>150</v>
      </c>
      <c r="D65" t="s">
        <v>141</v>
      </c>
      <c r="E65" t="s">
        <v>142</v>
      </c>
      <c r="F65" s="3">
        <v>42447</v>
      </c>
      <c r="G65" s="2">
        <v>80</v>
      </c>
      <c r="H65" s="1">
        <v>316.42</v>
      </c>
      <c r="I65" t="s">
        <v>143</v>
      </c>
      <c r="J65" s="2">
        <v>1</v>
      </c>
      <c r="K65" t="s">
        <v>13</v>
      </c>
      <c r="L65" t="s">
        <v>45</v>
      </c>
      <c r="M65" t="s">
        <v>144</v>
      </c>
    </row>
    <row r="66" spans="1:13" x14ac:dyDescent="0.25">
      <c r="A66" s="5">
        <v>42530</v>
      </c>
      <c r="B66" s="2">
        <v>0</v>
      </c>
      <c r="C66" t="s">
        <v>151</v>
      </c>
      <c r="D66" t="s">
        <v>141</v>
      </c>
      <c r="E66" t="s">
        <v>142</v>
      </c>
      <c r="F66" s="3">
        <v>42460</v>
      </c>
      <c r="G66" s="2">
        <v>70</v>
      </c>
      <c r="H66" s="1">
        <v>200.53</v>
      </c>
      <c r="I66" t="s">
        <v>152</v>
      </c>
      <c r="J66" s="2">
        <v>1</v>
      </c>
      <c r="K66" t="s">
        <v>13</v>
      </c>
      <c r="L66" t="s">
        <v>45</v>
      </c>
      <c r="M66" t="s">
        <v>144</v>
      </c>
    </row>
    <row r="67" spans="1:13" x14ac:dyDescent="0.25">
      <c r="A67" s="5">
        <v>42530</v>
      </c>
      <c r="B67" s="2">
        <v>0</v>
      </c>
      <c r="C67" t="s">
        <v>153</v>
      </c>
      <c r="D67" t="s">
        <v>141</v>
      </c>
      <c r="E67" t="s">
        <v>142</v>
      </c>
      <c r="F67" s="3">
        <v>42460</v>
      </c>
      <c r="G67" s="2">
        <v>70</v>
      </c>
      <c r="H67" s="1">
        <v>270.13</v>
      </c>
      <c r="I67" t="s">
        <v>146</v>
      </c>
      <c r="J67" s="2">
        <v>1</v>
      </c>
      <c r="K67" t="s">
        <v>13</v>
      </c>
      <c r="L67" t="s">
        <v>45</v>
      </c>
      <c r="M67" t="s">
        <v>144</v>
      </c>
    </row>
    <row r="68" spans="1:13" x14ac:dyDescent="0.25">
      <c r="A68" s="5">
        <v>42536</v>
      </c>
      <c r="B68" s="2">
        <v>0</v>
      </c>
      <c r="C68" t="s">
        <v>154</v>
      </c>
      <c r="D68" t="s">
        <v>141</v>
      </c>
      <c r="E68" t="s">
        <v>142</v>
      </c>
      <c r="F68" s="3">
        <v>42496</v>
      </c>
      <c r="G68" s="2">
        <v>40</v>
      </c>
      <c r="H68" s="1">
        <v>127.31</v>
      </c>
      <c r="I68" t="s">
        <v>155</v>
      </c>
      <c r="J68" s="2">
        <v>1</v>
      </c>
      <c r="K68" t="s">
        <v>13</v>
      </c>
      <c r="L68" t="s">
        <v>45</v>
      </c>
      <c r="M68" t="s">
        <v>144</v>
      </c>
    </row>
    <row r="69" spans="1:13" x14ac:dyDescent="0.25">
      <c r="A69" s="5">
        <v>42536</v>
      </c>
      <c r="B69" s="2">
        <v>0</v>
      </c>
      <c r="C69" t="s">
        <v>156</v>
      </c>
      <c r="D69" t="s">
        <v>141</v>
      </c>
      <c r="E69" t="s">
        <v>142</v>
      </c>
      <c r="F69" s="3">
        <v>42496</v>
      </c>
      <c r="G69" s="2">
        <v>40</v>
      </c>
      <c r="H69" s="1">
        <v>284.07</v>
      </c>
      <c r="I69" t="s">
        <v>157</v>
      </c>
      <c r="J69" s="2">
        <v>1</v>
      </c>
      <c r="K69" t="s">
        <v>13</v>
      </c>
      <c r="L69" t="s">
        <v>45</v>
      </c>
      <c r="M69" t="s">
        <v>144</v>
      </c>
    </row>
    <row r="70" spans="1:13" x14ac:dyDescent="0.25">
      <c r="A70" s="5">
        <v>42541</v>
      </c>
      <c r="B70" s="2">
        <v>0</v>
      </c>
      <c r="C70" t="s">
        <v>158</v>
      </c>
      <c r="D70" t="s">
        <v>97</v>
      </c>
      <c r="E70" t="s">
        <v>98</v>
      </c>
      <c r="F70" s="3">
        <v>42509</v>
      </c>
      <c r="G70" s="2">
        <v>32</v>
      </c>
      <c r="H70" s="1">
        <v>369.66</v>
      </c>
      <c r="I70" t="s">
        <v>159</v>
      </c>
      <c r="J70" s="2">
        <v>1</v>
      </c>
      <c r="K70" t="s">
        <v>13</v>
      </c>
      <c r="L70" t="s">
        <v>93</v>
      </c>
      <c r="M70" t="s">
        <v>33</v>
      </c>
    </row>
    <row r="71" spans="1:13" x14ac:dyDescent="0.25">
      <c r="A71" s="5">
        <v>42542</v>
      </c>
      <c r="B71" s="2">
        <v>0</v>
      </c>
      <c r="C71" t="s">
        <v>160</v>
      </c>
      <c r="D71" t="s">
        <v>129</v>
      </c>
      <c r="E71" t="s">
        <v>130</v>
      </c>
      <c r="F71" s="3">
        <v>42522</v>
      </c>
      <c r="G71" s="2">
        <v>20</v>
      </c>
      <c r="H71" s="1">
        <v>481.03</v>
      </c>
      <c r="I71" t="s">
        <v>161</v>
      </c>
      <c r="J71" s="2">
        <v>1</v>
      </c>
      <c r="K71" t="s">
        <v>13</v>
      </c>
      <c r="L71" t="s">
        <v>30</v>
      </c>
      <c r="M71" t="s">
        <v>79</v>
      </c>
    </row>
    <row r="72" spans="1:13" x14ac:dyDescent="0.25">
      <c r="A72" s="5">
        <v>42548</v>
      </c>
      <c r="B72" s="2">
        <v>0</v>
      </c>
      <c r="C72" t="s">
        <v>162</v>
      </c>
      <c r="D72" t="s">
        <v>97</v>
      </c>
      <c r="E72" t="s">
        <v>98</v>
      </c>
      <c r="F72" s="3">
        <v>42517</v>
      </c>
      <c r="G72" s="2">
        <v>31</v>
      </c>
      <c r="H72" s="1">
        <v>473.46</v>
      </c>
      <c r="I72" t="s">
        <v>163</v>
      </c>
      <c r="J72" s="2">
        <v>1</v>
      </c>
      <c r="K72" t="s">
        <v>13</v>
      </c>
      <c r="L72" t="s">
        <v>93</v>
      </c>
      <c r="M72" t="s">
        <v>33</v>
      </c>
    </row>
    <row r="73" spans="1:13" x14ac:dyDescent="0.25">
      <c r="A73" s="5">
        <v>42555</v>
      </c>
      <c r="B73" s="2">
        <v>0</v>
      </c>
      <c r="C73" t="s">
        <v>164</v>
      </c>
      <c r="D73" t="s">
        <v>141</v>
      </c>
      <c r="E73" t="s">
        <v>142</v>
      </c>
      <c r="F73" s="3">
        <v>42473</v>
      </c>
      <c r="G73" s="2">
        <v>82</v>
      </c>
      <c r="H73" s="1">
        <v>208.38</v>
      </c>
      <c r="I73" t="s">
        <v>165</v>
      </c>
      <c r="J73" s="2">
        <v>1</v>
      </c>
      <c r="K73" t="s">
        <v>13</v>
      </c>
      <c r="L73" t="s">
        <v>45</v>
      </c>
      <c r="M73" t="s">
        <v>144</v>
      </c>
    </row>
    <row r="74" spans="1:13" x14ac:dyDescent="0.25">
      <c r="A74" s="5">
        <v>42556</v>
      </c>
      <c r="B74" s="2">
        <v>0</v>
      </c>
      <c r="C74" t="s">
        <v>166</v>
      </c>
      <c r="D74" t="s">
        <v>141</v>
      </c>
      <c r="E74" t="s">
        <v>142</v>
      </c>
      <c r="F74" s="3">
        <v>42496</v>
      </c>
      <c r="G74" s="2">
        <v>60</v>
      </c>
      <c r="H74" s="1">
        <v>127.32</v>
      </c>
      <c r="I74" t="s">
        <v>155</v>
      </c>
      <c r="J74" s="2">
        <v>1</v>
      </c>
      <c r="K74" t="s">
        <v>13</v>
      </c>
      <c r="L74" t="s">
        <v>45</v>
      </c>
      <c r="M74" t="s">
        <v>144</v>
      </c>
    </row>
    <row r="75" spans="1:13" x14ac:dyDescent="0.25">
      <c r="A75" s="5">
        <v>42556</v>
      </c>
      <c r="B75" s="2">
        <v>0</v>
      </c>
      <c r="C75" t="s">
        <v>167</v>
      </c>
      <c r="D75" t="s">
        <v>141</v>
      </c>
      <c r="E75" t="s">
        <v>142</v>
      </c>
      <c r="F75" s="3">
        <v>42496</v>
      </c>
      <c r="G75" s="2">
        <v>60</v>
      </c>
      <c r="H75" s="1">
        <v>284.07</v>
      </c>
      <c r="I75" t="s">
        <v>157</v>
      </c>
      <c r="J75" s="2">
        <v>1</v>
      </c>
      <c r="K75" t="s">
        <v>13</v>
      </c>
      <c r="L75" t="s">
        <v>45</v>
      </c>
      <c r="M75" t="s">
        <v>144</v>
      </c>
    </row>
    <row r="76" spans="1:13" x14ac:dyDescent="0.25">
      <c r="A76" s="5">
        <v>42576</v>
      </c>
      <c r="B76" s="2">
        <v>0</v>
      </c>
      <c r="C76" t="s">
        <v>168</v>
      </c>
      <c r="D76" t="s">
        <v>169</v>
      </c>
      <c r="E76" t="s">
        <v>170</v>
      </c>
      <c r="F76" s="3">
        <v>42506</v>
      </c>
      <c r="G76" s="2">
        <v>70</v>
      </c>
      <c r="H76" s="1">
        <v>365.19</v>
      </c>
      <c r="I76" t="s">
        <v>171</v>
      </c>
      <c r="J76" s="2">
        <v>1</v>
      </c>
      <c r="K76" t="s">
        <v>13</v>
      </c>
      <c r="L76" t="s">
        <v>45</v>
      </c>
      <c r="M76" t="s">
        <v>172</v>
      </c>
    </row>
    <row r="77" spans="1:13" x14ac:dyDescent="0.25">
      <c r="A77" s="5">
        <v>42586</v>
      </c>
      <c r="B77" s="2">
        <v>0</v>
      </c>
      <c r="C77" t="s">
        <v>173</v>
      </c>
      <c r="D77" t="s">
        <v>169</v>
      </c>
      <c r="E77" t="s">
        <v>170</v>
      </c>
      <c r="F77" s="3">
        <v>42506</v>
      </c>
      <c r="G77" s="2">
        <v>80</v>
      </c>
      <c r="H77" s="1">
        <v>365.19</v>
      </c>
      <c r="I77" t="s">
        <v>171</v>
      </c>
      <c r="J77" s="2">
        <v>1</v>
      </c>
      <c r="K77" t="s">
        <v>13</v>
      </c>
      <c r="L77" t="s">
        <v>45</v>
      </c>
      <c r="M77" t="s">
        <v>172</v>
      </c>
    </row>
    <row r="78" spans="1:13" x14ac:dyDescent="0.25">
      <c r="A78" s="5">
        <v>42593</v>
      </c>
      <c r="B78" s="2">
        <v>0</v>
      </c>
      <c r="C78" t="s">
        <v>174</v>
      </c>
      <c r="D78" t="s">
        <v>175</v>
      </c>
      <c r="E78" t="s">
        <v>176</v>
      </c>
      <c r="F78" s="3">
        <v>42545</v>
      </c>
      <c r="G78" s="2">
        <v>48</v>
      </c>
      <c r="H78" s="1">
        <v>633.72</v>
      </c>
      <c r="I78" t="s">
        <v>177</v>
      </c>
      <c r="J78" s="2">
        <v>1</v>
      </c>
      <c r="K78" t="s">
        <v>13</v>
      </c>
      <c r="L78" t="s">
        <v>29</v>
      </c>
      <c r="M78" t="s">
        <v>15</v>
      </c>
    </row>
    <row r="79" spans="1:13" x14ac:dyDescent="0.25">
      <c r="A79" s="5">
        <v>42604</v>
      </c>
      <c r="B79" s="2">
        <v>0</v>
      </c>
      <c r="C79" t="s">
        <v>178</v>
      </c>
      <c r="D79" t="s">
        <v>175</v>
      </c>
      <c r="E79" t="s">
        <v>176</v>
      </c>
      <c r="F79" s="3">
        <v>42545</v>
      </c>
      <c r="G79" s="2">
        <v>59</v>
      </c>
      <c r="H79" s="1">
        <v>447.03</v>
      </c>
      <c r="I79" t="s">
        <v>177</v>
      </c>
      <c r="J79" s="2">
        <v>1</v>
      </c>
      <c r="K79" t="s">
        <v>13</v>
      </c>
      <c r="L79" t="s">
        <v>29</v>
      </c>
      <c r="M79" t="s">
        <v>15</v>
      </c>
    </row>
    <row r="80" spans="1:13" x14ac:dyDescent="0.25">
      <c r="A80" s="5">
        <v>42604</v>
      </c>
      <c r="B80" s="2">
        <v>0</v>
      </c>
      <c r="C80" t="s">
        <v>179</v>
      </c>
      <c r="D80" t="s">
        <v>175</v>
      </c>
      <c r="E80" t="s">
        <v>176</v>
      </c>
      <c r="F80" s="3">
        <v>42559</v>
      </c>
      <c r="G80" s="2">
        <v>45</v>
      </c>
      <c r="H80" s="1">
        <v>617.58000000000004</v>
      </c>
      <c r="I80" t="s">
        <v>180</v>
      </c>
      <c r="J80" s="2">
        <v>1</v>
      </c>
      <c r="K80" t="s">
        <v>13</v>
      </c>
      <c r="L80" t="s">
        <v>29</v>
      </c>
      <c r="M80" t="s">
        <v>15</v>
      </c>
    </row>
    <row r="81" spans="1:13" x14ac:dyDescent="0.25">
      <c r="A81" s="5">
        <v>42611</v>
      </c>
      <c r="B81" s="2">
        <v>0</v>
      </c>
      <c r="C81" t="s">
        <v>181</v>
      </c>
      <c r="D81" t="s">
        <v>169</v>
      </c>
      <c r="E81" t="s">
        <v>170</v>
      </c>
      <c r="F81" s="3">
        <v>42551</v>
      </c>
      <c r="G81" s="2">
        <v>60</v>
      </c>
      <c r="H81" s="1">
        <v>373.3</v>
      </c>
      <c r="I81" t="s">
        <v>182</v>
      </c>
      <c r="J81" s="2">
        <v>1</v>
      </c>
      <c r="K81" t="s">
        <v>13</v>
      </c>
      <c r="L81" t="s">
        <v>45</v>
      </c>
      <c r="M81" t="s">
        <v>172</v>
      </c>
    </row>
    <row r="82" spans="1:13" x14ac:dyDescent="0.25">
      <c r="A82" s="5">
        <v>42613</v>
      </c>
      <c r="B82" s="2">
        <v>0</v>
      </c>
      <c r="C82" t="s">
        <v>183</v>
      </c>
      <c r="D82" t="s">
        <v>175</v>
      </c>
      <c r="E82" t="s">
        <v>176</v>
      </c>
      <c r="F82" s="3">
        <v>42545</v>
      </c>
      <c r="G82" s="2">
        <v>68</v>
      </c>
      <c r="H82" s="1">
        <v>447.03</v>
      </c>
      <c r="I82" t="s">
        <v>177</v>
      </c>
      <c r="J82" s="2">
        <v>1</v>
      </c>
      <c r="K82" t="s">
        <v>13</v>
      </c>
      <c r="L82" t="s">
        <v>29</v>
      </c>
      <c r="M82" t="s">
        <v>15</v>
      </c>
    </row>
    <row r="83" spans="1:13" x14ac:dyDescent="0.25">
      <c r="A83" s="5">
        <v>42613</v>
      </c>
      <c r="B83" s="2">
        <v>0</v>
      </c>
      <c r="C83" t="s">
        <v>184</v>
      </c>
      <c r="D83" t="s">
        <v>175</v>
      </c>
      <c r="E83" t="s">
        <v>176</v>
      </c>
      <c r="F83" s="3">
        <v>42549</v>
      </c>
      <c r="G83" s="2">
        <v>64</v>
      </c>
      <c r="H83" s="1">
        <v>268.08</v>
      </c>
      <c r="I83" t="s">
        <v>185</v>
      </c>
      <c r="J83" s="2">
        <v>1</v>
      </c>
      <c r="K83" t="s">
        <v>13</v>
      </c>
      <c r="L83" t="s">
        <v>29</v>
      </c>
      <c r="M83" t="s">
        <v>15</v>
      </c>
    </row>
    <row r="84" spans="1:13" x14ac:dyDescent="0.25">
      <c r="A84" s="5">
        <v>42625</v>
      </c>
      <c r="B84" s="2">
        <v>0</v>
      </c>
      <c r="C84" t="s">
        <v>186</v>
      </c>
      <c r="D84" t="s">
        <v>169</v>
      </c>
      <c r="E84" t="s">
        <v>170</v>
      </c>
      <c r="F84" s="3">
        <v>42565</v>
      </c>
      <c r="G84" s="2">
        <v>60</v>
      </c>
      <c r="H84" s="1">
        <v>405.32</v>
      </c>
      <c r="I84" t="s">
        <v>187</v>
      </c>
      <c r="J84" s="2">
        <v>1</v>
      </c>
      <c r="K84" t="s">
        <v>13</v>
      </c>
      <c r="L84" t="s">
        <v>45</v>
      </c>
      <c r="M84" t="s">
        <v>172</v>
      </c>
    </row>
    <row r="85" spans="1:13" x14ac:dyDescent="0.25">
      <c r="A85" s="5">
        <v>42625</v>
      </c>
      <c r="B85" s="2">
        <v>0</v>
      </c>
      <c r="C85" t="s">
        <v>188</v>
      </c>
      <c r="D85" t="s">
        <v>175</v>
      </c>
      <c r="E85" t="s">
        <v>176</v>
      </c>
      <c r="F85" s="3">
        <v>42545</v>
      </c>
      <c r="G85" s="2">
        <v>80</v>
      </c>
      <c r="H85" s="1">
        <v>447.03</v>
      </c>
      <c r="I85" t="s">
        <v>177</v>
      </c>
      <c r="J85" s="2">
        <v>1</v>
      </c>
      <c r="K85" t="s">
        <v>13</v>
      </c>
      <c r="L85" t="s">
        <v>29</v>
      </c>
      <c r="M85" t="s">
        <v>15</v>
      </c>
    </row>
    <row r="86" spans="1:13" x14ac:dyDescent="0.25">
      <c r="A86" s="5">
        <v>42625</v>
      </c>
      <c r="B86" s="2">
        <v>0</v>
      </c>
      <c r="C86" t="s">
        <v>189</v>
      </c>
      <c r="D86" t="s">
        <v>175</v>
      </c>
      <c r="E86" t="s">
        <v>176</v>
      </c>
      <c r="F86" s="3">
        <v>42549</v>
      </c>
      <c r="G86" s="2">
        <v>76</v>
      </c>
      <c r="H86" s="1">
        <v>209.99</v>
      </c>
      <c r="I86" t="s">
        <v>185</v>
      </c>
      <c r="J86" s="2">
        <v>1</v>
      </c>
      <c r="K86" t="s">
        <v>13</v>
      </c>
      <c r="L86" t="s">
        <v>29</v>
      </c>
      <c r="M86" t="s">
        <v>15</v>
      </c>
    </row>
    <row r="87" spans="1:13" x14ac:dyDescent="0.25">
      <c r="A87" s="5">
        <v>42625</v>
      </c>
      <c r="B87" s="2">
        <v>0</v>
      </c>
      <c r="C87" t="s">
        <v>190</v>
      </c>
      <c r="D87" t="s">
        <v>175</v>
      </c>
      <c r="E87" t="s">
        <v>176</v>
      </c>
      <c r="F87" s="3">
        <v>42559</v>
      </c>
      <c r="G87" s="2">
        <v>66</v>
      </c>
      <c r="H87" s="1">
        <v>436.46</v>
      </c>
      <c r="I87" t="s">
        <v>180</v>
      </c>
      <c r="J87" s="2">
        <v>1</v>
      </c>
      <c r="K87" t="s">
        <v>13</v>
      </c>
      <c r="L87" t="s">
        <v>29</v>
      </c>
      <c r="M87" t="s">
        <v>15</v>
      </c>
    </row>
    <row r="88" spans="1:13" x14ac:dyDescent="0.25">
      <c r="A88" s="5">
        <v>42632</v>
      </c>
      <c r="B88" s="2">
        <v>0</v>
      </c>
      <c r="C88" t="s">
        <v>191</v>
      </c>
      <c r="D88" t="s">
        <v>169</v>
      </c>
      <c r="E88" t="s">
        <v>170</v>
      </c>
      <c r="F88" s="3">
        <v>42551</v>
      </c>
      <c r="G88" s="2">
        <v>81</v>
      </c>
      <c r="H88" s="1">
        <v>327.76</v>
      </c>
      <c r="I88" t="s">
        <v>182</v>
      </c>
      <c r="J88" s="2">
        <v>1</v>
      </c>
      <c r="K88" t="s">
        <v>13</v>
      </c>
      <c r="L88" t="s">
        <v>45</v>
      </c>
      <c r="M88" t="s">
        <v>172</v>
      </c>
    </row>
    <row r="89" spans="1:13" x14ac:dyDescent="0.25">
      <c r="A89" s="5">
        <v>42632</v>
      </c>
      <c r="B89" s="2">
        <v>0</v>
      </c>
      <c r="C89" t="s">
        <v>192</v>
      </c>
      <c r="D89" t="s">
        <v>169</v>
      </c>
      <c r="E89" t="s">
        <v>170</v>
      </c>
      <c r="F89" s="3">
        <v>42576</v>
      </c>
      <c r="G89" s="2">
        <v>56</v>
      </c>
      <c r="H89" s="1">
        <v>492.45</v>
      </c>
      <c r="I89" t="s">
        <v>193</v>
      </c>
      <c r="J89" s="2">
        <v>1</v>
      </c>
      <c r="K89" t="s">
        <v>13</v>
      </c>
      <c r="L89" t="s">
        <v>45</v>
      </c>
      <c r="M89" t="s">
        <v>172</v>
      </c>
    </row>
    <row r="90" spans="1:13" x14ac:dyDescent="0.25">
      <c r="A90" s="5">
        <v>42633</v>
      </c>
      <c r="B90" s="2">
        <v>0</v>
      </c>
      <c r="C90" t="s">
        <v>194</v>
      </c>
      <c r="D90" t="s">
        <v>175</v>
      </c>
      <c r="E90" t="s">
        <v>176</v>
      </c>
      <c r="F90" s="3">
        <v>42545</v>
      </c>
      <c r="G90" s="2">
        <v>88</v>
      </c>
      <c r="H90" s="1">
        <v>447.03</v>
      </c>
      <c r="I90" t="s">
        <v>177</v>
      </c>
      <c r="J90" s="2">
        <v>1</v>
      </c>
      <c r="K90" t="s">
        <v>13</v>
      </c>
      <c r="L90" t="s">
        <v>29</v>
      </c>
      <c r="M90" t="s">
        <v>15</v>
      </c>
    </row>
    <row r="91" spans="1:13" x14ac:dyDescent="0.25">
      <c r="A91" s="5">
        <v>42633</v>
      </c>
      <c r="B91" s="2">
        <v>0</v>
      </c>
      <c r="C91" t="s">
        <v>195</v>
      </c>
      <c r="D91" t="s">
        <v>175</v>
      </c>
      <c r="E91" t="s">
        <v>176</v>
      </c>
      <c r="F91" s="3">
        <v>42549</v>
      </c>
      <c r="G91" s="2">
        <v>84</v>
      </c>
      <c r="H91" s="1">
        <v>209.99</v>
      </c>
      <c r="I91" t="s">
        <v>185</v>
      </c>
      <c r="J91" s="2">
        <v>1</v>
      </c>
      <c r="K91" t="s">
        <v>13</v>
      </c>
      <c r="L91" t="s">
        <v>29</v>
      </c>
      <c r="M91" t="s">
        <v>15</v>
      </c>
    </row>
    <row r="92" spans="1:13" x14ac:dyDescent="0.25">
      <c r="A92" s="5">
        <v>42634</v>
      </c>
      <c r="B92" s="2">
        <v>0</v>
      </c>
      <c r="C92" t="s">
        <v>196</v>
      </c>
      <c r="D92" t="s">
        <v>175</v>
      </c>
      <c r="E92" t="s">
        <v>176</v>
      </c>
      <c r="F92" s="3">
        <v>42559</v>
      </c>
      <c r="G92" s="2">
        <v>75</v>
      </c>
      <c r="H92" s="1">
        <v>436.46</v>
      </c>
      <c r="I92" t="s">
        <v>180</v>
      </c>
      <c r="J92" s="2">
        <v>1</v>
      </c>
      <c r="K92" t="s">
        <v>13</v>
      </c>
      <c r="L92" t="s">
        <v>29</v>
      </c>
      <c r="M92" t="s">
        <v>15</v>
      </c>
    </row>
    <row r="93" spans="1:13" x14ac:dyDescent="0.25">
      <c r="A93" s="5">
        <v>42639</v>
      </c>
      <c r="B93" s="2">
        <v>0</v>
      </c>
      <c r="C93" t="s">
        <v>197</v>
      </c>
      <c r="D93" t="s">
        <v>198</v>
      </c>
      <c r="E93" t="s">
        <v>199</v>
      </c>
      <c r="F93" s="3">
        <v>42542</v>
      </c>
      <c r="G93" s="2">
        <v>97</v>
      </c>
      <c r="H93" s="1">
        <v>223.32</v>
      </c>
      <c r="I93" t="s">
        <v>200</v>
      </c>
      <c r="J93" s="2">
        <v>1</v>
      </c>
      <c r="K93" t="s">
        <v>13</v>
      </c>
      <c r="L93" t="s">
        <v>28</v>
      </c>
      <c r="M93" t="s">
        <v>15</v>
      </c>
    </row>
    <row r="94" spans="1:13" x14ac:dyDescent="0.25">
      <c r="A94" s="5">
        <v>42643</v>
      </c>
      <c r="B94" s="2">
        <v>0</v>
      </c>
      <c r="C94" t="s">
        <v>201</v>
      </c>
      <c r="D94" t="s">
        <v>198</v>
      </c>
      <c r="E94" t="s">
        <v>199</v>
      </c>
      <c r="F94" s="3">
        <v>42573</v>
      </c>
      <c r="G94" s="2">
        <v>70</v>
      </c>
      <c r="H94" s="1">
        <v>262.7</v>
      </c>
      <c r="I94" t="s">
        <v>202</v>
      </c>
      <c r="J94" s="2">
        <v>1</v>
      </c>
      <c r="K94" t="s">
        <v>13</v>
      </c>
      <c r="L94" t="s">
        <v>28</v>
      </c>
      <c r="M94" t="s">
        <v>15</v>
      </c>
    </row>
    <row r="95" spans="1:13" x14ac:dyDescent="0.25">
      <c r="A95" s="5">
        <v>42643</v>
      </c>
      <c r="B95" s="2">
        <v>0</v>
      </c>
      <c r="C95" t="s">
        <v>203</v>
      </c>
      <c r="D95" t="s">
        <v>175</v>
      </c>
      <c r="E95" t="s">
        <v>176</v>
      </c>
      <c r="F95" s="3">
        <v>42545</v>
      </c>
      <c r="G95" s="2">
        <v>98</v>
      </c>
      <c r="H95" s="1">
        <v>447.03</v>
      </c>
      <c r="I95" t="s">
        <v>177</v>
      </c>
      <c r="J95" s="2">
        <v>1</v>
      </c>
      <c r="K95" t="s">
        <v>13</v>
      </c>
      <c r="L95" t="s">
        <v>29</v>
      </c>
      <c r="M95" t="s">
        <v>15</v>
      </c>
    </row>
    <row r="96" spans="1:13" x14ac:dyDescent="0.25">
      <c r="A96" s="5">
        <v>42643</v>
      </c>
      <c r="B96" s="2">
        <v>0</v>
      </c>
      <c r="C96" t="s">
        <v>204</v>
      </c>
      <c r="D96" t="s">
        <v>175</v>
      </c>
      <c r="E96" t="s">
        <v>176</v>
      </c>
      <c r="F96" s="3">
        <v>42549</v>
      </c>
      <c r="G96" s="2">
        <v>94</v>
      </c>
      <c r="H96" s="1">
        <v>209.99</v>
      </c>
      <c r="I96" t="s">
        <v>185</v>
      </c>
      <c r="J96" s="2">
        <v>1</v>
      </c>
      <c r="K96" t="s">
        <v>13</v>
      </c>
      <c r="L96" t="s">
        <v>29</v>
      </c>
      <c r="M96" t="s">
        <v>15</v>
      </c>
    </row>
    <row r="97" spans="1:13" x14ac:dyDescent="0.25">
      <c r="A97" s="5">
        <v>42646</v>
      </c>
      <c r="B97" s="2">
        <v>0</v>
      </c>
      <c r="C97" t="s">
        <v>205</v>
      </c>
      <c r="D97" t="s">
        <v>169</v>
      </c>
      <c r="E97" t="s">
        <v>170</v>
      </c>
      <c r="F97" s="3">
        <v>42565</v>
      </c>
      <c r="G97" s="2">
        <v>81</v>
      </c>
      <c r="H97" s="1">
        <v>355.85</v>
      </c>
      <c r="I97" t="s">
        <v>187</v>
      </c>
      <c r="J97" s="2">
        <v>1</v>
      </c>
      <c r="K97" t="s">
        <v>13</v>
      </c>
      <c r="L97" t="s">
        <v>45</v>
      </c>
      <c r="M97" t="s">
        <v>172</v>
      </c>
    </row>
    <row r="98" spans="1:13" x14ac:dyDescent="0.25">
      <c r="A98" s="5">
        <v>42646</v>
      </c>
      <c r="B98" s="2">
        <v>0</v>
      </c>
      <c r="C98" t="s">
        <v>206</v>
      </c>
      <c r="D98" t="s">
        <v>175</v>
      </c>
      <c r="E98" t="s">
        <v>176</v>
      </c>
      <c r="F98" s="3">
        <v>42559</v>
      </c>
      <c r="G98" s="2">
        <v>87</v>
      </c>
      <c r="H98" s="1">
        <v>436.46</v>
      </c>
      <c r="I98" t="s">
        <v>180</v>
      </c>
      <c r="J98" s="2">
        <v>1</v>
      </c>
      <c r="K98" t="s">
        <v>13</v>
      </c>
      <c r="L98" t="s">
        <v>29</v>
      </c>
      <c r="M98" t="s">
        <v>15</v>
      </c>
    </row>
    <row r="99" spans="1:13" x14ac:dyDescent="0.25">
      <c r="A99" s="5">
        <v>42653</v>
      </c>
      <c r="B99" s="2">
        <v>0</v>
      </c>
      <c r="C99" t="s">
        <v>207</v>
      </c>
      <c r="D99" t="s">
        <v>169</v>
      </c>
      <c r="E99" t="s">
        <v>170</v>
      </c>
      <c r="F99" s="3">
        <v>42576</v>
      </c>
      <c r="G99" s="2">
        <v>77</v>
      </c>
      <c r="H99" s="1">
        <v>437.94</v>
      </c>
      <c r="I99" t="s">
        <v>193</v>
      </c>
      <c r="J99" s="2">
        <v>1</v>
      </c>
      <c r="K99" t="s">
        <v>13</v>
      </c>
      <c r="L99" t="s">
        <v>45</v>
      </c>
      <c r="M99" t="s">
        <v>172</v>
      </c>
    </row>
    <row r="100" spans="1:13" x14ac:dyDescent="0.25">
      <c r="A100" s="5">
        <v>42654</v>
      </c>
      <c r="B100" s="2">
        <v>0</v>
      </c>
      <c r="C100" t="s">
        <v>208</v>
      </c>
      <c r="D100" t="s">
        <v>198</v>
      </c>
      <c r="E100" t="s">
        <v>199</v>
      </c>
      <c r="F100" s="3">
        <v>42564</v>
      </c>
      <c r="G100" s="2">
        <v>90</v>
      </c>
      <c r="H100" s="1">
        <v>275.64999999999998</v>
      </c>
      <c r="I100" t="s">
        <v>209</v>
      </c>
      <c r="J100" s="2">
        <v>1</v>
      </c>
      <c r="K100" t="s">
        <v>13</v>
      </c>
      <c r="L100" t="s">
        <v>28</v>
      </c>
      <c r="M100" t="s">
        <v>15</v>
      </c>
    </row>
    <row r="101" spans="1:13" x14ac:dyDescent="0.25">
      <c r="A101" s="5">
        <v>42654</v>
      </c>
      <c r="B101" s="2">
        <v>0</v>
      </c>
      <c r="C101" t="s">
        <v>210</v>
      </c>
      <c r="D101" t="s">
        <v>198</v>
      </c>
      <c r="E101" t="s">
        <v>199</v>
      </c>
      <c r="F101" s="3">
        <v>42604</v>
      </c>
      <c r="G101" s="2">
        <v>50</v>
      </c>
      <c r="H101" s="1">
        <v>257.98</v>
      </c>
      <c r="I101" t="s">
        <v>211</v>
      </c>
      <c r="J101" s="2">
        <v>1</v>
      </c>
      <c r="K101" t="s">
        <v>13</v>
      </c>
      <c r="L101" t="s">
        <v>28</v>
      </c>
      <c r="M101" t="s">
        <v>15</v>
      </c>
    </row>
    <row r="102" spans="1:13" x14ac:dyDescent="0.25">
      <c r="A102" s="5">
        <v>42654</v>
      </c>
      <c r="B102" s="2">
        <v>0</v>
      </c>
      <c r="C102" t="s">
        <v>212</v>
      </c>
      <c r="D102" t="s">
        <v>175</v>
      </c>
      <c r="E102" t="s">
        <v>176</v>
      </c>
      <c r="F102" s="3">
        <v>42559</v>
      </c>
      <c r="G102" s="2">
        <v>95</v>
      </c>
      <c r="H102" s="1">
        <v>436.46</v>
      </c>
      <c r="I102" t="s">
        <v>180</v>
      </c>
      <c r="J102" s="2">
        <v>1</v>
      </c>
      <c r="K102" t="s">
        <v>13</v>
      </c>
      <c r="L102" t="s">
        <v>29</v>
      </c>
      <c r="M102" t="s">
        <v>15</v>
      </c>
    </row>
    <row r="103" spans="1:13" x14ac:dyDescent="0.25">
      <c r="A103" s="5">
        <v>42655</v>
      </c>
      <c r="B103" s="2">
        <v>0</v>
      </c>
      <c r="C103" t="s">
        <v>213</v>
      </c>
      <c r="D103" t="s">
        <v>198</v>
      </c>
      <c r="E103" t="s">
        <v>199</v>
      </c>
      <c r="F103" s="3">
        <v>42555</v>
      </c>
      <c r="G103" s="2">
        <v>100</v>
      </c>
      <c r="H103" s="1">
        <v>265.39</v>
      </c>
      <c r="I103" t="s">
        <v>214</v>
      </c>
      <c r="J103" s="2">
        <v>1</v>
      </c>
      <c r="K103" t="s">
        <v>13</v>
      </c>
      <c r="L103" t="s">
        <v>28</v>
      </c>
      <c r="M103" t="s">
        <v>15</v>
      </c>
    </row>
    <row r="104" spans="1:13" x14ac:dyDescent="0.25">
      <c r="A104" s="5">
        <v>42655</v>
      </c>
      <c r="B104" s="2">
        <v>0</v>
      </c>
      <c r="C104" t="s">
        <v>215</v>
      </c>
      <c r="D104" t="s">
        <v>216</v>
      </c>
      <c r="E104" t="s">
        <v>217</v>
      </c>
      <c r="F104" s="3">
        <v>42641</v>
      </c>
      <c r="G104" s="2">
        <v>14</v>
      </c>
      <c r="H104" s="1">
        <v>527.24</v>
      </c>
      <c r="I104" t="s">
        <v>218</v>
      </c>
      <c r="J104" s="2">
        <v>1</v>
      </c>
      <c r="K104" t="s">
        <v>13</v>
      </c>
      <c r="L104" t="s">
        <v>29</v>
      </c>
      <c r="M104" t="s">
        <v>15</v>
      </c>
    </row>
    <row r="105" spans="1:13" x14ac:dyDescent="0.25">
      <c r="A105" s="5">
        <v>42656</v>
      </c>
      <c r="B105" s="2">
        <v>0</v>
      </c>
      <c r="C105" t="s">
        <v>219</v>
      </c>
      <c r="D105" t="s">
        <v>198</v>
      </c>
      <c r="E105" t="s">
        <v>199</v>
      </c>
      <c r="F105" s="3">
        <v>42601</v>
      </c>
      <c r="G105" s="2">
        <v>55</v>
      </c>
      <c r="H105" s="1">
        <v>278.89</v>
      </c>
      <c r="I105" t="s">
        <v>220</v>
      </c>
      <c r="J105" s="2">
        <v>1</v>
      </c>
      <c r="K105" t="s">
        <v>13</v>
      </c>
      <c r="L105" t="s">
        <v>28</v>
      </c>
      <c r="M105" t="s">
        <v>15</v>
      </c>
    </row>
    <row r="106" spans="1:13" x14ac:dyDescent="0.25">
      <c r="A106" s="5">
        <v>42657</v>
      </c>
      <c r="B106" s="2">
        <v>0</v>
      </c>
      <c r="C106" t="s">
        <v>221</v>
      </c>
      <c r="D106" t="s">
        <v>198</v>
      </c>
      <c r="E106" t="s">
        <v>199</v>
      </c>
      <c r="F106" s="3">
        <v>42587</v>
      </c>
      <c r="G106" s="2">
        <v>70</v>
      </c>
      <c r="H106" s="1">
        <v>275.52999999999997</v>
      </c>
      <c r="I106" t="s">
        <v>222</v>
      </c>
      <c r="J106" s="2">
        <v>1</v>
      </c>
      <c r="K106" t="s">
        <v>13</v>
      </c>
      <c r="L106" t="s">
        <v>28</v>
      </c>
      <c r="M106" t="s">
        <v>15</v>
      </c>
    </row>
    <row r="107" spans="1:13" x14ac:dyDescent="0.25">
      <c r="A107" s="5">
        <v>42663</v>
      </c>
      <c r="B107" s="2">
        <v>0</v>
      </c>
      <c r="C107" t="s">
        <v>223</v>
      </c>
      <c r="D107" t="s">
        <v>198</v>
      </c>
      <c r="E107" t="s">
        <v>199</v>
      </c>
      <c r="F107" s="3">
        <v>42573</v>
      </c>
      <c r="G107" s="2">
        <v>90</v>
      </c>
      <c r="H107" s="1">
        <v>262.72000000000003</v>
      </c>
      <c r="I107" t="s">
        <v>202</v>
      </c>
      <c r="J107" s="2">
        <v>1</v>
      </c>
      <c r="K107" t="s">
        <v>13</v>
      </c>
      <c r="L107" t="s">
        <v>28</v>
      </c>
      <c r="M107" t="s">
        <v>15</v>
      </c>
    </row>
    <row r="108" spans="1:13" x14ac:dyDescent="0.25">
      <c r="A108" s="5">
        <v>42664</v>
      </c>
      <c r="B108" s="2">
        <v>0</v>
      </c>
      <c r="C108" t="s">
        <v>224</v>
      </c>
      <c r="D108" t="s">
        <v>198</v>
      </c>
      <c r="E108" t="s">
        <v>199</v>
      </c>
      <c r="F108" s="3">
        <v>42604</v>
      </c>
      <c r="G108" s="2">
        <v>60</v>
      </c>
      <c r="H108" s="1">
        <v>257.98</v>
      </c>
      <c r="I108" t="s">
        <v>211</v>
      </c>
      <c r="J108" s="2">
        <v>1</v>
      </c>
      <c r="K108" t="s">
        <v>13</v>
      </c>
      <c r="L108" t="s">
        <v>28</v>
      </c>
      <c r="M108" t="s">
        <v>15</v>
      </c>
    </row>
    <row r="109" spans="1:13" x14ac:dyDescent="0.25">
      <c r="A109" s="5">
        <v>42667</v>
      </c>
      <c r="B109" s="2">
        <v>0</v>
      </c>
      <c r="C109" t="s">
        <v>225</v>
      </c>
      <c r="D109" t="s">
        <v>198</v>
      </c>
      <c r="E109" t="s">
        <v>199</v>
      </c>
      <c r="F109" s="3">
        <v>42555</v>
      </c>
      <c r="G109" s="2">
        <v>112</v>
      </c>
      <c r="H109" s="1">
        <v>265.39</v>
      </c>
      <c r="I109" t="s">
        <v>214</v>
      </c>
      <c r="J109" s="2">
        <v>1</v>
      </c>
      <c r="K109" t="s">
        <v>13</v>
      </c>
      <c r="L109" t="s">
        <v>28</v>
      </c>
      <c r="M109" t="s">
        <v>15</v>
      </c>
    </row>
    <row r="110" spans="1:13" x14ac:dyDescent="0.25">
      <c r="A110" s="5">
        <v>42667</v>
      </c>
      <c r="B110" s="2">
        <v>0</v>
      </c>
      <c r="C110" t="s">
        <v>226</v>
      </c>
      <c r="D110" t="s">
        <v>198</v>
      </c>
      <c r="E110" t="s">
        <v>199</v>
      </c>
      <c r="F110" s="3">
        <v>42601</v>
      </c>
      <c r="G110" s="2">
        <v>66</v>
      </c>
      <c r="H110" s="1">
        <v>219.48</v>
      </c>
      <c r="I110" t="s">
        <v>227</v>
      </c>
      <c r="J110" s="2">
        <v>1</v>
      </c>
      <c r="K110" t="s">
        <v>13</v>
      </c>
      <c r="L110" t="s">
        <v>28</v>
      </c>
      <c r="M110" t="s">
        <v>15</v>
      </c>
    </row>
    <row r="111" spans="1:13" x14ac:dyDescent="0.25">
      <c r="A111" s="5">
        <v>42667</v>
      </c>
      <c r="B111" s="2">
        <v>0</v>
      </c>
      <c r="C111" t="s">
        <v>228</v>
      </c>
      <c r="D111" t="s">
        <v>198</v>
      </c>
      <c r="E111" t="s">
        <v>199</v>
      </c>
      <c r="F111" s="3">
        <v>42601</v>
      </c>
      <c r="G111" s="2">
        <v>66</v>
      </c>
      <c r="H111" s="1">
        <v>278.89</v>
      </c>
      <c r="I111" t="s">
        <v>220</v>
      </c>
      <c r="J111" s="2">
        <v>1</v>
      </c>
      <c r="K111" t="s">
        <v>13</v>
      </c>
      <c r="L111" t="s">
        <v>28</v>
      </c>
      <c r="M111" t="s">
        <v>15</v>
      </c>
    </row>
    <row r="112" spans="1:13" x14ac:dyDescent="0.25">
      <c r="A112" s="5">
        <v>42667</v>
      </c>
      <c r="B112" s="2">
        <v>0</v>
      </c>
      <c r="C112" t="s">
        <v>229</v>
      </c>
      <c r="D112" t="s">
        <v>198</v>
      </c>
      <c r="E112" t="s">
        <v>199</v>
      </c>
      <c r="F112" s="3">
        <v>42612</v>
      </c>
      <c r="G112" s="2">
        <v>55</v>
      </c>
      <c r="H112" s="1">
        <v>266.27999999999997</v>
      </c>
      <c r="I112" t="s">
        <v>230</v>
      </c>
      <c r="J112" s="2">
        <v>1</v>
      </c>
      <c r="K112" t="s">
        <v>13</v>
      </c>
      <c r="L112" t="s">
        <v>28</v>
      </c>
      <c r="M112" t="s">
        <v>15</v>
      </c>
    </row>
    <row r="113" spans="1:13" x14ac:dyDescent="0.25">
      <c r="A113" s="5">
        <v>42669</v>
      </c>
      <c r="B113" s="2">
        <v>0</v>
      </c>
      <c r="C113" t="s">
        <v>231</v>
      </c>
      <c r="D113" t="s">
        <v>216</v>
      </c>
      <c r="E113" t="s">
        <v>217</v>
      </c>
      <c r="F113" s="3">
        <v>42641</v>
      </c>
      <c r="G113" s="2">
        <v>28</v>
      </c>
      <c r="H113" s="1">
        <v>527.24</v>
      </c>
      <c r="I113" t="s">
        <v>218</v>
      </c>
      <c r="J113" s="2">
        <v>1</v>
      </c>
      <c r="K113" t="s">
        <v>13</v>
      </c>
      <c r="L113" t="s">
        <v>29</v>
      </c>
      <c r="M113" t="s">
        <v>15</v>
      </c>
    </row>
    <row r="114" spans="1:13" x14ac:dyDescent="0.25">
      <c r="A114" s="5">
        <v>42674</v>
      </c>
      <c r="B114" s="2">
        <v>0</v>
      </c>
      <c r="C114" t="s">
        <v>232</v>
      </c>
      <c r="D114" t="s">
        <v>198</v>
      </c>
      <c r="E114" t="s">
        <v>199</v>
      </c>
      <c r="F114" s="3">
        <v>42604</v>
      </c>
      <c r="G114" s="2">
        <v>70</v>
      </c>
      <c r="H114" s="1">
        <v>257.98</v>
      </c>
      <c r="I114" t="s">
        <v>211</v>
      </c>
      <c r="J114" s="2">
        <v>1</v>
      </c>
      <c r="K114" t="s">
        <v>13</v>
      </c>
      <c r="L114" t="s">
        <v>28</v>
      </c>
      <c r="M114" t="s">
        <v>15</v>
      </c>
    </row>
    <row r="115" spans="1:13" x14ac:dyDescent="0.25">
      <c r="A115" s="5">
        <v>42674</v>
      </c>
      <c r="B115" s="2">
        <v>0</v>
      </c>
      <c r="C115" t="s">
        <v>233</v>
      </c>
      <c r="D115" t="s">
        <v>198</v>
      </c>
      <c r="E115" t="s">
        <v>199</v>
      </c>
      <c r="F115" s="3">
        <v>42634</v>
      </c>
      <c r="G115" s="2">
        <v>40</v>
      </c>
      <c r="H115" s="1">
        <v>223</v>
      </c>
      <c r="I115" t="s">
        <v>234</v>
      </c>
      <c r="J115" s="2">
        <v>1</v>
      </c>
      <c r="K115" t="s">
        <v>13</v>
      </c>
      <c r="L115" t="s">
        <v>28</v>
      </c>
      <c r="M115" t="s">
        <v>15</v>
      </c>
    </row>
    <row r="116" spans="1:13" x14ac:dyDescent="0.25">
      <c r="A116" s="5">
        <v>42676</v>
      </c>
      <c r="B116" s="2">
        <v>0</v>
      </c>
      <c r="C116" t="s">
        <v>235</v>
      </c>
      <c r="D116" t="s">
        <v>198</v>
      </c>
      <c r="E116" t="s">
        <v>199</v>
      </c>
      <c r="F116" s="3">
        <v>42601</v>
      </c>
      <c r="G116" s="2">
        <v>75</v>
      </c>
      <c r="H116" s="1">
        <v>192.83</v>
      </c>
      <c r="I116" t="s">
        <v>227</v>
      </c>
      <c r="J116" s="2">
        <v>1</v>
      </c>
      <c r="K116" t="s">
        <v>13</v>
      </c>
      <c r="L116" t="s">
        <v>28</v>
      </c>
      <c r="M116" t="s">
        <v>15</v>
      </c>
    </row>
    <row r="117" spans="1:13" x14ac:dyDescent="0.25">
      <c r="A117" s="5">
        <v>42676</v>
      </c>
      <c r="B117" s="2">
        <v>0</v>
      </c>
      <c r="C117" t="s">
        <v>236</v>
      </c>
      <c r="D117" t="s">
        <v>198</v>
      </c>
      <c r="E117" t="s">
        <v>199</v>
      </c>
      <c r="F117" s="3">
        <v>42601</v>
      </c>
      <c r="G117" s="2">
        <v>75</v>
      </c>
      <c r="H117" s="1">
        <v>278.89</v>
      </c>
      <c r="I117" t="s">
        <v>220</v>
      </c>
      <c r="J117" s="2">
        <v>1</v>
      </c>
      <c r="K117" t="s">
        <v>13</v>
      </c>
      <c r="L117" t="s">
        <v>28</v>
      </c>
      <c r="M117" t="s">
        <v>15</v>
      </c>
    </row>
    <row r="118" spans="1:13" x14ac:dyDescent="0.25">
      <c r="A118" s="5">
        <v>42676</v>
      </c>
      <c r="B118" s="2">
        <v>0</v>
      </c>
      <c r="C118" t="s">
        <v>237</v>
      </c>
      <c r="D118" t="s">
        <v>216</v>
      </c>
      <c r="E118" t="s">
        <v>217</v>
      </c>
      <c r="F118" s="3">
        <v>42641</v>
      </c>
      <c r="G118" s="2">
        <v>35</v>
      </c>
      <c r="H118" s="1">
        <v>527.24</v>
      </c>
      <c r="I118" t="s">
        <v>218</v>
      </c>
      <c r="J118" s="2">
        <v>1</v>
      </c>
      <c r="K118" t="s">
        <v>13</v>
      </c>
      <c r="L118" t="s">
        <v>29</v>
      </c>
      <c r="M118" t="s">
        <v>15</v>
      </c>
    </row>
    <row r="119" spans="1:13" x14ac:dyDescent="0.25">
      <c r="A119" s="5">
        <v>42677</v>
      </c>
      <c r="B119" s="2">
        <v>0</v>
      </c>
      <c r="C119" t="s">
        <v>238</v>
      </c>
      <c r="D119" t="s">
        <v>198</v>
      </c>
      <c r="E119" t="s">
        <v>199</v>
      </c>
      <c r="F119" s="3">
        <v>42612</v>
      </c>
      <c r="G119" s="2">
        <v>65</v>
      </c>
      <c r="H119" s="1">
        <v>266.27999999999997</v>
      </c>
      <c r="I119" t="s">
        <v>230</v>
      </c>
      <c r="J119" s="2">
        <v>1</v>
      </c>
      <c r="K119" t="s">
        <v>13</v>
      </c>
      <c r="L119" t="s">
        <v>28</v>
      </c>
      <c r="M119" t="s">
        <v>15</v>
      </c>
    </row>
    <row r="120" spans="1:13" x14ac:dyDescent="0.25">
      <c r="A120" s="5">
        <v>42677</v>
      </c>
      <c r="B120" s="2">
        <v>0</v>
      </c>
      <c r="C120" t="s">
        <v>239</v>
      </c>
      <c r="D120" t="s">
        <v>198</v>
      </c>
      <c r="E120" t="s">
        <v>199</v>
      </c>
      <c r="F120" s="3">
        <v>42622</v>
      </c>
      <c r="G120" s="2">
        <v>55</v>
      </c>
      <c r="H120" s="1">
        <v>253.11</v>
      </c>
      <c r="I120" t="s">
        <v>240</v>
      </c>
      <c r="J120" s="2">
        <v>1</v>
      </c>
      <c r="K120" t="s">
        <v>13</v>
      </c>
      <c r="L120" t="s">
        <v>28</v>
      </c>
      <c r="M120" t="s">
        <v>15</v>
      </c>
    </row>
    <row r="121" spans="1:13" x14ac:dyDescent="0.25">
      <c r="A121" s="5">
        <v>42681</v>
      </c>
      <c r="B121" s="2">
        <v>0</v>
      </c>
      <c r="C121" t="s">
        <v>241</v>
      </c>
      <c r="D121" t="s">
        <v>242</v>
      </c>
      <c r="E121" t="s">
        <v>243</v>
      </c>
      <c r="F121" s="3">
        <v>42650</v>
      </c>
      <c r="G121" s="2">
        <v>31</v>
      </c>
      <c r="H121" s="1">
        <v>313.06</v>
      </c>
      <c r="I121" t="s">
        <v>244</v>
      </c>
      <c r="J121" s="2">
        <v>1</v>
      </c>
      <c r="K121" t="s">
        <v>13</v>
      </c>
      <c r="L121" t="s">
        <v>30</v>
      </c>
      <c r="M121" t="s">
        <v>18</v>
      </c>
    </row>
    <row r="122" spans="1:13" x14ac:dyDescent="0.25">
      <c r="A122" s="5">
        <v>42683</v>
      </c>
      <c r="B122" s="2">
        <v>0</v>
      </c>
      <c r="C122" t="s">
        <v>245</v>
      </c>
      <c r="D122" t="s">
        <v>198</v>
      </c>
      <c r="E122" t="s">
        <v>199</v>
      </c>
      <c r="F122" s="3">
        <v>42643</v>
      </c>
      <c r="G122" s="2">
        <v>40</v>
      </c>
      <c r="H122" s="1">
        <v>258.91000000000003</v>
      </c>
      <c r="I122" t="s">
        <v>246</v>
      </c>
      <c r="J122" s="2">
        <v>1</v>
      </c>
      <c r="K122" t="s">
        <v>13</v>
      </c>
      <c r="L122" t="s">
        <v>28</v>
      </c>
      <c r="M122" t="s">
        <v>15</v>
      </c>
    </row>
    <row r="123" spans="1:13" x14ac:dyDescent="0.25">
      <c r="A123" s="5">
        <v>42684</v>
      </c>
      <c r="B123" s="2">
        <v>0</v>
      </c>
      <c r="C123" t="s">
        <v>247</v>
      </c>
      <c r="D123" t="s">
        <v>198</v>
      </c>
      <c r="E123" t="s">
        <v>199</v>
      </c>
      <c r="F123" s="3">
        <v>42604</v>
      </c>
      <c r="G123" s="2">
        <v>80</v>
      </c>
      <c r="H123" s="1">
        <v>257.98</v>
      </c>
      <c r="I123" t="s">
        <v>211</v>
      </c>
      <c r="J123" s="2">
        <v>1</v>
      </c>
      <c r="K123" t="s">
        <v>13</v>
      </c>
      <c r="L123" t="s">
        <v>28</v>
      </c>
      <c r="M123" t="s">
        <v>15</v>
      </c>
    </row>
    <row r="124" spans="1:13" x14ac:dyDescent="0.25">
      <c r="A124" s="5">
        <v>42684</v>
      </c>
      <c r="B124" s="2">
        <v>0</v>
      </c>
      <c r="C124" t="s">
        <v>248</v>
      </c>
      <c r="D124" t="s">
        <v>198</v>
      </c>
      <c r="E124" t="s">
        <v>199</v>
      </c>
      <c r="F124" s="3">
        <v>42634</v>
      </c>
      <c r="G124" s="2">
        <v>50</v>
      </c>
      <c r="H124" s="1">
        <v>223</v>
      </c>
      <c r="I124" t="s">
        <v>234</v>
      </c>
      <c r="J124" s="2">
        <v>1</v>
      </c>
      <c r="K124" t="s">
        <v>13</v>
      </c>
      <c r="L124" t="s">
        <v>28</v>
      </c>
      <c r="M124" t="s">
        <v>15</v>
      </c>
    </row>
    <row r="125" spans="1:13" x14ac:dyDescent="0.25">
      <c r="A125" s="5">
        <v>42684</v>
      </c>
      <c r="B125" s="2">
        <v>0</v>
      </c>
      <c r="C125" t="s">
        <v>249</v>
      </c>
      <c r="D125" t="s">
        <v>216</v>
      </c>
      <c r="E125" t="s">
        <v>217</v>
      </c>
      <c r="F125" s="3">
        <v>42641</v>
      </c>
      <c r="G125" s="2">
        <v>43</v>
      </c>
      <c r="H125" s="1">
        <v>527.22</v>
      </c>
      <c r="I125" t="s">
        <v>218</v>
      </c>
      <c r="J125" s="2">
        <v>1</v>
      </c>
      <c r="K125" t="s">
        <v>13</v>
      </c>
      <c r="L125" t="s">
        <v>29</v>
      </c>
      <c r="M125" t="s">
        <v>15</v>
      </c>
    </row>
    <row r="126" spans="1:13" x14ac:dyDescent="0.25">
      <c r="A126" s="5">
        <v>42688</v>
      </c>
      <c r="B126" s="2">
        <v>0</v>
      </c>
      <c r="C126" t="s">
        <v>250</v>
      </c>
      <c r="D126" t="s">
        <v>198</v>
      </c>
      <c r="E126" t="s">
        <v>199</v>
      </c>
      <c r="F126" s="3">
        <v>42601</v>
      </c>
      <c r="G126" s="2">
        <v>87</v>
      </c>
      <c r="H126" s="1">
        <v>278.89</v>
      </c>
      <c r="I126" t="s">
        <v>220</v>
      </c>
      <c r="J126" s="2">
        <v>1</v>
      </c>
      <c r="K126" t="s">
        <v>13</v>
      </c>
      <c r="L126" t="s">
        <v>28</v>
      </c>
      <c r="M126" t="s">
        <v>15</v>
      </c>
    </row>
    <row r="127" spans="1:13" x14ac:dyDescent="0.25">
      <c r="A127" s="5">
        <v>42688</v>
      </c>
      <c r="B127" s="2">
        <v>0</v>
      </c>
      <c r="C127" t="s">
        <v>251</v>
      </c>
      <c r="D127" t="s">
        <v>198</v>
      </c>
      <c r="E127" t="s">
        <v>199</v>
      </c>
      <c r="F127" s="3">
        <v>42612</v>
      </c>
      <c r="G127" s="2">
        <v>76</v>
      </c>
      <c r="H127" s="1">
        <v>266.27</v>
      </c>
      <c r="I127" t="s">
        <v>230</v>
      </c>
      <c r="J127" s="2">
        <v>1</v>
      </c>
      <c r="K127" t="s">
        <v>13</v>
      </c>
      <c r="L127" t="s">
        <v>28</v>
      </c>
      <c r="M127" t="s">
        <v>15</v>
      </c>
    </row>
    <row r="128" spans="1:13" x14ac:dyDescent="0.25">
      <c r="A128" s="5">
        <v>42688</v>
      </c>
      <c r="B128" s="2">
        <v>0</v>
      </c>
      <c r="C128" t="s">
        <v>252</v>
      </c>
      <c r="D128" t="s">
        <v>198</v>
      </c>
      <c r="E128" t="s">
        <v>199</v>
      </c>
      <c r="F128" s="3">
        <v>42622</v>
      </c>
      <c r="G128" s="2">
        <v>66</v>
      </c>
      <c r="H128" s="1">
        <v>253.11</v>
      </c>
      <c r="I128" t="s">
        <v>240</v>
      </c>
      <c r="J128" s="2">
        <v>1</v>
      </c>
      <c r="K128" t="s">
        <v>13</v>
      </c>
      <c r="L128" t="s">
        <v>28</v>
      </c>
      <c r="M128" t="s">
        <v>15</v>
      </c>
    </row>
    <row r="129" spans="1:13" x14ac:dyDescent="0.25">
      <c r="A129" s="5">
        <v>42695</v>
      </c>
      <c r="B129" s="2">
        <v>0</v>
      </c>
      <c r="C129" t="s">
        <v>253</v>
      </c>
      <c r="D129" t="s">
        <v>198</v>
      </c>
      <c r="E129" t="s">
        <v>199</v>
      </c>
      <c r="F129" s="3">
        <v>42604</v>
      </c>
      <c r="G129" s="2">
        <v>91</v>
      </c>
      <c r="H129" s="1">
        <v>257.97000000000003</v>
      </c>
      <c r="I129" t="s">
        <v>211</v>
      </c>
      <c r="J129" s="2">
        <v>1</v>
      </c>
      <c r="K129" t="s">
        <v>13</v>
      </c>
      <c r="L129" t="s">
        <v>28</v>
      </c>
      <c r="M129" t="s">
        <v>15</v>
      </c>
    </row>
    <row r="130" spans="1:13" x14ac:dyDescent="0.25">
      <c r="A130" s="5">
        <v>42695</v>
      </c>
      <c r="B130" s="2">
        <v>0</v>
      </c>
      <c r="C130" t="s">
        <v>254</v>
      </c>
      <c r="D130" t="s">
        <v>198</v>
      </c>
      <c r="E130" t="s">
        <v>199</v>
      </c>
      <c r="F130" s="3">
        <v>42634</v>
      </c>
      <c r="G130" s="2">
        <v>61</v>
      </c>
      <c r="H130" s="1">
        <v>223</v>
      </c>
      <c r="I130" t="s">
        <v>234</v>
      </c>
      <c r="J130" s="2">
        <v>1</v>
      </c>
      <c r="K130" t="s">
        <v>13</v>
      </c>
      <c r="L130" t="s">
        <v>28</v>
      </c>
      <c r="M130" t="s">
        <v>15</v>
      </c>
    </row>
    <row r="131" spans="1:13" x14ac:dyDescent="0.25">
      <c r="A131" s="5">
        <v>42695</v>
      </c>
      <c r="B131" s="2">
        <v>0</v>
      </c>
      <c r="C131" t="s">
        <v>255</v>
      </c>
      <c r="D131" t="s">
        <v>198</v>
      </c>
      <c r="E131" t="s">
        <v>199</v>
      </c>
      <c r="F131" s="3">
        <v>42643</v>
      </c>
      <c r="G131" s="2">
        <v>52</v>
      </c>
      <c r="H131" s="1">
        <v>258.91000000000003</v>
      </c>
      <c r="I131" t="s">
        <v>246</v>
      </c>
      <c r="J131" s="2">
        <v>1</v>
      </c>
      <c r="K131" t="s">
        <v>13</v>
      </c>
      <c r="L131" t="s">
        <v>28</v>
      </c>
      <c r="M131" t="s">
        <v>15</v>
      </c>
    </row>
    <row r="132" spans="1:13" x14ac:dyDescent="0.25">
      <c r="A132" s="5">
        <v>42695</v>
      </c>
      <c r="B132" s="2">
        <v>0</v>
      </c>
      <c r="C132" t="s">
        <v>256</v>
      </c>
      <c r="D132" t="s">
        <v>257</v>
      </c>
      <c r="E132" t="s">
        <v>258</v>
      </c>
      <c r="F132" s="3">
        <v>42678</v>
      </c>
      <c r="G132" s="2">
        <v>17</v>
      </c>
      <c r="H132" s="1">
        <v>445.85</v>
      </c>
      <c r="I132" t="s">
        <v>259</v>
      </c>
      <c r="J132" s="2">
        <v>1</v>
      </c>
      <c r="K132" t="s">
        <v>13</v>
      </c>
      <c r="L132" t="s">
        <v>29</v>
      </c>
      <c r="M132" t="s">
        <v>15</v>
      </c>
    </row>
    <row r="133" spans="1:13" x14ac:dyDescent="0.25">
      <c r="A133" s="5">
        <v>42695</v>
      </c>
      <c r="B133" s="2">
        <v>0</v>
      </c>
      <c r="C133" t="s">
        <v>260</v>
      </c>
      <c r="D133" t="s">
        <v>242</v>
      </c>
      <c r="E133" t="s">
        <v>243</v>
      </c>
      <c r="F133" s="3">
        <v>42669</v>
      </c>
      <c r="G133" s="2">
        <v>26</v>
      </c>
      <c r="H133" s="1">
        <v>334.06</v>
      </c>
      <c r="I133" t="s">
        <v>261</v>
      </c>
      <c r="J133" s="2">
        <v>1</v>
      </c>
      <c r="K133" t="s">
        <v>13</v>
      </c>
      <c r="L133" t="s">
        <v>30</v>
      </c>
      <c r="M133" t="s">
        <v>18</v>
      </c>
    </row>
    <row r="134" spans="1:13" x14ac:dyDescent="0.25">
      <c r="A134" s="5">
        <v>42696</v>
      </c>
      <c r="B134" s="2">
        <v>0</v>
      </c>
      <c r="C134" t="s">
        <v>262</v>
      </c>
      <c r="D134" t="s">
        <v>263</v>
      </c>
      <c r="E134" t="s">
        <v>264</v>
      </c>
      <c r="F134" s="3">
        <v>42636</v>
      </c>
      <c r="G134" s="2">
        <v>60</v>
      </c>
      <c r="H134" s="1">
        <v>361.97</v>
      </c>
      <c r="I134" t="s">
        <v>265</v>
      </c>
      <c r="J134" s="2">
        <v>1</v>
      </c>
      <c r="K134" t="s">
        <v>13</v>
      </c>
      <c r="L134" t="s">
        <v>30</v>
      </c>
      <c r="M134" t="s">
        <v>266</v>
      </c>
    </row>
    <row r="135" spans="1:13" x14ac:dyDescent="0.25">
      <c r="A135" s="5">
        <v>42696</v>
      </c>
      <c r="B135" s="2">
        <v>0</v>
      </c>
      <c r="C135" t="s">
        <v>267</v>
      </c>
      <c r="D135" t="s">
        <v>198</v>
      </c>
      <c r="E135" t="s">
        <v>199</v>
      </c>
      <c r="F135" s="3">
        <v>42601</v>
      </c>
      <c r="G135" s="2">
        <v>95</v>
      </c>
      <c r="H135" s="1">
        <v>278.89</v>
      </c>
      <c r="I135" t="s">
        <v>220</v>
      </c>
      <c r="J135" s="2">
        <v>1</v>
      </c>
      <c r="K135" t="s">
        <v>13</v>
      </c>
      <c r="L135" t="s">
        <v>28</v>
      </c>
      <c r="M135" t="s">
        <v>15</v>
      </c>
    </row>
    <row r="136" spans="1:13" x14ac:dyDescent="0.25">
      <c r="A136" s="5">
        <v>42697</v>
      </c>
      <c r="B136" s="2">
        <v>0</v>
      </c>
      <c r="C136" t="s">
        <v>268</v>
      </c>
      <c r="D136" t="s">
        <v>198</v>
      </c>
      <c r="E136" t="s">
        <v>199</v>
      </c>
      <c r="F136" s="3">
        <v>42622</v>
      </c>
      <c r="G136" s="2">
        <v>75</v>
      </c>
      <c r="H136" s="1">
        <v>253.12</v>
      </c>
      <c r="I136" t="s">
        <v>240</v>
      </c>
      <c r="J136" s="2">
        <v>1</v>
      </c>
      <c r="K136" t="s">
        <v>13</v>
      </c>
      <c r="L136" t="s">
        <v>28</v>
      </c>
      <c r="M136" t="s">
        <v>15</v>
      </c>
    </row>
    <row r="137" spans="1:13" x14ac:dyDescent="0.25">
      <c r="A137" s="5">
        <v>42699</v>
      </c>
      <c r="B137" s="2">
        <v>0</v>
      </c>
      <c r="C137" t="s">
        <v>269</v>
      </c>
      <c r="D137" t="s">
        <v>257</v>
      </c>
      <c r="E137" t="s">
        <v>258</v>
      </c>
      <c r="F137" s="3">
        <v>42671</v>
      </c>
      <c r="G137" s="2">
        <v>28</v>
      </c>
      <c r="H137" s="1">
        <v>385.68</v>
      </c>
      <c r="I137" t="s">
        <v>270</v>
      </c>
      <c r="J137" s="2">
        <v>1</v>
      </c>
      <c r="K137" t="s">
        <v>13</v>
      </c>
      <c r="L137" t="s">
        <v>29</v>
      </c>
      <c r="M137" t="s">
        <v>15</v>
      </c>
    </row>
    <row r="138" spans="1:13" x14ac:dyDescent="0.25">
      <c r="A138" s="5">
        <v>42699</v>
      </c>
      <c r="B138" s="2">
        <v>0</v>
      </c>
      <c r="C138" t="s">
        <v>271</v>
      </c>
      <c r="D138" t="s">
        <v>257</v>
      </c>
      <c r="E138" t="s">
        <v>258</v>
      </c>
      <c r="F138" s="3">
        <v>42678</v>
      </c>
      <c r="G138" s="2">
        <v>21</v>
      </c>
      <c r="H138" s="1">
        <v>445.85</v>
      </c>
      <c r="I138" t="s">
        <v>259</v>
      </c>
      <c r="J138" s="2">
        <v>1</v>
      </c>
      <c r="K138" t="s">
        <v>13</v>
      </c>
      <c r="L138" t="s">
        <v>29</v>
      </c>
      <c r="M138" t="s">
        <v>15</v>
      </c>
    </row>
    <row r="139" spans="1:13" x14ac:dyDescent="0.25">
      <c r="A139" s="5">
        <v>42699</v>
      </c>
      <c r="B139" s="2">
        <v>0</v>
      </c>
      <c r="C139" t="s">
        <v>272</v>
      </c>
      <c r="D139" t="s">
        <v>257</v>
      </c>
      <c r="E139" t="s">
        <v>258</v>
      </c>
      <c r="F139" s="3">
        <v>42685</v>
      </c>
      <c r="G139" s="2">
        <v>14</v>
      </c>
      <c r="H139" s="1">
        <v>379.23</v>
      </c>
      <c r="I139" t="s">
        <v>273</v>
      </c>
      <c r="J139" s="2">
        <v>1</v>
      </c>
      <c r="K139" t="s">
        <v>13</v>
      </c>
      <c r="L139" t="s">
        <v>29</v>
      </c>
      <c r="M139" t="s">
        <v>15</v>
      </c>
    </row>
    <row r="140" spans="1:13" x14ac:dyDescent="0.25">
      <c r="A140" s="5">
        <v>42702</v>
      </c>
      <c r="B140" s="2">
        <v>0</v>
      </c>
      <c r="C140" t="s">
        <v>274</v>
      </c>
      <c r="D140" t="s">
        <v>263</v>
      </c>
      <c r="E140" t="s">
        <v>264</v>
      </c>
      <c r="F140" s="3">
        <v>42650</v>
      </c>
      <c r="G140" s="2">
        <v>52</v>
      </c>
      <c r="H140" s="1">
        <v>335.3</v>
      </c>
      <c r="I140" t="s">
        <v>275</v>
      </c>
      <c r="J140" s="2">
        <v>1</v>
      </c>
      <c r="K140" t="s">
        <v>13</v>
      </c>
      <c r="L140" t="s">
        <v>30</v>
      </c>
      <c r="M140" t="s">
        <v>266</v>
      </c>
    </row>
    <row r="141" spans="1:13" x14ac:dyDescent="0.25">
      <c r="A141" s="5">
        <v>42702</v>
      </c>
      <c r="B141" s="2">
        <v>0</v>
      </c>
      <c r="C141" t="s">
        <v>276</v>
      </c>
      <c r="D141" t="s">
        <v>242</v>
      </c>
      <c r="E141" t="s">
        <v>243</v>
      </c>
      <c r="F141" s="3">
        <v>42650</v>
      </c>
      <c r="G141" s="2">
        <v>52</v>
      </c>
      <c r="H141" s="1">
        <v>313.05</v>
      </c>
      <c r="I141" t="s">
        <v>244</v>
      </c>
      <c r="J141" s="2">
        <v>1</v>
      </c>
      <c r="K141" t="s">
        <v>13</v>
      </c>
      <c r="L141" t="s">
        <v>30</v>
      </c>
      <c r="M141" t="s">
        <v>18</v>
      </c>
    </row>
    <row r="142" spans="1:13" x14ac:dyDescent="0.25">
      <c r="A142" s="5">
        <v>42703</v>
      </c>
      <c r="B142" s="2">
        <v>0</v>
      </c>
      <c r="C142" t="s">
        <v>277</v>
      </c>
      <c r="D142" t="s">
        <v>198</v>
      </c>
      <c r="E142" t="s">
        <v>199</v>
      </c>
      <c r="F142" s="3">
        <v>42643</v>
      </c>
      <c r="G142" s="2">
        <v>60</v>
      </c>
      <c r="H142" s="1">
        <v>258.91000000000003</v>
      </c>
      <c r="I142" t="s">
        <v>246</v>
      </c>
      <c r="J142" s="2">
        <v>1</v>
      </c>
      <c r="K142" t="s">
        <v>13</v>
      </c>
      <c r="L142" t="s">
        <v>28</v>
      </c>
      <c r="M142" t="s">
        <v>15</v>
      </c>
    </row>
    <row r="143" spans="1:13" x14ac:dyDescent="0.25">
      <c r="A143" s="5">
        <v>42704</v>
      </c>
      <c r="B143" s="2">
        <v>0</v>
      </c>
      <c r="C143" t="s">
        <v>278</v>
      </c>
      <c r="D143" t="s">
        <v>198</v>
      </c>
      <c r="E143" t="s">
        <v>199</v>
      </c>
      <c r="F143" s="3">
        <v>42634</v>
      </c>
      <c r="G143" s="2">
        <v>70</v>
      </c>
      <c r="H143" s="1">
        <v>223</v>
      </c>
      <c r="I143" t="s">
        <v>234</v>
      </c>
      <c r="J143" s="2">
        <v>1</v>
      </c>
      <c r="K143" t="s">
        <v>13</v>
      </c>
      <c r="L143" t="s">
        <v>28</v>
      </c>
      <c r="M143" t="s">
        <v>15</v>
      </c>
    </row>
    <row r="144" spans="1:13" x14ac:dyDescent="0.25">
      <c r="A144" s="5">
        <v>42704</v>
      </c>
      <c r="B144" s="2">
        <v>0</v>
      </c>
      <c r="C144" t="s">
        <v>279</v>
      </c>
      <c r="D144" t="s">
        <v>242</v>
      </c>
      <c r="E144" t="s">
        <v>243</v>
      </c>
      <c r="F144" s="3">
        <v>42669</v>
      </c>
      <c r="G144" s="2">
        <v>35</v>
      </c>
      <c r="H144" s="1">
        <v>334.06</v>
      </c>
      <c r="I144" t="s">
        <v>261</v>
      </c>
      <c r="J144" s="2">
        <v>1</v>
      </c>
      <c r="K144" t="s">
        <v>13</v>
      </c>
      <c r="L144" t="s">
        <v>30</v>
      </c>
      <c r="M144" t="s">
        <v>18</v>
      </c>
    </row>
    <row r="145" spans="1:13" x14ac:dyDescent="0.25">
      <c r="A145" s="5">
        <v>42706</v>
      </c>
      <c r="B145" s="2">
        <v>0</v>
      </c>
      <c r="C145" t="s">
        <v>280</v>
      </c>
      <c r="D145" t="s">
        <v>263</v>
      </c>
      <c r="E145" t="s">
        <v>264</v>
      </c>
      <c r="F145" s="3">
        <v>42636</v>
      </c>
      <c r="G145" s="2">
        <v>70</v>
      </c>
      <c r="H145" s="1">
        <v>361.96</v>
      </c>
      <c r="I145" t="s">
        <v>265</v>
      </c>
      <c r="J145" s="2">
        <v>1</v>
      </c>
      <c r="K145" t="s">
        <v>13</v>
      </c>
      <c r="L145" t="s">
        <v>30</v>
      </c>
      <c r="M145" t="s">
        <v>266</v>
      </c>
    </row>
    <row r="146" spans="1:13" x14ac:dyDescent="0.25">
      <c r="A146" s="5">
        <v>42706</v>
      </c>
      <c r="B146" s="2">
        <v>0</v>
      </c>
      <c r="C146" t="s">
        <v>281</v>
      </c>
      <c r="D146" t="s">
        <v>198</v>
      </c>
      <c r="E146" t="s">
        <v>199</v>
      </c>
      <c r="F146" s="3">
        <v>42601</v>
      </c>
      <c r="G146" s="2">
        <v>105</v>
      </c>
      <c r="H146" s="1">
        <v>278.89</v>
      </c>
      <c r="I146" t="s">
        <v>220</v>
      </c>
      <c r="J146" s="2">
        <v>1</v>
      </c>
      <c r="K146" t="s">
        <v>13</v>
      </c>
      <c r="L146" t="s">
        <v>28</v>
      </c>
      <c r="M146" t="s">
        <v>15</v>
      </c>
    </row>
    <row r="147" spans="1:13" x14ac:dyDescent="0.25">
      <c r="A147" s="5">
        <v>42706</v>
      </c>
      <c r="B147" s="2">
        <v>0</v>
      </c>
      <c r="C147" t="s">
        <v>282</v>
      </c>
      <c r="D147" t="s">
        <v>257</v>
      </c>
      <c r="E147" t="s">
        <v>258</v>
      </c>
      <c r="F147" s="3">
        <v>42685</v>
      </c>
      <c r="G147" s="2">
        <v>21</v>
      </c>
      <c r="H147" s="1">
        <v>379.23</v>
      </c>
      <c r="I147" t="s">
        <v>273</v>
      </c>
      <c r="J147" s="2">
        <v>1</v>
      </c>
      <c r="K147" t="s">
        <v>13</v>
      </c>
      <c r="L147" t="s">
        <v>29</v>
      </c>
      <c r="M147" t="s">
        <v>15</v>
      </c>
    </row>
    <row r="148" spans="1:13" x14ac:dyDescent="0.25">
      <c r="A148" s="5">
        <v>42713</v>
      </c>
      <c r="B148" s="2">
        <v>0</v>
      </c>
      <c r="C148" t="s">
        <v>283</v>
      </c>
      <c r="D148" t="s">
        <v>198</v>
      </c>
      <c r="E148" t="s">
        <v>199</v>
      </c>
      <c r="F148" s="3">
        <v>42643</v>
      </c>
      <c r="G148" s="2">
        <v>70</v>
      </c>
      <c r="H148" s="1">
        <v>258.91000000000003</v>
      </c>
      <c r="I148" t="s">
        <v>246</v>
      </c>
      <c r="J148" s="2">
        <v>1</v>
      </c>
      <c r="K148" t="s">
        <v>13</v>
      </c>
      <c r="L148" t="s">
        <v>28</v>
      </c>
      <c r="M148" t="s">
        <v>15</v>
      </c>
    </row>
    <row r="149" spans="1:13" x14ac:dyDescent="0.25">
      <c r="A149" s="5">
        <v>42713</v>
      </c>
      <c r="B149" s="2">
        <v>0</v>
      </c>
      <c r="C149" t="s">
        <v>284</v>
      </c>
      <c r="D149" t="s">
        <v>257</v>
      </c>
      <c r="E149" t="s">
        <v>258</v>
      </c>
      <c r="F149" s="3">
        <v>42685</v>
      </c>
      <c r="G149" s="2">
        <v>28</v>
      </c>
      <c r="H149" s="1">
        <v>379.23</v>
      </c>
      <c r="I149" t="s">
        <v>273</v>
      </c>
      <c r="J149" s="2">
        <v>1</v>
      </c>
      <c r="K149" t="s">
        <v>13</v>
      </c>
      <c r="L149" t="s">
        <v>29</v>
      </c>
      <c r="M149" t="s">
        <v>15</v>
      </c>
    </row>
    <row r="150" spans="1:13" x14ac:dyDescent="0.25">
      <c r="A150" s="5">
        <v>42716</v>
      </c>
      <c r="B150" s="2">
        <v>0</v>
      </c>
      <c r="C150" t="s">
        <v>285</v>
      </c>
      <c r="D150" t="s">
        <v>198</v>
      </c>
      <c r="E150" t="s">
        <v>199</v>
      </c>
      <c r="F150" s="3">
        <v>42601</v>
      </c>
      <c r="G150" s="2">
        <v>115</v>
      </c>
      <c r="H150" s="1">
        <v>278.89</v>
      </c>
      <c r="I150" t="s">
        <v>220</v>
      </c>
      <c r="J150" s="2">
        <v>1</v>
      </c>
      <c r="K150" t="s">
        <v>13</v>
      </c>
      <c r="L150" t="s">
        <v>28</v>
      </c>
      <c r="M150" t="s">
        <v>15</v>
      </c>
    </row>
    <row r="151" spans="1:13" x14ac:dyDescent="0.25">
      <c r="A151" s="5">
        <v>42716</v>
      </c>
      <c r="B151" s="2">
        <v>0</v>
      </c>
      <c r="C151" t="s">
        <v>286</v>
      </c>
      <c r="D151" t="s">
        <v>198</v>
      </c>
      <c r="E151" t="s">
        <v>199</v>
      </c>
      <c r="F151" s="3">
        <v>42634</v>
      </c>
      <c r="G151" s="2">
        <v>82</v>
      </c>
      <c r="H151" s="1">
        <v>222.98</v>
      </c>
      <c r="I151" t="s">
        <v>234</v>
      </c>
      <c r="J151" s="2">
        <v>1</v>
      </c>
      <c r="K151" t="s">
        <v>13</v>
      </c>
      <c r="L151" t="s">
        <v>28</v>
      </c>
      <c r="M151" t="s">
        <v>15</v>
      </c>
    </row>
    <row r="152" spans="1:13" x14ac:dyDescent="0.25">
      <c r="A152" s="5">
        <v>42716</v>
      </c>
      <c r="B152" s="2">
        <v>0</v>
      </c>
      <c r="C152" t="s">
        <v>287</v>
      </c>
      <c r="D152" t="s">
        <v>242</v>
      </c>
      <c r="E152" t="s">
        <v>243</v>
      </c>
      <c r="F152" s="3">
        <v>42669</v>
      </c>
      <c r="G152" s="2">
        <v>47</v>
      </c>
      <c r="H152" s="1">
        <v>334.07</v>
      </c>
      <c r="I152" t="s">
        <v>261</v>
      </c>
      <c r="J152" s="2">
        <v>1</v>
      </c>
      <c r="K152" t="s">
        <v>13</v>
      </c>
      <c r="L152" t="s">
        <v>30</v>
      </c>
      <c r="M152" t="s">
        <v>18</v>
      </c>
    </row>
    <row r="153" spans="1:13" x14ac:dyDescent="0.25">
      <c r="A153" s="5">
        <v>42720</v>
      </c>
      <c r="B153" s="2">
        <v>0</v>
      </c>
      <c r="C153" t="s">
        <v>288</v>
      </c>
      <c r="D153" t="s">
        <v>257</v>
      </c>
      <c r="E153" t="s">
        <v>258</v>
      </c>
      <c r="F153" s="3">
        <v>42685</v>
      </c>
      <c r="G153" s="2">
        <v>35</v>
      </c>
      <c r="H153" s="1">
        <v>379.22</v>
      </c>
      <c r="I153" t="s">
        <v>273</v>
      </c>
      <c r="J153" s="2">
        <v>1</v>
      </c>
      <c r="K153" t="s">
        <v>13</v>
      </c>
      <c r="L153" t="s">
        <v>29</v>
      </c>
      <c r="M153" t="s">
        <v>15</v>
      </c>
    </row>
    <row r="154" spans="1:13" x14ac:dyDescent="0.25">
      <c r="A154" s="5">
        <v>42723</v>
      </c>
      <c r="B154" s="2">
        <v>0</v>
      </c>
      <c r="C154" t="s">
        <v>289</v>
      </c>
      <c r="D154" t="s">
        <v>198</v>
      </c>
      <c r="E154" t="s">
        <v>199</v>
      </c>
      <c r="F154" s="3">
        <v>42643</v>
      </c>
      <c r="G154" s="2">
        <v>80</v>
      </c>
      <c r="H154" s="1">
        <v>258.91000000000003</v>
      </c>
      <c r="I154" t="s">
        <v>246</v>
      </c>
      <c r="J154" s="2">
        <v>1</v>
      </c>
      <c r="K154" t="s">
        <v>13</v>
      </c>
      <c r="L154" t="s">
        <v>28</v>
      </c>
      <c r="M154" t="s">
        <v>15</v>
      </c>
    </row>
    <row r="155" spans="1:13" x14ac:dyDescent="0.25">
      <c r="A155" s="5">
        <v>42733</v>
      </c>
      <c r="B155" s="2">
        <v>0</v>
      </c>
      <c r="C155" t="s">
        <v>290</v>
      </c>
      <c r="D155" t="s">
        <v>198</v>
      </c>
      <c r="E155" t="s">
        <v>199</v>
      </c>
      <c r="F155" s="3">
        <v>42643</v>
      </c>
      <c r="G155" s="2">
        <v>90</v>
      </c>
      <c r="H155" s="1">
        <v>258.91000000000003</v>
      </c>
      <c r="I155" t="s">
        <v>246</v>
      </c>
      <c r="J155" s="2">
        <v>1</v>
      </c>
      <c r="K155" t="s">
        <v>13</v>
      </c>
      <c r="L155" t="s">
        <v>28</v>
      </c>
      <c r="M155" t="s">
        <v>15</v>
      </c>
    </row>
    <row r="156" spans="1:13" x14ac:dyDescent="0.25">
      <c r="A156" s="5">
        <v>42744</v>
      </c>
      <c r="B156" s="2">
        <v>0</v>
      </c>
      <c r="C156" t="s">
        <v>291</v>
      </c>
      <c r="D156" t="s">
        <v>198</v>
      </c>
      <c r="E156" t="s">
        <v>199</v>
      </c>
      <c r="F156" s="3">
        <v>42643</v>
      </c>
      <c r="G156" s="2">
        <v>101</v>
      </c>
      <c r="H156" s="1">
        <v>258.91000000000003</v>
      </c>
      <c r="I156" t="s">
        <v>246</v>
      </c>
      <c r="J156" s="2">
        <v>1</v>
      </c>
      <c r="K156" t="s">
        <v>13</v>
      </c>
      <c r="L156" t="s">
        <v>28</v>
      </c>
      <c r="M156" t="s">
        <v>15</v>
      </c>
    </row>
    <row r="157" spans="1:13" x14ac:dyDescent="0.25">
      <c r="A157" s="5">
        <v>42772</v>
      </c>
      <c r="B157" s="2">
        <v>0</v>
      </c>
      <c r="C157" t="s">
        <v>292</v>
      </c>
      <c r="D157" t="s">
        <v>293</v>
      </c>
      <c r="E157" t="s">
        <v>294</v>
      </c>
      <c r="F157" s="3">
        <v>42702</v>
      </c>
      <c r="G157" s="2">
        <v>70</v>
      </c>
      <c r="H157" s="1">
        <v>229.95</v>
      </c>
      <c r="I157" t="s">
        <v>295</v>
      </c>
      <c r="J157" s="2">
        <v>1</v>
      </c>
      <c r="K157" t="s">
        <v>13</v>
      </c>
      <c r="L157" t="s">
        <v>78</v>
      </c>
      <c r="M157" t="s">
        <v>296</v>
      </c>
    </row>
    <row r="158" spans="1:13" x14ac:dyDescent="0.25">
      <c r="A158" s="5">
        <v>42772</v>
      </c>
      <c r="B158" s="2">
        <v>0</v>
      </c>
      <c r="C158" t="s">
        <v>297</v>
      </c>
      <c r="D158" t="s">
        <v>293</v>
      </c>
      <c r="E158" t="s">
        <v>294</v>
      </c>
      <c r="F158" s="3">
        <v>42702</v>
      </c>
      <c r="G158" s="2">
        <v>70</v>
      </c>
      <c r="H158" s="1">
        <v>147.21</v>
      </c>
      <c r="I158" t="s">
        <v>298</v>
      </c>
      <c r="J158" s="2">
        <v>1</v>
      </c>
      <c r="K158" t="s">
        <v>13</v>
      </c>
      <c r="L158" t="s">
        <v>78</v>
      </c>
      <c r="M158" t="s">
        <v>296</v>
      </c>
    </row>
    <row r="159" spans="1:13" x14ac:dyDescent="0.25">
      <c r="A159" s="5">
        <v>42782</v>
      </c>
      <c r="B159" s="2">
        <v>0</v>
      </c>
      <c r="C159" t="s">
        <v>299</v>
      </c>
      <c r="D159" t="s">
        <v>293</v>
      </c>
      <c r="E159" t="s">
        <v>294</v>
      </c>
      <c r="F159" s="3">
        <v>42702</v>
      </c>
      <c r="G159" s="2">
        <v>80</v>
      </c>
      <c r="H159" s="1">
        <v>229.95</v>
      </c>
      <c r="I159" t="s">
        <v>295</v>
      </c>
      <c r="J159" s="2">
        <v>1</v>
      </c>
      <c r="K159" t="s">
        <v>13</v>
      </c>
      <c r="L159" t="s">
        <v>78</v>
      </c>
      <c r="M159" t="s">
        <v>296</v>
      </c>
    </row>
    <row r="160" spans="1:13" x14ac:dyDescent="0.25">
      <c r="A160" s="5">
        <v>42844</v>
      </c>
      <c r="B160" s="2">
        <v>0</v>
      </c>
      <c r="C160" t="s">
        <v>300</v>
      </c>
      <c r="D160" t="s">
        <v>301</v>
      </c>
      <c r="E160" t="s">
        <v>302</v>
      </c>
      <c r="F160" s="3">
        <v>42804</v>
      </c>
      <c r="G160" s="2">
        <v>40</v>
      </c>
      <c r="H160" s="1">
        <v>538.02</v>
      </c>
      <c r="I160" t="s">
        <v>303</v>
      </c>
      <c r="J160" s="2">
        <v>1</v>
      </c>
      <c r="K160" t="s">
        <v>13</v>
      </c>
      <c r="L160" t="s">
        <v>93</v>
      </c>
      <c r="M160" t="s">
        <v>15</v>
      </c>
    </row>
    <row r="161" spans="1:13" x14ac:dyDescent="0.25">
      <c r="A161" s="5">
        <v>42845</v>
      </c>
      <c r="B161" s="2">
        <v>0</v>
      </c>
      <c r="C161" t="s">
        <v>304</v>
      </c>
      <c r="D161" t="s">
        <v>305</v>
      </c>
      <c r="E161" t="s">
        <v>306</v>
      </c>
      <c r="F161" s="3">
        <v>42790</v>
      </c>
      <c r="G161" s="2">
        <v>55</v>
      </c>
      <c r="H161" s="1">
        <v>594.76</v>
      </c>
      <c r="I161" t="s">
        <v>307</v>
      </c>
      <c r="J161" s="2">
        <v>1</v>
      </c>
      <c r="K161" t="s">
        <v>13</v>
      </c>
      <c r="L161" t="s">
        <v>76</v>
      </c>
      <c r="M161" t="s">
        <v>308</v>
      </c>
    </row>
    <row r="162" spans="1:13" x14ac:dyDescent="0.25">
      <c r="A162" s="5">
        <v>42850</v>
      </c>
      <c r="B162" s="2">
        <v>0</v>
      </c>
      <c r="C162" t="s">
        <v>309</v>
      </c>
      <c r="D162" t="s">
        <v>310</v>
      </c>
      <c r="E162" t="s">
        <v>311</v>
      </c>
      <c r="F162" s="3">
        <v>42796</v>
      </c>
      <c r="G162" s="2">
        <v>54</v>
      </c>
      <c r="H162" s="1">
        <v>420.16</v>
      </c>
      <c r="I162" t="s">
        <v>312</v>
      </c>
      <c r="J162" s="2">
        <v>1</v>
      </c>
      <c r="K162" t="s">
        <v>13</v>
      </c>
      <c r="L162" t="s">
        <v>93</v>
      </c>
      <c r="M162" t="s">
        <v>15</v>
      </c>
    </row>
    <row r="163" spans="1:13" x14ac:dyDescent="0.25">
      <c r="A163" s="5">
        <v>42852</v>
      </c>
      <c r="B163" s="2">
        <v>0</v>
      </c>
      <c r="C163" t="s">
        <v>313</v>
      </c>
      <c r="D163" t="s">
        <v>314</v>
      </c>
      <c r="E163" t="s">
        <v>315</v>
      </c>
      <c r="F163" s="3">
        <v>42790</v>
      </c>
      <c r="G163" s="2">
        <v>62</v>
      </c>
      <c r="H163" s="1">
        <v>417.88</v>
      </c>
      <c r="I163" t="s">
        <v>316</v>
      </c>
      <c r="J163" s="2">
        <v>1</v>
      </c>
      <c r="K163" t="s">
        <v>13</v>
      </c>
      <c r="L163" t="s">
        <v>76</v>
      </c>
      <c r="M163" t="s">
        <v>24</v>
      </c>
    </row>
    <row r="164" spans="1:13" x14ac:dyDescent="0.25">
      <c r="A164" s="5">
        <v>42856</v>
      </c>
      <c r="B164" s="2">
        <v>0</v>
      </c>
      <c r="C164" t="s">
        <v>317</v>
      </c>
      <c r="D164" t="s">
        <v>301</v>
      </c>
      <c r="E164" t="s">
        <v>302</v>
      </c>
      <c r="F164" s="3">
        <v>42816</v>
      </c>
      <c r="G164" s="2">
        <v>40</v>
      </c>
      <c r="H164" s="1">
        <v>266.08999999999997</v>
      </c>
      <c r="I164" t="s">
        <v>318</v>
      </c>
      <c r="J164" s="2">
        <v>1</v>
      </c>
      <c r="K164" t="s">
        <v>13</v>
      </c>
      <c r="L164" t="s">
        <v>93</v>
      </c>
      <c r="M164" t="s">
        <v>15</v>
      </c>
    </row>
    <row r="165" spans="1:13" x14ac:dyDescent="0.25">
      <c r="A165" s="5">
        <v>42856</v>
      </c>
      <c r="B165" s="2">
        <v>0</v>
      </c>
      <c r="C165" t="s">
        <v>319</v>
      </c>
      <c r="D165" t="s">
        <v>305</v>
      </c>
      <c r="E165" t="s">
        <v>306</v>
      </c>
      <c r="F165" s="3">
        <v>42790</v>
      </c>
      <c r="G165" s="2">
        <v>66</v>
      </c>
      <c r="H165" s="1">
        <v>594.76</v>
      </c>
      <c r="I165" t="s">
        <v>307</v>
      </c>
      <c r="J165" s="2">
        <v>1</v>
      </c>
      <c r="K165" t="s">
        <v>13</v>
      </c>
      <c r="L165" t="s">
        <v>76</v>
      </c>
      <c r="M165" t="s">
        <v>308</v>
      </c>
    </row>
    <row r="166" spans="1:13" x14ac:dyDescent="0.25">
      <c r="A166" s="5">
        <v>42856</v>
      </c>
      <c r="B166" s="2">
        <v>0</v>
      </c>
      <c r="C166" t="s">
        <v>320</v>
      </c>
      <c r="D166" t="s">
        <v>305</v>
      </c>
      <c r="E166" t="s">
        <v>306</v>
      </c>
      <c r="F166" s="3">
        <v>42796</v>
      </c>
      <c r="G166" s="2">
        <v>60</v>
      </c>
      <c r="H166" s="1">
        <v>364.82</v>
      </c>
      <c r="I166" t="s">
        <v>321</v>
      </c>
      <c r="J166" s="2">
        <v>1</v>
      </c>
      <c r="K166" t="s">
        <v>13</v>
      </c>
      <c r="L166" t="s">
        <v>76</v>
      </c>
      <c r="M166" t="s">
        <v>308</v>
      </c>
    </row>
    <row r="167" spans="1:13" x14ac:dyDescent="0.25">
      <c r="A167" s="5">
        <v>42857</v>
      </c>
      <c r="B167" s="2">
        <v>0</v>
      </c>
      <c r="C167" t="s">
        <v>322</v>
      </c>
      <c r="D167" t="s">
        <v>310</v>
      </c>
      <c r="E167" t="s">
        <v>311</v>
      </c>
      <c r="F167" s="3">
        <v>42797</v>
      </c>
      <c r="G167" s="2">
        <v>60</v>
      </c>
      <c r="H167" s="1">
        <v>305.43</v>
      </c>
      <c r="I167" t="s">
        <v>323</v>
      </c>
      <c r="J167" s="2">
        <v>1</v>
      </c>
      <c r="K167" t="s">
        <v>13</v>
      </c>
      <c r="L167" t="s">
        <v>93</v>
      </c>
      <c r="M167" t="s">
        <v>15</v>
      </c>
    </row>
    <row r="168" spans="1:13" x14ac:dyDescent="0.25">
      <c r="A168" s="5">
        <v>42858</v>
      </c>
      <c r="B168" s="2">
        <v>0</v>
      </c>
      <c r="C168" t="s">
        <v>324</v>
      </c>
      <c r="D168" t="s">
        <v>314</v>
      </c>
      <c r="E168" t="s">
        <v>315</v>
      </c>
      <c r="F168" s="3">
        <v>42803</v>
      </c>
      <c r="G168" s="2">
        <v>55</v>
      </c>
      <c r="H168" s="1">
        <v>324.75</v>
      </c>
      <c r="I168" t="s">
        <v>325</v>
      </c>
      <c r="J168" s="2">
        <v>1</v>
      </c>
      <c r="K168" t="s">
        <v>13</v>
      </c>
      <c r="L168" t="s">
        <v>14</v>
      </c>
      <c r="M168" t="s">
        <v>24</v>
      </c>
    </row>
    <row r="169" spans="1:13" x14ac:dyDescent="0.25">
      <c r="A169" s="5">
        <v>42858</v>
      </c>
      <c r="B169" s="2">
        <v>0</v>
      </c>
      <c r="C169" t="s">
        <v>326</v>
      </c>
      <c r="D169" t="s">
        <v>305</v>
      </c>
      <c r="E169" t="s">
        <v>306</v>
      </c>
      <c r="F169" s="3">
        <v>42803</v>
      </c>
      <c r="G169" s="2">
        <v>55</v>
      </c>
      <c r="H169" s="1">
        <v>364.73</v>
      </c>
      <c r="I169" t="s">
        <v>327</v>
      </c>
      <c r="J169" s="2">
        <v>1</v>
      </c>
      <c r="K169" t="s">
        <v>13</v>
      </c>
      <c r="L169" t="s">
        <v>14</v>
      </c>
      <c r="M169" t="s">
        <v>308</v>
      </c>
    </row>
    <row r="170" spans="1:13" x14ac:dyDescent="0.25">
      <c r="A170" s="5">
        <v>42860</v>
      </c>
      <c r="B170" s="2">
        <v>0</v>
      </c>
      <c r="C170" t="s">
        <v>328</v>
      </c>
      <c r="D170" t="s">
        <v>310</v>
      </c>
      <c r="E170" t="s">
        <v>311</v>
      </c>
      <c r="F170" s="3">
        <v>42796</v>
      </c>
      <c r="G170" s="2">
        <v>64</v>
      </c>
      <c r="H170" s="1">
        <v>328.8</v>
      </c>
      <c r="I170" t="s">
        <v>312</v>
      </c>
      <c r="J170" s="2">
        <v>1</v>
      </c>
      <c r="K170" t="s">
        <v>13</v>
      </c>
      <c r="L170" t="s">
        <v>93</v>
      </c>
      <c r="M170" t="s">
        <v>15</v>
      </c>
    </row>
    <row r="171" spans="1:13" x14ac:dyDescent="0.25">
      <c r="A171" s="5">
        <v>42865</v>
      </c>
      <c r="B171" s="2">
        <v>0</v>
      </c>
      <c r="C171" t="s">
        <v>329</v>
      </c>
      <c r="D171" t="s">
        <v>305</v>
      </c>
      <c r="E171" t="s">
        <v>306</v>
      </c>
      <c r="F171" s="3">
        <v>42790</v>
      </c>
      <c r="G171" s="2">
        <v>75</v>
      </c>
      <c r="H171" s="1">
        <v>594.76</v>
      </c>
      <c r="I171" t="s">
        <v>307</v>
      </c>
      <c r="J171" s="2">
        <v>1</v>
      </c>
      <c r="K171" t="s">
        <v>13</v>
      </c>
      <c r="L171" t="s">
        <v>76</v>
      </c>
      <c r="M171" t="s">
        <v>308</v>
      </c>
    </row>
    <row r="172" spans="1:13" x14ac:dyDescent="0.25">
      <c r="A172" s="5">
        <v>42866</v>
      </c>
      <c r="B172" s="2">
        <v>0</v>
      </c>
      <c r="C172" t="s">
        <v>330</v>
      </c>
      <c r="D172" t="s">
        <v>314</v>
      </c>
      <c r="E172" t="s">
        <v>315</v>
      </c>
      <c r="F172" s="3">
        <v>42796</v>
      </c>
      <c r="G172" s="2">
        <v>70</v>
      </c>
      <c r="H172" s="1">
        <v>111.49</v>
      </c>
      <c r="I172" t="s">
        <v>331</v>
      </c>
      <c r="J172" s="2">
        <v>1</v>
      </c>
      <c r="K172" t="s">
        <v>13</v>
      </c>
      <c r="L172" t="s">
        <v>76</v>
      </c>
      <c r="M172" t="s">
        <v>24</v>
      </c>
    </row>
    <row r="173" spans="1:13" x14ac:dyDescent="0.25">
      <c r="A173" s="5">
        <v>42866</v>
      </c>
      <c r="B173" s="2">
        <v>0</v>
      </c>
      <c r="C173" t="s">
        <v>332</v>
      </c>
      <c r="D173" t="s">
        <v>305</v>
      </c>
      <c r="E173" t="s">
        <v>306</v>
      </c>
      <c r="F173" s="3">
        <v>42796</v>
      </c>
      <c r="G173" s="2">
        <v>70</v>
      </c>
      <c r="H173" s="1">
        <v>111.49</v>
      </c>
      <c r="I173" t="s">
        <v>333</v>
      </c>
      <c r="J173" s="2">
        <v>1</v>
      </c>
      <c r="K173" t="s">
        <v>13</v>
      </c>
      <c r="L173" t="s">
        <v>76</v>
      </c>
      <c r="M173" t="s">
        <v>308</v>
      </c>
    </row>
    <row r="174" spans="1:13" x14ac:dyDescent="0.25">
      <c r="A174" s="5">
        <v>42866</v>
      </c>
      <c r="B174" s="2">
        <v>0</v>
      </c>
      <c r="C174" t="s">
        <v>334</v>
      </c>
      <c r="D174" t="s">
        <v>305</v>
      </c>
      <c r="E174" t="s">
        <v>306</v>
      </c>
      <c r="F174" s="3">
        <v>42811</v>
      </c>
      <c r="G174" s="2">
        <v>55</v>
      </c>
      <c r="H174" s="1">
        <v>616.72</v>
      </c>
      <c r="I174" t="s">
        <v>335</v>
      </c>
      <c r="J174" s="2">
        <v>1</v>
      </c>
      <c r="K174" t="s">
        <v>13</v>
      </c>
      <c r="L174" t="s">
        <v>76</v>
      </c>
      <c r="M174" t="s">
        <v>308</v>
      </c>
    </row>
    <row r="175" spans="1:13" x14ac:dyDescent="0.25">
      <c r="A175" s="5">
        <v>42870</v>
      </c>
      <c r="B175" s="2">
        <v>0</v>
      </c>
      <c r="C175" t="s">
        <v>336</v>
      </c>
      <c r="D175" t="s">
        <v>310</v>
      </c>
      <c r="E175" t="s">
        <v>311</v>
      </c>
      <c r="F175" s="3">
        <v>42796</v>
      </c>
      <c r="G175" s="2">
        <v>74</v>
      </c>
      <c r="H175" s="1">
        <v>328.8</v>
      </c>
      <c r="I175" t="s">
        <v>312</v>
      </c>
      <c r="J175" s="2">
        <v>1</v>
      </c>
      <c r="K175" t="s">
        <v>13</v>
      </c>
      <c r="L175" t="s">
        <v>93</v>
      </c>
      <c r="M175" t="s">
        <v>15</v>
      </c>
    </row>
    <row r="176" spans="1:13" x14ac:dyDescent="0.25">
      <c r="A176" s="5">
        <v>42870</v>
      </c>
      <c r="B176" s="2">
        <v>0</v>
      </c>
      <c r="C176" t="s">
        <v>337</v>
      </c>
      <c r="D176" t="s">
        <v>314</v>
      </c>
      <c r="E176" t="s">
        <v>315</v>
      </c>
      <c r="F176" s="3">
        <v>42790</v>
      </c>
      <c r="G176" s="2">
        <v>80</v>
      </c>
      <c r="H176" s="1">
        <v>417.88</v>
      </c>
      <c r="I176" t="s">
        <v>316</v>
      </c>
      <c r="J176" s="2">
        <v>1</v>
      </c>
      <c r="K176" t="s">
        <v>13</v>
      </c>
      <c r="L176" t="s">
        <v>76</v>
      </c>
      <c r="M176" t="s">
        <v>24</v>
      </c>
    </row>
    <row r="177" spans="1:13" x14ac:dyDescent="0.25">
      <c r="A177" s="5">
        <v>42870</v>
      </c>
      <c r="B177" s="2">
        <v>0</v>
      </c>
      <c r="C177" t="s">
        <v>338</v>
      </c>
      <c r="D177" t="s">
        <v>314</v>
      </c>
      <c r="E177" t="s">
        <v>315</v>
      </c>
      <c r="F177" s="3">
        <v>42811</v>
      </c>
      <c r="G177" s="2">
        <v>59</v>
      </c>
      <c r="H177" s="1">
        <v>904.88</v>
      </c>
      <c r="I177" t="s">
        <v>339</v>
      </c>
      <c r="J177" s="2">
        <v>1</v>
      </c>
      <c r="K177" t="s">
        <v>13</v>
      </c>
      <c r="L177" t="s">
        <v>76</v>
      </c>
      <c r="M177" t="s">
        <v>24</v>
      </c>
    </row>
    <row r="178" spans="1:13" x14ac:dyDescent="0.25">
      <c r="A178" s="5">
        <v>42870</v>
      </c>
      <c r="B178" s="2">
        <v>0</v>
      </c>
      <c r="C178" t="s">
        <v>340</v>
      </c>
      <c r="D178" t="s">
        <v>314</v>
      </c>
      <c r="E178" t="s">
        <v>315</v>
      </c>
      <c r="F178" s="3">
        <v>42816</v>
      </c>
      <c r="G178" s="2">
        <v>54</v>
      </c>
      <c r="H178" s="1">
        <v>430.04</v>
      </c>
      <c r="I178" t="s">
        <v>341</v>
      </c>
      <c r="J178" s="2">
        <v>1</v>
      </c>
      <c r="K178" t="s">
        <v>13</v>
      </c>
      <c r="L178" t="s">
        <v>76</v>
      </c>
      <c r="M178" t="s">
        <v>24</v>
      </c>
    </row>
    <row r="179" spans="1:13" x14ac:dyDescent="0.25">
      <c r="A179" s="5">
        <v>42871</v>
      </c>
      <c r="B179" s="2">
        <v>0</v>
      </c>
      <c r="C179" t="s">
        <v>342</v>
      </c>
      <c r="D179" t="s">
        <v>305</v>
      </c>
      <c r="E179" t="s">
        <v>306</v>
      </c>
      <c r="F179" s="3">
        <v>42816</v>
      </c>
      <c r="G179" s="2">
        <v>55</v>
      </c>
      <c r="H179" s="1">
        <v>444.91</v>
      </c>
      <c r="I179" t="s">
        <v>343</v>
      </c>
      <c r="J179" s="2">
        <v>1</v>
      </c>
      <c r="K179" t="s">
        <v>13</v>
      </c>
      <c r="L179" t="s">
        <v>76</v>
      </c>
      <c r="M179" t="s">
        <v>308</v>
      </c>
    </row>
    <row r="180" spans="1:13" x14ac:dyDescent="0.25">
      <c r="A180" s="5">
        <v>42873</v>
      </c>
      <c r="B180" s="2">
        <v>0</v>
      </c>
      <c r="C180" t="s">
        <v>345</v>
      </c>
      <c r="D180" t="s">
        <v>346</v>
      </c>
      <c r="E180" t="s">
        <v>347</v>
      </c>
      <c r="F180" s="3">
        <v>42783</v>
      </c>
      <c r="G180" s="2">
        <v>90</v>
      </c>
      <c r="H180" s="1">
        <v>385.18</v>
      </c>
      <c r="I180" t="s">
        <v>348</v>
      </c>
      <c r="J180" s="2">
        <v>1</v>
      </c>
      <c r="K180" t="s">
        <v>13</v>
      </c>
      <c r="L180" t="s">
        <v>344</v>
      </c>
      <c r="M180" t="s">
        <v>43</v>
      </c>
    </row>
    <row r="181" spans="1:13" x14ac:dyDescent="0.25">
      <c r="A181" s="5">
        <v>42877</v>
      </c>
      <c r="B181" s="2">
        <v>0</v>
      </c>
      <c r="C181" t="s">
        <v>349</v>
      </c>
      <c r="D181" t="s">
        <v>310</v>
      </c>
      <c r="E181" t="s">
        <v>311</v>
      </c>
      <c r="F181" s="3">
        <v>42797</v>
      </c>
      <c r="G181" s="2">
        <v>80</v>
      </c>
      <c r="H181" s="1">
        <v>268.24</v>
      </c>
      <c r="I181" t="s">
        <v>323</v>
      </c>
      <c r="J181" s="2">
        <v>1</v>
      </c>
      <c r="K181" t="s">
        <v>13</v>
      </c>
      <c r="L181" t="s">
        <v>93</v>
      </c>
      <c r="M181" t="s">
        <v>15</v>
      </c>
    </row>
    <row r="182" spans="1:13" x14ac:dyDescent="0.25">
      <c r="A182" s="5">
        <v>42877</v>
      </c>
      <c r="B182" s="2">
        <v>0</v>
      </c>
      <c r="C182" t="s">
        <v>350</v>
      </c>
      <c r="D182" t="s">
        <v>314</v>
      </c>
      <c r="E182" t="s">
        <v>315</v>
      </c>
      <c r="F182" s="3">
        <v>42811</v>
      </c>
      <c r="G182" s="2">
        <v>66</v>
      </c>
      <c r="H182" s="1">
        <v>904.88</v>
      </c>
      <c r="I182" t="s">
        <v>339</v>
      </c>
      <c r="J182" s="2">
        <v>1</v>
      </c>
      <c r="K182" t="s">
        <v>13</v>
      </c>
      <c r="L182" t="s">
        <v>76</v>
      </c>
      <c r="M182" t="s">
        <v>24</v>
      </c>
    </row>
    <row r="183" spans="1:13" x14ac:dyDescent="0.25">
      <c r="A183" s="5">
        <v>42877</v>
      </c>
      <c r="B183" s="2">
        <v>0</v>
      </c>
      <c r="C183" t="s">
        <v>351</v>
      </c>
      <c r="D183" t="s">
        <v>305</v>
      </c>
      <c r="E183" t="s">
        <v>306</v>
      </c>
      <c r="F183" s="3">
        <v>42790</v>
      </c>
      <c r="G183" s="2">
        <v>87</v>
      </c>
      <c r="H183" s="1">
        <v>594.77</v>
      </c>
      <c r="I183" t="s">
        <v>307</v>
      </c>
      <c r="J183" s="2">
        <v>1</v>
      </c>
      <c r="K183" t="s">
        <v>13</v>
      </c>
      <c r="L183" t="s">
        <v>76</v>
      </c>
      <c r="M183" t="s">
        <v>308</v>
      </c>
    </row>
    <row r="184" spans="1:13" x14ac:dyDescent="0.25">
      <c r="A184" s="5">
        <v>42877</v>
      </c>
      <c r="B184" s="2">
        <v>0</v>
      </c>
      <c r="C184" t="s">
        <v>352</v>
      </c>
      <c r="D184" t="s">
        <v>305</v>
      </c>
      <c r="E184" t="s">
        <v>306</v>
      </c>
      <c r="F184" s="3">
        <v>42796</v>
      </c>
      <c r="G184" s="2">
        <v>81</v>
      </c>
      <c r="H184" s="1">
        <v>320.32</v>
      </c>
      <c r="I184" t="s">
        <v>321</v>
      </c>
      <c r="J184" s="2">
        <v>1</v>
      </c>
      <c r="K184" t="s">
        <v>13</v>
      </c>
      <c r="L184" t="s">
        <v>76</v>
      </c>
      <c r="M184" t="s">
        <v>308</v>
      </c>
    </row>
    <row r="185" spans="1:13" x14ac:dyDescent="0.25">
      <c r="A185" s="5">
        <v>42877</v>
      </c>
      <c r="B185" s="2">
        <v>0</v>
      </c>
      <c r="C185" t="s">
        <v>353</v>
      </c>
      <c r="D185" t="s">
        <v>305</v>
      </c>
      <c r="E185" t="s">
        <v>306</v>
      </c>
      <c r="F185" s="3">
        <v>42811</v>
      </c>
      <c r="G185" s="2">
        <v>66</v>
      </c>
      <c r="H185" s="1">
        <v>616.72</v>
      </c>
      <c r="I185" t="s">
        <v>335</v>
      </c>
      <c r="J185" s="2">
        <v>1</v>
      </c>
      <c r="K185" t="s">
        <v>13</v>
      </c>
      <c r="L185" t="s">
        <v>76</v>
      </c>
      <c r="M185" t="s">
        <v>308</v>
      </c>
    </row>
    <row r="186" spans="1:13" x14ac:dyDescent="0.25">
      <c r="A186" s="5">
        <v>42880</v>
      </c>
      <c r="B186" s="2">
        <v>0</v>
      </c>
      <c r="C186" t="s">
        <v>354</v>
      </c>
      <c r="D186" t="s">
        <v>310</v>
      </c>
      <c r="E186" t="s">
        <v>311</v>
      </c>
      <c r="F186" s="3">
        <v>42796</v>
      </c>
      <c r="G186" s="2">
        <v>84</v>
      </c>
      <c r="H186" s="1">
        <v>328.8</v>
      </c>
      <c r="I186" t="s">
        <v>312</v>
      </c>
      <c r="J186" s="2">
        <v>1</v>
      </c>
      <c r="K186" t="s">
        <v>13</v>
      </c>
      <c r="L186" t="s">
        <v>93</v>
      </c>
      <c r="M186" t="s">
        <v>15</v>
      </c>
    </row>
    <row r="187" spans="1:13" x14ac:dyDescent="0.25">
      <c r="A187" s="5">
        <v>42880</v>
      </c>
      <c r="B187" s="2">
        <v>0</v>
      </c>
      <c r="C187" t="s">
        <v>355</v>
      </c>
      <c r="D187" t="s">
        <v>314</v>
      </c>
      <c r="E187" t="s">
        <v>315</v>
      </c>
      <c r="F187" s="3">
        <v>42816</v>
      </c>
      <c r="G187" s="2">
        <v>64</v>
      </c>
      <c r="H187" s="1">
        <v>336.53</v>
      </c>
      <c r="I187" t="s">
        <v>341</v>
      </c>
      <c r="J187" s="2">
        <v>1</v>
      </c>
      <c r="K187" t="s">
        <v>13</v>
      </c>
      <c r="L187" t="s">
        <v>76</v>
      </c>
      <c r="M187" t="s">
        <v>24</v>
      </c>
    </row>
    <row r="188" spans="1:13" x14ac:dyDescent="0.25">
      <c r="A188" s="5">
        <v>42881</v>
      </c>
      <c r="B188" s="2">
        <v>0</v>
      </c>
      <c r="C188" t="s">
        <v>356</v>
      </c>
      <c r="D188" t="s">
        <v>305</v>
      </c>
      <c r="E188" t="s">
        <v>306</v>
      </c>
      <c r="F188" s="3">
        <v>42816</v>
      </c>
      <c r="G188" s="2">
        <v>65</v>
      </c>
      <c r="H188" s="1">
        <v>348.15</v>
      </c>
      <c r="I188" t="s">
        <v>343</v>
      </c>
      <c r="J188" s="2">
        <v>1</v>
      </c>
      <c r="K188" t="s">
        <v>13</v>
      </c>
      <c r="L188" t="s">
        <v>76</v>
      </c>
      <c r="M188" t="s">
        <v>308</v>
      </c>
    </row>
    <row r="189" spans="1:13" x14ac:dyDescent="0.25">
      <c r="A189" s="5">
        <v>42884</v>
      </c>
      <c r="B189" s="2">
        <v>0</v>
      </c>
      <c r="C189" t="s">
        <v>357</v>
      </c>
      <c r="D189" t="s">
        <v>358</v>
      </c>
      <c r="E189" t="s">
        <v>359</v>
      </c>
      <c r="F189" s="3">
        <v>42783</v>
      </c>
      <c r="G189" s="2">
        <v>101</v>
      </c>
      <c r="H189" s="1">
        <v>936.86</v>
      </c>
      <c r="I189" t="s">
        <v>360</v>
      </c>
      <c r="J189" s="2">
        <v>1</v>
      </c>
      <c r="K189" t="s">
        <v>13</v>
      </c>
      <c r="L189" t="s">
        <v>76</v>
      </c>
      <c r="M189" t="s">
        <v>308</v>
      </c>
    </row>
    <row r="190" spans="1:13" x14ac:dyDescent="0.25">
      <c r="A190" s="5">
        <v>42884</v>
      </c>
      <c r="B190" s="2">
        <v>0</v>
      </c>
      <c r="C190" t="s">
        <v>361</v>
      </c>
      <c r="D190" t="s">
        <v>358</v>
      </c>
      <c r="E190" t="s">
        <v>359</v>
      </c>
      <c r="F190" s="3">
        <v>42788</v>
      </c>
      <c r="G190" s="2">
        <v>96</v>
      </c>
      <c r="H190" s="1">
        <v>1074.57</v>
      </c>
      <c r="I190" t="s">
        <v>362</v>
      </c>
      <c r="J190" s="2">
        <v>1</v>
      </c>
      <c r="K190" t="s">
        <v>13</v>
      </c>
      <c r="L190" t="s">
        <v>76</v>
      </c>
      <c r="M190" t="s">
        <v>308</v>
      </c>
    </row>
    <row r="191" spans="1:13" x14ac:dyDescent="0.25">
      <c r="A191" s="5">
        <v>42884</v>
      </c>
      <c r="B191" s="2">
        <v>0</v>
      </c>
      <c r="C191" t="s">
        <v>363</v>
      </c>
      <c r="D191" t="s">
        <v>314</v>
      </c>
      <c r="E191" t="s">
        <v>315</v>
      </c>
      <c r="F191" s="3">
        <v>42790</v>
      </c>
      <c r="G191" s="2">
        <v>94</v>
      </c>
      <c r="H191" s="1">
        <v>417.88</v>
      </c>
      <c r="I191" t="s">
        <v>316</v>
      </c>
      <c r="J191" s="2">
        <v>1</v>
      </c>
      <c r="K191" t="s">
        <v>13</v>
      </c>
      <c r="L191" t="s">
        <v>76</v>
      </c>
      <c r="M191" t="s">
        <v>24</v>
      </c>
    </row>
    <row r="192" spans="1:13" x14ac:dyDescent="0.25">
      <c r="A192" s="5">
        <v>42885</v>
      </c>
      <c r="B192" s="2">
        <v>0</v>
      </c>
      <c r="C192" t="s">
        <v>364</v>
      </c>
      <c r="D192" t="s">
        <v>314</v>
      </c>
      <c r="E192" t="s">
        <v>315</v>
      </c>
      <c r="F192" s="3">
        <v>42811</v>
      </c>
      <c r="G192" s="2">
        <v>74</v>
      </c>
      <c r="H192" s="1">
        <v>904.88</v>
      </c>
      <c r="I192" t="s">
        <v>339</v>
      </c>
      <c r="J192" s="2">
        <v>1</v>
      </c>
      <c r="K192" t="s">
        <v>13</v>
      </c>
      <c r="L192" t="s">
        <v>76</v>
      </c>
      <c r="M192" t="s">
        <v>24</v>
      </c>
    </row>
    <row r="193" spans="1:13" x14ac:dyDescent="0.25">
      <c r="A193" s="5">
        <v>42886</v>
      </c>
      <c r="B193" s="2">
        <v>0</v>
      </c>
      <c r="C193" t="s">
        <v>365</v>
      </c>
      <c r="D193" t="s">
        <v>305</v>
      </c>
      <c r="E193" t="s">
        <v>306</v>
      </c>
      <c r="F193" s="3">
        <v>42811</v>
      </c>
      <c r="G193" s="2">
        <v>75</v>
      </c>
      <c r="H193" s="1">
        <v>616.72</v>
      </c>
      <c r="I193" t="s">
        <v>335</v>
      </c>
      <c r="J193" s="2">
        <v>1</v>
      </c>
      <c r="K193" t="s">
        <v>13</v>
      </c>
      <c r="L193" t="s">
        <v>76</v>
      </c>
      <c r="M193" t="s">
        <v>308</v>
      </c>
    </row>
    <row r="194" spans="1:13" x14ac:dyDescent="0.25">
      <c r="A194" s="5">
        <v>42887</v>
      </c>
      <c r="B194" s="2">
        <v>0</v>
      </c>
      <c r="C194" t="s">
        <v>366</v>
      </c>
      <c r="D194" t="s">
        <v>367</v>
      </c>
      <c r="E194" t="s">
        <v>368</v>
      </c>
      <c r="F194" s="3">
        <v>42807</v>
      </c>
      <c r="G194" s="2">
        <v>80</v>
      </c>
      <c r="H194" s="1">
        <v>360.92</v>
      </c>
      <c r="I194" t="s">
        <v>369</v>
      </c>
      <c r="J194" s="2">
        <v>1</v>
      </c>
      <c r="K194" t="s">
        <v>13</v>
      </c>
      <c r="L194" t="s">
        <v>76</v>
      </c>
      <c r="M194" t="s">
        <v>50</v>
      </c>
    </row>
    <row r="195" spans="1:13" x14ac:dyDescent="0.25">
      <c r="A195" s="5">
        <v>42888</v>
      </c>
      <c r="B195" s="2">
        <v>0</v>
      </c>
      <c r="C195" t="s">
        <v>370</v>
      </c>
      <c r="D195" t="s">
        <v>358</v>
      </c>
      <c r="E195" t="s">
        <v>359</v>
      </c>
      <c r="F195" s="3">
        <v>42788</v>
      </c>
      <c r="G195" s="2">
        <v>100</v>
      </c>
      <c r="H195" s="1">
        <v>1130.22</v>
      </c>
      <c r="I195" t="s">
        <v>371</v>
      </c>
      <c r="J195" s="2">
        <v>1</v>
      </c>
      <c r="K195" t="s">
        <v>13</v>
      </c>
      <c r="L195" t="s">
        <v>76</v>
      </c>
      <c r="M195" t="s">
        <v>308</v>
      </c>
    </row>
    <row r="196" spans="1:13" x14ac:dyDescent="0.25">
      <c r="A196" s="5">
        <v>42888</v>
      </c>
      <c r="B196" s="2">
        <v>0</v>
      </c>
      <c r="C196" t="s">
        <v>372</v>
      </c>
      <c r="D196" t="s">
        <v>367</v>
      </c>
      <c r="E196" t="s">
        <v>368</v>
      </c>
      <c r="F196" s="3">
        <v>42803</v>
      </c>
      <c r="G196" s="2">
        <v>85</v>
      </c>
      <c r="H196" s="1">
        <v>195.97</v>
      </c>
      <c r="I196" t="s">
        <v>373</v>
      </c>
      <c r="J196" s="2">
        <v>1</v>
      </c>
      <c r="K196" t="s">
        <v>13</v>
      </c>
      <c r="L196" t="s">
        <v>14</v>
      </c>
      <c r="M196" t="s">
        <v>50</v>
      </c>
    </row>
    <row r="197" spans="1:13" x14ac:dyDescent="0.25">
      <c r="A197" s="5">
        <v>42888</v>
      </c>
      <c r="B197" s="2">
        <v>0</v>
      </c>
      <c r="C197" t="s">
        <v>374</v>
      </c>
      <c r="D197" t="s">
        <v>314</v>
      </c>
      <c r="E197" t="s">
        <v>315</v>
      </c>
      <c r="F197" s="3">
        <v>42803</v>
      </c>
      <c r="G197" s="2">
        <v>85</v>
      </c>
      <c r="H197" s="1">
        <v>285.18</v>
      </c>
      <c r="I197" t="s">
        <v>325</v>
      </c>
      <c r="J197" s="2">
        <v>1</v>
      </c>
      <c r="K197" t="s">
        <v>13</v>
      </c>
      <c r="L197" t="s">
        <v>14</v>
      </c>
      <c r="M197" t="s">
        <v>24</v>
      </c>
    </row>
    <row r="198" spans="1:13" x14ac:dyDescent="0.25">
      <c r="A198" s="5">
        <v>42888</v>
      </c>
      <c r="B198" s="2">
        <v>0</v>
      </c>
      <c r="C198" t="s">
        <v>375</v>
      </c>
      <c r="D198" t="s">
        <v>305</v>
      </c>
      <c r="E198" t="s">
        <v>306</v>
      </c>
      <c r="F198" s="3">
        <v>42803</v>
      </c>
      <c r="G198" s="2">
        <v>85</v>
      </c>
      <c r="H198" s="1">
        <v>320.25</v>
      </c>
      <c r="I198" t="s">
        <v>327</v>
      </c>
      <c r="J198" s="2">
        <v>1</v>
      </c>
      <c r="K198" t="s">
        <v>13</v>
      </c>
      <c r="L198" t="s">
        <v>14</v>
      </c>
      <c r="M198" t="s">
        <v>308</v>
      </c>
    </row>
    <row r="199" spans="1:13" x14ac:dyDescent="0.25">
      <c r="A199" s="5">
        <v>42891</v>
      </c>
      <c r="B199" s="2">
        <v>0</v>
      </c>
      <c r="C199" t="s">
        <v>376</v>
      </c>
      <c r="D199" t="s">
        <v>358</v>
      </c>
      <c r="E199" t="s">
        <v>359</v>
      </c>
      <c r="F199" s="3">
        <v>42789</v>
      </c>
      <c r="G199" s="2">
        <v>102</v>
      </c>
      <c r="H199" s="1">
        <v>1111.51</v>
      </c>
      <c r="I199" t="s">
        <v>377</v>
      </c>
      <c r="J199" s="2">
        <v>1</v>
      </c>
      <c r="K199" t="s">
        <v>13</v>
      </c>
      <c r="L199" t="s">
        <v>76</v>
      </c>
      <c r="M199" t="s">
        <v>308</v>
      </c>
    </row>
    <row r="200" spans="1:13" x14ac:dyDescent="0.25">
      <c r="A200" s="5">
        <v>42891</v>
      </c>
      <c r="B200" s="2">
        <v>0</v>
      </c>
      <c r="C200" t="s">
        <v>378</v>
      </c>
      <c r="D200" t="s">
        <v>358</v>
      </c>
      <c r="E200" t="s">
        <v>359</v>
      </c>
      <c r="F200" s="3">
        <v>42790</v>
      </c>
      <c r="G200" s="2">
        <v>101</v>
      </c>
      <c r="H200" s="1">
        <v>1375.72</v>
      </c>
      <c r="I200" t="s">
        <v>379</v>
      </c>
      <c r="J200" s="2">
        <v>1</v>
      </c>
      <c r="K200" t="s">
        <v>13</v>
      </c>
      <c r="L200" t="s">
        <v>76</v>
      </c>
      <c r="M200" t="s">
        <v>308</v>
      </c>
    </row>
    <row r="201" spans="1:13" x14ac:dyDescent="0.25">
      <c r="A201" s="5">
        <v>42891</v>
      </c>
      <c r="B201" s="2">
        <v>0</v>
      </c>
      <c r="C201" t="s">
        <v>380</v>
      </c>
      <c r="D201" t="s">
        <v>358</v>
      </c>
      <c r="E201" t="s">
        <v>359</v>
      </c>
      <c r="F201" s="3">
        <v>42796</v>
      </c>
      <c r="G201" s="2">
        <v>95</v>
      </c>
      <c r="H201" s="1">
        <v>1127.2</v>
      </c>
      <c r="I201" t="s">
        <v>381</v>
      </c>
      <c r="J201" s="2">
        <v>1</v>
      </c>
      <c r="K201" t="s">
        <v>13</v>
      </c>
      <c r="L201" t="s">
        <v>76</v>
      </c>
      <c r="M201" t="s">
        <v>308</v>
      </c>
    </row>
    <row r="202" spans="1:13" x14ac:dyDescent="0.25">
      <c r="A202" s="5">
        <v>42891</v>
      </c>
      <c r="B202" s="2">
        <v>0</v>
      </c>
      <c r="C202" t="s">
        <v>382</v>
      </c>
      <c r="D202" t="s">
        <v>358</v>
      </c>
      <c r="E202" t="s">
        <v>359</v>
      </c>
      <c r="F202" s="3">
        <v>42801</v>
      </c>
      <c r="G202" s="2">
        <v>90</v>
      </c>
      <c r="H202" s="1">
        <v>908.02</v>
      </c>
      <c r="I202" t="s">
        <v>383</v>
      </c>
      <c r="J202" s="2">
        <v>1</v>
      </c>
      <c r="K202" t="s">
        <v>13</v>
      </c>
      <c r="L202" t="s">
        <v>76</v>
      </c>
      <c r="M202" t="s">
        <v>308</v>
      </c>
    </row>
    <row r="203" spans="1:13" x14ac:dyDescent="0.25">
      <c r="A203" s="5">
        <v>42891</v>
      </c>
      <c r="B203" s="2">
        <v>0</v>
      </c>
      <c r="C203" t="s">
        <v>384</v>
      </c>
      <c r="D203" t="s">
        <v>367</v>
      </c>
      <c r="E203" t="s">
        <v>368</v>
      </c>
      <c r="F203" s="3">
        <v>42811</v>
      </c>
      <c r="G203" s="2">
        <v>80</v>
      </c>
      <c r="H203" s="1">
        <v>745.56</v>
      </c>
      <c r="I203" t="s">
        <v>385</v>
      </c>
      <c r="J203" s="2">
        <v>1</v>
      </c>
      <c r="K203" t="s">
        <v>13</v>
      </c>
      <c r="L203" t="s">
        <v>76</v>
      </c>
      <c r="M203" t="s">
        <v>50</v>
      </c>
    </row>
    <row r="204" spans="1:13" x14ac:dyDescent="0.25">
      <c r="A204" s="5">
        <v>42891</v>
      </c>
      <c r="B204" s="2">
        <v>0</v>
      </c>
      <c r="C204" t="s">
        <v>386</v>
      </c>
      <c r="D204" t="s">
        <v>305</v>
      </c>
      <c r="E204" t="s">
        <v>306</v>
      </c>
      <c r="F204" s="3">
        <v>42816</v>
      </c>
      <c r="G204" s="2">
        <v>75</v>
      </c>
      <c r="H204" s="1">
        <v>348.15</v>
      </c>
      <c r="I204" t="s">
        <v>343</v>
      </c>
      <c r="J204" s="2">
        <v>1</v>
      </c>
      <c r="K204" t="s">
        <v>13</v>
      </c>
      <c r="L204" t="s">
        <v>76</v>
      </c>
      <c r="M204" t="s">
        <v>308</v>
      </c>
    </row>
    <row r="205" spans="1:13" x14ac:dyDescent="0.25">
      <c r="A205" s="5">
        <v>42891</v>
      </c>
      <c r="B205" s="2">
        <v>0</v>
      </c>
      <c r="C205" t="s">
        <v>387</v>
      </c>
      <c r="D205" t="s">
        <v>346</v>
      </c>
      <c r="E205" t="s">
        <v>347</v>
      </c>
      <c r="F205" s="3">
        <v>42831</v>
      </c>
      <c r="G205" s="2">
        <v>60</v>
      </c>
      <c r="H205" s="1">
        <v>320.63</v>
      </c>
      <c r="I205" t="s">
        <v>388</v>
      </c>
      <c r="J205" s="2">
        <v>1</v>
      </c>
      <c r="K205" t="s">
        <v>13</v>
      </c>
      <c r="L205" t="s">
        <v>344</v>
      </c>
      <c r="M205" t="s">
        <v>43</v>
      </c>
    </row>
    <row r="206" spans="1:13" x14ac:dyDescent="0.25">
      <c r="A206" s="5">
        <v>42892</v>
      </c>
      <c r="B206" s="2">
        <v>0</v>
      </c>
      <c r="C206" t="s">
        <v>389</v>
      </c>
      <c r="D206" t="s">
        <v>301</v>
      </c>
      <c r="E206" t="s">
        <v>302</v>
      </c>
      <c r="F206" s="3">
        <v>42832</v>
      </c>
      <c r="G206" s="2">
        <v>60</v>
      </c>
      <c r="H206" s="1">
        <v>326.07</v>
      </c>
      <c r="I206" t="s">
        <v>390</v>
      </c>
      <c r="J206" s="2">
        <v>1</v>
      </c>
      <c r="K206" t="s">
        <v>13</v>
      </c>
      <c r="L206" t="s">
        <v>93</v>
      </c>
      <c r="M206" t="s">
        <v>15</v>
      </c>
    </row>
    <row r="207" spans="1:13" x14ac:dyDescent="0.25">
      <c r="A207" s="5">
        <v>42892</v>
      </c>
      <c r="B207" s="2">
        <v>0</v>
      </c>
      <c r="C207" t="s">
        <v>391</v>
      </c>
      <c r="D207" t="s">
        <v>358</v>
      </c>
      <c r="E207" t="s">
        <v>359</v>
      </c>
      <c r="F207" s="3">
        <v>42797</v>
      </c>
      <c r="G207" s="2">
        <v>95</v>
      </c>
      <c r="H207" s="1">
        <v>1240.02</v>
      </c>
      <c r="I207" t="s">
        <v>392</v>
      </c>
      <c r="J207" s="2">
        <v>1</v>
      </c>
      <c r="K207" t="s">
        <v>13</v>
      </c>
      <c r="L207" t="s">
        <v>76</v>
      </c>
      <c r="M207" t="s">
        <v>308</v>
      </c>
    </row>
    <row r="208" spans="1:13" x14ac:dyDescent="0.25">
      <c r="A208" s="5">
        <v>42892</v>
      </c>
      <c r="B208" s="2">
        <v>0</v>
      </c>
      <c r="C208" t="s">
        <v>393</v>
      </c>
      <c r="D208" t="s">
        <v>358</v>
      </c>
      <c r="E208" t="s">
        <v>359</v>
      </c>
      <c r="F208" s="3">
        <v>42802</v>
      </c>
      <c r="G208" s="2">
        <v>90</v>
      </c>
      <c r="H208" s="1">
        <v>720.71</v>
      </c>
      <c r="I208" t="s">
        <v>394</v>
      </c>
      <c r="J208" s="2">
        <v>1</v>
      </c>
      <c r="K208" t="s">
        <v>13</v>
      </c>
      <c r="L208" t="s">
        <v>76</v>
      </c>
      <c r="M208" t="s">
        <v>308</v>
      </c>
    </row>
    <row r="209" spans="1:13" x14ac:dyDescent="0.25">
      <c r="A209" s="5">
        <v>42892</v>
      </c>
      <c r="B209" s="2">
        <v>0</v>
      </c>
      <c r="C209" t="s">
        <v>395</v>
      </c>
      <c r="D209" t="s">
        <v>314</v>
      </c>
      <c r="E209" t="s">
        <v>315</v>
      </c>
      <c r="F209" s="3">
        <v>42816</v>
      </c>
      <c r="G209" s="2">
        <v>76</v>
      </c>
      <c r="H209" s="1">
        <v>336.53</v>
      </c>
      <c r="I209" t="s">
        <v>341</v>
      </c>
      <c r="J209" s="2">
        <v>1</v>
      </c>
      <c r="K209" t="s">
        <v>13</v>
      </c>
      <c r="L209" t="s">
        <v>76</v>
      </c>
      <c r="M209" t="s">
        <v>24</v>
      </c>
    </row>
    <row r="210" spans="1:13" x14ac:dyDescent="0.25">
      <c r="A210" s="5">
        <v>42893</v>
      </c>
      <c r="B210" s="2">
        <v>0</v>
      </c>
      <c r="C210" t="s">
        <v>396</v>
      </c>
      <c r="D210" t="s">
        <v>314</v>
      </c>
      <c r="E210" t="s">
        <v>315</v>
      </c>
      <c r="F210" s="3">
        <v>42811</v>
      </c>
      <c r="G210" s="2">
        <v>82</v>
      </c>
      <c r="H210" s="1">
        <v>904.87</v>
      </c>
      <c r="I210" t="s">
        <v>339</v>
      </c>
      <c r="J210" s="2">
        <v>1</v>
      </c>
      <c r="K210" t="s">
        <v>13</v>
      </c>
      <c r="L210" t="s">
        <v>76</v>
      </c>
      <c r="M210" t="s">
        <v>24</v>
      </c>
    </row>
    <row r="211" spans="1:13" x14ac:dyDescent="0.25">
      <c r="A211" s="5">
        <v>42894</v>
      </c>
      <c r="B211" s="2">
        <v>0</v>
      </c>
      <c r="C211" t="s">
        <v>397</v>
      </c>
      <c r="D211" t="s">
        <v>358</v>
      </c>
      <c r="E211" t="s">
        <v>359</v>
      </c>
      <c r="F211" s="3">
        <v>42804</v>
      </c>
      <c r="G211" s="2">
        <v>90</v>
      </c>
      <c r="H211" s="1">
        <v>1020.63</v>
      </c>
      <c r="I211" t="s">
        <v>398</v>
      </c>
      <c r="J211" s="2">
        <v>1</v>
      </c>
      <c r="K211" t="s">
        <v>13</v>
      </c>
      <c r="L211" t="s">
        <v>76</v>
      </c>
      <c r="M211" t="s">
        <v>308</v>
      </c>
    </row>
    <row r="212" spans="1:13" x14ac:dyDescent="0.25">
      <c r="A212" s="5">
        <v>42898</v>
      </c>
      <c r="B212" s="2">
        <v>0</v>
      </c>
      <c r="C212" t="s">
        <v>399</v>
      </c>
      <c r="D212" t="s">
        <v>358</v>
      </c>
      <c r="E212" t="s">
        <v>359</v>
      </c>
      <c r="F212" s="3">
        <v>42808</v>
      </c>
      <c r="G212" s="2">
        <v>90</v>
      </c>
      <c r="H212" s="1">
        <v>1061.8399999999999</v>
      </c>
      <c r="I212" t="s">
        <v>400</v>
      </c>
      <c r="J212" s="2">
        <v>1</v>
      </c>
      <c r="K212" t="s">
        <v>13</v>
      </c>
      <c r="L212" t="s">
        <v>76</v>
      </c>
      <c r="M212" t="s">
        <v>308</v>
      </c>
    </row>
    <row r="213" spans="1:13" x14ac:dyDescent="0.25">
      <c r="A213" s="5">
        <v>42898</v>
      </c>
      <c r="B213" s="2">
        <v>0</v>
      </c>
      <c r="C213" t="s">
        <v>401</v>
      </c>
      <c r="D213" t="s">
        <v>358</v>
      </c>
      <c r="E213" t="s">
        <v>359</v>
      </c>
      <c r="F213" s="3">
        <v>42817</v>
      </c>
      <c r="G213" s="2">
        <v>81</v>
      </c>
      <c r="H213" s="1">
        <v>532.89</v>
      </c>
      <c r="I213" t="s">
        <v>402</v>
      </c>
      <c r="J213" s="2">
        <v>1</v>
      </c>
      <c r="K213" t="s">
        <v>13</v>
      </c>
      <c r="L213" t="s">
        <v>76</v>
      </c>
      <c r="M213" t="s">
        <v>308</v>
      </c>
    </row>
    <row r="214" spans="1:13" x14ac:dyDescent="0.25">
      <c r="A214" s="5">
        <v>42898</v>
      </c>
      <c r="B214" s="2">
        <v>0</v>
      </c>
      <c r="C214" t="s">
        <v>403</v>
      </c>
      <c r="D214" t="s">
        <v>367</v>
      </c>
      <c r="E214" t="s">
        <v>368</v>
      </c>
      <c r="F214" s="3">
        <v>42816</v>
      </c>
      <c r="G214" s="2">
        <v>82</v>
      </c>
      <c r="H214" s="1">
        <v>264.51</v>
      </c>
      <c r="I214" t="s">
        <v>404</v>
      </c>
      <c r="J214" s="2">
        <v>1</v>
      </c>
      <c r="K214" t="s">
        <v>13</v>
      </c>
      <c r="L214" t="s">
        <v>76</v>
      </c>
      <c r="M214" t="s">
        <v>50</v>
      </c>
    </row>
    <row r="215" spans="1:13" x14ac:dyDescent="0.25">
      <c r="A215" s="5">
        <v>42898</v>
      </c>
      <c r="B215" s="2">
        <v>0</v>
      </c>
      <c r="C215" t="s">
        <v>405</v>
      </c>
      <c r="D215" t="s">
        <v>305</v>
      </c>
      <c r="E215" t="s">
        <v>306</v>
      </c>
      <c r="F215" s="3">
        <v>42811</v>
      </c>
      <c r="G215" s="2">
        <v>87</v>
      </c>
      <c r="H215" s="1">
        <v>616.73</v>
      </c>
      <c r="I215" t="s">
        <v>335</v>
      </c>
      <c r="J215" s="2">
        <v>1</v>
      </c>
      <c r="K215" t="s">
        <v>13</v>
      </c>
      <c r="L215" t="s">
        <v>76</v>
      </c>
      <c r="M215" t="s">
        <v>308</v>
      </c>
    </row>
    <row r="216" spans="1:13" x14ac:dyDescent="0.25">
      <c r="A216" s="5">
        <v>42901</v>
      </c>
      <c r="B216" s="2">
        <v>0</v>
      </c>
      <c r="C216" t="s">
        <v>406</v>
      </c>
      <c r="D216" t="s">
        <v>358</v>
      </c>
      <c r="E216" t="s">
        <v>359</v>
      </c>
      <c r="F216" s="3">
        <v>42811</v>
      </c>
      <c r="G216" s="2">
        <v>90</v>
      </c>
      <c r="H216" s="1">
        <v>1150.0899999999999</v>
      </c>
      <c r="I216" t="s">
        <v>407</v>
      </c>
      <c r="J216" s="2">
        <v>1</v>
      </c>
      <c r="K216" t="s">
        <v>13</v>
      </c>
      <c r="L216" t="s">
        <v>76</v>
      </c>
      <c r="M216" t="s">
        <v>308</v>
      </c>
    </row>
    <row r="217" spans="1:13" x14ac:dyDescent="0.25">
      <c r="A217" s="5">
        <v>42901</v>
      </c>
      <c r="B217" s="2">
        <v>0</v>
      </c>
      <c r="C217" t="s">
        <v>408</v>
      </c>
      <c r="D217" t="s">
        <v>305</v>
      </c>
      <c r="E217" t="s">
        <v>306</v>
      </c>
      <c r="F217" s="3">
        <v>42816</v>
      </c>
      <c r="G217" s="2">
        <v>85</v>
      </c>
      <c r="H217" s="1">
        <v>348.15</v>
      </c>
      <c r="I217" t="s">
        <v>343</v>
      </c>
      <c r="J217" s="2">
        <v>1</v>
      </c>
      <c r="K217" t="s">
        <v>13</v>
      </c>
      <c r="L217" t="s">
        <v>76</v>
      </c>
      <c r="M217" t="s">
        <v>308</v>
      </c>
    </row>
    <row r="218" spans="1:13" x14ac:dyDescent="0.25">
      <c r="A218" s="5">
        <v>42905</v>
      </c>
      <c r="B218" s="2">
        <v>0</v>
      </c>
      <c r="C218" t="s">
        <v>409</v>
      </c>
      <c r="D218" t="s">
        <v>358</v>
      </c>
      <c r="E218" t="s">
        <v>359</v>
      </c>
      <c r="F218" s="3">
        <v>42815</v>
      </c>
      <c r="G218" s="2">
        <v>90</v>
      </c>
      <c r="H218" s="1">
        <v>543.62</v>
      </c>
      <c r="I218" t="s">
        <v>410</v>
      </c>
      <c r="J218" s="2">
        <v>1</v>
      </c>
      <c r="K218" t="s">
        <v>13</v>
      </c>
      <c r="L218" t="s">
        <v>76</v>
      </c>
      <c r="M218" t="s">
        <v>308</v>
      </c>
    </row>
    <row r="219" spans="1:13" x14ac:dyDescent="0.25">
      <c r="A219" s="5">
        <v>42905</v>
      </c>
      <c r="B219" s="2">
        <v>0</v>
      </c>
      <c r="C219" t="s">
        <v>411</v>
      </c>
      <c r="D219" t="s">
        <v>314</v>
      </c>
      <c r="E219" t="s">
        <v>315</v>
      </c>
      <c r="F219" s="3">
        <v>42816</v>
      </c>
      <c r="G219" s="2">
        <v>89</v>
      </c>
      <c r="H219" s="1">
        <v>336.53</v>
      </c>
      <c r="I219" t="s">
        <v>341</v>
      </c>
      <c r="J219" s="2">
        <v>1</v>
      </c>
      <c r="K219" t="s">
        <v>13</v>
      </c>
      <c r="L219" t="s">
        <v>76</v>
      </c>
      <c r="M219" t="s">
        <v>24</v>
      </c>
    </row>
    <row r="220" spans="1:13" x14ac:dyDescent="0.25">
      <c r="A220" s="5">
        <v>42907</v>
      </c>
      <c r="B220" s="2">
        <v>0</v>
      </c>
      <c r="C220" t="s">
        <v>412</v>
      </c>
      <c r="D220" t="s">
        <v>358</v>
      </c>
      <c r="E220" t="s">
        <v>359</v>
      </c>
      <c r="F220" s="3">
        <v>42817</v>
      </c>
      <c r="G220" s="2">
        <v>90</v>
      </c>
      <c r="H220" s="1">
        <v>878.05</v>
      </c>
      <c r="I220" t="s">
        <v>413</v>
      </c>
      <c r="J220" s="2">
        <v>1</v>
      </c>
      <c r="K220" t="s">
        <v>13</v>
      </c>
      <c r="L220" t="s">
        <v>76</v>
      </c>
      <c r="M220" t="s">
        <v>308</v>
      </c>
    </row>
    <row r="221" spans="1:13" x14ac:dyDescent="0.25">
      <c r="A221" s="5">
        <v>42908</v>
      </c>
      <c r="B221" s="2">
        <v>0</v>
      </c>
      <c r="C221" t="s">
        <v>414</v>
      </c>
      <c r="D221" t="s">
        <v>358</v>
      </c>
      <c r="E221" t="s">
        <v>359</v>
      </c>
      <c r="F221" s="3">
        <v>42818</v>
      </c>
      <c r="G221" s="2">
        <v>90</v>
      </c>
      <c r="H221" s="1">
        <v>467.19</v>
      </c>
      <c r="I221" t="s">
        <v>415</v>
      </c>
      <c r="J221" s="2">
        <v>1</v>
      </c>
      <c r="K221" t="s">
        <v>13</v>
      </c>
      <c r="L221" t="s">
        <v>76</v>
      </c>
      <c r="M221" t="s">
        <v>308</v>
      </c>
    </row>
    <row r="222" spans="1:13" x14ac:dyDescent="0.25">
      <c r="A222" s="5">
        <v>42912</v>
      </c>
      <c r="B222" s="2">
        <v>0</v>
      </c>
      <c r="C222" t="s">
        <v>416</v>
      </c>
      <c r="D222" t="s">
        <v>301</v>
      </c>
      <c r="E222" t="s">
        <v>302</v>
      </c>
      <c r="F222" s="3">
        <v>42832</v>
      </c>
      <c r="G222" s="2">
        <v>80</v>
      </c>
      <c r="H222" s="1">
        <v>286.33999999999997</v>
      </c>
      <c r="I222" t="s">
        <v>390</v>
      </c>
      <c r="J222" s="2">
        <v>1</v>
      </c>
      <c r="K222" t="s">
        <v>13</v>
      </c>
      <c r="L222" t="s">
        <v>93</v>
      </c>
      <c r="M222" t="s">
        <v>15</v>
      </c>
    </row>
    <row r="223" spans="1:13" x14ac:dyDescent="0.25">
      <c r="A223" s="5">
        <v>42912</v>
      </c>
      <c r="B223" s="2">
        <v>0</v>
      </c>
      <c r="C223" t="s">
        <v>417</v>
      </c>
      <c r="D223" t="s">
        <v>358</v>
      </c>
      <c r="E223" t="s">
        <v>359</v>
      </c>
      <c r="F223" s="3">
        <v>42822</v>
      </c>
      <c r="G223" s="2">
        <v>90</v>
      </c>
      <c r="H223" s="1">
        <v>669.45</v>
      </c>
      <c r="I223" t="s">
        <v>418</v>
      </c>
      <c r="J223" s="2">
        <v>1</v>
      </c>
      <c r="K223" t="s">
        <v>13</v>
      </c>
      <c r="L223" t="s">
        <v>76</v>
      </c>
      <c r="M223" t="s">
        <v>308</v>
      </c>
    </row>
    <row r="224" spans="1:13" x14ac:dyDescent="0.25">
      <c r="A224" s="5">
        <v>42912</v>
      </c>
      <c r="B224" s="2">
        <v>0</v>
      </c>
      <c r="C224" t="s">
        <v>419</v>
      </c>
      <c r="D224" t="s">
        <v>358</v>
      </c>
      <c r="E224" t="s">
        <v>359</v>
      </c>
      <c r="F224" s="3">
        <v>42831</v>
      </c>
      <c r="G224" s="2">
        <v>81</v>
      </c>
      <c r="H224" s="1">
        <v>895.39</v>
      </c>
      <c r="I224" t="s">
        <v>420</v>
      </c>
      <c r="J224" s="2">
        <v>1</v>
      </c>
      <c r="K224" t="s">
        <v>13</v>
      </c>
      <c r="L224" t="s">
        <v>76</v>
      </c>
      <c r="M224" t="s">
        <v>308</v>
      </c>
    </row>
    <row r="225" spans="1:13" x14ac:dyDescent="0.25">
      <c r="A225" s="5">
        <v>42912</v>
      </c>
      <c r="B225" s="2">
        <v>0</v>
      </c>
      <c r="C225" t="s">
        <v>421</v>
      </c>
      <c r="D225" t="s">
        <v>59</v>
      </c>
      <c r="E225" t="s">
        <v>60</v>
      </c>
      <c r="F225" s="3">
        <v>42843</v>
      </c>
      <c r="G225" s="2">
        <v>69</v>
      </c>
      <c r="H225" s="1">
        <v>442.24</v>
      </c>
      <c r="I225" t="s">
        <v>422</v>
      </c>
      <c r="J225" s="2">
        <v>1</v>
      </c>
      <c r="K225" t="s">
        <v>13</v>
      </c>
      <c r="L225" t="s">
        <v>21</v>
      </c>
      <c r="M225" t="s">
        <v>62</v>
      </c>
    </row>
    <row r="226" spans="1:13" x14ac:dyDescent="0.25">
      <c r="A226" s="5">
        <v>42913</v>
      </c>
      <c r="B226" s="2">
        <v>0</v>
      </c>
      <c r="C226" t="s">
        <v>423</v>
      </c>
      <c r="D226" t="s">
        <v>358</v>
      </c>
      <c r="E226" t="s">
        <v>359</v>
      </c>
      <c r="F226" s="3">
        <v>42823</v>
      </c>
      <c r="G226" s="2">
        <v>90</v>
      </c>
      <c r="H226" s="1">
        <v>648.33000000000004</v>
      </c>
      <c r="I226" t="s">
        <v>424</v>
      </c>
      <c r="J226" s="2">
        <v>1</v>
      </c>
      <c r="K226" t="s">
        <v>13</v>
      </c>
      <c r="L226" t="s">
        <v>76</v>
      </c>
      <c r="M226" t="s">
        <v>308</v>
      </c>
    </row>
    <row r="227" spans="1:13" x14ac:dyDescent="0.25">
      <c r="A227" s="5">
        <v>42913</v>
      </c>
      <c r="B227" s="2">
        <v>0</v>
      </c>
      <c r="C227" t="s">
        <v>425</v>
      </c>
      <c r="D227" t="s">
        <v>68</v>
      </c>
      <c r="E227" t="s">
        <v>69</v>
      </c>
      <c r="F227" s="3">
        <v>42843</v>
      </c>
      <c r="G227" s="2">
        <v>70</v>
      </c>
      <c r="H227" s="1">
        <v>451.44</v>
      </c>
      <c r="I227" t="s">
        <v>426</v>
      </c>
      <c r="J227" s="2">
        <v>1</v>
      </c>
      <c r="K227" t="s">
        <v>13</v>
      </c>
      <c r="L227" t="s">
        <v>21</v>
      </c>
      <c r="M227" t="s">
        <v>19</v>
      </c>
    </row>
    <row r="228" spans="1:13" x14ac:dyDescent="0.25">
      <c r="A228" s="5">
        <v>42915</v>
      </c>
      <c r="B228" s="2">
        <v>0</v>
      </c>
      <c r="C228" t="s">
        <v>427</v>
      </c>
      <c r="D228" t="s">
        <v>68</v>
      </c>
      <c r="E228" t="s">
        <v>69</v>
      </c>
      <c r="F228" s="3">
        <v>42832</v>
      </c>
      <c r="G228" s="2">
        <v>83</v>
      </c>
      <c r="H228" s="1">
        <v>380.29</v>
      </c>
      <c r="I228" t="s">
        <v>428</v>
      </c>
      <c r="J228" s="2">
        <v>1</v>
      </c>
      <c r="K228" t="s">
        <v>13</v>
      </c>
      <c r="L228" t="s">
        <v>21</v>
      </c>
      <c r="M228" t="s">
        <v>19</v>
      </c>
    </row>
    <row r="229" spans="1:13" x14ac:dyDescent="0.25">
      <c r="A229" s="5">
        <v>42919</v>
      </c>
      <c r="B229" s="2">
        <v>0</v>
      </c>
      <c r="C229" t="s">
        <v>429</v>
      </c>
      <c r="D229" t="s">
        <v>358</v>
      </c>
      <c r="E229" t="s">
        <v>359</v>
      </c>
      <c r="F229" s="3">
        <v>42829</v>
      </c>
      <c r="G229" s="2">
        <v>90</v>
      </c>
      <c r="H229" s="1">
        <v>868.31</v>
      </c>
      <c r="I229" t="s">
        <v>430</v>
      </c>
      <c r="J229" s="2">
        <v>1</v>
      </c>
      <c r="K229" t="s">
        <v>13</v>
      </c>
      <c r="L229" t="s">
        <v>76</v>
      </c>
      <c r="M229" t="s">
        <v>308</v>
      </c>
    </row>
    <row r="230" spans="1:13" x14ac:dyDescent="0.25">
      <c r="A230" s="5">
        <v>42919</v>
      </c>
      <c r="B230" s="2">
        <v>0</v>
      </c>
      <c r="C230" t="s">
        <v>431</v>
      </c>
      <c r="D230" t="s">
        <v>358</v>
      </c>
      <c r="E230" t="s">
        <v>359</v>
      </c>
      <c r="F230" s="3">
        <v>42837</v>
      </c>
      <c r="G230" s="2">
        <v>82</v>
      </c>
      <c r="H230" s="1">
        <v>1081.22</v>
      </c>
      <c r="I230" t="s">
        <v>432</v>
      </c>
      <c r="J230" s="2">
        <v>1</v>
      </c>
      <c r="K230" t="s">
        <v>13</v>
      </c>
      <c r="L230" t="s">
        <v>76</v>
      </c>
      <c r="M230" t="s">
        <v>308</v>
      </c>
    </row>
    <row r="231" spans="1:13" x14ac:dyDescent="0.25">
      <c r="A231" s="5">
        <v>42919</v>
      </c>
      <c r="B231" s="2">
        <v>0</v>
      </c>
      <c r="C231" t="s">
        <v>433</v>
      </c>
      <c r="D231" t="s">
        <v>68</v>
      </c>
      <c r="E231" t="s">
        <v>69</v>
      </c>
      <c r="F231" s="3">
        <v>42837</v>
      </c>
      <c r="G231" s="2">
        <v>82</v>
      </c>
      <c r="H231" s="1">
        <v>243.38</v>
      </c>
      <c r="I231" t="s">
        <v>434</v>
      </c>
      <c r="J231" s="2">
        <v>1</v>
      </c>
      <c r="K231" t="s">
        <v>13</v>
      </c>
      <c r="L231" t="s">
        <v>21</v>
      </c>
      <c r="M231" t="s">
        <v>19</v>
      </c>
    </row>
    <row r="232" spans="1:13" x14ac:dyDescent="0.25">
      <c r="A232" s="5">
        <v>42921</v>
      </c>
      <c r="B232" s="2">
        <v>0</v>
      </c>
      <c r="C232" t="s">
        <v>435</v>
      </c>
      <c r="D232" t="s">
        <v>358</v>
      </c>
      <c r="E232" t="s">
        <v>359</v>
      </c>
      <c r="F232" s="3">
        <v>42836</v>
      </c>
      <c r="G232" s="2">
        <v>85</v>
      </c>
      <c r="H232" s="1">
        <v>690.95</v>
      </c>
      <c r="I232" t="s">
        <v>436</v>
      </c>
      <c r="J232" s="2">
        <v>1</v>
      </c>
      <c r="K232" t="s">
        <v>13</v>
      </c>
      <c r="L232" t="s">
        <v>76</v>
      </c>
      <c r="M232" t="s">
        <v>308</v>
      </c>
    </row>
    <row r="233" spans="1:13" x14ac:dyDescent="0.25">
      <c r="A233" s="5">
        <v>42923</v>
      </c>
      <c r="B233" s="2">
        <v>0</v>
      </c>
      <c r="C233" t="s">
        <v>437</v>
      </c>
      <c r="D233" t="s">
        <v>358</v>
      </c>
      <c r="E233" t="s">
        <v>359</v>
      </c>
      <c r="F233" s="3">
        <v>42843</v>
      </c>
      <c r="G233" s="2">
        <v>80</v>
      </c>
      <c r="H233" s="1">
        <v>600.27</v>
      </c>
      <c r="I233" t="s">
        <v>438</v>
      </c>
      <c r="J233" s="2">
        <v>1</v>
      </c>
      <c r="K233" t="s">
        <v>13</v>
      </c>
      <c r="L233" t="s">
        <v>76</v>
      </c>
      <c r="M233" t="s">
        <v>308</v>
      </c>
    </row>
    <row r="234" spans="1:13" x14ac:dyDescent="0.25">
      <c r="A234" s="5">
        <v>42923</v>
      </c>
      <c r="B234" s="2">
        <v>0</v>
      </c>
      <c r="C234" t="s">
        <v>439</v>
      </c>
      <c r="D234" t="s">
        <v>68</v>
      </c>
      <c r="E234" t="s">
        <v>69</v>
      </c>
      <c r="F234" s="3">
        <v>42863</v>
      </c>
      <c r="G234" s="2">
        <v>60</v>
      </c>
      <c r="H234" s="1">
        <v>369.65</v>
      </c>
      <c r="I234" t="s">
        <v>440</v>
      </c>
      <c r="J234" s="2">
        <v>1</v>
      </c>
      <c r="K234" t="s">
        <v>13</v>
      </c>
      <c r="L234" t="s">
        <v>21</v>
      </c>
      <c r="M234" t="s">
        <v>19</v>
      </c>
    </row>
    <row r="235" spans="1:13" x14ac:dyDescent="0.25">
      <c r="A235" s="5">
        <v>42926</v>
      </c>
      <c r="B235" s="2">
        <v>0</v>
      </c>
      <c r="C235" t="s">
        <v>441</v>
      </c>
      <c r="D235" t="s">
        <v>358</v>
      </c>
      <c r="E235" t="s">
        <v>359</v>
      </c>
      <c r="F235" s="3">
        <v>42845</v>
      </c>
      <c r="G235" s="2">
        <v>81</v>
      </c>
      <c r="H235" s="1">
        <v>423.14</v>
      </c>
      <c r="I235" t="s">
        <v>442</v>
      </c>
      <c r="J235" s="2">
        <v>1</v>
      </c>
      <c r="K235" t="s">
        <v>13</v>
      </c>
      <c r="L235" t="s">
        <v>76</v>
      </c>
      <c r="M235" t="s">
        <v>308</v>
      </c>
    </row>
    <row r="236" spans="1:13" x14ac:dyDescent="0.25">
      <c r="A236" s="5">
        <v>42928</v>
      </c>
      <c r="B236" s="2">
        <v>0</v>
      </c>
      <c r="C236" t="s">
        <v>443</v>
      </c>
      <c r="D236" t="s">
        <v>59</v>
      </c>
      <c r="E236" t="s">
        <v>60</v>
      </c>
      <c r="F236" s="3">
        <v>42870</v>
      </c>
      <c r="G236" s="2">
        <v>58</v>
      </c>
      <c r="H236" s="1">
        <v>371.73</v>
      </c>
      <c r="I236" t="s">
        <v>444</v>
      </c>
      <c r="J236" s="2">
        <v>1</v>
      </c>
      <c r="K236" t="s">
        <v>13</v>
      </c>
      <c r="L236" t="s">
        <v>21</v>
      </c>
      <c r="M236" t="s">
        <v>62</v>
      </c>
    </row>
    <row r="237" spans="1:13" x14ac:dyDescent="0.25">
      <c r="A237" s="5">
        <v>42930</v>
      </c>
      <c r="B237" s="2">
        <v>0</v>
      </c>
      <c r="C237" t="s">
        <v>445</v>
      </c>
      <c r="D237" t="s">
        <v>358</v>
      </c>
      <c r="E237" t="s">
        <v>359</v>
      </c>
      <c r="F237" s="3">
        <v>42850</v>
      </c>
      <c r="G237" s="2">
        <v>80</v>
      </c>
      <c r="H237" s="1">
        <v>917.08</v>
      </c>
      <c r="I237" t="s">
        <v>446</v>
      </c>
      <c r="J237" s="2">
        <v>1</v>
      </c>
      <c r="K237" t="s">
        <v>13</v>
      </c>
      <c r="L237" t="s">
        <v>76</v>
      </c>
      <c r="M237" t="s">
        <v>308</v>
      </c>
    </row>
    <row r="238" spans="1:13" x14ac:dyDescent="0.25">
      <c r="A238" s="5">
        <v>42930</v>
      </c>
      <c r="B238" s="2">
        <v>0</v>
      </c>
      <c r="C238" t="s">
        <v>447</v>
      </c>
      <c r="D238" t="s">
        <v>68</v>
      </c>
      <c r="E238" t="s">
        <v>69</v>
      </c>
      <c r="F238" s="3">
        <v>42870</v>
      </c>
      <c r="G238" s="2">
        <v>60</v>
      </c>
      <c r="H238" s="1">
        <v>342.78</v>
      </c>
      <c r="I238" t="s">
        <v>448</v>
      </c>
      <c r="J238" s="2">
        <v>1</v>
      </c>
      <c r="K238" t="s">
        <v>13</v>
      </c>
      <c r="L238" t="s">
        <v>21</v>
      </c>
      <c r="M238" t="s">
        <v>19</v>
      </c>
    </row>
    <row r="239" spans="1:13" x14ac:dyDescent="0.25">
      <c r="A239" s="5">
        <v>42933</v>
      </c>
      <c r="B239" s="2">
        <v>0</v>
      </c>
      <c r="C239" t="s">
        <v>449</v>
      </c>
      <c r="D239" t="s">
        <v>358</v>
      </c>
      <c r="E239" t="s">
        <v>359</v>
      </c>
      <c r="F239" s="3">
        <v>42836</v>
      </c>
      <c r="G239" s="2">
        <v>97</v>
      </c>
      <c r="H239" s="1">
        <v>736.02</v>
      </c>
      <c r="I239" t="s">
        <v>450</v>
      </c>
      <c r="J239" s="2">
        <v>1</v>
      </c>
      <c r="K239" t="s">
        <v>13</v>
      </c>
      <c r="L239" t="s">
        <v>76</v>
      </c>
      <c r="M239" t="s">
        <v>308</v>
      </c>
    </row>
    <row r="240" spans="1:13" x14ac:dyDescent="0.25">
      <c r="A240" s="5">
        <v>42933</v>
      </c>
      <c r="B240" s="2">
        <v>0</v>
      </c>
      <c r="C240" t="s">
        <v>451</v>
      </c>
      <c r="D240" t="s">
        <v>68</v>
      </c>
      <c r="E240" t="s">
        <v>69</v>
      </c>
      <c r="F240" s="3">
        <v>42853</v>
      </c>
      <c r="G240" s="2">
        <v>80</v>
      </c>
      <c r="H240" s="1">
        <v>333.15</v>
      </c>
      <c r="I240" t="s">
        <v>452</v>
      </c>
      <c r="J240" s="2">
        <v>1</v>
      </c>
      <c r="K240" t="s">
        <v>13</v>
      </c>
      <c r="L240" t="s">
        <v>21</v>
      </c>
      <c r="M240" t="s">
        <v>19</v>
      </c>
    </row>
    <row r="241" spans="1:13" x14ac:dyDescent="0.25">
      <c r="A241" s="5">
        <v>42933</v>
      </c>
      <c r="B241" s="2">
        <v>0</v>
      </c>
      <c r="C241" t="s">
        <v>453</v>
      </c>
      <c r="D241" t="s">
        <v>68</v>
      </c>
      <c r="E241" t="s">
        <v>69</v>
      </c>
      <c r="F241" s="3">
        <v>42863</v>
      </c>
      <c r="G241" s="2">
        <v>70</v>
      </c>
      <c r="H241" s="1">
        <v>300.02</v>
      </c>
      <c r="I241" t="s">
        <v>440</v>
      </c>
      <c r="J241" s="2">
        <v>1</v>
      </c>
      <c r="K241" t="s">
        <v>13</v>
      </c>
      <c r="L241" t="s">
        <v>21</v>
      </c>
      <c r="M241" t="s">
        <v>19</v>
      </c>
    </row>
    <row r="242" spans="1:13" x14ac:dyDescent="0.25">
      <c r="A242" s="5">
        <v>42933</v>
      </c>
      <c r="B242" s="2">
        <v>0</v>
      </c>
      <c r="C242" t="s">
        <v>454</v>
      </c>
      <c r="D242" t="s">
        <v>455</v>
      </c>
      <c r="E242" t="s">
        <v>456</v>
      </c>
      <c r="F242" s="3">
        <v>42831</v>
      </c>
      <c r="G242" s="2">
        <v>102</v>
      </c>
      <c r="H242" s="1">
        <v>1090.1600000000001</v>
      </c>
      <c r="I242" t="s">
        <v>457</v>
      </c>
      <c r="J242" s="2">
        <v>1</v>
      </c>
      <c r="K242" t="s">
        <v>13</v>
      </c>
      <c r="L242" t="s">
        <v>76</v>
      </c>
      <c r="M242" t="s">
        <v>308</v>
      </c>
    </row>
    <row r="243" spans="1:13" x14ac:dyDescent="0.25">
      <c r="A243" s="5">
        <v>42933</v>
      </c>
      <c r="B243" s="2">
        <v>0</v>
      </c>
      <c r="C243" t="s">
        <v>458</v>
      </c>
      <c r="D243" t="s">
        <v>455</v>
      </c>
      <c r="E243" t="s">
        <v>456</v>
      </c>
      <c r="F243" s="3">
        <v>42843</v>
      </c>
      <c r="G243" s="2">
        <v>90</v>
      </c>
      <c r="H243" s="1">
        <v>983.6</v>
      </c>
      <c r="I243" t="s">
        <v>459</v>
      </c>
      <c r="J243" s="2">
        <v>1</v>
      </c>
      <c r="K243" t="s">
        <v>13</v>
      </c>
      <c r="L243" t="s">
        <v>76</v>
      </c>
      <c r="M243" t="s">
        <v>308</v>
      </c>
    </row>
    <row r="244" spans="1:13" x14ac:dyDescent="0.25">
      <c r="A244" s="5">
        <v>42933</v>
      </c>
      <c r="B244" s="2">
        <v>0</v>
      </c>
      <c r="C244" t="s">
        <v>460</v>
      </c>
      <c r="D244" t="s">
        <v>455</v>
      </c>
      <c r="E244" t="s">
        <v>456</v>
      </c>
      <c r="F244" s="3">
        <v>42852</v>
      </c>
      <c r="G244" s="2">
        <v>81</v>
      </c>
      <c r="H244" s="1">
        <v>960.14</v>
      </c>
      <c r="I244" t="s">
        <v>461</v>
      </c>
      <c r="J244" s="2">
        <v>1</v>
      </c>
      <c r="K244" t="s">
        <v>13</v>
      </c>
      <c r="L244" t="s">
        <v>76</v>
      </c>
      <c r="M244" t="s">
        <v>308</v>
      </c>
    </row>
    <row r="245" spans="1:13" x14ac:dyDescent="0.25">
      <c r="A245" s="5">
        <v>42933</v>
      </c>
      <c r="B245" s="2">
        <v>0</v>
      </c>
      <c r="C245" t="s">
        <v>462</v>
      </c>
      <c r="D245" t="s">
        <v>463</v>
      </c>
      <c r="E245" t="s">
        <v>464</v>
      </c>
      <c r="F245" s="3">
        <v>42913</v>
      </c>
      <c r="G245" s="2">
        <v>20</v>
      </c>
      <c r="H245" s="1">
        <v>553.98</v>
      </c>
      <c r="I245" t="s">
        <v>465</v>
      </c>
      <c r="J245" s="2">
        <v>1</v>
      </c>
      <c r="K245" t="s">
        <v>13</v>
      </c>
      <c r="L245" t="s">
        <v>28</v>
      </c>
      <c r="M245" t="s">
        <v>15</v>
      </c>
    </row>
    <row r="246" spans="1:13" x14ac:dyDescent="0.25">
      <c r="A246" s="5">
        <v>42933</v>
      </c>
      <c r="B246" s="2">
        <v>0</v>
      </c>
      <c r="C246" t="s">
        <v>466</v>
      </c>
      <c r="D246" t="s">
        <v>59</v>
      </c>
      <c r="E246" t="s">
        <v>60</v>
      </c>
      <c r="F246" s="3">
        <v>42853</v>
      </c>
      <c r="G246" s="2">
        <v>80</v>
      </c>
      <c r="H246" s="1">
        <v>284.89</v>
      </c>
      <c r="I246" t="s">
        <v>467</v>
      </c>
      <c r="J246" s="2">
        <v>1</v>
      </c>
      <c r="K246" t="s">
        <v>13</v>
      </c>
      <c r="L246" t="s">
        <v>21</v>
      </c>
      <c r="M246" t="s">
        <v>62</v>
      </c>
    </row>
    <row r="247" spans="1:13" x14ac:dyDescent="0.25">
      <c r="A247" s="5">
        <v>42934</v>
      </c>
      <c r="B247" s="2">
        <v>0</v>
      </c>
      <c r="C247" t="s">
        <v>468</v>
      </c>
      <c r="D247" t="s">
        <v>358</v>
      </c>
      <c r="E247" t="s">
        <v>359</v>
      </c>
      <c r="F247" s="3">
        <v>42844</v>
      </c>
      <c r="G247" s="2">
        <v>90</v>
      </c>
      <c r="H247" s="1">
        <v>999.22</v>
      </c>
      <c r="I247" t="s">
        <v>469</v>
      </c>
      <c r="J247" s="2">
        <v>1</v>
      </c>
      <c r="K247" t="s">
        <v>13</v>
      </c>
      <c r="L247" t="s">
        <v>76</v>
      </c>
      <c r="M247" t="s">
        <v>308</v>
      </c>
    </row>
    <row r="248" spans="1:13" x14ac:dyDescent="0.25">
      <c r="A248" s="5">
        <v>42934</v>
      </c>
      <c r="B248" s="2">
        <v>0</v>
      </c>
      <c r="C248" t="s">
        <v>470</v>
      </c>
      <c r="D248" t="s">
        <v>68</v>
      </c>
      <c r="E248" t="s">
        <v>69</v>
      </c>
      <c r="F248" s="3">
        <v>42874</v>
      </c>
      <c r="G248" s="2">
        <v>60</v>
      </c>
      <c r="H248" s="1">
        <v>376.6</v>
      </c>
      <c r="I248" t="s">
        <v>471</v>
      </c>
      <c r="J248" s="2">
        <v>1</v>
      </c>
      <c r="K248" t="s">
        <v>13</v>
      </c>
      <c r="L248" t="s">
        <v>21</v>
      </c>
      <c r="M248" t="s">
        <v>19</v>
      </c>
    </row>
    <row r="249" spans="1:13" x14ac:dyDescent="0.25">
      <c r="A249" s="5">
        <v>42935</v>
      </c>
      <c r="B249" s="2">
        <v>0</v>
      </c>
      <c r="C249" t="s">
        <v>472</v>
      </c>
      <c r="D249" t="s">
        <v>455</v>
      </c>
      <c r="E249" t="s">
        <v>456</v>
      </c>
      <c r="F249" s="3">
        <v>42845</v>
      </c>
      <c r="G249" s="2">
        <v>90</v>
      </c>
      <c r="H249" s="1">
        <v>706.67</v>
      </c>
      <c r="I249" t="s">
        <v>473</v>
      </c>
      <c r="J249" s="2">
        <v>1</v>
      </c>
      <c r="K249" t="s">
        <v>13</v>
      </c>
      <c r="L249" t="s">
        <v>76</v>
      </c>
      <c r="M249" t="s">
        <v>308</v>
      </c>
    </row>
    <row r="250" spans="1:13" x14ac:dyDescent="0.25">
      <c r="A250" s="5">
        <v>42937</v>
      </c>
      <c r="B250" s="2">
        <v>0</v>
      </c>
      <c r="C250" t="s">
        <v>474</v>
      </c>
      <c r="D250" t="s">
        <v>358</v>
      </c>
      <c r="E250" t="s">
        <v>359</v>
      </c>
      <c r="F250" s="3">
        <v>42852</v>
      </c>
      <c r="G250" s="2">
        <v>85</v>
      </c>
      <c r="H250" s="1">
        <v>752.39</v>
      </c>
      <c r="I250" t="s">
        <v>475</v>
      </c>
      <c r="J250" s="2">
        <v>1</v>
      </c>
      <c r="K250" t="s">
        <v>13</v>
      </c>
      <c r="L250" t="s">
        <v>76</v>
      </c>
      <c r="M250" t="s">
        <v>308</v>
      </c>
    </row>
    <row r="251" spans="1:13" x14ac:dyDescent="0.25">
      <c r="A251" s="5">
        <v>42937</v>
      </c>
      <c r="B251" s="2">
        <v>0</v>
      </c>
      <c r="C251" t="s">
        <v>476</v>
      </c>
      <c r="D251" t="s">
        <v>455</v>
      </c>
      <c r="E251" t="s">
        <v>456</v>
      </c>
      <c r="F251" s="3">
        <v>42837</v>
      </c>
      <c r="G251" s="2">
        <v>100</v>
      </c>
      <c r="H251" s="1">
        <v>1282.26</v>
      </c>
      <c r="I251" t="s">
        <v>477</v>
      </c>
      <c r="J251" s="2">
        <v>1</v>
      </c>
      <c r="K251" t="s">
        <v>13</v>
      </c>
      <c r="L251" t="s">
        <v>76</v>
      </c>
      <c r="M251" t="s">
        <v>308</v>
      </c>
    </row>
    <row r="252" spans="1:13" x14ac:dyDescent="0.25">
      <c r="A252" s="5">
        <v>42940</v>
      </c>
      <c r="B252" s="2">
        <v>0</v>
      </c>
      <c r="C252" t="s">
        <v>478</v>
      </c>
      <c r="D252" t="s">
        <v>455</v>
      </c>
      <c r="E252" t="s">
        <v>456</v>
      </c>
      <c r="F252" s="3">
        <v>42843</v>
      </c>
      <c r="G252" s="2">
        <v>97</v>
      </c>
      <c r="H252" s="1">
        <v>938.97</v>
      </c>
      <c r="I252" t="s">
        <v>479</v>
      </c>
      <c r="J252" s="2">
        <v>1</v>
      </c>
      <c r="K252" t="s">
        <v>13</v>
      </c>
      <c r="L252" t="s">
        <v>76</v>
      </c>
      <c r="M252" t="s">
        <v>308</v>
      </c>
    </row>
    <row r="253" spans="1:13" x14ac:dyDescent="0.25">
      <c r="A253" s="5">
        <v>42940</v>
      </c>
      <c r="B253" s="2">
        <v>0</v>
      </c>
      <c r="C253" t="s">
        <v>480</v>
      </c>
      <c r="D253" t="s">
        <v>455</v>
      </c>
      <c r="E253" t="s">
        <v>456</v>
      </c>
      <c r="F253" s="3">
        <v>42850</v>
      </c>
      <c r="G253" s="2">
        <v>90</v>
      </c>
      <c r="H253" s="1">
        <v>1142.8599999999999</v>
      </c>
      <c r="I253" t="s">
        <v>481</v>
      </c>
      <c r="J253" s="2">
        <v>1</v>
      </c>
      <c r="K253" t="s">
        <v>13</v>
      </c>
      <c r="L253" t="s">
        <v>76</v>
      </c>
      <c r="M253" t="s">
        <v>308</v>
      </c>
    </row>
    <row r="254" spans="1:13" x14ac:dyDescent="0.25">
      <c r="A254" s="5">
        <v>42943</v>
      </c>
      <c r="B254" s="2">
        <v>0</v>
      </c>
      <c r="C254" t="s">
        <v>482</v>
      </c>
      <c r="D254" t="s">
        <v>358</v>
      </c>
      <c r="E254" t="s">
        <v>359</v>
      </c>
      <c r="F254" s="3">
        <v>42843</v>
      </c>
      <c r="G254" s="2">
        <v>100</v>
      </c>
      <c r="H254" s="1">
        <v>1284.03</v>
      </c>
      <c r="I254" t="s">
        <v>483</v>
      </c>
      <c r="J254" s="2">
        <v>1</v>
      </c>
      <c r="K254" t="s">
        <v>13</v>
      </c>
      <c r="L254" t="s">
        <v>76</v>
      </c>
      <c r="M254" t="s">
        <v>308</v>
      </c>
    </row>
    <row r="255" spans="1:13" x14ac:dyDescent="0.25">
      <c r="A255" s="5">
        <v>42943</v>
      </c>
      <c r="B255" s="2">
        <v>0</v>
      </c>
      <c r="C255" t="s">
        <v>484</v>
      </c>
      <c r="D255" t="s">
        <v>455</v>
      </c>
      <c r="E255" t="s">
        <v>456</v>
      </c>
      <c r="F255" s="3">
        <v>42853</v>
      </c>
      <c r="G255" s="2">
        <v>90</v>
      </c>
      <c r="H255" s="1">
        <v>976.93</v>
      </c>
      <c r="I255" t="s">
        <v>485</v>
      </c>
      <c r="J255" s="2">
        <v>1</v>
      </c>
      <c r="K255" t="s">
        <v>13</v>
      </c>
      <c r="L255" t="s">
        <v>76</v>
      </c>
      <c r="M255" t="s">
        <v>308</v>
      </c>
    </row>
    <row r="256" spans="1:13" x14ac:dyDescent="0.25">
      <c r="A256" s="5">
        <v>42943</v>
      </c>
      <c r="B256" s="2">
        <v>0</v>
      </c>
      <c r="C256" t="s">
        <v>486</v>
      </c>
      <c r="D256" t="s">
        <v>463</v>
      </c>
      <c r="E256" t="s">
        <v>464</v>
      </c>
      <c r="F256" s="3">
        <v>42913</v>
      </c>
      <c r="G256" s="2">
        <v>30</v>
      </c>
      <c r="H256" s="1">
        <v>553.97</v>
      </c>
      <c r="I256" t="s">
        <v>465</v>
      </c>
      <c r="J256" s="2">
        <v>1</v>
      </c>
      <c r="K256" t="s">
        <v>13</v>
      </c>
      <c r="L256" t="s">
        <v>28</v>
      </c>
      <c r="M256" t="s">
        <v>15</v>
      </c>
    </row>
    <row r="257" spans="1:13" x14ac:dyDescent="0.25">
      <c r="A257" s="5">
        <v>42947</v>
      </c>
      <c r="B257" s="2">
        <v>0</v>
      </c>
      <c r="C257" t="s">
        <v>487</v>
      </c>
      <c r="D257" t="s">
        <v>358</v>
      </c>
      <c r="E257" t="s">
        <v>359</v>
      </c>
      <c r="F257" s="3">
        <v>42867</v>
      </c>
      <c r="G257" s="2">
        <v>80</v>
      </c>
      <c r="H257" s="1">
        <v>1055.6199999999999</v>
      </c>
      <c r="I257" t="s">
        <v>488</v>
      </c>
      <c r="J257" s="2">
        <v>1</v>
      </c>
      <c r="K257" t="s">
        <v>13</v>
      </c>
      <c r="L257" t="s">
        <v>76</v>
      </c>
      <c r="M257" t="s">
        <v>308</v>
      </c>
    </row>
    <row r="258" spans="1:13" x14ac:dyDescent="0.25">
      <c r="A258" s="5">
        <v>42948</v>
      </c>
      <c r="B258" s="2">
        <v>0</v>
      </c>
      <c r="C258" t="s">
        <v>489</v>
      </c>
      <c r="D258" t="s">
        <v>358</v>
      </c>
      <c r="E258" t="s">
        <v>359</v>
      </c>
      <c r="F258" s="3">
        <v>42853</v>
      </c>
      <c r="G258" s="2">
        <v>95</v>
      </c>
      <c r="H258" s="1">
        <v>973.48</v>
      </c>
      <c r="I258" t="s">
        <v>490</v>
      </c>
      <c r="J258" s="2">
        <v>1</v>
      </c>
      <c r="K258" t="s">
        <v>13</v>
      </c>
      <c r="L258" t="s">
        <v>76</v>
      </c>
      <c r="M258" t="s">
        <v>308</v>
      </c>
    </row>
    <row r="259" spans="1:13" x14ac:dyDescent="0.25">
      <c r="A259" s="5">
        <v>42950</v>
      </c>
      <c r="B259" s="2">
        <v>0</v>
      </c>
      <c r="C259" t="s">
        <v>491</v>
      </c>
      <c r="D259" t="s">
        <v>358</v>
      </c>
      <c r="E259" t="s">
        <v>359</v>
      </c>
      <c r="F259" s="3">
        <v>42870</v>
      </c>
      <c r="G259" s="2">
        <v>80</v>
      </c>
      <c r="H259" s="1">
        <v>500.93</v>
      </c>
      <c r="I259" t="s">
        <v>492</v>
      </c>
      <c r="J259" s="2">
        <v>1</v>
      </c>
      <c r="K259" t="s">
        <v>13</v>
      </c>
      <c r="L259" t="s">
        <v>76</v>
      </c>
      <c r="M259" t="s">
        <v>308</v>
      </c>
    </row>
    <row r="260" spans="1:13" x14ac:dyDescent="0.25">
      <c r="A260" s="5">
        <v>42950</v>
      </c>
      <c r="B260" s="2">
        <v>0</v>
      </c>
      <c r="C260" t="s">
        <v>493</v>
      </c>
      <c r="D260" t="s">
        <v>455</v>
      </c>
      <c r="E260" t="s">
        <v>456</v>
      </c>
      <c r="F260" s="3">
        <v>42850</v>
      </c>
      <c r="G260" s="2">
        <v>100</v>
      </c>
      <c r="H260" s="1">
        <v>1337.03</v>
      </c>
      <c r="I260" t="s">
        <v>494</v>
      </c>
      <c r="J260" s="2">
        <v>1</v>
      </c>
      <c r="K260" t="s">
        <v>13</v>
      </c>
      <c r="L260" t="s">
        <v>76</v>
      </c>
      <c r="M260" t="s">
        <v>308</v>
      </c>
    </row>
    <row r="261" spans="1:13" x14ac:dyDescent="0.25">
      <c r="A261" s="5">
        <v>42954</v>
      </c>
      <c r="B261" s="2">
        <v>0</v>
      </c>
      <c r="C261" t="s">
        <v>495</v>
      </c>
      <c r="D261" t="s">
        <v>358</v>
      </c>
      <c r="E261" t="s">
        <v>359</v>
      </c>
      <c r="F261" s="3">
        <v>42873</v>
      </c>
      <c r="G261" s="2">
        <v>81</v>
      </c>
      <c r="H261" s="1">
        <v>1086.56</v>
      </c>
      <c r="I261" t="s">
        <v>496</v>
      </c>
      <c r="J261" s="2">
        <v>1</v>
      </c>
      <c r="K261" t="s">
        <v>13</v>
      </c>
      <c r="L261" t="s">
        <v>76</v>
      </c>
      <c r="M261" t="s">
        <v>308</v>
      </c>
    </row>
    <row r="262" spans="1:13" x14ac:dyDescent="0.25">
      <c r="A262" s="5">
        <v>42954</v>
      </c>
      <c r="B262" s="2">
        <v>0</v>
      </c>
      <c r="C262" t="s">
        <v>497</v>
      </c>
      <c r="D262" t="s">
        <v>455</v>
      </c>
      <c r="E262" t="s">
        <v>456</v>
      </c>
      <c r="F262" s="3">
        <v>42852</v>
      </c>
      <c r="G262" s="2">
        <v>102</v>
      </c>
      <c r="H262" s="1">
        <v>1137.03</v>
      </c>
      <c r="I262" t="s">
        <v>498</v>
      </c>
      <c r="J262" s="2">
        <v>1</v>
      </c>
      <c r="K262" t="s">
        <v>13</v>
      </c>
      <c r="L262" t="s">
        <v>76</v>
      </c>
      <c r="M262" t="s">
        <v>308</v>
      </c>
    </row>
    <row r="263" spans="1:13" x14ac:dyDescent="0.25">
      <c r="A263" s="5">
        <v>42956</v>
      </c>
      <c r="B263" s="2">
        <v>0</v>
      </c>
      <c r="C263" t="s">
        <v>499</v>
      </c>
      <c r="D263" t="s">
        <v>293</v>
      </c>
      <c r="E263" t="s">
        <v>294</v>
      </c>
      <c r="F263" s="3">
        <v>42926</v>
      </c>
      <c r="G263" s="2">
        <v>30</v>
      </c>
      <c r="H263" s="1">
        <v>550.25</v>
      </c>
      <c r="I263" t="s">
        <v>500</v>
      </c>
      <c r="J263" s="2">
        <v>1</v>
      </c>
      <c r="K263" t="s">
        <v>13</v>
      </c>
      <c r="L263" t="s">
        <v>78</v>
      </c>
      <c r="M263" t="s">
        <v>296</v>
      </c>
    </row>
    <row r="264" spans="1:13" x14ac:dyDescent="0.25">
      <c r="A264" s="5">
        <v>42957</v>
      </c>
      <c r="B264" s="2">
        <v>0</v>
      </c>
      <c r="C264" t="s">
        <v>501</v>
      </c>
      <c r="D264" t="s">
        <v>358</v>
      </c>
      <c r="E264" t="s">
        <v>359</v>
      </c>
      <c r="F264" s="3">
        <v>42867</v>
      </c>
      <c r="G264" s="2">
        <v>90</v>
      </c>
      <c r="H264" s="1">
        <v>636.08000000000004</v>
      </c>
      <c r="I264" t="s">
        <v>502</v>
      </c>
      <c r="J264" s="2">
        <v>1</v>
      </c>
      <c r="K264" t="s">
        <v>13</v>
      </c>
      <c r="L264" t="s">
        <v>76</v>
      </c>
      <c r="M264" t="s">
        <v>308</v>
      </c>
    </row>
    <row r="265" spans="1:13" x14ac:dyDescent="0.25">
      <c r="A265" s="5">
        <v>42957</v>
      </c>
      <c r="B265" s="2">
        <v>0</v>
      </c>
      <c r="C265" t="s">
        <v>503</v>
      </c>
      <c r="D265" t="s">
        <v>455</v>
      </c>
      <c r="E265" t="s">
        <v>456</v>
      </c>
      <c r="F265" s="3">
        <v>42867</v>
      </c>
      <c r="G265" s="2">
        <v>90</v>
      </c>
      <c r="H265" s="1">
        <v>1494.5</v>
      </c>
      <c r="I265" t="s">
        <v>504</v>
      </c>
      <c r="J265" s="2">
        <v>1</v>
      </c>
      <c r="K265" t="s">
        <v>13</v>
      </c>
      <c r="L265" t="s">
        <v>76</v>
      </c>
      <c r="M265" t="s">
        <v>308</v>
      </c>
    </row>
    <row r="266" spans="1:13" x14ac:dyDescent="0.25">
      <c r="A266" s="5">
        <v>42961</v>
      </c>
      <c r="B266" s="2">
        <v>0</v>
      </c>
      <c r="C266" t="s">
        <v>505</v>
      </c>
      <c r="D266" t="s">
        <v>358</v>
      </c>
      <c r="E266" t="s">
        <v>359</v>
      </c>
      <c r="F266" s="3">
        <v>42859</v>
      </c>
      <c r="G266" s="2">
        <v>102</v>
      </c>
      <c r="H266" s="1">
        <v>695.96</v>
      </c>
      <c r="I266" t="s">
        <v>506</v>
      </c>
      <c r="J266" s="2">
        <v>1</v>
      </c>
      <c r="K266" t="s">
        <v>13</v>
      </c>
      <c r="L266" t="s">
        <v>76</v>
      </c>
      <c r="M266" t="s">
        <v>308</v>
      </c>
    </row>
    <row r="267" spans="1:13" x14ac:dyDescent="0.25">
      <c r="A267" s="5">
        <v>42961</v>
      </c>
      <c r="B267" s="2">
        <v>0</v>
      </c>
      <c r="C267" t="s">
        <v>507</v>
      </c>
      <c r="D267" t="s">
        <v>358</v>
      </c>
      <c r="E267" t="s">
        <v>359</v>
      </c>
      <c r="F267" s="3">
        <v>42859</v>
      </c>
      <c r="G267" s="2">
        <v>102</v>
      </c>
      <c r="H267" s="1">
        <v>478.71</v>
      </c>
      <c r="I267" t="s">
        <v>508</v>
      </c>
      <c r="J267" s="2">
        <v>1</v>
      </c>
      <c r="K267" t="s">
        <v>13</v>
      </c>
      <c r="L267" t="s">
        <v>76</v>
      </c>
      <c r="M267" t="s">
        <v>308</v>
      </c>
    </row>
    <row r="268" spans="1:13" x14ac:dyDescent="0.25">
      <c r="A268" s="5">
        <v>42961</v>
      </c>
      <c r="B268" s="2">
        <v>0</v>
      </c>
      <c r="C268" t="s">
        <v>509</v>
      </c>
      <c r="D268" t="s">
        <v>358</v>
      </c>
      <c r="E268" t="s">
        <v>359</v>
      </c>
      <c r="F268" s="3">
        <v>42870</v>
      </c>
      <c r="G268" s="2">
        <v>91</v>
      </c>
      <c r="H268" s="1">
        <v>285.89</v>
      </c>
      <c r="I268" t="s">
        <v>510</v>
      </c>
      <c r="J268" s="2">
        <v>1</v>
      </c>
      <c r="K268" t="s">
        <v>13</v>
      </c>
      <c r="L268" t="s">
        <v>76</v>
      </c>
      <c r="M268" t="s">
        <v>308</v>
      </c>
    </row>
    <row r="269" spans="1:13" x14ac:dyDescent="0.25">
      <c r="A269" s="5">
        <v>42961</v>
      </c>
      <c r="B269" s="2">
        <v>0</v>
      </c>
      <c r="C269" t="s">
        <v>511</v>
      </c>
      <c r="D269" t="s">
        <v>455</v>
      </c>
      <c r="E269" t="s">
        <v>456</v>
      </c>
      <c r="F269" s="3">
        <v>42859</v>
      </c>
      <c r="G269" s="2">
        <v>102</v>
      </c>
      <c r="H269" s="1">
        <v>376.17</v>
      </c>
      <c r="I269" t="s">
        <v>512</v>
      </c>
      <c r="J269" s="2">
        <v>1</v>
      </c>
      <c r="K269" t="s">
        <v>13</v>
      </c>
      <c r="L269" t="s">
        <v>76</v>
      </c>
      <c r="M269" t="s">
        <v>308</v>
      </c>
    </row>
    <row r="270" spans="1:13" x14ac:dyDescent="0.25">
      <c r="A270" s="5">
        <v>42961</v>
      </c>
      <c r="B270" s="2">
        <v>0</v>
      </c>
      <c r="C270" t="s">
        <v>513</v>
      </c>
      <c r="D270" t="s">
        <v>455</v>
      </c>
      <c r="E270" t="s">
        <v>456</v>
      </c>
      <c r="F270" s="3">
        <v>42859</v>
      </c>
      <c r="G270" s="2">
        <v>102</v>
      </c>
      <c r="H270" s="1">
        <v>1506.13</v>
      </c>
      <c r="I270" t="s">
        <v>514</v>
      </c>
      <c r="J270" s="2">
        <v>1</v>
      </c>
      <c r="K270" t="s">
        <v>13</v>
      </c>
      <c r="L270" t="s">
        <v>76</v>
      </c>
      <c r="M270" t="s">
        <v>308</v>
      </c>
    </row>
    <row r="271" spans="1:13" x14ac:dyDescent="0.25">
      <c r="A271" s="5">
        <v>42961</v>
      </c>
      <c r="B271" s="2">
        <v>0</v>
      </c>
      <c r="C271" t="s">
        <v>515</v>
      </c>
      <c r="D271" t="s">
        <v>455</v>
      </c>
      <c r="E271" t="s">
        <v>456</v>
      </c>
      <c r="F271" s="3">
        <v>42860</v>
      </c>
      <c r="G271" s="2">
        <v>101</v>
      </c>
      <c r="H271" s="1">
        <v>1330.66</v>
      </c>
      <c r="I271" t="s">
        <v>516</v>
      </c>
      <c r="J271" s="2">
        <v>1</v>
      </c>
      <c r="K271" t="s">
        <v>13</v>
      </c>
      <c r="L271" t="s">
        <v>76</v>
      </c>
      <c r="M271" t="s">
        <v>308</v>
      </c>
    </row>
    <row r="272" spans="1:13" x14ac:dyDescent="0.25">
      <c r="A272" s="5">
        <v>42961</v>
      </c>
      <c r="B272" s="2">
        <v>0</v>
      </c>
      <c r="C272" t="s">
        <v>517</v>
      </c>
      <c r="D272" t="s">
        <v>455</v>
      </c>
      <c r="E272" t="s">
        <v>456</v>
      </c>
      <c r="F272" s="3">
        <v>42870</v>
      </c>
      <c r="G272" s="2">
        <v>91</v>
      </c>
      <c r="H272" s="1">
        <v>723.54</v>
      </c>
      <c r="I272" t="s">
        <v>518</v>
      </c>
      <c r="J272" s="2">
        <v>1</v>
      </c>
      <c r="K272" t="s">
        <v>13</v>
      </c>
      <c r="L272" t="s">
        <v>76</v>
      </c>
      <c r="M272" t="s">
        <v>308</v>
      </c>
    </row>
    <row r="273" spans="1:13" x14ac:dyDescent="0.25">
      <c r="A273" s="5">
        <v>42961</v>
      </c>
      <c r="B273" s="2">
        <v>0</v>
      </c>
      <c r="C273" t="s">
        <v>519</v>
      </c>
      <c r="D273" t="s">
        <v>455</v>
      </c>
      <c r="E273" t="s">
        <v>456</v>
      </c>
      <c r="F273" s="3">
        <v>42879</v>
      </c>
      <c r="G273" s="2">
        <v>82</v>
      </c>
      <c r="H273" s="1">
        <v>167.65</v>
      </c>
      <c r="I273" t="s">
        <v>520</v>
      </c>
      <c r="J273" s="2">
        <v>1</v>
      </c>
      <c r="K273" t="s">
        <v>13</v>
      </c>
      <c r="L273" t="s">
        <v>14</v>
      </c>
      <c r="M273" t="s">
        <v>308</v>
      </c>
    </row>
    <row r="274" spans="1:13" x14ac:dyDescent="0.25">
      <c r="A274" s="5">
        <v>42963</v>
      </c>
      <c r="B274" s="2">
        <v>0</v>
      </c>
      <c r="C274" t="s">
        <v>521</v>
      </c>
      <c r="D274" t="s">
        <v>358</v>
      </c>
      <c r="E274" t="s">
        <v>359</v>
      </c>
      <c r="F274" s="3">
        <v>42863</v>
      </c>
      <c r="G274" s="2">
        <v>100</v>
      </c>
      <c r="H274" s="1">
        <v>860.14</v>
      </c>
      <c r="I274" t="s">
        <v>522</v>
      </c>
      <c r="J274" s="2">
        <v>1</v>
      </c>
      <c r="K274" t="s">
        <v>13</v>
      </c>
      <c r="L274" t="s">
        <v>76</v>
      </c>
      <c r="M274" t="s">
        <v>308</v>
      </c>
    </row>
    <row r="275" spans="1:13" x14ac:dyDescent="0.25">
      <c r="A275" s="5">
        <v>42963</v>
      </c>
      <c r="B275" s="2">
        <v>0</v>
      </c>
      <c r="C275" t="s">
        <v>523</v>
      </c>
      <c r="D275" t="s">
        <v>455</v>
      </c>
      <c r="E275" t="s">
        <v>456</v>
      </c>
      <c r="F275" s="3">
        <v>42863</v>
      </c>
      <c r="G275" s="2">
        <v>100</v>
      </c>
      <c r="H275" s="1">
        <v>836.14</v>
      </c>
      <c r="I275" t="s">
        <v>524</v>
      </c>
      <c r="J275" s="2">
        <v>1</v>
      </c>
      <c r="K275" t="s">
        <v>13</v>
      </c>
      <c r="L275" t="s">
        <v>76</v>
      </c>
      <c r="M275" t="s">
        <v>308</v>
      </c>
    </row>
    <row r="276" spans="1:13" x14ac:dyDescent="0.25">
      <c r="A276" s="5">
        <v>42963</v>
      </c>
      <c r="B276" s="2">
        <v>0</v>
      </c>
      <c r="C276" t="s">
        <v>525</v>
      </c>
      <c r="D276" t="s">
        <v>455</v>
      </c>
      <c r="E276" t="s">
        <v>456</v>
      </c>
      <c r="F276" s="3">
        <v>42873</v>
      </c>
      <c r="G276" s="2">
        <v>90</v>
      </c>
      <c r="H276" s="1">
        <v>922.24</v>
      </c>
      <c r="I276" t="s">
        <v>526</v>
      </c>
      <c r="J276" s="2">
        <v>1</v>
      </c>
      <c r="K276" t="s">
        <v>13</v>
      </c>
      <c r="L276" t="s">
        <v>76</v>
      </c>
      <c r="M276" t="s">
        <v>308</v>
      </c>
    </row>
    <row r="277" spans="1:13" x14ac:dyDescent="0.25">
      <c r="A277" s="5">
        <v>42965</v>
      </c>
      <c r="B277" s="2">
        <v>0</v>
      </c>
      <c r="C277" t="s">
        <v>527</v>
      </c>
      <c r="D277" t="s">
        <v>358</v>
      </c>
      <c r="E277" t="s">
        <v>359</v>
      </c>
      <c r="F277" s="3">
        <v>42865</v>
      </c>
      <c r="G277" s="2">
        <v>100</v>
      </c>
      <c r="H277" s="1">
        <v>532.21</v>
      </c>
      <c r="I277" t="s">
        <v>528</v>
      </c>
      <c r="J277" s="2">
        <v>1</v>
      </c>
      <c r="K277" t="s">
        <v>13</v>
      </c>
      <c r="L277" t="s">
        <v>76</v>
      </c>
      <c r="M277" t="s">
        <v>308</v>
      </c>
    </row>
    <row r="278" spans="1:13" x14ac:dyDescent="0.25">
      <c r="A278" s="5">
        <v>42965</v>
      </c>
      <c r="B278" s="2">
        <v>0</v>
      </c>
      <c r="C278" t="s">
        <v>529</v>
      </c>
      <c r="D278" t="s">
        <v>455</v>
      </c>
      <c r="E278" t="s">
        <v>456</v>
      </c>
      <c r="F278" s="3">
        <v>42865</v>
      </c>
      <c r="G278" s="2">
        <v>100</v>
      </c>
      <c r="H278" s="1">
        <v>1014.44</v>
      </c>
      <c r="I278" t="s">
        <v>530</v>
      </c>
      <c r="J278" s="2">
        <v>1</v>
      </c>
      <c r="K278" t="s">
        <v>13</v>
      </c>
      <c r="L278" t="s">
        <v>76</v>
      </c>
      <c r="M278" t="s">
        <v>308</v>
      </c>
    </row>
    <row r="279" spans="1:13" x14ac:dyDescent="0.25">
      <c r="A279" s="5">
        <v>42968</v>
      </c>
      <c r="B279" s="2">
        <v>0</v>
      </c>
      <c r="C279" t="s">
        <v>531</v>
      </c>
      <c r="D279" t="s">
        <v>455</v>
      </c>
      <c r="E279" t="s">
        <v>456</v>
      </c>
      <c r="F279" s="3">
        <v>42867</v>
      </c>
      <c r="G279" s="2">
        <v>101</v>
      </c>
      <c r="H279" s="1">
        <v>1421.26</v>
      </c>
      <c r="I279" t="s">
        <v>532</v>
      </c>
      <c r="J279" s="2">
        <v>1</v>
      </c>
      <c r="K279" t="s">
        <v>13</v>
      </c>
      <c r="L279" t="s">
        <v>76</v>
      </c>
      <c r="M279" t="s">
        <v>308</v>
      </c>
    </row>
    <row r="280" spans="1:13" x14ac:dyDescent="0.25">
      <c r="A280" s="5">
        <v>42969</v>
      </c>
      <c r="B280" s="2">
        <v>0</v>
      </c>
      <c r="C280" t="s">
        <v>533</v>
      </c>
      <c r="D280" t="s">
        <v>358</v>
      </c>
      <c r="E280" t="s">
        <v>359</v>
      </c>
      <c r="F280" s="3">
        <v>42879</v>
      </c>
      <c r="G280" s="2">
        <v>90</v>
      </c>
      <c r="H280" s="1">
        <v>953.29</v>
      </c>
      <c r="I280" t="s">
        <v>534</v>
      </c>
      <c r="J280" s="2">
        <v>1</v>
      </c>
      <c r="K280" t="s">
        <v>13</v>
      </c>
      <c r="L280" t="s">
        <v>76</v>
      </c>
      <c r="M280" t="s">
        <v>308</v>
      </c>
    </row>
    <row r="281" spans="1:13" x14ac:dyDescent="0.25">
      <c r="A281" s="5">
        <v>42970</v>
      </c>
      <c r="B281" s="2">
        <v>0</v>
      </c>
      <c r="C281" t="s">
        <v>535</v>
      </c>
      <c r="D281" t="s">
        <v>455</v>
      </c>
      <c r="E281" t="s">
        <v>456</v>
      </c>
      <c r="F281" s="3">
        <v>42870</v>
      </c>
      <c r="G281" s="2">
        <v>100</v>
      </c>
      <c r="H281" s="1">
        <v>285.89</v>
      </c>
      <c r="I281" t="s">
        <v>536</v>
      </c>
      <c r="J281" s="2">
        <v>1</v>
      </c>
      <c r="K281" t="s">
        <v>13</v>
      </c>
      <c r="L281" t="s">
        <v>76</v>
      </c>
      <c r="M281" t="s">
        <v>308</v>
      </c>
    </row>
    <row r="282" spans="1:13" x14ac:dyDescent="0.25">
      <c r="A282" s="5">
        <v>42970</v>
      </c>
      <c r="B282" s="2">
        <v>0</v>
      </c>
      <c r="C282" t="s">
        <v>537</v>
      </c>
      <c r="D282" t="s">
        <v>455</v>
      </c>
      <c r="E282" t="s">
        <v>456</v>
      </c>
      <c r="F282" s="3">
        <v>42870</v>
      </c>
      <c r="G282" s="2">
        <v>100</v>
      </c>
      <c r="H282" s="1">
        <v>1036.8</v>
      </c>
      <c r="I282" t="s">
        <v>538</v>
      </c>
      <c r="J282" s="2">
        <v>1</v>
      </c>
      <c r="K282" t="s">
        <v>13</v>
      </c>
      <c r="L282" t="s">
        <v>76</v>
      </c>
      <c r="M282" t="s">
        <v>308</v>
      </c>
    </row>
    <row r="283" spans="1:13" x14ac:dyDescent="0.25">
      <c r="A283" s="5">
        <v>42971</v>
      </c>
      <c r="B283" s="2">
        <v>0</v>
      </c>
      <c r="C283" t="s">
        <v>539</v>
      </c>
      <c r="D283" t="s">
        <v>358</v>
      </c>
      <c r="E283" t="s">
        <v>359</v>
      </c>
      <c r="F283" s="3">
        <v>42881</v>
      </c>
      <c r="G283" s="2">
        <v>90</v>
      </c>
      <c r="H283" s="1">
        <v>498</v>
      </c>
      <c r="I283" t="s">
        <v>540</v>
      </c>
      <c r="J283" s="2">
        <v>1</v>
      </c>
      <c r="K283" t="s">
        <v>13</v>
      </c>
      <c r="L283" t="s">
        <v>76</v>
      </c>
      <c r="M283" t="s">
        <v>308</v>
      </c>
    </row>
    <row r="284" spans="1:13" x14ac:dyDescent="0.25">
      <c r="A284" s="5">
        <v>42975</v>
      </c>
      <c r="B284" s="2">
        <v>0</v>
      </c>
      <c r="C284" t="s">
        <v>541</v>
      </c>
      <c r="D284" t="s">
        <v>455</v>
      </c>
      <c r="E284" t="s">
        <v>456</v>
      </c>
      <c r="F284" s="3">
        <v>42873</v>
      </c>
      <c r="G284" s="2">
        <v>102</v>
      </c>
      <c r="H284" s="1">
        <v>1297.95</v>
      </c>
      <c r="I284" t="s">
        <v>542</v>
      </c>
      <c r="J284" s="2">
        <v>1</v>
      </c>
      <c r="K284" t="s">
        <v>13</v>
      </c>
      <c r="L284" t="s">
        <v>76</v>
      </c>
      <c r="M284" t="s">
        <v>308</v>
      </c>
    </row>
    <row r="285" spans="1:13" x14ac:dyDescent="0.25">
      <c r="A285" s="5">
        <v>42979</v>
      </c>
      <c r="B285" s="2">
        <v>0</v>
      </c>
      <c r="C285" t="s">
        <v>543</v>
      </c>
      <c r="D285" t="s">
        <v>455</v>
      </c>
      <c r="E285" t="s">
        <v>456</v>
      </c>
      <c r="F285" s="3">
        <v>42879</v>
      </c>
      <c r="G285" s="2">
        <v>100</v>
      </c>
      <c r="H285" s="1">
        <v>1239.47</v>
      </c>
      <c r="I285" t="s">
        <v>544</v>
      </c>
      <c r="J285" s="2">
        <v>1</v>
      </c>
      <c r="K285" t="s">
        <v>13</v>
      </c>
      <c r="L285" t="s">
        <v>76</v>
      </c>
      <c r="M285" t="s">
        <v>308</v>
      </c>
    </row>
    <row r="286" spans="1:13" x14ac:dyDescent="0.25">
      <c r="A286" s="5">
        <v>42982</v>
      </c>
      <c r="B286" s="2">
        <v>0</v>
      </c>
      <c r="C286" t="s">
        <v>545</v>
      </c>
      <c r="D286" t="s">
        <v>455</v>
      </c>
      <c r="E286" t="s">
        <v>456</v>
      </c>
      <c r="F286" s="3">
        <v>42881</v>
      </c>
      <c r="G286" s="2">
        <v>101</v>
      </c>
      <c r="H286" s="1">
        <v>1709.09</v>
      </c>
      <c r="I286" t="s">
        <v>546</v>
      </c>
      <c r="J286" s="2">
        <v>1</v>
      </c>
      <c r="K286" t="s">
        <v>13</v>
      </c>
      <c r="L286" t="s">
        <v>76</v>
      </c>
      <c r="M286" t="s">
        <v>308</v>
      </c>
    </row>
    <row r="287" spans="1:13" x14ac:dyDescent="0.25">
      <c r="A287" s="5">
        <v>43000</v>
      </c>
      <c r="B287" s="2">
        <v>0</v>
      </c>
      <c r="C287" t="s">
        <v>547</v>
      </c>
      <c r="D287" t="s">
        <v>548</v>
      </c>
      <c r="E287" t="s">
        <v>549</v>
      </c>
      <c r="F287" s="3">
        <v>42986</v>
      </c>
      <c r="G287" s="2">
        <v>14</v>
      </c>
      <c r="H287" s="1">
        <v>668.85</v>
      </c>
      <c r="I287" t="s">
        <v>550</v>
      </c>
      <c r="J287" s="2">
        <v>1</v>
      </c>
      <c r="K287" t="s">
        <v>13</v>
      </c>
      <c r="L287" t="s">
        <v>93</v>
      </c>
      <c r="M287" t="s">
        <v>15</v>
      </c>
    </row>
    <row r="288" spans="1:13" x14ac:dyDescent="0.25">
      <c r="A288" s="5">
        <v>43007</v>
      </c>
      <c r="B288" s="2">
        <v>0</v>
      </c>
      <c r="C288" t="s">
        <v>551</v>
      </c>
      <c r="D288" t="s">
        <v>548</v>
      </c>
      <c r="E288" t="s">
        <v>549</v>
      </c>
      <c r="F288" s="3">
        <v>42986</v>
      </c>
      <c r="G288" s="2">
        <v>21</v>
      </c>
      <c r="H288" s="1">
        <v>668.84</v>
      </c>
      <c r="I288" t="s">
        <v>550</v>
      </c>
      <c r="J288" s="2">
        <v>1</v>
      </c>
      <c r="K288" t="s">
        <v>13</v>
      </c>
      <c r="L288" t="s">
        <v>93</v>
      </c>
      <c r="M288" t="s">
        <v>15</v>
      </c>
    </row>
    <row r="289" spans="1:13" x14ac:dyDescent="0.25">
      <c r="A289" s="5">
        <v>43011</v>
      </c>
      <c r="B289" s="2">
        <v>0</v>
      </c>
      <c r="C289" t="s">
        <v>555</v>
      </c>
      <c r="D289" t="s">
        <v>556</v>
      </c>
      <c r="E289" t="s">
        <v>557</v>
      </c>
      <c r="F289" s="3">
        <v>42961</v>
      </c>
      <c r="G289" s="2">
        <v>50</v>
      </c>
      <c r="H289" s="1">
        <v>461.46</v>
      </c>
      <c r="I289" t="s">
        <v>558</v>
      </c>
      <c r="J289" s="2">
        <v>1</v>
      </c>
      <c r="K289" t="s">
        <v>13</v>
      </c>
      <c r="L289" t="s">
        <v>29</v>
      </c>
      <c r="M289" t="s">
        <v>15</v>
      </c>
    </row>
    <row r="290" spans="1:13" x14ac:dyDescent="0.25">
      <c r="A290" s="5">
        <v>43011</v>
      </c>
      <c r="B290" s="2">
        <v>0</v>
      </c>
      <c r="C290" t="s">
        <v>559</v>
      </c>
      <c r="D290" t="s">
        <v>556</v>
      </c>
      <c r="E290" t="s">
        <v>557</v>
      </c>
      <c r="F290" s="3">
        <v>42971</v>
      </c>
      <c r="G290" s="2">
        <v>40</v>
      </c>
      <c r="H290" s="1">
        <v>415.14</v>
      </c>
      <c r="I290" t="s">
        <v>560</v>
      </c>
      <c r="J290" s="2">
        <v>1</v>
      </c>
      <c r="K290" t="s">
        <v>13</v>
      </c>
      <c r="L290" t="s">
        <v>29</v>
      </c>
      <c r="M290" t="s">
        <v>15</v>
      </c>
    </row>
    <row r="291" spans="1:13" x14ac:dyDescent="0.25">
      <c r="A291" s="5">
        <v>43012</v>
      </c>
      <c r="B291" s="2">
        <v>0</v>
      </c>
      <c r="C291" t="s">
        <v>561</v>
      </c>
      <c r="D291" t="s">
        <v>556</v>
      </c>
      <c r="E291" t="s">
        <v>557</v>
      </c>
      <c r="F291" s="3">
        <v>42978</v>
      </c>
      <c r="G291" s="2">
        <v>34</v>
      </c>
      <c r="H291" s="1">
        <v>919.15</v>
      </c>
      <c r="I291" t="s">
        <v>562</v>
      </c>
      <c r="J291" s="2">
        <v>1</v>
      </c>
      <c r="K291" t="s">
        <v>13</v>
      </c>
      <c r="L291" t="s">
        <v>29</v>
      </c>
      <c r="M291" t="s">
        <v>15</v>
      </c>
    </row>
    <row r="292" spans="1:13" x14ac:dyDescent="0.25">
      <c r="A292" s="5">
        <v>43017</v>
      </c>
      <c r="B292" s="2">
        <v>0</v>
      </c>
      <c r="C292" t="s">
        <v>563</v>
      </c>
      <c r="D292" t="s">
        <v>556</v>
      </c>
      <c r="E292" t="s">
        <v>557</v>
      </c>
      <c r="F292" s="3">
        <v>42935</v>
      </c>
      <c r="G292" s="2">
        <v>82</v>
      </c>
      <c r="H292" s="1">
        <v>503.7</v>
      </c>
      <c r="I292" t="s">
        <v>564</v>
      </c>
      <c r="J292" s="2">
        <v>1</v>
      </c>
      <c r="K292" t="s">
        <v>13</v>
      </c>
      <c r="L292" t="s">
        <v>29</v>
      </c>
      <c r="M292" t="s">
        <v>15</v>
      </c>
    </row>
    <row r="293" spans="1:13" x14ac:dyDescent="0.25">
      <c r="A293" s="5">
        <v>43018</v>
      </c>
      <c r="B293" s="2">
        <v>0</v>
      </c>
      <c r="C293" t="s">
        <v>565</v>
      </c>
      <c r="D293" t="s">
        <v>556</v>
      </c>
      <c r="E293" t="s">
        <v>557</v>
      </c>
      <c r="F293" s="3">
        <v>42958</v>
      </c>
      <c r="G293" s="2">
        <v>60</v>
      </c>
      <c r="H293" s="1">
        <v>589.24</v>
      </c>
      <c r="I293" t="s">
        <v>566</v>
      </c>
      <c r="J293" s="2">
        <v>1</v>
      </c>
      <c r="K293" t="s">
        <v>13</v>
      </c>
      <c r="L293" t="s">
        <v>29</v>
      </c>
      <c r="M293" t="s">
        <v>15</v>
      </c>
    </row>
    <row r="294" spans="1:13" x14ac:dyDescent="0.25">
      <c r="A294" s="5">
        <v>43019</v>
      </c>
      <c r="B294" s="2">
        <v>0</v>
      </c>
      <c r="C294" t="s">
        <v>567</v>
      </c>
      <c r="D294" t="s">
        <v>568</v>
      </c>
      <c r="E294" t="s">
        <v>569</v>
      </c>
      <c r="F294" s="3">
        <v>42984</v>
      </c>
      <c r="G294" s="2">
        <v>35</v>
      </c>
      <c r="H294" s="1">
        <v>454.78</v>
      </c>
      <c r="I294" t="s">
        <v>570</v>
      </c>
      <c r="J294" s="2">
        <v>1</v>
      </c>
      <c r="K294" t="s">
        <v>13</v>
      </c>
      <c r="L294" t="s">
        <v>344</v>
      </c>
      <c r="M294" t="s">
        <v>571</v>
      </c>
    </row>
    <row r="295" spans="1:13" x14ac:dyDescent="0.25">
      <c r="A295" s="5">
        <v>43019</v>
      </c>
      <c r="B295" s="2">
        <v>0</v>
      </c>
      <c r="C295" t="s">
        <v>572</v>
      </c>
      <c r="D295" t="s">
        <v>556</v>
      </c>
      <c r="E295" t="s">
        <v>557</v>
      </c>
      <c r="F295" s="3">
        <v>42944</v>
      </c>
      <c r="G295" s="2">
        <v>75</v>
      </c>
      <c r="H295" s="1">
        <v>698.63</v>
      </c>
      <c r="I295" t="s">
        <v>573</v>
      </c>
      <c r="J295" s="2">
        <v>1</v>
      </c>
      <c r="K295" t="s">
        <v>13</v>
      </c>
      <c r="L295" t="s">
        <v>29</v>
      </c>
      <c r="M295" t="s">
        <v>15</v>
      </c>
    </row>
    <row r="296" spans="1:13" x14ac:dyDescent="0.25">
      <c r="A296" s="5">
        <v>43021</v>
      </c>
      <c r="B296" s="2">
        <v>0</v>
      </c>
      <c r="C296" t="s">
        <v>574</v>
      </c>
      <c r="D296" t="s">
        <v>556</v>
      </c>
      <c r="E296" t="s">
        <v>557</v>
      </c>
      <c r="F296" s="3">
        <v>42961</v>
      </c>
      <c r="G296" s="2">
        <v>60</v>
      </c>
      <c r="H296" s="1">
        <v>461.46</v>
      </c>
      <c r="I296" t="s">
        <v>558</v>
      </c>
      <c r="J296" s="2">
        <v>1</v>
      </c>
      <c r="K296" t="s">
        <v>13</v>
      </c>
      <c r="L296" t="s">
        <v>29</v>
      </c>
      <c r="M296" t="s">
        <v>15</v>
      </c>
    </row>
    <row r="297" spans="1:13" x14ac:dyDescent="0.25">
      <c r="A297" s="5">
        <v>43021</v>
      </c>
      <c r="B297" s="2">
        <v>0</v>
      </c>
      <c r="C297" t="s">
        <v>575</v>
      </c>
      <c r="D297" t="s">
        <v>556</v>
      </c>
      <c r="E297" t="s">
        <v>557</v>
      </c>
      <c r="F297" s="3">
        <v>42971</v>
      </c>
      <c r="G297" s="2">
        <v>50</v>
      </c>
      <c r="H297" s="1">
        <v>415.14</v>
      </c>
      <c r="I297" t="s">
        <v>560</v>
      </c>
      <c r="J297" s="2">
        <v>1</v>
      </c>
      <c r="K297" t="s">
        <v>13</v>
      </c>
      <c r="L297" t="s">
        <v>29</v>
      </c>
      <c r="M297" t="s">
        <v>15</v>
      </c>
    </row>
    <row r="298" spans="1:13" x14ac:dyDescent="0.25">
      <c r="A298" s="5">
        <v>43024</v>
      </c>
      <c r="B298" s="2">
        <v>0</v>
      </c>
      <c r="C298" t="s">
        <v>576</v>
      </c>
      <c r="D298" t="s">
        <v>556</v>
      </c>
      <c r="E298" t="s">
        <v>557</v>
      </c>
      <c r="F298" s="3">
        <v>42978</v>
      </c>
      <c r="G298" s="2">
        <v>46</v>
      </c>
      <c r="H298" s="1">
        <v>573.52</v>
      </c>
      <c r="I298" t="s">
        <v>562</v>
      </c>
      <c r="J298" s="2">
        <v>1</v>
      </c>
      <c r="K298" t="s">
        <v>13</v>
      </c>
      <c r="L298" t="s">
        <v>29</v>
      </c>
      <c r="M298" t="s">
        <v>15</v>
      </c>
    </row>
    <row r="299" spans="1:13" x14ac:dyDescent="0.25">
      <c r="A299" s="5">
        <v>43028</v>
      </c>
      <c r="B299" s="2">
        <v>0</v>
      </c>
      <c r="C299" t="s">
        <v>577</v>
      </c>
      <c r="D299" t="s">
        <v>556</v>
      </c>
      <c r="E299" t="s">
        <v>557</v>
      </c>
      <c r="F299" s="3">
        <v>42958</v>
      </c>
      <c r="G299" s="2">
        <v>70</v>
      </c>
      <c r="H299" s="1">
        <v>589.24</v>
      </c>
      <c r="I299" t="s">
        <v>566</v>
      </c>
      <c r="J299" s="2">
        <v>1</v>
      </c>
      <c r="K299" t="s">
        <v>13</v>
      </c>
      <c r="L299" t="s">
        <v>29</v>
      </c>
      <c r="M299" t="s">
        <v>15</v>
      </c>
    </row>
    <row r="300" spans="1:13" x14ac:dyDescent="0.25">
      <c r="A300" s="5">
        <v>43031</v>
      </c>
      <c r="B300" s="2">
        <v>0</v>
      </c>
      <c r="C300" t="s">
        <v>578</v>
      </c>
      <c r="D300" t="s">
        <v>579</v>
      </c>
      <c r="E300" t="s">
        <v>580</v>
      </c>
      <c r="F300" s="3">
        <v>42969</v>
      </c>
      <c r="G300" s="2">
        <v>62</v>
      </c>
      <c r="H300" s="1">
        <v>302.72000000000003</v>
      </c>
      <c r="I300" t="s">
        <v>581</v>
      </c>
      <c r="J300" s="2">
        <v>1</v>
      </c>
      <c r="K300" t="s">
        <v>13</v>
      </c>
      <c r="L300" t="s">
        <v>582</v>
      </c>
      <c r="M300" t="s">
        <v>15</v>
      </c>
    </row>
    <row r="301" spans="1:13" x14ac:dyDescent="0.25">
      <c r="A301" s="5">
        <v>43031</v>
      </c>
      <c r="B301" s="2">
        <v>0</v>
      </c>
      <c r="C301" t="s">
        <v>583</v>
      </c>
      <c r="D301" t="s">
        <v>556</v>
      </c>
      <c r="E301" t="s">
        <v>557</v>
      </c>
      <c r="F301" s="3">
        <v>42944</v>
      </c>
      <c r="G301" s="2">
        <v>87</v>
      </c>
      <c r="H301" s="1">
        <v>698.61</v>
      </c>
      <c r="I301" t="s">
        <v>573</v>
      </c>
      <c r="J301" s="2">
        <v>1</v>
      </c>
      <c r="K301" t="s">
        <v>13</v>
      </c>
      <c r="L301" t="s">
        <v>29</v>
      </c>
      <c r="M301" t="s">
        <v>15</v>
      </c>
    </row>
    <row r="302" spans="1:13" x14ac:dyDescent="0.25">
      <c r="A302" s="5">
        <v>43031</v>
      </c>
      <c r="B302" s="2">
        <v>0</v>
      </c>
      <c r="C302" t="s">
        <v>584</v>
      </c>
      <c r="D302" t="s">
        <v>556</v>
      </c>
      <c r="E302" t="s">
        <v>557</v>
      </c>
      <c r="F302" s="3">
        <v>42961</v>
      </c>
      <c r="G302" s="2">
        <v>70</v>
      </c>
      <c r="H302" s="1">
        <v>461.46</v>
      </c>
      <c r="I302" t="s">
        <v>558</v>
      </c>
      <c r="J302" s="2">
        <v>1</v>
      </c>
      <c r="K302" t="s">
        <v>13</v>
      </c>
      <c r="L302" t="s">
        <v>29</v>
      </c>
      <c r="M302" t="s">
        <v>15</v>
      </c>
    </row>
    <row r="303" spans="1:13" x14ac:dyDescent="0.25">
      <c r="A303" s="5">
        <v>43031</v>
      </c>
      <c r="B303" s="2">
        <v>0</v>
      </c>
      <c r="C303" t="s">
        <v>585</v>
      </c>
      <c r="D303" t="s">
        <v>556</v>
      </c>
      <c r="E303" t="s">
        <v>557</v>
      </c>
      <c r="F303" s="3">
        <v>42971</v>
      </c>
      <c r="G303" s="2">
        <v>60</v>
      </c>
      <c r="H303" s="1">
        <v>415.14</v>
      </c>
      <c r="I303" t="s">
        <v>560</v>
      </c>
      <c r="J303" s="2">
        <v>1</v>
      </c>
      <c r="K303" t="s">
        <v>13</v>
      </c>
      <c r="L303" t="s">
        <v>29</v>
      </c>
      <c r="M303" t="s">
        <v>15</v>
      </c>
    </row>
    <row r="304" spans="1:13" x14ac:dyDescent="0.25">
      <c r="A304" s="5">
        <v>43032</v>
      </c>
      <c r="B304" s="2">
        <v>0</v>
      </c>
      <c r="C304" t="s">
        <v>586</v>
      </c>
      <c r="D304" t="s">
        <v>556</v>
      </c>
      <c r="E304" t="s">
        <v>557</v>
      </c>
      <c r="F304" s="3">
        <v>42978</v>
      </c>
      <c r="G304" s="2">
        <v>54</v>
      </c>
      <c r="H304" s="1">
        <v>573.52</v>
      </c>
      <c r="I304" t="s">
        <v>562</v>
      </c>
      <c r="J304" s="2">
        <v>1</v>
      </c>
      <c r="K304" t="s">
        <v>13</v>
      </c>
      <c r="L304" t="s">
        <v>29</v>
      </c>
      <c r="M304" t="s">
        <v>15</v>
      </c>
    </row>
    <row r="305" spans="1:13" x14ac:dyDescent="0.25">
      <c r="A305" s="5">
        <v>43033</v>
      </c>
      <c r="B305" s="2">
        <v>0</v>
      </c>
      <c r="C305" t="s">
        <v>587</v>
      </c>
      <c r="D305" t="s">
        <v>588</v>
      </c>
      <c r="E305" t="s">
        <v>589</v>
      </c>
      <c r="F305" s="3">
        <v>43013</v>
      </c>
      <c r="G305" s="2">
        <v>20</v>
      </c>
      <c r="H305" s="1">
        <v>531.95000000000005</v>
      </c>
      <c r="I305" t="s">
        <v>590</v>
      </c>
      <c r="J305" s="2">
        <v>1</v>
      </c>
      <c r="K305" t="s">
        <v>13</v>
      </c>
      <c r="L305" t="s">
        <v>76</v>
      </c>
      <c r="M305" t="s">
        <v>591</v>
      </c>
    </row>
    <row r="306" spans="1:13" x14ac:dyDescent="0.25">
      <c r="A306" s="5">
        <v>43035</v>
      </c>
      <c r="B306" s="2">
        <v>0</v>
      </c>
      <c r="C306" t="s">
        <v>592</v>
      </c>
      <c r="D306" t="s">
        <v>579</v>
      </c>
      <c r="E306" t="s">
        <v>580</v>
      </c>
      <c r="F306" s="3">
        <v>42965</v>
      </c>
      <c r="G306" s="2">
        <v>70</v>
      </c>
      <c r="H306" s="1">
        <v>320.8</v>
      </c>
      <c r="I306" t="s">
        <v>593</v>
      </c>
      <c r="J306" s="2">
        <v>1</v>
      </c>
      <c r="K306" t="s">
        <v>13</v>
      </c>
      <c r="L306" t="s">
        <v>582</v>
      </c>
      <c r="M306" t="s">
        <v>15</v>
      </c>
    </row>
    <row r="307" spans="1:13" x14ac:dyDescent="0.25">
      <c r="A307" s="5">
        <v>43038</v>
      </c>
      <c r="B307" s="2">
        <v>0</v>
      </c>
      <c r="C307" t="s">
        <v>594</v>
      </c>
      <c r="D307" t="s">
        <v>579</v>
      </c>
      <c r="E307" t="s">
        <v>580</v>
      </c>
      <c r="F307" s="3">
        <v>42976</v>
      </c>
      <c r="G307" s="2">
        <v>62</v>
      </c>
      <c r="H307" s="1">
        <v>307.23</v>
      </c>
      <c r="I307" t="s">
        <v>595</v>
      </c>
      <c r="J307" s="2">
        <v>1</v>
      </c>
      <c r="K307" t="s">
        <v>13</v>
      </c>
      <c r="L307" t="s">
        <v>582</v>
      </c>
      <c r="M307" t="s">
        <v>15</v>
      </c>
    </row>
    <row r="308" spans="1:13" x14ac:dyDescent="0.25">
      <c r="A308" s="5">
        <v>43039</v>
      </c>
      <c r="B308" s="2">
        <v>0</v>
      </c>
      <c r="C308" t="s">
        <v>596</v>
      </c>
      <c r="D308" t="s">
        <v>579</v>
      </c>
      <c r="E308" t="s">
        <v>580</v>
      </c>
      <c r="F308" s="3">
        <v>42979</v>
      </c>
      <c r="G308" s="2">
        <v>60</v>
      </c>
      <c r="H308" s="1">
        <v>313.29000000000002</v>
      </c>
      <c r="I308" t="s">
        <v>597</v>
      </c>
      <c r="J308" s="2">
        <v>1</v>
      </c>
      <c r="K308" t="s">
        <v>13</v>
      </c>
      <c r="L308" t="s">
        <v>582</v>
      </c>
      <c r="M308" t="s">
        <v>15</v>
      </c>
    </row>
    <row r="309" spans="1:13" x14ac:dyDescent="0.25">
      <c r="A309" s="5">
        <v>43040</v>
      </c>
      <c r="B309" s="2">
        <v>0</v>
      </c>
      <c r="C309" t="s">
        <v>598</v>
      </c>
      <c r="D309" t="s">
        <v>579</v>
      </c>
      <c r="E309" t="s">
        <v>580</v>
      </c>
      <c r="F309" s="3">
        <v>42970</v>
      </c>
      <c r="G309" s="2">
        <v>70</v>
      </c>
      <c r="H309" s="1">
        <v>276.12</v>
      </c>
      <c r="I309" t="s">
        <v>599</v>
      </c>
      <c r="J309" s="2">
        <v>1</v>
      </c>
      <c r="K309" t="s">
        <v>13</v>
      </c>
      <c r="L309" t="s">
        <v>582</v>
      </c>
      <c r="M309" t="s">
        <v>15</v>
      </c>
    </row>
    <row r="310" spans="1:13" x14ac:dyDescent="0.25">
      <c r="A310" s="5">
        <v>43041</v>
      </c>
      <c r="B310" s="2">
        <v>0</v>
      </c>
      <c r="C310" t="s">
        <v>600</v>
      </c>
      <c r="D310" t="s">
        <v>556</v>
      </c>
      <c r="E310" t="s">
        <v>557</v>
      </c>
      <c r="F310" s="3">
        <v>42961</v>
      </c>
      <c r="G310" s="2">
        <v>80</v>
      </c>
      <c r="H310" s="1">
        <v>461.48</v>
      </c>
      <c r="I310" t="s">
        <v>558</v>
      </c>
      <c r="J310" s="2">
        <v>1</v>
      </c>
      <c r="K310" t="s">
        <v>13</v>
      </c>
      <c r="L310" t="s">
        <v>29</v>
      </c>
      <c r="M310" t="s">
        <v>15</v>
      </c>
    </row>
    <row r="311" spans="1:13" x14ac:dyDescent="0.25">
      <c r="A311" s="5">
        <v>43041</v>
      </c>
      <c r="B311" s="2">
        <v>0</v>
      </c>
      <c r="C311" t="s">
        <v>601</v>
      </c>
      <c r="D311" t="s">
        <v>556</v>
      </c>
      <c r="E311" t="s">
        <v>557</v>
      </c>
      <c r="F311" s="3">
        <v>42971</v>
      </c>
      <c r="G311" s="2">
        <v>70</v>
      </c>
      <c r="H311" s="1">
        <v>415.14</v>
      </c>
      <c r="I311" t="s">
        <v>560</v>
      </c>
      <c r="J311" s="2">
        <v>1</v>
      </c>
      <c r="K311" t="s">
        <v>13</v>
      </c>
      <c r="L311" t="s">
        <v>29</v>
      </c>
      <c r="M311" t="s">
        <v>15</v>
      </c>
    </row>
    <row r="312" spans="1:13" x14ac:dyDescent="0.25">
      <c r="A312" s="5">
        <v>43042</v>
      </c>
      <c r="B312" s="2">
        <v>0</v>
      </c>
      <c r="C312" t="s">
        <v>602</v>
      </c>
      <c r="D312" t="s">
        <v>556</v>
      </c>
      <c r="E312" t="s">
        <v>557</v>
      </c>
      <c r="F312" s="3">
        <v>42978</v>
      </c>
      <c r="G312" s="2">
        <v>64</v>
      </c>
      <c r="H312" s="1">
        <v>573.52</v>
      </c>
      <c r="I312" t="s">
        <v>562</v>
      </c>
      <c r="J312" s="2">
        <v>1</v>
      </c>
      <c r="K312" t="s">
        <v>13</v>
      </c>
      <c r="L312" t="s">
        <v>29</v>
      </c>
      <c r="M312" t="s">
        <v>15</v>
      </c>
    </row>
    <row r="313" spans="1:13" x14ac:dyDescent="0.25">
      <c r="A313" s="5">
        <v>43045</v>
      </c>
      <c r="B313" s="2">
        <v>0</v>
      </c>
      <c r="C313" t="s">
        <v>603</v>
      </c>
      <c r="D313" t="s">
        <v>579</v>
      </c>
      <c r="E313" t="s">
        <v>580</v>
      </c>
      <c r="F313" s="3">
        <v>42965</v>
      </c>
      <c r="G313" s="2">
        <v>80</v>
      </c>
      <c r="H313" s="1">
        <v>320.81</v>
      </c>
      <c r="I313" t="s">
        <v>593</v>
      </c>
      <c r="J313" s="2">
        <v>1</v>
      </c>
      <c r="K313" t="s">
        <v>13</v>
      </c>
      <c r="L313" t="s">
        <v>582</v>
      </c>
      <c r="M313" t="s">
        <v>15</v>
      </c>
    </row>
    <row r="314" spans="1:13" x14ac:dyDescent="0.25">
      <c r="A314" s="5">
        <v>43045</v>
      </c>
      <c r="B314" s="2">
        <v>0</v>
      </c>
      <c r="C314" t="s">
        <v>604</v>
      </c>
      <c r="D314" t="s">
        <v>588</v>
      </c>
      <c r="E314" t="s">
        <v>589</v>
      </c>
      <c r="F314" s="3">
        <v>43013</v>
      </c>
      <c r="G314" s="2">
        <v>32</v>
      </c>
      <c r="H314" s="1">
        <v>531.94000000000005</v>
      </c>
      <c r="I314" t="s">
        <v>590</v>
      </c>
      <c r="J314" s="2">
        <v>1</v>
      </c>
      <c r="K314" t="s">
        <v>13</v>
      </c>
      <c r="L314" t="s">
        <v>76</v>
      </c>
      <c r="M314" t="s">
        <v>591</v>
      </c>
    </row>
    <row r="315" spans="1:13" x14ac:dyDescent="0.25">
      <c r="A315" s="5">
        <v>43046</v>
      </c>
      <c r="B315" s="2">
        <v>0</v>
      </c>
      <c r="C315" t="s">
        <v>605</v>
      </c>
      <c r="D315" t="s">
        <v>579</v>
      </c>
      <c r="E315" t="s">
        <v>580</v>
      </c>
      <c r="F315" s="3">
        <v>42976</v>
      </c>
      <c r="G315" s="2">
        <v>70</v>
      </c>
      <c r="H315" s="1">
        <v>307.23</v>
      </c>
      <c r="I315" t="s">
        <v>595</v>
      </c>
      <c r="J315" s="2">
        <v>1</v>
      </c>
      <c r="K315" t="s">
        <v>13</v>
      </c>
      <c r="L315" t="s">
        <v>582</v>
      </c>
      <c r="M315" t="s">
        <v>15</v>
      </c>
    </row>
    <row r="316" spans="1:13" x14ac:dyDescent="0.25">
      <c r="A316" s="5">
        <v>43046</v>
      </c>
      <c r="B316" s="2">
        <v>0</v>
      </c>
      <c r="C316" t="s">
        <v>606</v>
      </c>
      <c r="D316" t="s">
        <v>579</v>
      </c>
      <c r="E316" t="s">
        <v>580</v>
      </c>
      <c r="F316" s="3">
        <v>42976</v>
      </c>
      <c r="G316" s="2">
        <v>70</v>
      </c>
      <c r="H316" s="1">
        <v>158.46</v>
      </c>
      <c r="I316" t="s">
        <v>607</v>
      </c>
      <c r="J316" s="2">
        <v>1</v>
      </c>
      <c r="K316" t="s">
        <v>13</v>
      </c>
      <c r="L316" t="s">
        <v>582</v>
      </c>
      <c r="M316" t="s">
        <v>15</v>
      </c>
    </row>
    <row r="317" spans="1:13" x14ac:dyDescent="0.25">
      <c r="A317" s="5">
        <v>43047</v>
      </c>
      <c r="B317" s="2">
        <v>0</v>
      </c>
      <c r="C317" t="s">
        <v>608</v>
      </c>
      <c r="D317" t="s">
        <v>556</v>
      </c>
      <c r="E317" t="s">
        <v>557</v>
      </c>
      <c r="F317" s="3">
        <v>42997</v>
      </c>
      <c r="G317" s="2">
        <v>50</v>
      </c>
      <c r="H317" s="1">
        <v>460.79</v>
      </c>
      <c r="I317" t="s">
        <v>609</v>
      </c>
      <c r="J317" s="2">
        <v>1</v>
      </c>
      <c r="K317" t="s">
        <v>13</v>
      </c>
      <c r="L317" t="s">
        <v>29</v>
      </c>
      <c r="M317" t="s">
        <v>15</v>
      </c>
    </row>
    <row r="318" spans="1:13" x14ac:dyDescent="0.25">
      <c r="A318" s="5">
        <v>43048</v>
      </c>
      <c r="B318" s="2">
        <v>0</v>
      </c>
      <c r="C318" t="s">
        <v>610</v>
      </c>
      <c r="D318" t="s">
        <v>579</v>
      </c>
      <c r="E318" t="s">
        <v>580</v>
      </c>
      <c r="F318" s="3">
        <v>42968</v>
      </c>
      <c r="G318" s="2">
        <v>80</v>
      </c>
      <c r="H318" s="1">
        <v>251.35</v>
      </c>
      <c r="I318" t="s">
        <v>611</v>
      </c>
      <c r="J318" s="2">
        <v>1</v>
      </c>
      <c r="K318" t="s">
        <v>13</v>
      </c>
      <c r="L318" t="s">
        <v>582</v>
      </c>
      <c r="M318" t="s">
        <v>15</v>
      </c>
    </row>
    <row r="319" spans="1:13" x14ac:dyDescent="0.25">
      <c r="A319" s="5">
        <v>43049</v>
      </c>
      <c r="B319" s="2">
        <v>0</v>
      </c>
      <c r="C319" t="s">
        <v>612</v>
      </c>
      <c r="D319" t="s">
        <v>579</v>
      </c>
      <c r="E319" t="s">
        <v>580</v>
      </c>
      <c r="F319" s="3">
        <v>42969</v>
      </c>
      <c r="G319" s="2">
        <v>80</v>
      </c>
      <c r="H319" s="1">
        <v>262.20999999999998</v>
      </c>
      <c r="I319" t="s">
        <v>581</v>
      </c>
      <c r="J319" s="2">
        <v>1</v>
      </c>
      <c r="K319" t="s">
        <v>13</v>
      </c>
      <c r="L319" t="s">
        <v>582</v>
      </c>
      <c r="M319" t="s">
        <v>15</v>
      </c>
    </row>
    <row r="320" spans="1:13" x14ac:dyDescent="0.25">
      <c r="A320" s="5">
        <v>43049</v>
      </c>
      <c r="B320" s="2">
        <v>0</v>
      </c>
      <c r="C320" t="s">
        <v>613</v>
      </c>
      <c r="D320" t="s">
        <v>579</v>
      </c>
      <c r="E320" t="s">
        <v>580</v>
      </c>
      <c r="F320" s="3">
        <v>42989</v>
      </c>
      <c r="G320" s="2">
        <v>60</v>
      </c>
      <c r="H320" s="1">
        <v>318.44</v>
      </c>
      <c r="I320" t="s">
        <v>614</v>
      </c>
      <c r="J320" s="2">
        <v>1</v>
      </c>
      <c r="K320" t="s">
        <v>13</v>
      </c>
      <c r="L320" t="s">
        <v>582</v>
      </c>
      <c r="M320" t="s">
        <v>15</v>
      </c>
    </row>
    <row r="321" spans="1:13" x14ac:dyDescent="0.25">
      <c r="A321" s="5">
        <v>43052</v>
      </c>
      <c r="B321" s="2">
        <v>0</v>
      </c>
      <c r="C321" t="s">
        <v>615</v>
      </c>
      <c r="D321" t="s">
        <v>556</v>
      </c>
      <c r="E321" t="s">
        <v>557</v>
      </c>
      <c r="F321" s="3">
        <v>42971</v>
      </c>
      <c r="G321" s="2">
        <v>81</v>
      </c>
      <c r="H321" s="1">
        <v>415.16</v>
      </c>
      <c r="I321" t="s">
        <v>560</v>
      </c>
      <c r="J321" s="2">
        <v>1</v>
      </c>
      <c r="K321" t="s">
        <v>13</v>
      </c>
      <c r="L321" t="s">
        <v>29</v>
      </c>
      <c r="M321" t="s">
        <v>15</v>
      </c>
    </row>
    <row r="322" spans="1:13" x14ac:dyDescent="0.25">
      <c r="A322" s="5">
        <v>43052</v>
      </c>
      <c r="B322" s="2">
        <v>0</v>
      </c>
      <c r="C322" t="s">
        <v>616</v>
      </c>
      <c r="D322" t="s">
        <v>556</v>
      </c>
      <c r="E322" t="s">
        <v>557</v>
      </c>
      <c r="F322" s="3">
        <v>42978</v>
      </c>
      <c r="G322" s="2">
        <v>74</v>
      </c>
      <c r="H322" s="1">
        <v>573.52</v>
      </c>
      <c r="I322" t="s">
        <v>562</v>
      </c>
      <c r="J322" s="2">
        <v>1</v>
      </c>
      <c r="K322" t="s">
        <v>13</v>
      </c>
      <c r="L322" t="s">
        <v>29</v>
      </c>
      <c r="M322" t="s">
        <v>15</v>
      </c>
    </row>
    <row r="323" spans="1:13" x14ac:dyDescent="0.25">
      <c r="A323" s="5">
        <v>43056</v>
      </c>
      <c r="B323" s="2">
        <v>0</v>
      </c>
      <c r="C323" t="s">
        <v>617</v>
      </c>
      <c r="D323" t="s">
        <v>579</v>
      </c>
      <c r="E323" t="s">
        <v>580</v>
      </c>
      <c r="F323" s="3">
        <v>42976</v>
      </c>
      <c r="G323" s="2">
        <v>80</v>
      </c>
      <c r="H323" s="1">
        <v>307.22000000000003</v>
      </c>
      <c r="I323" t="s">
        <v>595</v>
      </c>
      <c r="J323" s="2">
        <v>1</v>
      </c>
      <c r="K323" t="s">
        <v>13</v>
      </c>
      <c r="L323" t="s">
        <v>582</v>
      </c>
      <c r="M323" t="s">
        <v>15</v>
      </c>
    </row>
    <row r="324" spans="1:13" x14ac:dyDescent="0.25">
      <c r="A324" s="5">
        <v>43059</v>
      </c>
      <c r="B324" s="2">
        <v>0</v>
      </c>
      <c r="C324" t="s">
        <v>618</v>
      </c>
      <c r="D324" t="s">
        <v>579</v>
      </c>
      <c r="E324" t="s">
        <v>580</v>
      </c>
      <c r="F324" s="3">
        <v>42979</v>
      </c>
      <c r="G324" s="2">
        <v>80</v>
      </c>
      <c r="H324" s="1">
        <v>313.29000000000002</v>
      </c>
      <c r="I324" t="s">
        <v>597</v>
      </c>
      <c r="J324" s="2">
        <v>1</v>
      </c>
      <c r="K324" t="s">
        <v>13</v>
      </c>
      <c r="L324" t="s">
        <v>582</v>
      </c>
      <c r="M324" t="s">
        <v>15</v>
      </c>
    </row>
    <row r="325" spans="1:13" x14ac:dyDescent="0.25">
      <c r="A325" s="5">
        <v>43059</v>
      </c>
      <c r="B325" s="2">
        <v>0</v>
      </c>
      <c r="C325" t="s">
        <v>619</v>
      </c>
      <c r="D325" t="s">
        <v>579</v>
      </c>
      <c r="E325" t="s">
        <v>580</v>
      </c>
      <c r="F325" s="3">
        <v>42989</v>
      </c>
      <c r="G325" s="2">
        <v>70</v>
      </c>
      <c r="H325" s="1">
        <v>346.89</v>
      </c>
      <c r="I325" t="s">
        <v>620</v>
      </c>
      <c r="J325" s="2">
        <v>1</v>
      </c>
      <c r="K325" t="s">
        <v>13</v>
      </c>
      <c r="L325" t="s">
        <v>582</v>
      </c>
      <c r="M325" t="s">
        <v>15</v>
      </c>
    </row>
    <row r="326" spans="1:13" x14ac:dyDescent="0.25">
      <c r="A326" s="5">
        <v>43059</v>
      </c>
      <c r="B326" s="2">
        <v>0</v>
      </c>
      <c r="C326" t="s">
        <v>621</v>
      </c>
      <c r="D326" t="s">
        <v>579</v>
      </c>
      <c r="E326" t="s">
        <v>580</v>
      </c>
      <c r="F326" s="3">
        <v>42999</v>
      </c>
      <c r="G326" s="2">
        <v>60</v>
      </c>
      <c r="H326" s="1">
        <v>428.69</v>
      </c>
      <c r="I326" t="s">
        <v>622</v>
      </c>
      <c r="J326" s="2">
        <v>1</v>
      </c>
      <c r="K326" t="s">
        <v>13</v>
      </c>
      <c r="L326" t="s">
        <v>582</v>
      </c>
      <c r="M326" t="s">
        <v>15</v>
      </c>
    </row>
    <row r="327" spans="1:13" x14ac:dyDescent="0.25">
      <c r="A327" s="5">
        <v>43059</v>
      </c>
      <c r="B327" s="2">
        <v>0</v>
      </c>
      <c r="C327" t="s">
        <v>623</v>
      </c>
      <c r="D327" t="s">
        <v>556</v>
      </c>
      <c r="E327" t="s">
        <v>557</v>
      </c>
      <c r="F327" s="3">
        <v>42997</v>
      </c>
      <c r="G327" s="2">
        <v>62</v>
      </c>
      <c r="H327" s="1">
        <v>460.79</v>
      </c>
      <c r="I327" t="s">
        <v>609</v>
      </c>
      <c r="J327" s="2">
        <v>1</v>
      </c>
      <c r="K327" t="s">
        <v>13</v>
      </c>
      <c r="L327" t="s">
        <v>29</v>
      </c>
      <c r="M327" t="s">
        <v>15</v>
      </c>
    </row>
    <row r="328" spans="1:13" x14ac:dyDescent="0.25">
      <c r="A328" s="5">
        <v>43060</v>
      </c>
      <c r="B328" s="2">
        <v>0</v>
      </c>
      <c r="C328" t="s">
        <v>624</v>
      </c>
      <c r="D328" t="s">
        <v>579</v>
      </c>
      <c r="E328" t="s">
        <v>580</v>
      </c>
      <c r="F328" s="3">
        <v>42990</v>
      </c>
      <c r="G328" s="2">
        <v>70</v>
      </c>
      <c r="H328" s="1">
        <v>352.23</v>
      </c>
      <c r="I328" t="s">
        <v>625</v>
      </c>
      <c r="J328" s="2">
        <v>1</v>
      </c>
      <c r="K328" t="s">
        <v>13</v>
      </c>
      <c r="L328" t="s">
        <v>582</v>
      </c>
      <c r="M328" t="s">
        <v>15</v>
      </c>
    </row>
    <row r="329" spans="1:13" x14ac:dyDescent="0.25">
      <c r="A329" s="5">
        <v>43062</v>
      </c>
      <c r="B329" s="2">
        <v>0</v>
      </c>
      <c r="C329" t="s">
        <v>626</v>
      </c>
      <c r="D329" t="s">
        <v>556</v>
      </c>
      <c r="E329" t="s">
        <v>557</v>
      </c>
      <c r="F329" s="3">
        <v>42978</v>
      </c>
      <c r="G329" s="2">
        <v>84</v>
      </c>
      <c r="H329" s="1">
        <v>573.52</v>
      </c>
      <c r="I329" t="s">
        <v>562</v>
      </c>
      <c r="J329" s="2">
        <v>1</v>
      </c>
      <c r="K329" t="s">
        <v>13</v>
      </c>
      <c r="L329" t="s">
        <v>29</v>
      </c>
      <c r="M329" t="s">
        <v>15</v>
      </c>
    </row>
    <row r="330" spans="1:13" x14ac:dyDescent="0.25">
      <c r="A330" s="5">
        <v>43067</v>
      </c>
      <c r="B330" s="2">
        <v>0</v>
      </c>
      <c r="C330" t="s">
        <v>627</v>
      </c>
      <c r="D330" t="s">
        <v>568</v>
      </c>
      <c r="E330" t="s">
        <v>569</v>
      </c>
      <c r="F330" s="3">
        <v>43007</v>
      </c>
      <c r="G330" s="2">
        <v>60</v>
      </c>
      <c r="H330" s="1">
        <v>539.01</v>
      </c>
      <c r="I330" t="s">
        <v>628</v>
      </c>
      <c r="J330" s="2">
        <v>1</v>
      </c>
      <c r="K330" t="s">
        <v>13</v>
      </c>
      <c r="L330" t="s">
        <v>344</v>
      </c>
      <c r="M330" t="s">
        <v>571</v>
      </c>
    </row>
    <row r="331" spans="1:13" x14ac:dyDescent="0.25">
      <c r="A331" s="5">
        <v>43067</v>
      </c>
      <c r="B331" s="2">
        <v>0</v>
      </c>
      <c r="C331" t="s">
        <v>629</v>
      </c>
      <c r="D331" t="s">
        <v>579</v>
      </c>
      <c r="E331" t="s">
        <v>580</v>
      </c>
      <c r="F331" s="3">
        <v>42999</v>
      </c>
      <c r="G331" s="2">
        <v>68</v>
      </c>
      <c r="H331" s="1">
        <v>347.88</v>
      </c>
      <c r="I331" t="s">
        <v>622</v>
      </c>
      <c r="J331" s="2">
        <v>1</v>
      </c>
      <c r="K331" t="s">
        <v>13</v>
      </c>
      <c r="L331" t="s">
        <v>582</v>
      </c>
      <c r="M331" t="s">
        <v>15</v>
      </c>
    </row>
    <row r="332" spans="1:13" x14ac:dyDescent="0.25">
      <c r="A332" s="5">
        <v>43067</v>
      </c>
      <c r="B332" s="2">
        <v>0</v>
      </c>
      <c r="C332" t="s">
        <v>630</v>
      </c>
      <c r="D332" t="s">
        <v>556</v>
      </c>
      <c r="E332" t="s">
        <v>557</v>
      </c>
      <c r="F332" s="3">
        <v>42997</v>
      </c>
      <c r="G332" s="2">
        <v>70</v>
      </c>
      <c r="H332" s="1">
        <v>156.57</v>
      </c>
      <c r="I332" t="s">
        <v>631</v>
      </c>
      <c r="J332" s="2">
        <v>1</v>
      </c>
      <c r="K332" t="s">
        <v>13</v>
      </c>
      <c r="L332" t="s">
        <v>29</v>
      </c>
      <c r="M332" t="s">
        <v>15</v>
      </c>
    </row>
    <row r="333" spans="1:13" x14ac:dyDescent="0.25">
      <c r="A333" s="5">
        <v>43067</v>
      </c>
      <c r="B333" s="2">
        <v>0</v>
      </c>
      <c r="C333" t="s">
        <v>632</v>
      </c>
      <c r="D333" t="s">
        <v>556</v>
      </c>
      <c r="E333" t="s">
        <v>557</v>
      </c>
      <c r="F333" s="3">
        <v>42997</v>
      </c>
      <c r="G333" s="2">
        <v>70</v>
      </c>
      <c r="H333" s="1">
        <v>460.79</v>
      </c>
      <c r="I333" t="s">
        <v>609</v>
      </c>
      <c r="J333" s="2">
        <v>1</v>
      </c>
      <c r="K333" t="s">
        <v>13</v>
      </c>
      <c r="L333" t="s">
        <v>29</v>
      </c>
      <c r="M333" t="s">
        <v>15</v>
      </c>
    </row>
    <row r="334" spans="1:13" x14ac:dyDescent="0.25">
      <c r="A334" s="5">
        <v>43067</v>
      </c>
      <c r="B334" s="2">
        <v>0</v>
      </c>
      <c r="C334" t="s">
        <v>633</v>
      </c>
      <c r="D334" t="s">
        <v>634</v>
      </c>
      <c r="E334" t="s">
        <v>635</v>
      </c>
      <c r="F334" s="3">
        <v>43052</v>
      </c>
      <c r="G334" s="2">
        <v>15</v>
      </c>
      <c r="H334" s="1">
        <v>386.65</v>
      </c>
      <c r="I334" t="s">
        <v>636</v>
      </c>
      <c r="J334" s="2">
        <v>1</v>
      </c>
      <c r="K334" t="s">
        <v>13</v>
      </c>
      <c r="L334" t="s">
        <v>30</v>
      </c>
      <c r="M334" t="s">
        <v>637</v>
      </c>
    </row>
    <row r="335" spans="1:13" x14ac:dyDescent="0.25">
      <c r="A335" s="5">
        <v>43069</v>
      </c>
      <c r="B335" s="2">
        <v>0</v>
      </c>
      <c r="C335" t="s">
        <v>638</v>
      </c>
      <c r="D335" t="s">
        <v>579</v>
      </c>
      <c r="E335" t="s">
        <v>580</v>
      </c>
      <c r="F335" s="3">
        <v>42989</v>
      </c>
      <c r="G335" s="2">
        <v>80</v>
      </c>
      <c r="H335" s="1">
        <v>318.45</v>
      </c>
      <c r="I335" t="s">
        <v>614</v>
      </c>
      <c r="J335" s="2">
        <v>1</v>
      </c>
      <c r="K335" t="s">
        <v>13</v>
      </c>
      <c r="L335" t="s">
        <v>582</v>
      </c>
      <c r="M335" t="s">
        <v>15</v>
      </c>
    </row>
    <row r="336" spans="1:13" x14ac:dyDescent="0.25">
      <c r="A336" s="5">
        <v>43069</v>
      </c>
      <c r="B336" s="2">
        <v>0</v>
      </c>
      <c r="C336" t="s">
        <v>639</v>
      </c>
      <c r="D336" t="s">
        <v>579</v>
      </c>
      <c r="E336" t="s">
        <v>580</v>
      </c>
      <c r="F336" s="3">
        <v>42999</v>
      </c>
      <c r="G336" s="2">
        <v>70</v>
      </c>
      <c r="H336" s="1">
        <v>101.74</v>
      </c>
      <c r="I336" t="s">
        <v>640</v>
      </c>
      <c r="J336" s="2">
        <v>1</v>
      </c>
      <c r="K336" t="s">
        <v>13</v>
      </c>
      <c r="L336" t="s">
        <v>582</v>
      </c>
      <c r="M336" t="s">
        <v>15</v>
      </c>
    </row>
    <row r="337" spans="1:13" x14ac:dyDescent="0.25">
      <c r="A337" s="5">
        <v>43070</v>
      </c>
      <c r="B337" s="2">
        <v>0</v>
      </c>
      <c r="C337" t="s">
        <v>641</v>
      </c>
      <c r="D337" t="s">
        <v>568</v>
      </c>
      <c r="E337" t="s">
        <v>569</v>
      </c>
      <c r="F337" s="3">
        <v>42990</v>
      </c>
      <c r="G337" s="2">
        <v>80</v>
      </c>
      <c r="H337" s="1">
        <v>444.36</v>
      </c>
      <c r="I337" t="s">
        <v>642</v>
      </c>
      <c r="J337" s="2">
        <v>1</v>
      </c>
      <c r="K337" t="s">
        <v>13</v>
      </c>
      <c r="L337" t="s">
        <v>344</v>
      </c>
      <c r="M337" t="s">
        <v>571</v>
      </c>
    </row>
    <row r="338" spans="1:13" x14ac:dyDescent="0.25">
      <c r="A338" s="5">
        <v>43073</v>
      </c>
      <c r="B338" s="2">
        <v>0</v>
      </c>
      <c r="C338" t="s">
        <v>643</v>
      </c>
      <c r="D338" t="s">
        <v>568</v>
      </c>
      <c r="E338" t="s">
        <v>569</v>
      </c>
      <c r="F338" s="3">
        <v>42992</v>
      </c>
      <c r="G338" s="2">
        <v>81</v>
      </c>
      <c r="H338" s="1">
        <v>336.8</v>
      </c>
      <c r="I338" t="s">
        <v>644</v>
      </c>
      <c r="J338" s="2">
        <v>1</v>
      </c>
      <c r="K338" t="s">
        <v>13</v>
      </c>
      <c r="L338" t="s">
        <v>344</v>
      </c>
      <c r="M338" t="s">
        <v>571</v>
      </c>
    </row>
    <row r="339" spans="1:13" x14ac:dyDescent="0.25">
      <c r="A339" s="5">
        <v>43073</v>
      </c>
      <c r="B339" s="2">
        <v>0</v>
      </c>
      <c r="C339" t="s">
        <v>645</v>
      </c>
      <c r="D339" t="s">
        <v>556</v>
      </c>
      <c r="E339" t="s">
        <v>557</v>
      </c>
      <c r="F339" s="3">
        <v>42978</v>
      </c>
      <c r="G339" s="2">
        <v>95</v>
      </c>
      <c r="H339" s="1">
        <v>573.52</v>
      </c>
      <c r="I339" t="s">
        <v>562</v>
      </c>
      <c r="J339" s="2">
        <v>1</v>
      </c>
      <c r="K339" t="s">
        <v>13</v>
      </c>
      <c r="L339" t="s">
        <v>29</v>
      </c>
      <c r="M339" t="s">
        <v>15</v>
      </c>
    </row>
    <row r="340" spans="1:13" x14ac:dyDescent="0.25">
      <c r="A340" s="5">
        <v>43074</v>
      </c>
      <c r="B340" s="2">
        <v>0</v>
      </c>
      <c r="C340" t="s">
        <v>646</v>
      </c>
      <c r="D340" t="s">
        <v>568</v>
      </c>
      <c r="E340" t="s">
        <v>569</v>
      </c>
      <c r="F340" s="3">
        <v>43014</v>
      </c>
      <c r="G340" s="2">
        <v>60</v>
      </c>
      <c r="H340" s="1">
        <v>608.29999999999995</v>
      </c>
      <c r="I340" t="s">
        <v>647</v>
      </c>
      <c r="J340" s="2">
        <v>1</v>
      </c>
      <c r="K340" t="s">
        <v>13</v>
      </c>
      <c r="L340" t="s">
        <v>344</v>
      </c>
      <c r="M340" t="s">
        <v>571</v>
      </c>
    </row>
    <row r="341" spans="1:13" x14ac:dyDescent="0.25">
      <c r="A341" s="5">
        <v>43077</v>
      </c>
      <c r="B341" s="2">
        <v>0</v>
      </c>
      <c r="C341" t="s">
        <v>648</v>
      </c>
      <c r="D341" t="s">
        <v>568</v>
      </c>
      <c r="E341" t="s">
        <v>569</v>
      </c>
      <c r="F341" s="3">
        <v>42997</v>
      </c>
      <c r="G341" s="2">
        <v>80</v>
      </c>
      <c r="H341" s="1">
        <v>348</v>
      </c>
      <c r="I341" t="s">
        <v>649</v>
      </c>
      <c r="J341" s="2">
        <v>1</v>
      </c>
      <c r="K341" t="s">
        <v>13</v>
      </c>
      <c r="L341" t="s">
        <v>344</v>
      </c>
      <c r="M341" t="s">
        <v>571</v>
      </c>
    </row>
    <row r="342" spans="1:13" x14ac:dyDescent="0.25">
      <c r="A342" s="5">
        <v>43077</v>
      </c>
      <c r="B342" s="2">
        <v>0</v>
      </c>
      <c r="C342" t="s">
        <v>650</v>
      </c>
      <c r="D342" t="s">
        <v>568</v>
      </c>
      <c r="E342" t="s">
        <v>569</v>
      </c>
      <c r="F342" s="3">
        <v>43007</v>
      </c>
      <c r="G342" s="2">
        <v>70</v>
      </c>
      <c r="H342" s="1">
        <v>437.28</v>
      </c>
      <c r="I342" t="s">
        <v>628</v>
      </c>
      <c r="J342" s="2">
        <v>1</v>
      </c>
      <c r="K342" t="s">
        <v>13</v>
      </c>
      <c r="L342" t="s">
        <v>344</v>
      </c>
      <c r="M342" t="s">
        <v>571</v>
      </c>
    </row>
    <row r="343" spans="1:13" x14ac:dyDescent="0.25">
      <c r="A343" s="5">
        <v>43077</v>
      </c>
      <c r="B343" s="2">
        <v>0</v>
      </c>
      <c r="C343" t="s">
        <v>651</v>
      </c>
      <c r="D343" t="s">
        <v>579</v>
      </c>
      <c r="E343" t="s">
        <v>580</v>
      </c>
      <c r="F343" s="3">
        <v>42999</v>
      </c>
      <c r="G343" s="2">
        <v>78</v>
      </c>
      <c r="H343" s="1">
        <v>347.88</v>
      </c>
      <c r="I343" t="s">
        <v>622</v>
      </c>
      <c r="J343" s="2">
        <v>1</v>
      </c>
      <c r="K343" t="s">
        <v>13</v>
      </c>
      <c r="L343" t="s">
        <v>582</v>
      </c>
      <c r="M343" t="s">
        <v>15</v>
      </c>
    </row>
    <row r="344" spans="1:13" x14ac:dyDescent="0.25">
      <c r="A344" s="5">
        <v>43082</v>
      </c>
      <c r="B344" s="2">
        <v>0</v>
      </c>
      <c r="C344" t="s">
        <v>653</v>
      </c>
      <c r="D344" t="s">
        <v>556</v>
      </c>
      <c r="E344" t="s">
        <v>557</v>
      </c>
      <c r="F344" s="3">
        <v>42978</v>
      </c>
      <c r="G344" s="2">
        <v>104</v>
      </c>
      <c r="H344" s="1">
        <v>573.52</v>
      </c>
      <c r="I344" t="s">
        <v>562</v>
      </c>
      <c r="J344" s="2">
        <v>1</v>
      </c>
      <c r="K344" t="s">
        <v>13</v>
      </c>
      <c r="L344" t="s">
        <v>29</v>
      </c>
      <c r="M344" t="s">
        <v>15</v>
      </c>
    </row>
    <row r="345" spans="1:13" x14ac:dyDescent="0.25">
      <c r="A345" s="5">
        <v>43083</v>
      </c>
      <c r="B345" s="2">
        <v>0</v>
      </c>
      <c r="C345" t="s">
        <v>654</v>
      </c>
      <c r="D345" t="s">
        <v>634</v>
      </c>
      <c r="E345" t="s">
        <v>635</v>
      </c>
      <c r="F345" s="3">
        <v>43033</v>
      </c>
      <c r="G345" s="2">
        <v>50</v>
      </c>
      <c r="H345" s="1">
        <v>307.87</v>
      </c>
      <c r="I345" t="s">
        <v>655</v>
      </c>
      <c r="J345" s="2">
        <v>1</v>
      </c>
      <c r="K345" t="s">
        <v>13</v>
      </c>
      <c r="L345" t="s">
        <v>30</v>
      </c>
      <c r="M345" t="s">
        <v>637</v>
      </c>
    </row>
    <row r="346" spans="1:13" x14ac:dyDescent="0.25">
      <c r="A346" s="5">
        <v>43084</v>
      </c>
      <c r="B346" s="2">
        <v>0</v>
      </c>
      <c r="C346" t="s">
        <v>656</v>
      </c>
      <c r="D346" t="s">
        <v>568</v>
      </c>
      <c r="E346" t="s">
        <v>569</v>
      </c>
      <c r="F346" s="3">
        <v>43014</v>
      </c>
      <c r="G346" s="2">
        <v>70</v>
      </c>
      <c r="H346" s="1">
        <v>493.43</v>
      </c>
      <c r="I346" t="s">
        <v>647</v>
      </c>
      <c r="J346" s="2">
        <v>1</v>
      </c>
      <c r="K346" t="s">
        <v>13</v>
      </c>
      <c r="L346" t="s">
        <v>344</v>
      </c>
      <c r="M346" t="s">
        <v>571</v>
      </c>
    </row>
    <row r="347" spans="1:13" x14ac:dyDescent="0.25">
      <c r="A347" s="5">
        <v>43087</v>
      </c>
      <c r="B347" s="2">
        <v>0</v>
      </c>
      <c r="C347" t="s">
        <v>657</v>
      </c>
      <c r="D347" t="s">
        <v>568</v>
      </c>
      <c r="E347" t="s">
        <v>569</v>
      </c>
      <c r="F347" s="3">
        <v>43007</v>
      </c>
      <c r="G347" s="2">
        <v>80</v>
      </c>
      <c r="H347" s="1">
        <v>437.28</v>
      </c>
      <c r="I347" t="s">
        <v>628</v>
      </c>
      <c r="J347" s="2">
        <v>1</v>
      </c>
      <c r="K347" t="s">
        <v>13</v>
      </c>
      <c r="L347" t="s">
        <v>344</v>
      </c>
      <c r="M347" t="s">
        <v>571</v>
      </c>
    </row>
    <row r="348" spans="1:13" x14ac:dyDescent="0.25">
      <c r="A348" s="5">
        <v>43094</v>
      </c>
      <c r="B348" s="2">
        <v>0</v>
      </c>
      <c r="C348" t="s">
        <v>658</v>
      </c>
      <c r="D348" t="s">
        <v>568</v>
      </c>
      <c r="E348" t="s">
        <v>569</v>
      </c>
      <c r="F348" s="3">
        <v>43014</v>
      </c>
      <c r="G348" s="2">
        <v>80</v>
      </c>
      <c r="H348" s="1">
        <v>493.43</v>
      </c>
      <c r="I348" t="s">
        <v>647</v>
      </c>
      <c r="J348" s="2">
        <v>1</v>
      </c>
      <c r="K348" t="s">
        <v>13</v>
      </c>
      <c r="L348" t="s">
        <v>344</v>
      </c>
      <c r="M348" t="s">
        <v>571</v>
      </c>
    </row>
    <row r="349" spans="1:13" x14ac:dyDescent="0.25">
      <c r="A349" s="5">
        <v>43094</v>
      </c>
      <c r="B349" s="2">
        <v>0</v>
      </c>
      <c r="C349" t="s">
        <v>659</v>
      </c>
      <c r="D349" t="s">
        <v>579</v>
      </c>
      <c r="E349" t="s">
        <v>580</v>
      </c>
      <c r="F349" s="3">
        <v>43025</v>
      </c>
      <c r="G349" s="2">
        <v>69</v>
      </c>
      <c r="H349" s="1">
        <v>330.34</v>
      </c>
      <c r="I349" t="s">
        <v>660</v>
      </c>
      <c r="J349" s="2">
        <v>1</v>
      </c>
      <c r="K349" t="s">
        <v>13</v>
      </c>
      <c r="L349" t="s">
        <v>652</v>
      </c>
      <c r="M349" t="s">
        <v>15</v>
      </c>
    </row>
    <row r="350" spans="1:13" x14ac:dyDescent="0.25">
      <c r="A350" s="5">
        <v>43094</v>
      </c>
      <c r="B350" s="2">
        <v>0</v>
      </c>
      <c r="C350" t="s">
        <v>661</v>
      </c>
      <c r="D350" t="s">
        <v>634</v>
      </c>
      <c r="E350" t="s">
        <v>635</v>
      </c>
      <c r="F350" s="3">
        <v>43033</v>
      </c>
      <c r="G350" s="2">
        <v>61</v>
      </c>
      <c r="H350" s="1">
        <v>307.87</v>
      </c>
      <c r="I350" t="s">
        <v>655</v>
      </c>
      <c r="J350" s="2">
        <v>1</v>
      </c>
      <c r="K350" t="s">
        <v>13</v>
      </c>
      <c r="L350" t="s">
        <v>30</v>
      </c>
      <c r="M350" t="s">
        <v>637</v>
      </c>
    </row>
    <row r="351" spans="1:13" x14ac:dyDescent="0.25">
      <c r="A351" s="5">
        <v>43097</v>
      </c>
      <c r="B351" s="2">
        <v>0</v>
      </c>
      <c r="C351" t="s">
        <v>662</v>
      </c>
      <c r="D351" t="s">
        <v>634</v>
      </c>
      <c r="E351" t="s">
        <v>635</v>
      </c>
      <c r="F351" s="3">
        <v>43052</v>
      </c>
      <c r="G351" s="2">
        <v>45</v>
      </c>
      <c r="H351" s="1">
        <v>386.65</v>
      </c>
      <c r="I351" t="s">
        <v>636</v>
      </c>
      <c r="J351" s="2">
        <v>1</v>
      </c>
      <c r="K351" t="s">
        <v>13</v>
      </c>
      <c r="L351" t="s">
        <v>30</v>
      </c>
      <c r="M351" t="s">
        <v>637</v>
      </c>
    </row>
    <row r="352" spans="1:13" x14ac:dyDescent="0.25">
      <c r="A352" s="5">
        <v>43103</v>
      </c>
      <c r="B352" s="2">
        <v>0</v>
      </c>
      <c r="C352" t="s">
        <v>663</v>
      </c>
      <c r="D352" t="s">
        <v>634</v>
      </c>
      <c r="E352" t="s">
        <v>635</v>
      </c>
      <c r="F352" s="3">
        <v>43033</v>
      </c>
      <c r="G352" s="2">
        <v>70</v>
      </c>
      <c r="H352" s="1">
        <v>307.87</v>
      </c>
      <c r="I352" t="s">
        <v>655</v>
      </c>
      <c r="J352" s="2">
        <v>1</v>
      </c>
      <c r="K352" t="s">
        <v>13</v>
      </c>
      <c r="L352" t="s">
        <v>30</v>
      </c>
      <c r="M352" t="s">
        <v>637</v>
      </c>
    </row>
    <row r="353" spans="1:13" x14ac:dyDescent="0.25">
      <c r="A353" s="5">
        <v>43109</v>
      </c>
      <c r="B353" s="2">
        <v>0</v>
      </c>
      <c r="C353" t="s">
        <v>664</v>
      </c>
      <c r="D353" t="s">
        <v>568</v>
      </c>
      <c r="E353" t="s">
        <v>569</v>
      </c>
      <c r="F353" s="3">
        <v>43049</v>
      </c>
      <c r="G353" s="2">
        <v>60</v>
      </c>
      <c r="H353" s="1">
        <v>612.61</v>
      </c>
      <c r="I353" t="s">
        <v>665</v>
      </c>
      <c r="J353" s="2">
        <v>1</v>
      </c>
      <c r="K353" t="s">
        <v>13</v>
      </c>
      <c r="L353" t="s">
        <v>344</v>
      </c>
      <c r="M353" t="s">
        <v>571</v>
      </c>
    </row>
    <row r="354" spans="1:13" x14ac:dyDescent="0.25">
      <c r="A354" s="5">
        <v>43119</v>
      </c>
      <c r="B354" s="2">
        <v>0</v>
      </c>
      <c r="C354" t="s">
        <v>666</v>
      </c>
      <c r="D354" t="s">
        <v>568</v>
      </c>
      <c r="E354" t="s">
        <v>569</v>
      </c>
      <c r="F354" s="3">
        <v>43049</v>
      </c>
      <c r="G354" s="2">
        <v>70</v>
      </c>
      <c r="H354" s="1">
        <v>496.92</v>
      </c>
      <c r="I354" t="s">
        <v>665</v>
      </c>
      <c r="J354" s="2">
        <v>1</v>
      </c>
      <c r="K354" t="s">
        <v>13</v>
      </c>
      <c r="L354" t="s">
        <v>344</v>
      </c>
      <c r="M354" t="s">
        <v>571</v>
      </c>
    </row>
    <row r="355" spans="1:13" x14ac:dyDescent="0.25">
      <c r="A355" s="5">
        <v>43126</v>
      </c>
      <c r="B355" s="2">
        <v>0</v>
      </c>
      <c r="C355" t="s">
        <v>667</v>
      </c>
      <c r="D355" t="s">
        <v>668</v>
      </c>
      <c r="E355" t="s">
        <v>669</v>
      </c>
      <c r="F355" s="3">
        <v>43056</v>
      </c>
      <c r="G355" s="2">
        <v>70</v>
      </c>
      <c r="H355" s="1">
        <v>972.28</v>
      </c>
      <c r="I355" t="s">
        <v>670</v>
      </c>
      <c r="J355" s="2">
        <v>1</v>
      </c>
      <c r="K355" t="s">
        <v>13</v>
      </c>
      <c r="L355" t="s">
        <v>671</v>
      </c>
      <c r="M355" t="s">
        <v>33</v>
      </c>
    </row>
    <row r="356" spans="1:13" x14ac:dyDescent="0.25">
      <c r="A356" s="5">
        <v>43129</v>
      </c>
      <c r="B356" s="2">
        <v>0</v>
      </c>
      <c r="C356" t="s">
        <v>672</v>
      </c>
      <c r="D356" t="s">
        <v>568</v>
      </c>
      <c r="E356" t="s">
        <v>569</v>
      </c>
      <c r="F356" s="3">
        <v>43049</v>
      </c>
      <c r="G356" s="2">
        <v>80</v>
      </c>
      <c r="H356" s="1">
        <v>496.92</v>
      </c>
      <c r="I356" t="s">
        <v>665</v>
      </c>
      <c r="J356" s="2">
        <v>1</v>
      </c>
      <c r="K356" t="s">
        <v>13</v>
      </c>
      <c r="L356" t="s">
        <v>344</v>
      </c>
      <c r="M356" t="s">
        <v>571</v>
      </c>
    </row>
    <row r="357" spans="1:13" x14ac:dyDescent="0.25">
      <c r="A357" s="5">
        <v>43130</v>
      </c>
      <c r="B357" s="2">
        <v>0</v>
      </c>
      <c r="C357" t="s">
        <v>673</v>
      </c>
      <c r="D357" t="s">
        <v>668</v>
      </c>
      <c r="E357" t="s">
        <v>669</v>
      </c>
      <c r="F357" s="3">
        <v>43060</v>
      </c>
      <c r="G357" s="2">
        <v>70</v>
      </c>
      <c r="H357" s="1">
        <v>279.93</v>
      </c>
      <c r="I357" t="s">
        <v>674</v>
      </c>
      <c r="J357" s="2">
        <v>1</v>
      </c>
      <c r="K357" t="s">
        <v>13</v>
      </c>
      <c r="L357" t="s">
        <v>671</v>
      </c>
      <c r="M357" t="s">
        <v>33</v>
      </c>
    </row>
    <row r="358" spans="1:13" x14ac:dyDescent="0.25">
      <c r="A358" s="5">
        <v>43133</v>
      </c>
      <c r="B358" s="2">
        <v>0</v>
      </c>
      <c r="C358" t="s">
        <v>675</v>
      </c>
      <c r="D358" t="s">
        <v>668</v>
      </c>
      <c r="E358" t="s">
        <v>669</v>
      </c>
      <c r="F358" s="3">
        <v>43063</v>
      </c>
      <c r="G358" s="2">
        <v>70</v>
      </c>
      <c r="H358" s="1">
        <v>294.33</v>
      </c>
      <c r="I358" t="s">
        <v>676</v>
      </c>
      <c r="J358" s="2">
        <v>1</v>
      </c>
      <c r="K358" t="s">
        <v>13</v>
      </c>
      <c r="L358" t="s">
        <v>671</v>
      </c>
      <c r="M358" t="s">
        <v>33</v>
      </c>
    </row>
    <row r="359" spans="1:13" x14ac:dyDescent="0.25">
      <c r="A359" s="5">
        <v>43137</v>
      </c>
      <c r="B359" s="2">
        <v>0</v>
      </c>
      <c r="C359" t="s">
        <v>679</v>
      </c>
      <c r="D359" t="s">
        <v>668</v>
      </c>
      <c r="E359" t="s">
        <v>669</v>
      </c>
      <c r="F359" s="3">
        <v>43067</v>
      </c>
      <c r="G359" s="2">
        <v>70</v>
      </c>
      <c r="H359" s="1">
        <v>480.88</v>
      </c>
      <c r="I359" t="s">
        <v>680</v>
      </c>
      <c r="J359" s="2">
        <v>1</v>
      </c>
      <c r="K359" t="s">
        <v>13</v>
      </c>
      <c r="L359" t="s">
        <v>671</v>
      </c>
      <c r="M359" t="s">
        <v>33</v>
      </c>
    </row>
    <row r="360" spans="1:13" x14ac:dyDescent="0.25">
      <c r="A360" s="5">
        <v>43137</v>
      </c>
      <c r="B360" s="2">
        <v>0</v>
      </c>
      <c r="C360" t="s">
        <v>681</v>
      </c>
      <c r="D360" t="s">
        <v>668</v>
      </c>
      <c r="E360" t="s">
        <v>669</v>
      </c>
      <c r="F360" s="3">
        <v>43067</v>
      </c>
      <c r="G360" s="2">
        <v>70</v>
      </c>
      <c r="H360" s="1">
        <v>951.39</v>
      </c>
      <c r="I360" t="s">
        <v>682</v>
      </c>
      <c r="J360" s="2">
        <v>1</v>
      </c>
      <c r="K360" t="s">
        <v>13</v>
      </c>
      <c r="L360" t="s">
        <v>671</v>
      </c>
      <c r="M360" t="s">
        <v>33</v>
      </c>
    </row>
    <row r="361" spans="1:13" x14ac:dyDescent="0.25">
      <c r="A361" s="5">
        <v>43139</v>
      </c>
      <c r="B361" s="2">
        <v>0</v>
      </c>
      <c r="C361" t="s">
        <v>683</v>
      </c>
      <c r="D361" t="s">
        <v>668</v>
      </c>
      <c r="E361" t="s">
        <v>669</v>
      </c>
      <c r="F361" s="3">
        <v>43069</v>
      </c>
      <c r="G361" s="2">
        <v>70</v>
      </c>
      <c r="H361" s="1">
        <v>179.12</v>
      </c>
      <c r="I361" t="s">
        <v>684</v>
      </c>
      <c r="J361" s="2">
        <v>1</v>
      </c>
      <c r="K361" t="s">
        <v>13</v>
      </c>
      <c r="L361" t="s">
        <v>671</v>
      </c>
      <c r="M361" t="s">
        <v>33</v>
      </c>
    </row>
    <row r="362" spans="1:13" x14ac:dyDescent="0.25">
      <c r="A362" s="5">
        <v>43139</v>
      </c>
      <c r="B362" s="2">
        <v>0</v>
      </c>
      <c r="C362" t="s">
        <v>685</v>
      </c>
      <c r="D362" t="s">
        <v>668</v>
      </c>
      <c r="E362" t="s">
        <v>669</v>
      </c>
      <c r="F362" s="3">
        <v>43069</v>
      </c>
      <c r="G362" s="2">
        <v>70</v>
      </c>
      <c r="H362" s="1">
        <v>721.49</v>
      </c>
      <c r="I362" t="s">
        <v>686</v>
      </c>
      <c r="J362" s="2">
        <v>1</v>
      </c>
      <c r="K362" t="s">
        <v>13</v>
      </c>
      <c r="L362" t="s">
        <v>671</v>
      </c>
      <c r="M362" t="s">
        <v>33</v>
      </c>
    </row>
    <row r="363" spans="1:13" x14ac:dyDescent="0.25">
      <c r="A363" s="5">
        <v>43145</v>
      </c>
      <c r="B363" s="2">
        <v>0</v>
      </c>
      <c r="C363" t="s">
        <v>687</v>
      </c>
      <c r="D363" t="s">
        <v>677</v>
      </c>
      <c r="E363" t="s">
        <v>678</v>
      </c>
      <c r="F363" s="3">
        <v>43075</v>
      </c>
      <c r="G363" s="2">
        <v>70</v>
      </c>
      <c r="H363" s="1">
        <v>363.09</v>
      </c>
      <c r="I363" t="s">
        <v>688</v>
      </c>
      <c r="J363" s="2">
        <v>1</v>
      </c>
      <c r="K363" t="s">
        <v>13</v>
      </c>
      <c r="L363" t="s">
        <v>671</v>
      </c>
      <c r="M363" t="s">
        <v>15</v>
      </c>
    </row>
    <row r="364" spans="1:13" x14ac:dyDescent="0.25">
      <c r="A364" s="5">
        <v>43146</v>
      </c>
      <c r="B364" s="2">
        <v>0</v>
      </c>
      <c r="C364" t="s">
        <v>689</v>
      </c>
      <c r="D364" t="s">
        <v>668</v>
      </c>
      <c r="E364" t="s">
        <v>669</v>
      </c>
      <c r="F364" s="3">
        <v>43076</v>
      </c>
      <c r="G364" s="2">
        <v>70</v>
      </c>
      <c r="H364" s="1">
        <v>334.99</v>
      </c>
      <c r="I364" t="s">
        <v>690</v>
      </c>
      <c r="J364" s="2">
        <v>1</v>
      </c>
      <c r="K364" t="s">
        <v>13</v>
      </c>
      <c r="L364" t="s">
        <v>671</v>
      </c>
      <c r="M364" t="s">
        <v>33</v>
      </c>
    </row>
    <row r="365" spans="1:13" x14ac:dyDescent="0.25">
      <c r="A365" s="5">
        <v>43152</v>
      </c>
      <c r="B365" s="2">
        <v>0</v>
      </c>
      <c r="C365" t="s">
        <v>691</v>
      </c>
      <c r="D365" t="s">
        <v>677</v>
      </c>
      <c r="E365" t="s">
        <v>678</v>
      </c>
      <c r="F365" s="3">
        <v>43082</v>
      </c>
      <c r="G365" s="2">
        <v>70</v>
      </c>
      <c r="H365" s="1">
        <v>1202.17</v>
      </c>
      <c r="I365" t="s">
        <v>692</v>
      </c>
      <c r="J365" s="2">
        <v>1</v>
      </c>
      <c r="K365" t="s">
        <v>13</v>
      </c>
      <c r="L365" t="s">
        <v>671</v>
      </c>
      <c r="M365" t="s">
        <v>15</v>
      </c>
    </row>
    <row r="366" spans="1:13" x14ac:dyDescent="0.25">
      <c r="A366" s="5">
        <v>43164</v>
      </c>
      <c r="B366" s="2">
        <v>0</v>
      </c>
      <c r="C366" t="s">
        <v>693</v>
      </c>
      <c r="D366" t="s">
        <v>668</v>
      </c>
      <c r="E366" t="s">
        <v>669</v>
      </c>
      <c r="F366" s="3">
        <v>43092</v>
      </c>
      <c r="G366" s="2">
        <v>72</v>
      </c>
      <c r="H366" s="1">
        <v>291.64</v>
      </c>
      <c r="I366" t="s">
        <v>694</v>
      </c>
      <c r="J366" s="2">
        <v>1</v>
      </c>
      <c r="K366" t="s">
        <v>13</v>
      </c>
      <c r="L366" t="s">
        <v>671</v>
      </c>
      <c r="M366" t="s">
        <v>33</v>
      </c>
    </row>
    <row r="367" spans="1:13" x14ac:dyDescent="0.25">
      <c r="A367" s="5">
        <v>43175</v>
      </c>
      <c r="B367" s="2">
        <v>0</v>
      </c>
      <c r="C367" t="s">
        <v>696</v>
      </c>
      <c r="D367" t="s">
        <v>552</v>
      </c>
      <c r="E367" t="s">
        <v>553</v>
      </c>
      <c r="F367" s="3">
        <v>43145</v>
      </c>
      <c r="G367" s="2">
        <v>30</v>
      </c>
      <c r="H367" s="1">
        <v>538.72</v>
      </c>
      <c r="I367" t="s">
        <v>697</v>
      </c>
      <c r="J367" s="2">
        <v>1</v>
      </c>
      <c r="K367" t="s">
        <v>13</v>
      </c>
      <c r="L367" t="s">
        <v>554</v>
      </c>
      <c r="M367" t="s">
        <v>81</v>
      </c>
    </row>
    <row r="368" spans="1:13" x14ac:dyDescent="0.25">
      <c r="A368" s="5">
        <v>43179</v>
      </c>
      <c r="B368" s="2">
        <v>0</v>
      </c>
      <c r="C368" t="s">
        <v>698</v>
      </c>
      <c r="D368" t="s">
        <v>677</v>
      </c>
      <c r="E368" t="s">
        <v>678</v>
      </c>
      <c r="F368" s="3">
        <v>43109</v>
      </c>
      <c r="G368" s="2">
        <v>70</v>
      </c>
      <c r="H368" s="1">
        <v>1049.7</v>
      </c>
      <c r="I368" t="s">
        <v>699</v>
      </c>
      <c r="J368" s="2">
        <v>1</v>
      </c>
      <c r="K368" t="s">
        <v>13</v>
      </c>
      <c r="L368" t="s">
        <v>671</v>
      </c>
      <c r="M368" t="s">
        <v>15</v>
      </c>
    </row>
    <row r="369" spans="1:13" x14ac:dyDescent="0.25">
      <c r="A369" s="5">
        <v>43179</v>
      </c>
      <c r="B369" s="2">
        <v>0</v>
      </c>
      <c r="C369" t="s">
        <v>700</v>
      </c>
      <c r="D369" t="s">
        <v>668</v>
      </c>
      <c r="E369" t="s">
        <v>669</v>
      </c>
      <c r="F369" s="3">
        <v>43109</v>
      </c>
      <c r="G369" s="2">
        <v>70</v>
      </c>
      <c r="H369" s="1">
        <v>869.78</v>
      </c>
      <c r="I369" t="s">
        <v>701</v>
      </c>
      <c r="J369" s="2">
        <v>1</v>
      </c>
      <c r="K369" t="s">
        <v>13</v>
      </c>
      <c r="L369" t="s">
        <v>671</v>
      </c>
      <c r="M369" t="s">
        <v>33</v>
      </c>
    </row>
    <row r="370" spans="1:13" x14ac:dyDescent="0.25">
      <c r="A370" s="5">
        <v>43180</v>
      </c>
      <c r="B370" s="2">
        <v>0</v>
      </c>
      <c r="C370" t="s">
        <v>702</v>
      </c>
      <c r="D370" t="s">
        <v>677</v>
      </c>
      <c r="E370" t="s">
        <v>678</v>
      </c>
      <c r="F370" s="3">
        <v>43110</v>
      </c>
      <c r="G370" s="2">
        <v>70</v>
      </c>
      <c r="H370" s="1">
        <v>537.58000000000004</v>
      </c>
      <c r="I370" t="s">
        <v>703</v>
      </c>
      <c r="J370" s="2">
        <v>1</v>
      </c>
      <c r="K370" t="s">
        <v>13</v>
      </c>
      <c r="L370" t="s">
        <v>671</v>
      </c>
      <c r="M370" t="s">
        <v>15</v>
      </c>
    </row>
    <row r="371" spans="1:13" x14ac:dyDescent="0.25">
      <c r="A371" s="5">
        <v>43187</v>
      </c>
      <c r="B371" s="2">
        <v>0</v>
      </c>
      <c r="C371" t="s">
        <v>705</v>
      </c>
      <c r="D371" t="s">
        <v>552</v>
      </c>
      <c r="E371" t="s">
        <v>553</v>
      </c>
      <c r="F371" s="3">
        <v>43157</v>
      </c>
      <c r="G371" s="2">
        <v>30</v>
      </c>
      <c r="H371" s="1">
        <v>420.93</v>
      </c>
      <c r="I371" t="s">
        <v>706</v>
      </c>
      <c r="J371" s="2">
        <v>1</v>
      </c>
      <c r="K371" t="s">
        <v>13</v>
      </c>
      <c r="L371" t="s">
        <v>554</v>
      </c>
      <c r="M371" t="s">
        <v>81</v>
      </c>
    </row>
    <row r="372" spans="1:13" x14ac:dyDescent="0.25">
      <c r="A372" s="5">
        <v>43189</v>
      </c>
      <c r="B372" s="2">
        <v>0</v>
      </c>
      <c r="C372" t="s">
        <v>707</v>
      </c>
      <c r="D372" t="s">
        <v>677</v>
      </c>
      <c r="E372" t="s">
        <v>678</v>
      </c>
      <c r="F372" s="3">
        <v>43119</v>
      </c>
      <c r="G372" s="2">
        <v>70</v>
      </c>
      <c r="H372" s="1">
        <v>1387.63</v>
      </c>
      <c r="I372" t="s">
        <v>708</v>
      </c>
      <c r="J372" s="2">
        <v>1</v>
      </c>
      <c r="K372" t="s">
        <v>13</v>
      </c>
      <c r="L372" t="s">
        <v>671</v>
      </c>
      <c r="M372" t="s">
        <v>15</v>
      </c>
    </row>
    <row r="373" spans="1:13" x14ac:dyDescent="0.25">
      <c r="A373" s="5">
        <v>43199</v>
      </c>
      <c r="B373" s="2">
        <v>0</v>
      </c>
      <c r="C373" t="s">
        <v>709</v>
      </c>
      <c r="D373" t="s">
        <v>552</v>
      </c>
      <c r="E373" t="s">
        <v>553</v>
      </c>
      <c r="F373" s="3">
        <v>43167</v>
      </c>
      <c r="G373" s="2">
        <v>32</v>
      </c>
      <c r="H373" s="1">
        <v>525.58000000000004</v>
      </c>
      <c r="I373" t="s">
        <v>710</v>
      </c>
      <c r="J373" s="2">
        <v>1</v>
      </c>
      <c r="K373" t="s">
        <v>13</v>
      </c>
      <c r="L373" t="s">
        <v>554</v>
      </c>
      <c r="M373" t="s">
        <v>81</v>
      </c>
    </row>
    <row r="374" spans="1:13" x14ac:dyDescent="0.25">
      <c r="A374" s="5">
        <v>43203</v>
      </c>
      <c r="B374" s="2">
        <v>0</v>
      </c>
      <c r="C374" t="s">
        <v>711</v>
      </c>
      <c r="D374" t="s">
        <v>712</v>
      </c>
      <c r="E374" t="s">
        <v>713</v>
      </c>
      <c r="F374" s="3">
        <v>43125</v>
      </c>
      <c r="G374" s="2">
        <v>78</v>
      </c>
      <c r="H374" s="1">
        <v>311.42</v>
      </c>
      <c r="I374" t="s">
        <v>714</v>
      </c>
      <c r="J374" s="2">
        <v>1</v>
      </c>
      <c r="K374" t="s">
        <v>13</v>
      </c>
      <c r="L374" t="s">
        <v>652</v>
      </c>
      <c r="M374" t="s">
        <v>15</v>
      </c>
    </row>
    <row r="375" spans="1:13" x14ac:dyDescent="0.25">
      <c r="A375" s="5">
        <v>43203</v>
      </c>
      <c r="B375" s="2">
        <v>0</v>
      </c>
      <c r="C375" t="s">
        <v>715</v>
      </c>
      <c r="D375" t="s">
        <v>712</v>
      </c>
      <c r="E375" t="s">
        <v>713</v>
      </c>
      <c r="F375" s="3">
        <v>43139</v>
      </c>
      <c r="G375" s="2">
        <v>64</v>
      </c>
      <c r="H375" s="1">
        <v>253.66</v>
      </c>
      <c r="I375" t="s">
        <v>716</v>
      </c>
      <c r="J375" s="2">
        <v>1</v>
      </c>
      <c r="K375" t="s">
        <v>13</v>
      </c>
      <c r="L375" t="s">
        <v>652</v>
      </c>
      <c r="M375" t="s">
        <v>15</v>
      </c>
    </row>
    <row r="376" spans="1:13" x14ac:dyDescent="0.25">
      <c r="A376" s="5">
        <v>43234</v>
      </c>
      <c r="B376" s="2">
        <v>0</v>
      </c>
      <c r="C376" t="s">
        <v>717</v>
      </c>
      <c r="D376" t="s">
        <v>718</v>
      </c>
      <c r="E376" t="s">
        <v>719</v>
      </c>
      <c r="F376" s="3">
        <v>43175</v>
      </c>
      <c r="G376" s="2">
        <v>59</v>
      </c>
      <c r="H376" s="1">
        <v>332.15</v>
      </c>
      <c r="I376" t="s">
        <v>720</v>
      </c>
      <c r="J376" s="2">
        <v>1</v>
      </c>
      <c r="K376" t="s">
        <v>13</v>
      </c>
      <c r="L376" t="s">
        <v>652</v>
      </c>
      <c r="M376" t="s">
        <v>15</v>
      </c>
    </row>
    <row r="377" spans="1:13" x14ac:dyDescent="0.25">
      <c r="A377" s="5">
        <v>43241</v>
      </c>
      <c r="B377" s="2">
        <v>0</v>
      </c>
      <c r="C377" t="s">
        <v>721</v>
      </c>
      <c r="D377" t="s">
        <v>718</v>
      </c>
      <c r="E377" t="s">
        <v>719</v>
      </c>
      <c r="F377" s="3">
        <v>43182</v>
      </c>
      <c r="G377" s="2">
        <v>59</v>
      </c>
      <c r="H377" s="1">
        <v>345.16</v>
      </c>
      <c r="I377" t="s">
        <v>722</v>
      </c>
      <c r="J377" s="2">
        <v>1</v>
      </c>
      <c r="K377" t="s">
        <v>13</v>
      </c>
      <c r="L377" t="s">
        <v>652</v>
      </c>
      <c r="M377" t="s">
        <v>15</v>
      </c>
    </row>
    <row r="378" spans="1:13" x14ac:dyDescent="0.25">
      <c r="A378" s="5">
        <v>43244</v>
      </c>
      <c r="B378" s="2">
        <v>0</v>
      </c>
      <c r="C378" t="s">
        <v>723</v>
      </c>
      <c r="D378" t="s">
        <v>718</v>
      </c>
      <c r="E378" t="s">
        <v>719</v>
      </c>
      <c r="F378" s="3">
        <v>43175</v>
      </c>
      <c r="G378" s="2">
        <v>69</v>
      </c>
      <c r="H378" s="1">
        <v>332.15</v>
      </c>
      <c r="I378" t="s">
        <v>720</v>
      </c>
      <c r="J378" s="2">
        <v>1</v>
      </c>
      <c r="K378" t="s">
        <v>13</v>
      </c>
      <c r="L378" t="s">
        <v>652</v>
      </c>
      <c r="M378" t="s">
        <v>15</v>
      </c>
    </row>
    <row r="379" spans="1:13" x14ac:dyDescent="0.25">
      <c r="A379" s="5">
        <v>43248</v>
      </c>
      <c r="B379" s="2">
        <v>0</v>
      </c>
      <c r="C379" t="s">
        <v>724</v>
      </c>
      <c r="D379" t="s">
        <v>718</v>
      </c>
      <c r="E379" t="s">
        <v>719</v>
      </c>
      <c r="F379" s="3">
        <v>43168</v>
      </c>
      <c r="G379" s="2">
        <v>80</v>
      </c>
      <c r="H379" s="1">
        <v>385.6</v>
      </c>
      <c r="I379" t="s">
        <v>725</v>
      </c>
      <c r="J379" s="2">
        <v>1</v>
      </c>
      <c r="K379" t="s">
        <v>13</v>
      </c>
      <c r="L379" t="s">
        <v>652</v>
      </c>
      <c r="M379" t="s">
        <v>15</v>
      </c>
    </row>
    <row r="380" spans="1:13" x14ac:dyDescent="0.25">
      <c r="A380" s="5">
        <v>43249</v>
      </c>
      <c r="B380" s="2">
        <v>0</v>
      </c>
      <c r="C380" t="s">
        <v>726</v>
      </c>
      <c r="D380" t="s">
        <v>718</v>
      </c>
      <c r="E380" t="s">
        <v>719</v>
      </c>
      <c r="F380" s="3">
        <v>43209</v>
      </c>
      <c r="G380" s="2">
        <v>40</v>
      </c>
      <c r="H380" s="1">
        <v>404.07</v>
      </c>
      <c r="I380" t="s">
        <v>727</v>
      </c>
      <c r="J380" s="2">
        <v>1</v>
      </c>
      <c r="K380" t="s">
        <v>13</v>
      </c>
      <c r="L380" t="s">
        <v>652</v>
      </c>
      <c r="M380" t="s">
        <v>15</v>
      </c>
    </row>
    <row r="381" spans="1:13" x14ac:dyDescent="0.25">
      <c r="A381" s="5">
        <v>43251</v>
      </c>
      <c r="B381" s="2">
        <v>0</v>
      </c>
      <c r="C381" t="s">
        <v>728</v>
      </c>
      <c r="D381" t="s">
        <v>718</v>
      </c>
      <c r="E381" t="s">
        <v>719</v>
      </c>
      <c r="F381" s="3">
        <v>43182</v>
      </c>
      <c r="G381" s="2">
        <v>69</v>
      </c>
      <c r="H381" s="1">
        <v>345.16</v>
      </c>
      <c r="I381" t="s">
        <v>722</v>
      </c>
      <c r="J381" s="2">
        <v>1</v>
      </c>
      <c r="K381" t="s">
        <v>13</v>
      </c>
      <c r="L381" t="s">
        <v>652</v>
      </c>
      <c r="M381" t="s">
        <v>15</v>
      </c>
    </row>
    <row r="382" spans="1:13" x14ac:dyDescent="0.25">
      <c r="A382" s="5">
        <v>43257</v>
      </c>
      <c r="B382" s="2">
        <v>0</v>
      </c>
      <c r="C382" t="s">
        <v>729</v>
      </c>
      <c r="D382" t="s">
        <v>718</v>
      </c>
      <c r="E382" t="s">
        <v>719</v>
      </c>
      <c r="F382" s="3">
        <v>43168</v>
      </c>
      <c r="G382" s="2">
        <v>89</v>
      </c>
      <c r="H382" s="1">
        <v>385.6</v>
      </c>
      <c r="I382" t="s">
        <v>725</v>
      </c>
      <c r="J382" s="2">
        <v>1</v>
      </c>
      <c r="K382" t="s">
        <v>13</v>
      </c>
      <c r="L382" t="s">
        <v>652</v>
      </c>
      <c r="M382" t="s">
        <v>15</v>
      </c>
    </row>
    <row r="383" spans="1:13" x14ac:dyDescent="0.25">
      <c r="A383" s="5">
        <v>43259</v>
      </c>
      <c r="B383" s="2">
        <v>0</v>
      </c>
      <c r="C383" t="s">
        <v>730</v>
      </c>
      <c r="D383" t="s">
        <v>731</v>
      </c>
      <c r="E383" t="s">
        <v>732</v>
      </c>
      <c r="F383" s="3">
        <v>43199</v>
      </c>
      <c r="G383" s="2">
        <v>60</v>
      </c>
      <c r="H383" s="1">
        <v>467.52</v>
      </c>
      <c r="I383" t="s">
        <v>733</v>
      </c>
      <c r="J383" s="2">
        <v>1</v>
      </c>
      <c r="K383" t="s">
        <v>13</v>
      </c>
      <c r="L383" t="s">
        <v>695</v>
      </c>
      <c r="M383" t="s">
        <v>90</v>
      </c>
    </row>
    <row r="384" spans="1:13" x14ac:dyDescent="0.25">
      <c r="A384" s="5">
        <v>43262</v>
      </c>
      <c r="B384" s="2">
        <v>0</v>
      </c>
      <c r="C384" t="s">
        <v>734</v>
      </c>
      <c r="D384" t="s">
        <v>735</v>
      </c>
      <c r="E384" t="s">
        <v>736</v>
      </c>
      <c r="F384" s="3">
        <v>43255</v>
      </c>
      <c r="G384" s="2">
        <v>7</v>
      </c>
      <c r="H384" s="1">
        <v>1402.77</v>
      </c>
      <c r="I384" t="s">
        <v>737</v>
      </c>
      <c r="J384" s="2">
        <v>1</v>
      </c>
      <c r="K384" t="s">
        <v>13</v>
      </c>
      <c r="L384" t="s">
        <v>21</v>
      </c>
      <c r="M384" t="s">
        <v>15</v>
      </c>
    </row>
    <row r="385" spans="1:13" x14ac:dyDescent="0.25">
      <c r="A385" s="5">
        <v>43269</v>
      </c>
      <c r="B385" s="2">
        <v>0</v>
      </c>
      <c r="C385" t="s">
        <v>738</v>
      </c>
      <c r="D385" t="s">
        <v>731</v>
      </c>
      <c r="E385" t="s">
        <v>732</v>
      </c>
      <c r="F385" s="3">
        <v>43199</v>
      </c>
      <c r="G385" s="2">
        <v>70</v>
      </c>
      <c r="H385" s="1">
        <v>379.34</v>
      </c>
      <c r="I385" t="s">
        <v>733</v>
      </c>
      <c r="J385" s="2">
        <v>1</v>
      </c>
      <c r="K385" t="s">
        <v>13</v>
      </c>
      <c r="L385" t="s">
        <v>695</v>
      </c>
      <c r="M385" t="s">
        <v>90</v>
      </c>
    </row>
    <row r="386" spans="1:13" x14ac:dyDescent="0.25">
      <c r="A386" s="5">
        <v>43270</v>
      </c>
      <c r="B386" s="2">
        <v>0</v>
      </c>
      <c r="C386" t="s">
        <v>739</v>
      </c>
      <c r="D386" t="s">
        <v>731</v>
      </c>
      <c r="E386" t="s">
        <v>732</v>
      </c>
      <c r="F386" s="3">
        <v>43202</v>
      </c>
      <c r="G386" s="2">
        <v>68</v>
      </c>
      <c r="H386" s="1">
        <v>507.06</v>
      </c>
      <c r="I386" t="s">
        <v>740</v>
      </c>
      <c r="J386" s="2">
        <v>1</v>
      </c>
      <c r="K386" t="s">
        <v>13</v>
      </c>
      <c r="L386" t="s">
        <v>695</v>
      </c>
      <c r="M386" t="s">
        <v>90</v>
      </c>
    </row>
    <row r="387" spans="1:13" x14ac:dyDescent="0.25">
      <c r="A387" s="5">
        <v>43273</v>
      </c>
      <c r="B387" s="2">
        <v>0</v>
      </c>
      <c r="C387" t="s">
        <v>741</v>
      </c>
      <c r="D387" t="s">
        <v>731</v>
      </c>
      <c r="E387" t="s">
        <v>732</v>
      </c>
      <c r="F387" s="3">
        <v>43203</v>
      </c>
      <c r="G387" s="2">
        <v>70</v>
      </c>
      <c r="H387" s="1">
        <v>379.19</v>
      </c>
      <c r="I387" t="s">
        <v>742</v>
      </c>
      <c r="J387" s="2">
        <v>1</v>
      </c>
      <c r="K387" t="s">
        <v>13</v>
      </c>
      <c r="L387" t="s">
        <v>695</v>
      </c>
      <c r="M387" t="s">
        <v>90</v>
      </c>
    </row>
    <row r="388" spans="1:13" x14ac:dyDescent="0.25">
      <c r="A388" s="5">
        <v>43290</v>
      </c>
      <c r="B388" s="2">
        <v>0</v>
      </c>
      <c r="C388" t="s">
        <v>745</v>
      </c>
      <c r="D388" t="s">
        <v>731</v>
      </c>
      <c r="E388" t="s">
        <v>732</v>
      </c>
      <c r="F388" s="3">
        <v>43228</v>
      </c>
      <c r="G388" s="2">
        <v>62</v>
      </c>
      <c r="H388" s="1">
        <v>400.69</v>
      </c>
      <c r="I388" t="s">
        <v>746</v>
      </c>
      <c r="J388" s="2">
        <v>1</v>
      </c>
      <c r="K388" t="s">
        <v>13</v>
      </c>
      <c r="L388" t="s">
        <v>695</v>
      </c>
      <c r="M388" t="s">
        <v>90</v>
      </c>
    </row>
    <row r="389" spans="1:13" x14ac:dyDescent="0.25">
      <c r="A389" s="5">
        <v>43291</v>
      </c>
      <c r="B389" s="2">
        <v>0</v>
      </c>
      <c r="C389" t="s">
        <v>747</v>
      </c>
      <c r="D389" t="s">
        <v>743</v>
      </c>
      <c r="E389" t="s">
        <v>744</v>
      </c>
      <c r="F389" s="3">
        <v>43231</v>
      </c>
      <c r="G389" s="2">
        <v>60</v>
      </c>
      <c r="H389" s="1">
        <v>264.47000000000003</v>
      </c>
      <c r="I389" t="s">
        <v>748</v>
      </c>
      <c r="J389" s="2">
        <v>1</v>
      </c>
      <c r="K389" t="s">
        <v>13</v>
      </c>
      <c r="L389" t="s">
        <v>695</v>
      </c>
      <c r="M389" t="s">
        <v>15</v>
      </c>
    </row>
    <row r="390" spans="1:13" x14ac:dyDescent="0.25">
      <c r="A390" s="5">
        <v>43292</v>
      </c>
      <c r="B390" s="2">
        <v>0</v>
      </c>
      <c r="C390" t="s">
        <v>749</v>
      </c>
      <c r="D390" t="s">
        <v>718</v>
      </c>
      <c r="E390" t="s">
        <v>719</v>
      </c>
      <c r="F390" s="3">
        <v>43237</v>
      </c>
      <c r="G390" s="2">
        <v>55</v>
      </c>
      <c r="H390" s="1">
        <v>390.37</v>
      </c>
      <c r="I390" t="s">
        <v>750</v>
      </c>
      <c r="J390" s="2">
        <v>1</v>
      </c>
      <c r="K390" t="s">
        <v>13</v>
      </c>
      <c r="L390" t="s">
        <v>652</v>
      </c>
      <c r="M390" t="s">
        <v>15</v>
      </c>
    </row>
    <row r="391" spans="1:13" x14ac:dyDescent="0.25">
      <c r="A391" s="5">
        <v>43297</v>
      </c>
      <c r="B391" s="2">
        <v>0</v>
      </c>
      <c r="C391" t="s">
        <v>751</v>
      </c>
      <c r="D391" t="s">
        <v>718</v>
      </c>
      <c r="E391" t="s">
        <v>719</v>
      </c>
      <c r="F391" s="3">
        <v>43229</v>
      </c>
      <c r="G391" s="2">
        <v>68</v>
      </c>
      <c r="H391" s="1">
        <v>290.04000000000002</v>
      </c>
      <c r="I391" t="s">
        <v>752</v>
      </c>
      <c r="J391" s="2">
        <v>1</v>
      </c>
      <c r="K391" t="s">
        <v>13</v>
      </c>
      <c r="L391" t="s">
        <v>652</v>
      </c>
      <c r="M391" t="s">
        <v>15</v>
      </c>
    </row>
    <row r="392" spans="1:13" x14ac:dyDescent="0.25">
      <c r="A392" s="5">
        <v>43297</v>
      </c>
      <c r="B392" s="2">
        <v>0</v>
      </c>
      <c r="C392" t="s">
        <v>753</v>
      </c>
      <c r="D392" t="s">
        <v>718</v>
      </c>
      <c r="E392" t="s">
        <v>719</v>
      </c>
      <c r="F392" s="3">
        <v>43231</v>
      </c>
      <c r="G392" s="2">
        <v>66</v>
      </c>
      <c r="H392" s="1">
        <v>303.75</v>
      </c>
      <c r="I392" t="s">
        <v>754</v>
      </c>
      <c r="J392" s="2">
        <v>1</v>
      </c>
      <c r="K392" t="s">
        <v>13</v>
      </c>
      <c r="L392" t="s">
        <v>652</v>
      </c>
      <c r="M392" t="s">
        <v>15</v>
      </c>
    </row>
    <row r="393" spans="1:13" x14ac:dyDescent="0.25">
      <c r="A393" s="5">
        <v>43297</v>
      </c>
      <c r="B393" s="2">
        <v>0</v>
      </c>
      <c r="C393" t="s">
        <v>755</v>
      </c>
      <c r="D393" t="s">
        <v>718</v>
      </c>
      <c r="E393" t="s">
        <v>719</v>
      </c>
      <c r="F393" s="3">
        <v>43237</v>
      </c>
      <c r="G393" s="2">
        <v>60</v>
      </c>
      <c r="H393" s="1">
        <v>390.37</v>
      </c>
      <c r="I393" t="s">
        <v>750</v>
      </c>
      <c r="J393" s="2">
        <v>1</v>
      </c>
      <c r="K393" t="s">
        <v>13</v>
      </c>
      <c r="L393" t="s">
        <v>652</v>
      </c>
      <c r="M393" t="s">
        <v>15</v>
      </c>
    </row>
    <row r="394" spans="1:13" x14ac:dyDescent="0.25">
      <c r="A394" s="5">
        <v>43297</v>
      </c>
      <c r="B394" s="2">
        <v>0</v>
      </c>
      <c r="C394" t="s">
        <v>756</v>
      </c>
      <c r="D394" t="s">
        <v>718</v>
      </c>
      <c r="E394" t="s">
        <v>719</v>
      </c>
      <c r="F394" s="3">
        <v>43245</v>
      </c>
      <c r="G394" s="2">
        <v>52</v>
      </c>
      <c r="H394" s="1">
        <v>335.88</v>
      </c>
      <c r="I394" t="s">
        <v>757</v>
      </c>
      <c r="J394" s="2">
        <v>1</v>
      </c>
      <c r="K394" t="s">
        <v>13</v>
      </c>
      <c r="L394" t="s">
        <v>652</v>
      </c>
      <c r="M394" t="s">
        <v>15</v>
      </c>
    </row>
    <row r="395" spans="1:13" x14ac:dyDescent="0.25">
      <c r="A395" s="5">
        <v>43298</v>
      </c>
      <c r="B395" s="2">
        <v>0</v>
      </c>
      <c r="C395" t="s">
        <v>758</v>
      </c>
      <c r="D395" t="s">
        <v>731</v>
      </c>
      <c r="E395" t="s">
        <v>732</v>
      </c>
      <c r="F395" s="3">
        <v>43228</v>
      </c>
      <c r="G395" s="2">
        <v>70</v>
      </c>
      <c r="H395" s="1">
        <v>325.17</v>
      </c>
      <c r="I395" t="s">
        <v>746</v>
      </c>
      <c r="J395" s="2">
        <v>1</v>
      </c>
      <c r="K395" t="s">
        <v>13</v>
      </c>
      <c r="L395" t="s">
        <v>695</v>
      </c>
      <c r="M395" t="s">
        <v>90</v>
      </c>
    </row>
    <row r="396" spans="1:13" x14ac:dyDescent="0.25">
      <c r="A396" s="5">
        <v>43298</v>
      </c>
      <c r="B396" s="2">
        <v>0</v>
      </c>
      <c r="C396" t="s">
        <v>759</v>
      </c>
      <c r="D396" t="s">
        <v>718</v>
      </c>
      <c r="E396" t="s">
        <v>719</v>
      </c>
      <c r="F396" s="3">
        <v>43248</v>
      </c>
      <c r="G396" s="2">
        <v>50</v>
      </c>
      <c r="H396" s="1">
        <v>345.24</v>
      </c>
      <c r="I396" t="s">
        <v>760</v>
      </c>
      <c r="J396" s="2">
        <v>1</v>
      </c>
      <c r="K396" t="s">
        <v>13</v>
      </c>
      <c r="L396" t="s">
        <v>652</v>
      </c>
      <c r="M396" t="s">
        <v>15</v>
      </c>
    </row>
    <row r="397" spans="1:13" x14ac:dyDescent="0.25">
      <c r="A397" s="5">
        <v>43300</v>
      </c>
      <c r="B397" s="2">
        <v>0</v>
      </c>
      <c r="C397" t="s">
        <v>761</v>
      </c>
      <c r="D397" t="s">
        <v>718</v>
      </c>
      <c r="E397" t="s">
        <v>719</v>
      </c>
      <c r="F397" s="3">
        <v>43242</v>
      </c>
      <c r="G397" s="2">
        <v>58</v>
      </c>
      <c r="H397" s="1">
        <v>440.57</v>
      </c>
      <c r="I397" t="s">
        <v>762</v>
      </c>
      <c r="J397" s="2">
        <v>1</v>
      </c>
      <c r="K397" t="s">
        <v>13</v>
      </c>
      <c r="L397" t="s">
        <v>652</v>
      </c>
      <c r="M397" t="s">
        <v>15</v>
      </c>
    </row>
    <row r="398" spans="1:13" x14ac:dyDescent="0.25">
      <c r="A398" s="5">
        <v>43301</v>
      </c>
      <c r="B398" s="2">
        <v>0</v>
      </c>
      <c r="C398" t="s">
        <v>763</v>
      </c>
      <c r="D398" t="s">
        <v>718</v>
      </c>
      <c r="E398" t="s">
        <v>719</v>
      </c>
      <c r="F398" s="3">
        <v>43217</v>
      </c>
      <c r="G398" s="2">
        <v>84</v>
      </c>
      <c r="H398" s="1">
        <v>382.8</v>
      </c>
      <c r="I398" t="s">
        <v>764</v>
      </c>
      <c r="J398" s="2">
        <v>1</v>
      </c>
      <c r="K398" t="s">
        <v>13</v>
      </c>
      <c r="L398" t="s">
        <v>652</v>
      </c>
      <c r="M398" t="s">
        <v>15</v>
      </c>
    </row>
    <row r="399" spans="1:13" x14ac:dyDescent="0.25">
      <c r="A399" s="5">
        <v>43304</v>
      </c>
      <c r="B399" s="2">
        <v>0</v>
      </c>
      <c r="C399" t="s">
        <v>765</v>
      </c>
      <c r="D399" t="s">
        <v>718</v>
      </c>
      <c r="E399" t="s">
        <v>719</v>
      </c>
      <c r="F399" s="3">
        <v>43242</v>
      </c>
      <c r="G399" s="2">
        <v>62</v>
      </c>
      <c r="H399" s="1">
        <v>354.96</v>
      </c>
      <c r="I399" t="s">
        <v>766</v>
      </c>
      <c r="J399" s="2">
        <v>1</v>
      </c>
      <c r="K399" t="s">
        <v>13</v>
      </c>
      <c r="L399" t="s">
        <v>652</v>
      </c>
      <c r="M399" t="s">
        <v>15</v>
      </c>
    </row>
    <row r="400" spans="1:13" x14ac:dyDescent="0.25">
      <c r="A400" s="5">
        <v>43305</v>
      </c>
      <c r="B400" s="2">
        <v>0</v>
      </c>
      <c r="C400" t="s">
        <v>767</v>
      </c>
      <c r="D400" t="s">
        <v>718</v>
      </c>
      <c r="E400" t="s">
        <v>719</v>
      </c>
      <c r="F400" s="3">
        <v>43231</v>
      </c>
      <c r="G400" s="2">
        <v>74</v>
      </c>
      <c r="H400" s="1">
        <v>303.75</v>
      </c>
      <c r="I400" t="s">
        <v>754</v>
      </c>
      <c r="J400" s="2">
        <v>1</v>
      </c>
      <c r="K400" t="s">
        <v>13</v>
      </c>
      <c r="L400" t="s">
        <v>652</v>
      </c>
      <c r="M400" t="s">
        <v>15</v>
      </c>
    </row>
    <row r="401" spans="1:13" x14ac:dyDescent="0.25">
      <c r="A401" s="5">
        <v>43305</v>
      </c>
      <c r="B401" s="2">
        <v>0</v>
      </c>
      <c r="C401" t="s">
        <v>768</v>
      </c>
      <c r="D401" t="s">
        <v>718</v>
      </c>
      <c r="E401" t="s">
        <v>719</v>
      </c>
      <c r="F401" s="3">
        <v>43245</v>
      </c>
      <c r="G401" s="2">
        <v>60</v>
      </c>
      <c r="H401" s="1">
        <v>335.88</v>
      </c>
      <c r="I401" t="s">
        <v>757</v>
      </c>
      <c r="J401" s="2">
        <v>1</v>
      </c>
      <c r="K401" t="s">
        <v>13</v>
      </c>
      <c r="L401" t="s">
        <v>652</v>
      </c>
      <c r="M401" t="s">
        <v>15</v>
      </c>
    </row>
    <row r="402" spans="1:13" x14ac:dyDescent="0.25">
      <c r="A402" s="5">
        <v>43307</v>
      </c>
      <c r="B402" s="2">
        <v>0</v>
      </c>
      <c r="C402" t="s">
        <v>769</v>
      </c>
      <c r="D402" t="s">
        <v>718</v>
      </c>
      <c r="E402" t="s">
        <v>719</v>
      </c>
      <c r="F402" s="3">
        <v>43229</v>
      </c>
      <c r="G402" s="2">
        <v>78</v>
      </c>
      <c r="H402" s="1">
        <v>290.04000000000002</v>
      </c>
      <c r="I402" t="s">
        <v>752</v>
      </c>
      <c r="J402" s="2">
        <v>1</v>
      </c>
      <c r="K402" t="s">
        <v>13</v>
      </c>
      <c r="L402" t="s">
        <v>652</v>
      </c>
      <c r="M402" t="s">
        <v>15</v>
      </c>
    </row>
    <row r="403" spans="1:13" x14ac:dyDescent="0.25">
      <c r="A403" s="5">
        <v>43308</v>
      </c>
      <c r="B403" s="2">
        <v>0</v>
      </c>
      <c r="C403" t="s">
        <v>770</v>
      </c>
      <c r="D403" t="s">
        <v>731</v>
      </c>
      <c r="E403" t="s">
        <v>732</v>
      </c>
      <c r="F403" s="3">
        <v>43228</v>
      </c>
      <c r="G403" s="2">
        <v>80</v>
      </c>
      <c r="H403" s="1">
        <v>325.17</v>
      </c>
      <c r="I403" t="s">
        <v>746</v>
      </c>
      <c r="J403" s="2">
        <v>1</v>
      </c>
      <c r="K403" t="s">
        <v>13</v>
      </c>
      <c r="L403" t="s">
        <v>695</v>
      </c>
      <c r="M403" t="s">
        <v>90</v>
      </c>
    </row>
    <row r="404" spans="1:13" x14ac:dyDescent="0.25">
      <c r="A404" s="5">
        <v>43308</v>
      </c>
      <c r="B404" s="2">
        <v>0</v>
      </c>
      <c r="C404" t="s">
        <v>771</v>
      </c>
      <c r="D404" t="s">
        <v>718</v>
      </c>
      <c r="E404" t="s">
        <v>719</v>
      </c>
      <c r="F404" s="3">
        <v>43248</v>
      </c>
      <c r="G404" s="2">
        <v>60</v>
      </c>
      <c r="H404" s="1">
        <v>345.24</v>
      </c>
      <c r="I404" t="s">
        <v>760</v>
      </c>
      <c r="J404" s="2">
        <v>1</v>
      </c>
      <c r="K404" t="s">
        <v>13</v>
      </c>
      <c r="L404" t="s">
        <v>652</v>
      </c>
      <c r="M404" t="s">
        <v>15</v>
      </c>
    </row>
    <row r="405" spans="1:13" x14ac:dyDescent="0.25">
      <c r="A405" s="5">
        <v>43311</v>
      </c>
      <c r="B405" s="2">
        <v>0</v>
      </c>
      <c r="C405" t="s">
        <v>772</v>
      </c>
      <c r="D405" t="s">
        <v>718</v>
      </c>
      <c r="E405" t="s">
        <v>719</v>
      </c>
      <c r="F405" s="3">
        <v>43217</v>
      </c>
      <c r="G405" s="2">
        <v>94</v>
      </c>
      <c r="H405" s="1">
        <v>382.8</v>
      </c>
      <c r="I405" t="s">
        <v>764</v>
      </c>
      <c r="J405" s="2">
        <v>1</v>
      </c>
      <c r="K405" t="s">
        <v>13</v>
      </c>
      <c r="L405" t="s">
        <v>652</v>
      </c>
      <c r="M405" t="s">
        <v>15</v>
      </c>
    </row>
    <row r="406" spans="1:13" x14ac:dyDescent="0.25">
      <c r="A406" s="5">
        <v>43311</v>
      </c>
      <c r="B406" s="2">
        <v>0</v>
      </c>
      <c r="C406" t="s">
        <v>773</v>
      </c>
      <c r="D406" t="s">
        <v>718</v>
      </c>
      <c r="E406" t="s">
        <v>719</v>
      </c>
      <c r="F406" s="3">
        <v>43229</v>
      </c>
      <c r="G406" s="2">
        <v>82</v>
      </c>
      <c r="H406" s="1">
        <v>365.2</v>
      </c>
      <c r="I406" t="s">
        <v>774</v>
      </c>
      <c r="J406" s="2">
        <v>1</v>
      </c>
      <c r="K406" t="s">
        <v>13</v>
      </c>
      <c r="L406" t="s">
        <v>652</v>
      </c>
      <c r="M406" t="s">
        <v>15</v>
      </c>
    </row>
    <row r="407" spans="1:13" x14ac:dyDescent="0.25">
      <c r="A407" s="5">
        <v>43311</v>
      </c>
      <c r="B407" s="2">
        <v>0</v>
      </c>
      <c r="C407" t="s">
        <v>775</v>
      </c>
      <c r="D407" t="s">
        <v>718</v>
      </c>
      <c r="E407" t="s">
        <v>719</v>
      </c>
      <c r="F407" s="3">
        <v>43242</v>
      </c>
      <c r="G407" s="2">
        <v>69</v>
      </c>
      <c r="H407" s="1">
        <v>357.49</v>
      </c>
      <c r="I407" t="s">
        <v>762</v>
      </c>
      <c r="J407" s="2">
        <v>1</v>
      </c>
      <c r="K407" t="s">
        <v>13</v>
      </c>
      <c r="L407" t="s">
        <v>652</v>
      </c>
      <c r="M407" t="s">
        <v>15</v>
      </c>
    </row>
    <row r="408" spans="1:13" x14ac:dyDescent="0.25">
      <c r="A408" s="5">
        <v>43311</v>
      </c>
      <c r="B408" s="2">
        <v>0</v>
      </c>
      <c r="C408" t="s">
        <v>776</v>
      </c>
      <c r="D408" t="s">
        <v>718</v>
      </c>
      <c r="E408" t="s">
        <v>719</v>
      </c>
      <c r="F408" s="3">
        <v>43255</v>
      </c>
      <c r="G408" s="2">
        <v>56</v>
      </c>
      <c r="H408" s="1">
        <v>283.39999999999998</v>
      </c>
      <c r="I408" t="s">
        <v>777</v>
      </c>
      <c r="J408" s="2">
        <v>1</v>
      </c>
      <c r="K408" t="s">
        <v>13</v>
      </c>
      <c r="L408" t="s">
        <v>652</v>
      </c>
      <c r="M408" t="s">
        <v>15</v>
      </c>
    </row>
    <row r="409" spans="1:13" x14ac:dyDescent="0.25">
      <c r="A409" s="5">
        <v>43311</v>
      </c>
      <c r="B409" s="2">
        <v>0</v>
      </c>
      <c r="C409" t="s">
        <v>778</v>
      </c>
      <c r="D409" t="s">
        <v>779</v>
      </c>
      <c r="E409" t="s">
        <v>780</v>
      </c>
      <c r="F409" s="3">
        <v>43244</v>
      </c>
      <c r="G409" s="2">
        <v>67</v>
      </c>
      <c r="H409" s="1">
        <v>402.26</v>
      </c>
      <c r="I409" t="s">
        <v>781</v>
      </c>
      <c r="J409" s="2">
        <v>1</v>
      </c>
      <c r="K409" t="s">
        <v>13</v>
      </c>
      <c r="L409" t="s">
        <v>695</v>
      </c>
      <c r="M409" t="s">
        <v>90</v>
      </c>
    </row>
    <row r="410" spans="1:13" x14ac:dyDescent="0.25">
      <c r="A410" s="5">
        <v>43314</v>
      </c>
      <c r="B410" s="2">
        <v>0</v>
      </c>
      <c r="C410" t="s">
        <v>782</v>
      </c>
      <c r="D410" t="s">
        <v>779</v>
      </c>
      <c r="E410" t="s">
        <v>780</v>
      </c>
      <c r="F410" s="3">
        <v>43263</v>
      </c>
      <c r="G410" s="2">
        <v>51</v>
      </c>
      <c r="H410" s="1">
        <v>342.71</v>
      </c>
      <c r="I410" t="s">
        <v>783</v>
      </c>
      <c r="J410" s="2">
        <v>1</v>
      </c>
      <c r="K410" t="s">
        <v>13</v>
      </c>
      <c r="L410" t="s">
        <v>695</v>
      </c>
      <c r="M410" t="s">
        <v>90</v>
      </c>
    </row>
    <row r="411" spans="1:13" x14ac:dyDescent="0.25">
      <c r="A411" s="5">
        <v>43315</v>
      </c>
      <c r="B411" s="2">
        <v>0</v>
      </c>
      <c r="C411" t="s">
        <v>784</v>
      </c>
      <c r="D411" t="s">
        <v>731</v>
      </c>
      <c r="E411" t="s">
        <v>732</v>
      </c>
      <c r="F411" s="3">
        <v>43255</v>
      </c>
      <c r="G411" s="2">
        <v>60</v>
      </c>
      <c r="H411" s="1">
        <v>387.57</v>
      </c>
      <c r="I411" t="s">
        <v>785</v>
      </c>
      <c r="J411" s="2">
        <v>1</v>
      </c>
      <c r="K411" t="s">
        <v>13</v>
      </c>
      <c r="L411" t="s">
        <v>695</v>
      </c>
      <c r="M411" t="s">
        <v>90</v>
      </c>
    </row>
    <row r="412" spans="1:13" x14ac:dyDescent="0.25">
      <c r="A412" s="5">
        <v>43315</v>
      </c>
      <c r="B412" s="2">
        <v>0</v>
      </c>
      <c r="C412" t="s">
        <v>786</v>
      </c>
      <c r="D412" t="s">
        <v>718</v>
      </c>
      <c r="E412" t="s">
        <v>719</v>
      </c>
      <c r="F412" s="3">
        <v>43231</v>
      </c>
      <c r="G412" s="2">
        <v>84</v>
      </c>
      <c r="H412" s="1">
        <v>303.75</v>
      </c>
      <c r="I412" t="s">
        <v>754</v>
      </c>
      <c r="J412" s="2">
        <v>1</v>
      </c>
      <c r="K412" t="s">
        <v>13</v>
      </c>
      <c r="L412" t="s">
        <v>652</v>
      </c>
      <c r="M412" t="s">
        <v>15</v>
      </c>
    </row>
    <row r="413" spans="1:13" x14ac:dyDescent="0.25">
      <c r="A413" s="5">
        <v>43315</v>
      </c>
      <c r="B413" s="2">
        <v>0</v>
      </c>
      <c r="C413" t="s">
        <v>787</v>
      </c>
      <c r="D413" t="s">
        <v>718</v>
      </c>
      <c r="E413" t="s">
        <v>719</v>
      </c>
      <c r="F413" s="3">
        <v>43245</v>
      </c>
      <c r="G413" s="2">
        <v>70</v>
      </c>
      <c r="H413" s="1">
        <v>335.89</v>
      </c>
      <c r="I413" t="s">
        <v>757</v>
      </c>
      <c r="J413" s="2">
        <v>1</v>
      </c>
      <c r="K413" t="s">
        <v>13</v>
      </c>
      <c r="L413" t="s">
        <v>652</v>
      </c>
      <c r="M413" t="s">
        <v>15</v>
      </c>
    </row>
    <row r="414" spans="1:13" x14ac:dyDescent="0.25">
      <c r="A414" s="5">
        <v>43318</v>
      </c>
      <c r="B414" s="2">
        <v>0</v>
      </c>
      <c r="C414" t="s">
        <v>788</v>
      </c>
      <c r="D414" t="s">
        <v>718</v>
      </c>
      <c r="E414" t="s">
        <v>719</v>
      </c>
      <c r="F414" s="3">
        <v>43259</v>
      </c>
      <c r="G414" s="2">
        <v>59</v>
      </c>
      <c r="H414" s="1">
        <v>262.57</v>
      </c>
      <c r="I414" t="s">
        <v>789</v>
      </c>
      <c r="J414" s="2">
        <v>1</v>
      </c>
      <c r="K414" t="s">
        <v>13</v>
      </c>
      <c r="L414" t="s">
        <v>652</v>
      </c>
      <c r="M414" t="s">
        <v>15</v>
      </c>
    </row>
    <row r="415" spans="1:13" x14ac:dyDescent="0.25">
      <c r="A415" s="5">
        <v>43319</v>
      </c>
      <c r="B415" s="2">
        <v>0</v>
      </c>
      <c r="C415" t="s">
        <v>790</v>
      </c>
      <c r="D415" t="s">
        <v>718</v>
      </c>
      <c r="E415" t="s">
        <v>719</v>
      </c>
      <c r="F415" s="3">
        <v>43259</v>
      </c>
      <c r="G415" s="2">
        <v>60</v>
      </c>
      <c r="H415" s="1">
        <v>484.81</v>
      </c>
      <c r="I415" t="s">
        <v>791</v>
      </c>
      <c r="J415" s="2">
        <v>1</v>
      </c>
      <c r="K415" t="s">
        <v>13</v>
      </c>
      <c r="L415" t="s">
        <v>652</v>
      </c>
      <c r="M415" t="s">
        <v>15</v>
      </c>
    </row>
    <row r="416" spans="1:13" x14ac:dyDescent="0.25">
      <c r="A416" s="5">
        <v>43320</v>
      </c>
      <c r="B416" s="2">
        <v>0</v>
      </c>
      <c r="C416" t="s">
        <v>792</v>
      </c>
      <c r="D416" t="s">
        <v>718</v>
      </c>
      <c r="E416" t="s">
        <v>719</v>
      </c>
      <c r="F416" s="3">
        <v>43242</v>
      </c>
      <c r="G416" s="2">
        <v>78</v>
      </c>
      <c r="H416" s="1">
        <v>357.49</v>
      </c>
      <c r="I416" t="s">
        <v>762</v>
      </c>
      <c r="J416" s="2">
        <v>1</v>
      </c>
      <c r="K416" t="s">
        <v>13</v>
      </c>
      <c r="L416" t="s">
        <v>652</v>
      </c>
      <c r="M416" t="s">
        <v>15</v>
      </c>
    </row>
    <row r="417" spans="1:13" x14ac:dyDescent="0.25">
      <c r="A417" s="5">
        <v>43320</v>
      </c>
      <c r="B417" s="2">
        <v>0</v>
      </c>
      <c r="C417" t="s">
        <v>793</v>
      </c>
      <c r="D417" t="s">
        <v>718</v>
      </c>
      <c r="E417" t="s">
        <v>719</v>
      </c>
      <c r="F417" s="3">
        <v>43255</v>
      </c>
      <c r="G417" s="2">
        <v>65</v>
      </c>
      <c r="H417" s="1">
        <v>216.59</v>
      </c>
      <c r="I417" t="s">
        <v>777</v>
      </c>
      <c r="J417" s="2">
        <v>1</v>
      </c>
      <c r="K417" t="s">
        <v>13</v>
      </c>
      <c r="L417" t="s">
        <v>652</v>
      </c>
      <c r="M417" t="s">
        <v>15</v>
      </c>
    </row>
    <row r="418" spans="1:13" x14ac:dyDescent="0.25">
      <c r="A418" s="5">
        <v>43321</v>
      </c>
      <c r="B418" s="2">
        <v>0</v>
      </c>
      <c r="C418" t="s">
        <v>794</v>
      </c>
      <c r="D418" t="s">
        <v>718</v>
      </c>
      <c r="E418" t="s">
        <v>719</v>
      </c>
      <c r="F418" s="3">
        <v>43266</v>
      </c>
      <c r="G418" s="2">
        <v>55</v>
      </c>
      <c r="H418" s="1">
        <v>450.68</v>
      </c>
      <c r="I418" t="s">
        <v>795</v>
      </c>
      <c r="J418" s="2">
        <v>1</v>
      </c>
      <c r="K418" t="s">
        <v>13</v>
      </c>
      <c r="L418" t="s">
        <v>652</v>
      </c>
      <c r="M418" t="s">
        <v>15</v>
      </c>
    </row>
    <row r="419" spans="1:13" x14ac:dyDescent="0.25">
      <c r="A419" s="5">
        <v>43325</v>
      </c>
      <c r="B419" s="2">
        <v>0</v>
      </c>
      <c r="C419" t="s">
        <v>796</v>
      </c>
      <c r="D419" t="s">
        <v>731</v>
      </c>
      <c r="E419" t="s">
        <v>732</v>
      </c>
      <c r="F419" s="3">
        <v>43255</v>
      </c>
      <c r="G419" s="2">
        <v>70</v>
      </c>
      <c r="H419" s="1">
        <v>317.27</v>
      </c>
      <c r="I419" t="s">
        <v>785</v>
      </c>
      <c r="J419" s="2">
        <v>1</v>
      </c>
      <c r="K419" t="s">
        <v>13</v>
      </c>
      <c r="L419" t="s">
        <v>695</v>
      </c>
      <c r="M419" t="s">
        <v>90</v>
      </c>
    </row>
    <row r="420" spans="1:13" x14ac:dyDescent="0.25">
      <c r="A420" s="5">
        <v>43325</v>
      </c>
      <c r="B420" s="2">
        <v>0</v>
      </c>
      <c r="C420" t="s">
        <v>797</v>
      </c>
      <c r="D420" t="s">
        <v>718</v>
      </c>
      <c r="E420" t="s">
        <v>719</v>
      </c>
      <c r="F420" s="3">
        <v>43255</v>
      </c>
      <c r="G420" s="2">
        <v>70</v>
      </c>
      <c r="H420" s="1">
        <v>141.01</v>
      </c>
      <c r="I420" t="s">
        <v>798</v>
      </c>
      <c r="J420" s="2">
        <v>1</v>
      </c>
      <c r="K420" t="s">
        <v>13</v>
      </c>
      <c r="L420" t="s">
        <v>652</v>
      </c>
      <c r="M420" t="s">
        <v>15</v>
      </c>
    </row>
    <row r="421" spans="1:13" x14ac:dyDescent="0.25">
      <c r="A421" s="5">
        <v>43325</v>
      </c>
      <c r="B421" s="2">
        <v>0</v>
      </c>
      <c r="C421" t="s">
        <v>799</v>
      </c>
      <c r="D421" t="s">
        <v>718</v>
      </c>
      <c r="E421" t="s">
        <v>719</v>
      </c>
      <c r="F421" s="3">
        <v>43263</v>
      </c>
      <c r="G421" s="2">
        <v>62</v>
      </c>
      <c r="H421" s="1">
        <v>297.91000000000003</v>
      </c>
      <c r="I421" t="s">
        <v>800</v>
      </c>
      <c r="J421" s="2">
        <v>1</v>
      </c>
      <c r="K421" t="s">
        <v>13</v>
      </c>
      <c r="L421" t="s">
        <v>652</v>
      </c>
      <c r="M421" t="s">
        <v>15</v>
      </c>
    </row>
    <row r="422" spans="1:13" x14ac:dyDescent="0.25">
      <c r="A422" s="5">
        <v>43327</v>
      </c>
      <c r="B422" s="2">
        <v>0</v>
      </c>
      <c r="C422" t="s">
        <v>801</v>
      </c>
      <c r="D422" t="s">
        <v>718</v>
      </c>
      <c r="E422" t="s">
        <v>719</v>
      </c>
      <c r="F422" s="3">
        <v>43272</v>
      </c>
      <c r="G422" s="2">
        <v>55</v>
      </c>
      <c r="H422" s="1">
        <v>352.33</v>
      </c>
      <c r="I422" t="s">
        <v>802</v>
      </c>
      <c r="J422" s="2">
        <v>1</v>
      </c>
      <c r="K422" t="s">
        <v>13</v>
      </c>
      <c r="L422" t="s">
        <v>652</v>
      </c>
      <c r="M422" t="s">
        <v>15</v>
      </c>
    </row>
    <row r="423" spans="1:13" x14ac:dyDescent="0.25">
      <c r="A423" s="5">
        <v>43329</v>
      </c>
      <c r="B423" s="2">
        <v>0</v>
      </c>
      <c r="C423" t="s">
        <v>803</v>
      </c>
      <c r="D423" t="s">
        <v>718</v>
      </c>
      <c r="E423" t="s">
        <v>719</v>
      </c>
      <c r="F423" s="3">
        <v>43259</v>
      </c>
      <c r="G423" s="2">
        <v>70</v>
      </c>
      <c r="H423" s="1">
        <v>393.35</v>
      </c>
      <c r="I423" t="s">
        <v>791</v>
      </c>
      <c r="J423" s="2">
        <v>1</v>
      </c>
      <c r="K423" t="s">
        <v>13</v>
      </c>
      <c r="L423" t="s">
        <v>652</v>
      </c>
      <c r="M423" t="s">
        <v>15</v>
      </c>
    </row>
    <row r="424" spans="1:13" x14ac:dyDescent="0.25">
      <c r="A424" s="5">
        <v>43332</v>
      </c>
      <c r="B424" s="2">
        <v>0</v>
      </c>
      <c r="C424" t="s">
        <v>804</v>
      </c>
      <c r="D424" t="s">
        <v>718</v>
      </c>
      <c r="E424" t="s">
        <v>719</v>
      </c>
      <c r="F424" s="3">
        <v>43255</v>
      </c>
      <c r="G424" s="2">
        <v>77</v>
      </c>
      <c r="H424" s="1">
        <v>216.59</v>
      </c>
      <c r="I424" t="s">
        <v>777</v>
      </c>
      <c r="J424" s="2">
        <v>1</v>
      </c>
      <c r="K424" t="s">
        <v>13</v>
      </c>
      <c r="L424" t="s">
        <v>652</v>
      </c>
      <c r="M424" t="s">
        <v>15</v>
      </c>
    </row>
    <row r="425" spans="1:13" x14ac:dyDescent="0.25">
      <c r="A425" s="5">
        <v>43332</v>
      </c>
      <c r="B425" s="2">
        <v>0</v>
      </c>
      <c r="C425" t="s">
        <v>805</v>
      </c>
      <c r="D425" t="s">
        <v>718</v>
      </c>
      <c r="E425" t="s">
        <v>719</v>
      </c>
      <c r="F425" s="3">
        <v>43266</v>
      </c>
      <c r="G425" s="2">
        <v>66</v>
      </c>
      <c r="H425" s="1">
        <v>349.41</v>
      </c>
      <c r="I425" t="s">
        <v>795</v>
      </c>
      <c r="J425" s="2">
        <v>1</v>
      </c>
      <c r="K425" t="s">
        <v>13</v>
      </c>
      <c r="L425" t="s">
        <v>652</v>
      </c>
      <c r="M425" t="s">
        <v>15</v>
      </c>
    </row>
    <row r="426" spans="1:13" x14ac:dyDescent="0.25">
      <c r="A426" s="5">
        <v>43332</v>
      </c>
      <c r="B426" s="2">
        <v>0</v>
      </c>
      <c r="C426" t="s">
        <v>806</v>
      </c>
      <c r="D426" t="s">
        <v>718</v>
      </c>
      <c r="E426" t="s">
        <v>719</v>
      </c>
      <c r="F426" s="3">
        <v>43272</v>
      </c>
      <c r="G426" s="2">
        <v>60</v>
      </c>
      <c r="H426" s="1">
        <v>274.8</v>
      </c>
      <c r="I426" t="s">
        <v>807</v>
      </c>
      <c r="J426" s="2">
        <v>1</v>
      </c>
      <c r="K426" t="s">
        <v>13</v>
      </c>
      <c r="L426" t="s">
        <v>652</v>
      </c>
      <c r="M426" t="s">
        <v>15</v>
      </c>
    </row>
    <row r="427" spans="1:13" x14ac:dyDescent="0.25">
      <c r="A427" s="5">
        <v>43332</v>
      </c>
      <c r="B427" s="2">
        <v>0</v>
      </c>
      <c r="C427" t="s">
        <v>808</v>
      </c>
      <c r="D427" t="s">
        <v>718</v>
      </c>
      <c r="E427" t="s">
        <v>719</v>
      </c>
      <c r="F427" s="3">
        <v>43277</v>
      </c>
      <c r="G427" s="2">
        <v>55</v>
      </c>
      <c r="H427" s="1">
        <v>344.15</v>
      </c>
      <c r="I427" t="s">
        <v>809</v>
      </c>
      <c r="J427" s="2">
        <v>1</v>
      </c>
      <c r="K427" t="s">
        <v>13</v>
      </c>
      <c r="L427" t="s">
        <v>652</v>
      </c>
      <c r="M427" t="s">
        <v>15</v>
      </c>
    </row>
    <row r="428" spans="1:13" x14ac:dyDescent="0.25">
      <c r="A428" s="5">
        <v>43333</v>
      </c>
      <c r="B428" s="2">
        <v>0</v>
      </c>
      <c r="C428" t="s">
        <v>810</v>
      </c>
      <c r="D428" t="s">
        <v>718</v>
      </c>
      <c r="E428" t="s">
        <v>719</v>
      </c>
      <c r="F428" s="3">
        <v>43263</v>
      </c>
      <c r="G428" s="2">
        <v>70</v>
      </c>
      <c r="H428" s="1">
        <v>242.65</v>
      </c>
      <c r="I428" t="s">
        <v>800</v>
      </c>
      <c r="J428" s="2">
        <v>1</v>
      </c>
      <c r="K428" t="s">
        <v>13</v>
      </c>
      <c r="L428" t="s">
        <v>652</v>
      </c>
      <c r="M428" t="s">
        <v>15</v>
      </c>
    </row>
    <row r="429" spans="1:13" x14ac:dyDescent="0.25">
      <c r="A429" s="5">
        <v>43334</v>
      </c>
      <c r="B429" s="2">
        <v>0</v>
      </c>
      <c r="C429" t="s">
        <v>811</v>
      </c>
      <c r="D429" t="s">
        <v>779</v>
      </c>
      <c r="E429" t="s">
        <v>780</v>
      </c>
      <c r="F429" s="3">
        <v>43259</v>
      </c>
      <c r="G429" s="2">
        <v>75</v>
      </c>
      <c r="H429" s="1">
        <v>206.3</v>
      </c>
      <c r="I429" t="s">
        <v>812</v>
      </c>
      <c r="J429" s="2">
        <v>1</v>
      </c>
      <c r="K429" t="s">
        <v>13</v>
      </c>
      <c r="L429" t="s">
        <v>695</v>
      </c>
      <c r="M429" t="s">
        <v>90</v>
      </c>
    </row>
    <row r="430" spans="1:13" x14ac:dyDescent="0.25">
      <c r="A430" s="5">
        <v>43334</v>
      </c>
      <c r="B430" s="2">
        <v>0</v>
      </c>
      <c r="C430" t="s">
        <v>813</v>
      </c>
      <c r="D430" t="s">
        <v>779</v>
      </c>
      <c r="E430" t="s">
        <v>780</v>
      </c>
      <c r="F430" s="3">
        <v>43263</v>
      </c>
      <c r="G430" s="2">
        <v>71</v>
      </c>
      <c r="H430" s="1">
        <v>278.2</v>
      </c>
      <c r="I430" t="s">
        <v>783</v>
      </c>
      <c r="J430" s="2">
        <v>1</v>
      </c>
      <c r="K430" t="s">
        <v>13</v>
      </c>
      <c r="L430" t="s">
        <v>695</v>
      </c>
      <c r="M430" t="s">
        <v>90</v>
      </c>
    </row>
    <row r="431" spans="1:13" x14ac:dyDescent="0.25">
      <c r="A431" s="5">
        <v>43335</v>
      </c>
      <c r="B431" s="2">
        <v>0</v>
      </c>
      <c r="C431" t="s">
        <v>814</v>
      </c>
      <c r="D431" t="s">
        <v>731</v>
      </c>
      <c r="E431" t="s">
        <v>732</v>
      </c>
      <c r="F431" s="3">
        <v>43255</v>
      </c>
      <c r="G431" s="2">
        <v>80</v>
      </c>
      <c r="H431" s="1">
        <v>317.27</v>
      </c>
      <c r="I431" t="s">
        <v>785</v>
      </c>
      <c r="J431" s="2">
        <v>1</v>
      </c>
      <c r="K431" t="s">
        <v>13</v>
      </c>
      <c r="L431" t="s">
        <v>695</v>
      </c>
      <c r="M431" t="s">
        <v>90</v>
      </c>
    </row>
    <row r="432" spans="1:13" x14ac:dyDescent="0.25">
      <c r="A432" s="5">
        <v>43336</v>
      </c>
      <c r="B432" s="2">
        <v>0</v>
      </c>
      <c r="C432" t="s">
        <v>815</v>
      </c>
      <c r="D432" t="s">
        <v>718</v>
      </c>
      <c r="E432" t="s">
        <v>719</v>
      </c>
      <c r="F432" s="3">
        <v>43266</v>
      </c>
      <c r="G432" s="2">
        <v>70</v>
      </c>
      <c r="H432" s="1">
        <v>114.72</v>
      </c>
      <c r="I432" t="s">
        <v>816</v>
      </c>
      <c r="J432" s="2">
        <v>1</v>
      </c>
      <c r="K432" t="s">
        <v>13</v>
      </c>
      <c r="L432" t="s">
        <v>652</v>
      </c>
      <c r="M432" t="s">
        <v>15</v>
      </c>
    </row>
    <row r="433" spans="1:13" x14ac:dyDescent="0.25">
      <c r="A433" s="5">
        <v>43339</v>
      </c>
      <c r="B433" s="2">
        <v>0</v>
      </c>
      <c r="C433" t="s">
        <v>817</v>
      </c>
      <c r="D433" t="s">
        <v>718</v>
      </c>
      <c r="E433" t="s">
        <v>719</v>
      </c>
      <c r="F433" s="3">
        <v>43259</v>
      </c>
      <c r="G433" s="2">
        <v>80</v>
      </c>
      <c r="H433" s="1">
        <v>393.35</v>
      </c>
      <c r="I433" t="s">
        <v>791</v>
      </c>
      <c r="J433" s="2">
        <v>1</v>
      </c>
      <c r="K433" t="s">
        <v>13</v>
      </c>
      <c r="L433" t="s">
        <v>652</v>
      </c>
      <c r="M433" t="s">
        <v>15</v>
      </c>
    </row>
    <row r="434" spans="1:13" x14ac:dyDescent="0.25">
      <c r="A434" s="5">
        <v>43339</v>
      </c>
      <c r="B434" s="2">
        <v>0</v>
      </c>
      <c r="C434" t="s">
        <v>818</v>
      </c>
      <c r="D434" t="s">
        <v>718</v>
      </c>
      <c r="E434" t="s">
        <v>719</v>
      </c>
      <c r="F434" s="3">
        <v>43259</v>
      </c>
      <c r="G434" s="2">
        <v>80</v>
      </c>
      <c r="H434" s="1">
        <v>227.48</v>
      </c>
      <c r="I434" t="s">
        <v>789</v>
      </c>
      <c r="J434" s="2">
        <v>1</v>
      </c>
      <c r="K434" t="s">
        <v>13</v>
      </c>
      <c r="L434" t="s">
        <v>652</v>
      </c>
      <c r="M434" t="s">
        <v>15</v>
      </c>
    </row>
    <row r="435" spans="1:13" x14ac:dyDescent="0.25">
      <c r="A435" s="5">
        <v>43339</v>
      </c>
      <c r="B435" s="2">
        <v>0</v>
      </c>
      <c r="C435" t="s">
        <v>819</v>
      </c>
      <c r="D435" t="s">
        <v>718</v>
      </c>
      <c r="E435" t="s">
        <v>719</v>
      </c>
      <c r="F435" s="3">
        <v>43272</v>
      </c>
      <c r="G435" s="2">
        <v>67</v>
      </c>
      <c r="H435" s="1">
        <v>269.14999999999998</v>
      </c>
      <c r="I435" t="s">
        <v>802</v>
      </c>
      <c r="J435" s="2">
        <v>1</v>
      </c>
      <c r="K435" t="s">
        <v>13</v>
      </c>
      <c r="L435" t="s">
        <v>652</v>
      </c>
      <c r="M435" t="s">
        <v>15</v>
      </c>
    </row>
    <row r="436" spans="1:13" x14ac:dyDescent="0.25">
      <c r="A436" s="5">
        <v>43339</v>
      </c>
      <c r="B436" s="2">
        <v>0</v>
      </c>
      <c r="C436" t="s">
        <v>820</v>
      </c>
      <c r="D436" t="s">
        <v>718</v>
      </c>
      <c r="E436" t="s">
        <v>719</v>
      </c>
      <c r="F436" s="3">
        <v>43280</v>
      </c>
      <c r="G436" s="2">
        <v>59</v>
      </c>
      <c r="H436" s="1">
        <v>332.92</v>
      </c>
      <c r="I436" t="s">
        <v>821</v>
      </c>
      <c r="J436" s="2">
        <v>1</v>
      </c>
      <c r="K436" t="s">
        <v>13</v>
      </c>
      <c r="L436" t="s">
        <v>652</v>
      </c>
      <c r="M436" t="s">
        <v>15</v>
      </c>
    </row>
    <row r="437" spans="1:13" x14ac:dyDescent="0.25">
      <c r="A437" s="5">
        <v>43339</v>
      </c>
      <c r="B437" s="2">
        <v>0</v>
      </c>
      <c r="C437" t="s">
        <v>822</v>
      </c>
      <c r="D437" t="s">
        <v>718</v>
      </c>
      <c r="E437" t="s">
        <v>719</v>
      </c>
      <c r="F437" s="3">
        <v>43290</v>
      </c>
      <c r="G437" s="2">
        <v>49</v>
      </c>
      <c r="H437" s="1">
        <v>367.67</v>
      </c>
      <c r="I437" t="s">
        <v>823</v>
      </c>
      <c r="J437" s="2">
        <v>1</v>
      </c>
      <c r="K437" t="s">
        <v>13</v>
      </c>
      <c r="L437" t="s">
        <v>652</v>
      </c>
      <c r="M437" t="s">
        <v>15</v>
      </c>
    </row>
    <row r="438" spans="1:13" x14ac:dyDescent="0.25">
      <c r="A438" s="5">
        <v>43340</v>
      </c>
      <c r="B438" s="2">
        <v>0</v>
      </c>
      <c r="C438" t="s">
        <v>824</v>
      </c>
      <c r="D438" t="s">
        <v>718</v>
      </c>
      <c r="E438" t="s">
        <v>719</v>
      </c>
      <c r="F438" s="3">
        <v>43255</v>
      </c>
      <c r="G438" s="2">
        <v>85</v>
      </c>
      <c r="H438" s="1">
        <v>216.59</v>
      </c>
      <c r="I438" t="s">
        <v>777</v>
      </c>
      <c r="J438" s="2">
        <v>1</v>
      </c>
      <c r="K438" t="s">
        <v>13</v>
      </c>
      <c r="L438" t="s">
        <v>652</v>
      </c>
      <c r="M438" t="s">
        <v>15</v>
      </c>
    </row>
    <row r="439" spans="1:13" x14ac:dyDescent="0.25">
      <c r="A439" s="5">
        <v>43341</v>
      </c>
      <c r="B439" s="2">
        <v>0</v>
      </c>
      <c r="C439" t="s">
        <v>825</v>
      </c>
      <c r="D439" t="s">
        <v>718</v>
      </c>
      <c r="E439" t="s">
        <v>719</v>
      </c>
      <c r="F439" s="3">
        <v>43266</v>
      </c>
      <c r="G439" s="2">
        <v>75</v>
      </c>
      <c r="H439" s="1">
        <v>349.41</v>
      </c>
      <c r="I439" t="s">
        <v>795</v>
      </c>
      <c r="J439" s="2">
        <v>1</v>
      </c>
      <c r="K439" t="s">
        <v>13</v>
      </c>
      <c r="L439" t="s">
        <v>652</v>
      </c>
      <c r="M439" t="s">
        <v>15</v>
      </c>
    </row>
    <row r="440" spans="1:13" x14ac:dyDescent="0.25">
      <c r="A440" s="5">
        <v>43342</v>
      </c>
      <c r="B440" s="2">
        <v>0</v>
      </c>
      <c r="C440" t="s">
        <v>826</v>
      </c>
      <c r="D440" t="s">
        <v>718</v>
      </c>
      <c r="E440" t="s">
        <v>719</v>
      </c>
      <c r="F440" s="3">
        <v>43277</v>
      </c>
      <c r="G440" s="2">
        <v>65</v>
      </c>
      <c r="H440" s="1">
        <v>262.91000000000003</v>
      </c>
      <c r="I440" t="s">
        <v>809</v>
      </c>
      <c r="J440" s="2">
        <v>1</v>
      </c>
      <c r="K440" t="s">
        <v>13</v>
      </c>
      <c r="L440" t="s">
        <v>652</v>
      </c>
      <c r="M440" t="s">
        <v>15</v>
      </c>
    </row>
    <row r="441" spans="1:13" x14ac:dyDescent="0.25">
      <c r="A441" s="5">
        <v>43343</v>
      </c>
      <c r="B441" s="2">
        <v>0</v>
      </c>
      <c r="C441" t="s">
        <v>827</v>
      </c>
      <c r="D441" t="s">
        <v>718</v>
      </c>
      <c r="E441" t="s">
        <v>719</v>
      </c>
      <c r="F441" s="3">
        <v>43263</v>
      </c>
      <c r="G441" s="2">
        <v>80</v>
      </c>
      <c r="H441" s="1">
        <v>242.65</v>
      </c>
      <c r="I441" t="s">
        <v>800</v>
      </c>
      <c r="J441" s="2">
        <v>1</v>
      </c>
      <c r="K441" t="s">
        <v>13</v>
      </c>
      <c r="L441" t="s">
        <v>652</v>
      </c>
      <c r="M441" t="s">
        <v>15</v>
      </c>
    </row>
    <row r="442" spans="1:13" x14ac:dyDescent="0.25">
      <c r="A442" s="5">
        <v>43374</v>
      </c>
      <c r="B442" s="2">
        <v>0</v>
      </c>
      <c r="C442" t="s">
        <v>828</v>
      </c>
      <c r="D442" t="s">
        <v>293</v>
      </c>
      <c r="E442" t="s">
        <v>294</v>
      </c>
      <c r="F442" s="3">
        <v>43354</v>
      </c>
      <c r="G442" s="2">
        <v>20</v>
      </c>
      <c r="H442" s="1">
        <v>376.72</v>
      </c>
      <c r="I442" t="s">
        <v>829</v>
      </c>
      <c r="J442" s="2">
        <v>1</v>
      </c>
      <c r="K442" t="s">
        <v>13</v>
      </c>
      <c r="L442" t="s">
        <v>830</v>
      </c>
      <c r="M442" t="s">
        <v>296</v>
      </c>
    </row>
    <row r="443" spans="1:13" x14ac:dyDescent="0.25">
      <c r="A443" s="5">
        <v>43381</v>
      </c>
      <c r="B443" s="2">
        <v>0</v>
      </c>
      <c r="C443" t="s">
        <v>831</v>
      </c>
      <c r="D443" t="s">
        <v>832</v>
      </c>
      <c r="E443" t="s">
        <v>833</v>
      </c>
      <c r="F443" s="3">
        <v>43326</v>
      </c>
      <c r="G443" s="2">
        <v>55</v>
      </c>
      <c r="H443" s="1">
        <v>343.57</v>
      </c>
      <c r="I443" t="s">
        <v>834</v>
      </c>
      <c r="J443" s="2">
        <v>1</v>
      </c>
      <c r="K443" t="s">
        <v>13</v>
      </c>
      <c r="L443" t="s">
        <v>652</v>
      </c>
      <c r="M443" t="s">
        <v>15</v>
      </c>
    </row>
    <row r="444" spans="1:13" x14ac:dyDescent="0.25">
      <c r="A444" s="5">
        <v>43388</v>
      </c>
      <c r="B444" s="2">
        <v>0</v>
      </c>
      <c r="C444" t="s">
        <v>835</v>
      </c>
      <c r="D444" t="s">
        <v>832</v>
      </c>
      <c r="E444" t="s">
        <v>833</v>
      </c>
      <c r="F444" s="3">
        <v>43308</v>
      </c>
      <c r="G444" s="2">
        <v>80</v>
      </c>
      <c r="H444" s="1">
        <v>201.14</v>
      </c>
      <c r="I444" t="s">
        <v>836</v>
      </c>
      <c r="J444" s="2">
        <v>1</v>
      </c>
      <c r="K444" t="s">
        <v>13</v>
      </c>
      <c r="L444" t="s">
        <v>652</v>
      </c>
      <c r="M444" t="s">
        <v>15</v>
      </c>
    </row>
    <row r="445" spans="1:13" x14ac:dyDescent="0.25">
      <c r="A445" s="5">
        <v>43395</v>
      </c>
      <c r="B445" s="2">
        <v>0</v>
      </c>
      <c r="C445" t="s">
        <v>837</v>
      </c>
      <c r="D445" t="s">
        <v>838</v>
      </c>
      <c r="E445" t="s">
        <v>839</v>
      </c>
      <c r="F445" s="3">
        <v>43363</v>
      </c>
      <c r="G445" s="2">
        <v>32</v>
      </c>
      <c r="H445" s="1">
        <v>476.83</v>
      </c>
      <c r="I445" t="s">
        <v>840</v>
      </c>
      <c r="J445" s="2">
        <v>1</v>
      </c>
      <c r="K445" t="s">
        <v>13</v>
      </c>
      <c r="L445" t="s">
        <v>554</v>
      </c>
      <c r="M445" t="s">
        <v>841</v>
      </c>
    </row>
    <row r="446" spans="1:13" x14ac:dyDescent="0.25">
      <c r="A446" s="5">
        <v>43396</v>
      </c>
      <c r="B446" s="2">
        <v>0</v>
      </c>
      <c r="C446" t="s">
        <v>842</v>
      </c>
      <c r="D446" t="s">
        <v>832</v>
      </c>
      <c r="E446" t="s">
        <v>833</v>
      </c>
      <c r="F446" s="3">
        <v>43326</v>
      </c>
      <c r="G446" s="2">
        <v>70</v>
      </c>
      <c r="H446" s="1">
        <v>383.9</v>
      </c>
      <c r="I446" t="s">
        <v>843</v>
      </c>
      <c r="J446" s="2">
        <v>1</v>
      </c>
      <c r="K446" t="s">
        <v>13</v>
      </c>
      <c r="L446" t="s">
        <v>652</v>
      </c>
      <c r="M446" t="s">
        <v>15</v>
      </c>
    </row>
    <row r="447" spans="1:13" x14ac:dyDescent="0.25">
      <c r="A447" s="5">
        <v>43403</v>
      </c>
      <c r="B447" s="2">
        <v>0</v>
      </c>
      <c r="C447" t="s">
        <v>844</v>
      </c>
      <c r="D447" t="s">
        <v>838</v>
      </c>
      <c r="E447" t="s">
        <v>839</v>
      </c>
      <c r="F447" s="3">
        <v>43363</v>
      </c>
      <c r="G447" s="2">
        <v>40</v>
      </c>
      <c r="H447" s="1">
        <v>476.84</v>
      </c>
      <c r="I447" t="s">
        <v>840</v>
      </c>
      <c r="J447" s="2">
        <v>1</v>
      </c>
      <c r="K447" t="s">
        <v>13</v>
      </c>
      <c r="L447" t="s">
        <v>554</v>
      </c>
      <c r="M447" t="s">
        <v>841</v>
      </c>
    </row>
    <row r="448" spans="1:13" x14ac:dyDescent="0.25">
      <c r="A448" s="5">
        <v>43411</v>
      </c>
      <c r="B448" s="2">
        <v>0</v>
      </c>
      <c r="C448" t="s">
        <v>845</v>
      </c>
      <c r="D448" t="s">
        <v>832</v>
      </c>
      <c r="E448" t="s">
        <v>833</v>
      </c>
      <c r="F448" s="3">
        <v>43326</v>
      </c>
      <c r="G448" s="2">
        <v>85</v>
      </c>
      <c r="H448" s="1">
        <v>297.57</v>
      </c>
      <c r="I448" t="s">
        <v>834</v>
      </c>
      <c r="J448" s="2">
        <v>1</v>
      </c>
      <c r="K448" t="s">
        <v>13</v>
      </c>
      <c r="L448" t="s">
        <v>652</v>
      </c>
      <c r="M448" t="s">
        <v>15</v>
      </c>
    </row>
    <row r="449" spans="1:13" x14ac:dyDescent="0.25">
      <c r="A449" s="5">
        <v>43423</v>
      </c>
      <c r="B449" s="2">
        <v>0</v>
      </c>
      <c r="C449" t="s">
        <v>849</v>
      </c>
      <c r="D449" t="s">
        <v>293</v>
      </c>
      <c r="E449" t="s">
        <v>294</v>
      </c>
      <c r="F449" s="3">
        <v>43361</v>
      </c>
      <c r="G449" s="2">
        <v>62</v>
      </c>
      <c r="H449" s="1">
        <v>362.02</v>
      </c>
      <c r="I449" t="s">
        <v>850</v>
      </c>
      <c r="J449" s="2">
        <v>1</v>
      </c>
      <c r="K449" t="s">
        <v>13</v>
      </c>
      <c r="L449" t="s">
        <v>830</v>
      </c>
      <c r="M449" t="s">
        <v>296</v>
      </c>
    </row>
    <row r="450" spans="1:13" x14ac:dyDescent="0.25">
      <c r="A450" s="5">
        <v>43424</v>
      </c>
      <c r="B450" s="2">
        <v>0</v>
      </c>
      <c r="C450" t="s">
        <v>851</v>
      </c>
      <c r="D450" t="s">
        <v>735</v>
      </c>
      <c r="E450" t="s">
        <v>736</v>
      </c>
      <c r="F450" s="3">
        <v>43364</v>
      </c>
      <c r="G450" s="2">
        <v>60</v>
      </c>
      <c r="H450" s="1">
        <v>1923.95</v>
      </c>
      <c r="I450" t="s">
        <v>852</v>
      </c>
      <c r="J450" s="2">
        <v>1</v>
      </c>
      <c r="K450" t="s">
        <v>13</v>
      </c>
      <c r="L450" t="s">
        <v>21</v>
      </c>
      <c r="M450" t="s">
        <v>15</v>
      </c>
    </row>
    <row r="451" spans="1:13" x14ac:dyDescent="0.25">
      <c r="A451" s="5">
        <v>43424</v>
      </c>
      <c r="B451" s="2">
        <v>0</v>
      </c>
      <c r="C451" t="s">
        <v>853</v>
      </c>
      <c r="D451" t="s">
        <v>735</v>
      </c>
      <c r="E451" t="s">
        <v>736</v>
      </c>
      <c r="F451" s="3">
        <v>43364</v>
      </c>
      <c r="G451" s="2">
        <v>60</v>
      </c>
      <c r="H451" s="1">
        <v>5405.72</v>
      </c>
      <c r="I451" t="s">
        <v>854</v>
      </c>
      <c r="J451" s="2">
        <v>1</v>
      </c>
      <c r="K451" t="s">
        <v>13</v>
      </c>
      <c r="L451" t="s">
        <v>21</v>
      </c>
      <c r="M451" t="s">
        <v>15</v>
      </c>
    </row>
    <row r="452" spans="1:13" x14ac:dyDescent="0.25">
      <c r="A452" s="5">
        <v>43431</v>
      </c>
      <c r="B452" s="2">
        <v>0</v>
      </c>
      <c r="C452" t="s">
        <v>855</v>
      </c>
      <c r="D452" t="s">
        <v>293</v>
      </c>
      <c r="E452" t="s">
        <v>294</v>
      </c>
      <c r="F452" s="3">
        <v>43361</v>
      </c>
      <c r="G452" s="2">
        <v>70</v>
      </c>
      <c r="H452" s="1">
        <v>295.01</v>
      </c>
      <c r="I452" t="s">
        <v>850</v>
      </c>
      <c r="J452" s="2">
        <v>1</v>
      </c>
      <c r="K452" t="s">
        <v>13</v>
      </c>
      <c r="L452" t="s">
        <v>830</v>
      </c>
      <c r="M452" t="s">
        <v>296</v>
      </c>
    </row>
    <row r="453" spans="1:13" x14ac:dyDescent="0.25">
      <c r="A453" s="5">
        <v>43433</v>
      </c>
      <c r="B453" s="2">
        <v>0</v>
      </c>
      <c r="C453" t="s">
        <v>856</v>
      </c>
      <c r="D453" t="s">
        <v>846</v>
      </c>
      <c r="E453" t="s">
        <v>847</v>
      </c>
      <c r="F453" s="3">
        <v>43363</v>
      </c>
      <c r="G453" s="2">
        <v>70</v>
      </c>
      <c r="H453" s="1">
        <v>208.67</v>
      </c>
      <c r="I453" t="s">
        <v>848</v>
      </c>
      <c r="J453" s="2">
        <v>1</v>
      </c>
      <c r="K453" t="s">
        <v>13</v>
      </c>
      <c r="L453" t="s">
        <v>695</v>
      </c>
      <c r="M453" t="s">
        <v>15</v>
      </c>
    </row>
    <row r="454" spans="1:13" x14ac:dyDescent="0.25">
      <c r="A454" s="5">
        <v>43433</v>
      </c>
      <c r="B454" s="2">
        <v>0</v>
      </c>
      <c r="C454" t="s">
        <v>857</v>
      </c>
      <c r="D454" t="s">
        <v>846</v>
      </c>
      <c r="E454" t="s">
        <v>847</v>
      </c>
      <c r="F454" s="3">
        <v>43383</v>
      </c>
      <c r="G454" s="2">
        <v>50</v>
      </c>
      <c r="H454" s="1">
        <v>233.54</v>
      </c>
      <c r="I454" t="s">
        <v>858</v>
      </c>
      <c r="J454" s="2">
        <v>1</v>
      </c>
      <c r="K454" t="s">
        <v>13</v>
      </c>
      <c r="L454" t="s">
        <v>695</v>
      </c>
      <c r="M454" t="s">
        <v>15</v>
      </c>
    </row>
    <row r="455" spans="1:13" x14ac:dyDescent="0.25">
      <c r="A455" s="5">
        <v>43441</v>
      </c>
      <c r="B455" s="2">
        <v>0</v>
      </c>
      <c r="C455" t="s">
        <v>859</v>
      </c>
      <c r="D455" t="s">
        <v>293</v>
      </c>
      <c r="E455" t="s">
        <v>294</v>
      </c>
      <c r="F455" s="3">
        <v>43361</v>
      </c>
      <c r="G455" s="2">
        <v>80</v>
      </c>
      <c r="H455" s="1">
        <v>295.01</v>
      </c>
      <c r="I455" t="s">
        <v>850</v>
      </c>
      <c r="J455" s="2">
        <v>1</v>
      </c>
      <c r="K455" t="s">
        <v>13</v>
      </c>
      <c r="L455" t="s">
        <v>830</v>
      </c>
      <c r="M455" t="s">
        <v>296</v>
      </c>
    </row>
    <row r="456" spans="1:13" x14ac:dyDescent="0.25">
      <c r="A456" s="5">
        <v>43446</v>
      </c>
      <c r="B456" s="2">
        <v>0</v>
      </c>
      <c r="C456" t="s">
        <v>860</v>
      </c>
      <c r="D456" t="s">
        <v>861</v>
      </c>
      <c r="E456" t="s">
        <v>862</v>
      </c>
      <c r="F456" s="3">
        <v>43396</v>
      </c>
      <c r="G456" s="2">
        <v>50</v>
      </c>
      <c r="H456" s="1">
        <v>1320.96</v>
      </c>
      <c r="I456" t="s">
        <v>863</v>
      </c>
      <c r="J456" s="2">
        <v>1</v>
      </c>
      <c r="K456" t="s">
        <v>13</v>
      </c>
      <c r="L456" t="s">
        <v>695</v>
      </c>
      <c r="M456" t="s">
        <v>15</v>
      </c>
    </row>
    <row r="457" spans="1:13" x14ac:dyDescent="0.25">
      <c r="A457" s="5">
        <v>43459</v>
      </c>
      <c r="B457" s="2">
        <v>0</v>
      </c>
      <c r="C457" t="s">
        <v>864</v>
      </c>
      <c r="D457" t="s">
        <v>865</v>
      </c>
      <c r="E457" t="s">
        <v>866</v>
      </c>
      <c r="F457" s="3">
        <v>43389</v>
      </c>
      <c r="G457" s="2">
        <v>70</v>
      </c>
      <c r="H457" s="1">
        <v>593.65</v>
      </c>
      <c r="I457" t="s">
        <v>867</v>
      </c>
      <c r="J457" s="2">
        <v>1</v>
      </c>
      <c r="K457" t="s">
        <v>13</v>
      </c>
      <c r="L457" t="s">
        <v>671</v>
      </c>
      <c r="M457" t="s">
        <v>15</v>
      </c>
    </row>
    <row r="458" spans="1:13" x14ac:dyDescent="0.25">
      <c r="A458" s="5">
        <v>43459</v>
      </c>
      <c r="B458" s="2">
        <v>0</v>
      </c>
      <c r="C458" t="s">
        <v>868</v>
      </c>
      <c r="D458" t="s">
        <v>869</v>
      </c>
      <c r="E458" t="s">
        <v>870</v>
      </c>
      <c r="F458" s="3">
        <v>43389</v>
      </c>
      <c r="G458" s="2">
        <v>70</v>
      </c>
      <c r="H458" s="1">
        <v>629.88</v>
      </c>
      <c r="I458" t="s">
        <v>871</v>
      </c>
      <c r="J458" s="2">
        <v>1</v>
      </c>
      <c r="K458" t="s">
        <v>13</v>
      </c>
      <c r="L458" t="s">
        <v>671</v>
      </c>
      <c r="M458" t="s">
        <v>15</v>
      </c>
    </row>
    <row r="459" spans="1:13" x14ac:dyDescent="0.25">
      <c r="A459" s="5">
        <v>43459</v>
      </c>
      <c r="B459" s="2">
        <v>0</v>
      </c>
      <c r="C459" t="s">
        <v>872</v>
      </c>
      <c r="D459" t="s">
        <v>873</v>
      </c>
      <c r="E459" t="s">
        <v>874</v>
      </c>
      <c r="F459" s="3">
        <v>43389</v>
      </c>
      <c r="G459" s="2">
        <v>70</v>
      </c>
      <c r="H459" s="1">
        <v>507.51</v>
      </c>
      <c r="I459" t="s">
        <v>875</v>
      </c>
      <c r="J459" s="2">
        <v>1</v>
      </c>
      <c r="K459" t="s">
        <v>13</v>
      </c>
      <c r="L459" t="s">
        <v>671</v>
      </c>
      <c r="M459" t="s">
        <v>15</v>
      </c>
    </row>
    <row r="460" spans="1:13" x14ac:dyDescent="0.25">
      <c r="A460" s="5">
        <v>43459</v>
      </c>
      <c r="B460" s="2">
        <v>0</v>
      </c>
      <c r="C460" t="s">
        <v>876</v>
      </c>
      <c r="D460" t="s">
        <v>877</v>
      </c>
      <c r="E460" t="s">
        <v>878</v>
      </c>
      <c r="F460" s="3">
        <v>43389</v>
      </c>
      <c r="G460" s="2">
        <v>70</v>
      </c>
      <c r="H460" s="1">
        <v>1534.48</v>
      </c>
      <c r="I460" t="s">
        <v>879</v>
      </c>
      <c r="J460" s="2">
        <v>1</v>
      </c>
      <c r="K460" t="s">
        <v>13</v>
      </c>
      <c r="L460" t="s">
        <v>671</v>
      </c>
      <c r="M460" t="s">
        <v>15</v>
      </c>
    </row>
    <row r="461" spans="1:13" x14ac:dyDescent="0.25">
      <c r="A461" s="5">
        <v>43460</v>
      </c>
      <c r="B461" s="2">
        <v>0</v>
      </c>
      <c r="C461" t="s">
        <v>880</v>
      </c>
      <c r="D461" t="s">
        <v>881</v>
      </c>
      <c r="E461" t="s">
        <v>866</v>
      </c>
      <c r="F461" s="3">
        <v>43390</v>
      </c>
      <c r="G461" s="2">
        <v>70</v>
      </c>
      <c r="H461" s="1">
        <v>352.25</v>
      </c>
      <c r="I461" t="s">
        <v>882</v>
      </c>
      <c r="J461" s="2">
        <v>1</v>
      </c>
      <c r="K461" t="s">
        <v>13</v>
      </c>
      <c r="L461" t="s">
        <v>671</v>
      </c>
      <c r="M461" t="s">
        <v>15</v>
      </c>
    </row>
    <row r="462" spans="1:13" x14ac:dyDescent="0.25">
      <c r="A462" s="5">
        <v>43460</v>
      </c>
      <c r="B462" s="2">
        <v>0</v>
      </c>
      <c r="C462" t="s">
        <v>883</v>
      </c>
      <c r="D462" t="s">
        <v>884</v>
      </c>
      <c r="E462" t="s">
        <v>866</v>
      </c>
      <c r="F462" s="3">
        <v>43390</v>
      </c>
      <c r="G462" s="2">
        <v>70</v>
      </c>
      <c r="H462" s="1">
        <v>305.58999999999997</v>
      </c>
      <c r="I462" t="s">
        <v>885</v>
      </c>
      <c r="J462" s="2">
        <v>1</v>
      </c>
      <c r="K462" t="s">
        <v>13</v>
      </c>
      <c r="L462" t="s">
        <v>671</v>
      </c>
      <c r="M462" t="s">
        <v>15</v>
      </c>
    </row>
    <row r="463" spans="1:13" x14ac:dyDescent="0.25">
      <c r="A463" s="5">
        <v>43460</v>
      </c>
      <c r="B463" s="2">
        <v>0</v>
      </c>
      <c r="C463" t="s">
        <v>886</v>
      </c>
      <c r="D463" t="s">
        <v>887</v>
      </c>
      <c r="E463" t="s">
        <v>888</v>
      </c>
      <c r="F463" s="3">
        <v>43390</v>
      </c>
      <c r="G463" s="2">
        <v>70</v>
      </c>
      <c r="H463" s="1">
        <v>439.4</v>
      </c>
      <c r="I463" t="s">
        <v>889</v>
      </c>
      <c r="J463" s="2">
        <v>1</v>
      </c>
      <c r="K463" t="s">
        <v>13</v>
      </c>
      <c r="L463" t="s">
        <v>671</v>
      </c>
      <c r="M463" t="s">
        <v>15</v>
      </c>
    </row>
    <row r="464" spans="1:13" x14ac:dyDescent="0.25">
      <c r="A464" s="5">
        <v>43460</v>
      </c>
      <c r="B464" s="2">
        <v>0</v>
      </c>
      <c r="C464" t="s">
        <v>890</v>
      </c>
      <c r="D464" t="s">
        <v>891</v>
      </c>
      <c r="E464" t="s">
        <v>892</v>
      </c>
      <c r="F464" s="3">
        <v>43390</v>
      </c>
      <c r="G464" s="2">
        <v>70</v>
      </c>
      <c r="H464" s="1">
        <v>1036.0999999999999</v>
      </c>
      <c r="I464" t="s">
        <v>893</v>
      </c>
      <c r="J464" s="2">
        <v>1</v>
      </c>
      <c r="K464" t="s">
        <v>13</v>
      </c>
      <c r="L464" t="s">
        <v>671</v>
      </c>
      <c r="M464" t="s">
        <v>15</v>
      </c>
    </row>
    <row r="465" spans="1:13" x14ac:dyDescent="0.25">
      <c r="A465" s="5">
        <v>43460</v>
      </c>
      <c r="B465" s="2">
        <v>0</v>
      </c>
      <c r="C465" t="s">
        <v>894</v>
      </c>
      <c r="D465" t="s">
        <v>895</v>
      </c>
      <c r="E465" t="s">
        <v>896</v>
      </c>
      <c r="F465" s="3">
        <v>43390</v>
      </c>
      <c r="G465" s="2">
        <v>70</v>
      </c>
      <c r="H465" s="1">
        <v>530.57000000000005</v>
      </c>
      <c r="I465" t="s">
        <v>897</v>
      </c>
      <c r="J465" s="2">
        <v>1</v>
      </c>
      <c r="K465" t="s">
        <v>13</v>
      </c>
      <c r="L465" t="s">
        <v>671</v>
      </c>
      <c r="M465" t="s">
        <v>15</v>
      </c>
    </row>
    <row r="466" spans="1:13" x14ac:dyDescent="0.25">
      <c r="A466" s="5">
        <v>43460</v>
      </c>
      <c r="B466" s="2">
        <v>0</v>
      </c>
      <c r="C466" t="s">
        <v>898</v>
      </c>
      <c r="D466" t="s">
        <v>899</v>
      </c>
      <c r="E466" t="s">
        <v>900</v>
      </c>
      <c r="F466" s="3">
        <v>43390</v>
      </c>
      <c r="G466" s="2">
        <v>70</v>
      </c>
      <c r="H466" s="1">
        <v>389.57</v>
      </c>
      <c r="I466" t="s">
        <v>901</v>
      </c>
      <c r="J466" s="2">
        <v>1</v>
      </c>
      <c r="K466" t="s">
        <v>13</v>
      </c>
      <c r="L466" t="s">
        <v>671</v>
      </c>
      <c r="M466" t="s">
        <v>15</v>
      </c>
    </row>
    <row r="467" spans="1:13" x14ac:dyDescent="0.25">
      <c r="A467" s="5">
        <v>43460</v>
      </c>
      <c r="B467" s="2">
        <v>0</v>
      </c>
      <c r="C467" t="s">
        <v>902</v>
      </c>
      <c r="D467" t="s">
        <v>903</v>
      </c>
      <c r="E467" t="s">
        <v>904</v>
      </c>
      <c r="F467" s="3">
        <v>43390</v>
      </c>
      <c r="G467" s="2">
        <v>70</v>
      </c>
      <c r="H467" s="1">
        <v>361.23</v>
      </c>
      <c r="I467" t="s">
        <v>905</v>
      </c>
      <c r="J467" s="2">
        <v>1</v>
      </c>
      <c r="K467" t="s">
        <v>13</v>
      </c>
      <c r="L467" t="s">
        <v>671</v>
      </c>
      <c r="M467" t="s">
        <v>15</v>
      </c>
    </row>
    <row r="468" spans="1:13" x14ac:dyDescent="0.25">
      <c r="A468" s="5">
        <v>43461</v>
      </c>
      <c r="B468" s="2">
        <v>0</v>
      </c>
      <c r="C468" t="s">
        <v>906</v>
      </c>
      <c r="D468" t="s">
        <v>884</v>
      </c>
      <c r="E468" t="s">
        <v>866</v>
      </c>
      <c r="F468" s="3">
        <v>43391</v>
      </c>
      <c r="G468" s="2">
        <v>70</v>
      </c>
      <c r="H468" s="1">
        <v>330.36</v>
      </c>
      <c r="I468" t="s">
        <v>907</v>
      </c>
      <c r="J468" s="2">
        <v>1</v>
      </c>
      <c r="K468" t="s">
        <v>13</v>
      </c>
      <c r="L468" t="s">
        <v>671</v>
      </c>
      <c r="M468" t="s">
        <v>15</v>
      </c>
    </row>
    <row r="469" spans="1:13" x14ac:dyDescent="0.25">
      <c r="A469" s="5">
        <v>43461</v>
      </c>
      <c r="B469" s="2">
        <v>0</v>
      </c>
      <c r="C469" t="s">
        <v>908</v>
      </c>
      <c r="D469" t="s">
        <v>873</v>
      </c>
      <c r="E469" t="s">
        <v>874</v>
      </c>
      <c r="F469" s="3">
        <v>43391</v>
      </c>
      <c r="G469" s="2">
        <v>70</v>
      </c>
      <c r="H469" s="1">
        <v>294.76</v>
      </c>
      <c r="I469" t="s">
        <v>909</v>
      </c>
      <c r="J469" s="2">
        <v>1</v>
      </c>
      <c r="K469" t="s">
        <v>13</v>
      </c>
      <c r="L469" t="s">
        <v>671</v>
      </c>
      <c r="M469" t="s">
        <v>15</v>
      </c>
    </row>
    <row r="470" spans="1:13" x14ac:dyDescent="0.25">
      <c r="A470" s="5">
        <v>43461</v>
      </c>
      <c r="B470" s="2">
        <v>0</v>
      </c>
      <c r="C470" t="s">
        <v>910</v>
      </c>
      <c r="D470" t="s">
        <v>895</v>
      </c>
      <c r="E470" t="s">
        <v>896</v>
      </c>
      <c r="F470" s="3">
        <v>43391</v>
      </c>
      <c r="G470" s="2">
        <v>70</v>
      </c>
      <c r="H470" s="1">
        <v>169.93</v>
      </c>
      <c r="I470" t="s">
        <v>911</v>
      </c>
      <c r="J470" s="2">
        <v>1</v>
      </c>
      <c r="K470" t="s">
        <v>13</v>
      </c>
      <c r="L470" t="s">
        <v>671</v>
      </c>
      <c r="M470" t="s">
        <v>15</v>
      </c>
    </row>
    <row r="471" spans="1:13" x14ac:dyDescent="0.25">
      <c r="A471" s="5">
        <v>43461</v>
      </c>
      <c r="B471" s="2">
        <v>0</v>
      </c>
      <c r="C471" t="s">
        <v>912</v>
      </c>
      <c r="D471" t="s">
        <v>877</v>
      </c>
      <c r="E471" t="s">
        <v>878</v>
      </c>
      <c r="F471" s="3">
        <v>43391</v>
      </c>
      <c r="G471" s="2">
        <v>70</v>
      </c>
      <c r="H471" s="1">
        <v>691.49</v>
      </c>
      <c r="I471" t="s">
        <v>913</v>
      </c>
      <c r="J471" s="2">
        <v>1</v>
      </c>
      <c r="K471" t="s">
        <v>13</v>
      </c>
      <c r="L471" t="s">
        <v>671</v>
      </c>
      <c r="M471" t="s">
        <v>15</v>
      </c>
    </row>
    <row r="472" spans="1:13" x14ac:dyDescent="0.25">
      <c r="A472" s="5">
        <v>43462</v>
      </c>
      <c r="B472" s="2">
        <v>0</v>
      </c>
      <c r="C472" t="s">
        <v>914</v>
      </c>
      <c r="D472" t="s">
        <v>877</v>
      </c>
      <c r="E472" t="s">
        <v>878</v>
      </c>
      <c r="F472" s="3">
        <v>43392</v>
      </c>
      <c r="G472" s="2">
        <v>70</v>
      </c>
      <c r="H472" s="1">
        <v>1165.02</v>
      </c>
      <c r="I472" t="s">
        <v>915</v>
      </c>
      <c r="J472" s="2">
        <v>1</v>
      </c>
      <c r="K472" t="s">
        <v>13</v>
      </c>
      <c r="L472" t="s">
        <v>671</v>
      </c>
      <c r="M472" t="s">
        <v>15</v>
      </c>
    </row>
    <row r="473" spans="1:13" x14ac:dyDescent="0.25">
      <c r="A473" s="5">
        <v>43465</v>
      </c>
      <c r="B473" s="2">
        <v>0</v>
      </c>
      <c r="C473" t="s">
        <v>916</v>
      </c>
      <c r="D473" t="s">
        <v>917</v>
      </c>
      <c r="E473" t="s">
        <v>918</v>
      </c>
      <c r="F473" s="3">
        <v>43444</v>
      </c>
      <c r="G473" s="2">
        <v>21</v>
      </c>
      <c r="H473" s="1">
        <v>613.23</v>
      </c>
      <c r="I473" t="s">
        <v>919</v>
      </c>
      <c r="J473" s="2">
        <v>1</v>
      </c>
      <c r="K473" t="s">
        <v>13</v>
      </c>
      <c r="L473" t="s">
        <v>830</v>
      </c>
      <c r="M473" t="s">
        <v>17</v>
      </c>
    </row>
    <row r="474" spans="1:13" x14ac:dyDescent="0.25">
      <c r="A474" s="5">
        <v>43465</v>
      </c>
      <c r="B474" s="2">
        <v>0</v>
      </c>
      <c r="C474" t="s">
        <v>920</v>
      </c>
      <c r="D474" t="s">
        <v>881</v>
      </c>
      <c r="E474" t="s">
        <v>866</v>
      </c>
      <c r="F474" s="3">
        <v>43395</v>
      </c>
      <c r="G474" s="2">
        <v>70</v>
      </c>
      <c r="H474" s="1">
        <v>398.84</v>
      </c>
      <c r="I474" t="s">
        <v>921</v>
      </c>
      <c r="J474" s="2">
        <v>1</v>
      </c>
      <c r="K474" t="s">
        <v>13</v>
      </c>
      <c r="L474" t="s">
        <v>671</v>
      </c>
      <c r="M474" t="s">
        <v>15</v>
      </c>
    </row>
    <row r="475" spans="1:13" x14ac:dyDescent="0.25">
      <c r="A475" s="5">
        <v>43466</v>
      </c>
      <c r="B475" s="2">
        <v>0</v>
      </c>
      <c r="C475" t="s">
        <v>922</v>
      </c>
      <c r="D475" t="s">
        <v>865</v>
      </c>
      <c r="E475" t="s">
        <v>866</v>
      </c>
      <c r="F475" s="3">
        <v>43396</v>
      </c>
      <c r="G475" s="2">
        <v>70</v>
      </c>
      <c r="H475" s="1">
        <v>107.9</v>
      </c>
      <c r="I475" t="s">
        <v>923</v>
      </c>
      <c r="J475" s="2">
        <v>1</v>
      </c>
      <c r="K475" t="s">
        <v>13</v>
      </c>
      <c r="L475" t="s">
        <v>671</v>
      </c>
      <c r="M475" t="s">
        <v>15</v>
      </c>
    </row>
    <row r="476" spans="1:13" x14ac:dyDescent="0.25">
      <c r="A476" s="5">
        <v>43466</v>
      </c>
      <c r="B476" s="2">
        <v>0</v>
      </c>
      <c r="C476" t="s">
        <v>924</v>
      </c>
      <c r="D476" t="s">
        <v>884</v>
      </c>
      <c r="E476" t="s">
        <v>866</v>
      </c>
      <c r="F476" s="3">
        <v>43396</v>
      </c>
      <c r="G476" s="2">
        <v>70</v>
      </c>
      <c r="H476" s="1">
        <v>194.17</v>
      </c>
      <c r="I476" t="s">
        <v>925</v>
      </c>
      <c r="J476" s="2">
        <v>1</v>
      </c>
      <c r="K476" t="s">
        <v>13</v>
      </c>
      <c r="L476" t="s">
        <v>671</v>
      </c>
      <c r="M476" t="s">
        <v>15</v>
      </c>
    </row>
    <row r="477" spans="1:13" x14ac:dyDescent="0.25">
      <c r="A477" s="5">
        <v>43466</v>
      </c>
      <c r="B477" s="2">
        <v>0</v>
      </c>
      <c r="C477" t="s">
        <v>926</v>
      </c>
      <c r="D477" t="s">
        <v>891</v>
      </c>
      <c r="E477" t="s">
        <v>892</v>
      </c>
      <c r="F477" s="3">
        <v>43396</v>
      </c>
      <c r="G477" s="2">
        <v>70</v>
      </c>
      <c r="H477" s="1">
        <v>250.64</v>
      </c>
      <c r="I477" t="s">
        <v>927</v>
      </c>
      <c r="J477" s="2">
        <v>1</v>
      </c>
      <c r="K477" t="s">
        <v>13</v>
      </c>
      <c r="L477" t="s">
        <v>671</v>
      </c>
      <c r="M477" t="s">
        <v>15</v>
      </c>
    </row>
    <row r="478" spans="1:13" x14ac:dyDescent="0.25">
      <c r="A478" s="5">
        <v>43466</v>
      </c>
      <c r="B478" s="2">
        <v>0</v>
      </c>
      <c r="C478" t="s">
        <v>928</v>
      </c>
      <c r="D478" t="s">
        <v>929</v>
      </c>
      <c r="E478" t="s">
        <v>930</v>
      </c>
      <c r="F478" s="3">
        <v>43396</v>
      </c>
      <c r="G478" s="2">
        <v>70</v>
      </c>
      <c r="H478" s="1">
        <v>195.84</v>
      </c>
      <c r="I478" t="s">
        <v>931</v>
      </c>
      <c r="J478" s="2">
        <v>1</v>
      </c>
      <c r="K478" t="s">
        <v>13</v>
      </c>
      <c r="L478" t="s">
        <v>671</v>
      </c>
      <c r="M478" t="s">
        <v>15</v>
      </c>
    </row>
    <row r="479" spans="1:13" x14ac:dyDescent="0.25">
      <c r="A479" s="5">
        <v>43466</v>
      </c>
      <c r="B479" s="2">
        <v>0</v>
      </c>
      <c r="C479" t="s">
        <v>932</v>
      </c>
      <c r="D479" t="s">
        <v>873</v>
      </c>
      <c r="E479" t="s">
        <v>874</v>
      </c>
      <c r="F479" s="3">
        <v>43396</v>
      </c>
      <c r="G479" s="2">
        <v>70</v>
      </c>
      <c r="H479" s="1">
        <v>482.46</v>
      </c>
      <c r="I479" t="s">
        <v>933</v>
      </c>
      <c r="J479" s="2">
        <v>1</v>
      </c>
      <c r="K479" t="s">
        <v>13</v>
      </c>
      <c r="L479" t="s">
        <v>671</v>
      </c>
      <c r="M479" t="s">
        <v>15</v>
      </c>
    </row>
    <row r="480" spans="1:13" x14ac:dyDescent="0.25">
      <c r="A480" s="5">
        <v>43466</v>
      </c>
      <c r="B480" s="2">
        <v>0</v>
      </c>
      <c r="C480" t="s">
        <v>934</v>
      </c>
      <c r="D480" t="s">
        <v>895</v>
      </c>
      <c r="E480" t="s">
        <v>896</v>
      </c>
      <c r="F480" s="3">
        <v>43396</v>
      </c>
      <c r="G480" s="2">
        <v>70</v>
      </c>
      <c r="H480" s="1">
        <v>136.81</v>
      </c>
      <c r="I480" t="s">
        <v>935</v>
      </c>
      <c r="J480" s="2">
        <v>1</v>
      </c>
      <c r="K480" t="s">
        <v>13</v>
      </c>
      <c r="L480" t="s">
        <v>671</v>
      </c>
      <c r="M480" t="s">
        <v>15</v>
      </c>
    </row>
    <row r="481" spans="1:13" x14ac:dyDescent="0.25">
      <c r="A481" s="5">
        <v>43466</v>
      </c>
      <c r="B481" s="2">
        <v>0</v>
      </c>
      <c r="C481" t="s">
        <v>936</v>
      </c>
      <c r="D481" t="s">
        <v>903</v>
      </c>
      <c r="E481" t="s">
        <v>904</v>
      </c>
      <c r="F481" s="3">
        <v>43396</v>
      </c>
      <c r="G481" s="2">
        <v>70</v>
      </c>
      <c r="H481" s="1">
        <v>116.92</v>
      </c>
      <c r="I481" t="s">
        <v>937</v>
      </c>
      <c r="J481" s="2">
        <v>1</v>
      </c>
      <c r="K481" t="s">
        <v>13</v>
      </c>
      <c r="L481" t="s">
        <v>671</v>
      </c>
      <c r="M481" t="s">
        <v>15</v>
      </c>
    </row>
    <row r="482" spans="1:13" x14ac:dyDescent="0.25">
      <c r="A482" s="5">
        <v>43466</v>
      </c>
      <c r="B482" s="2">
        <v>0</v>
      </c>
      <c r="C482" t="s">
        <v>938</v>
      </c>
      <c r="D482" t="s">
        <v>877</v>
      </c>
      <c r="E482" t="s">
        <v>878</v>
      </c>
      <c r="F482" s="3">
        <v>43396</v>
      </c>
      <c r="G482" s="2">
        <v>70</v>
      </c>
      <c r="H482" s="1">
        <v>422.82</v>
      </c>
      <c r="I482" t="s">
        <v>939</v>
      </c>
      <c r="J482" s="2">
        <v>1</v>
      </c>
      <c r="K482" t="s">
        <v>13</v>
      </c>
      <c r="L482" t="s">
        <v>671</v>
      </c>
      <c r="M482" t="s">
        <v>15</v>
      </c>
    </row>
    <row r="483" spans="1:13" x14ac:dyDescent="0.25">
      <c r="A483" s="5">
        <v>43467</v>
      </c>
      <c r="B483" s="2">
        <v>0</v>
      </c>
      <c r="C483" t="s">
        <v>940</v>
      </c>
      <c r="D483" t="s">
        <v>735</v>
      </c>
      <c r="E483" t="s">
        <v>736</v>
      </c>
      <c r="F483" s="3">
        <v>43397</v>
      </c>
      <c r="G483" s="2">
        <v>70</v>
      </c>
      <c r="H483" s="1">
        <v>356.46</v>
      </c>
      <c r="I483" t="s">
        <v>941</v>
      </c>
      <c r="J483" s="2">
        <v>1</v>
      </c>
      <c r="K483" t="s">
        <v>13</v>
      </c>
      <c r="L483" t="s">
        <v>21</v>
      </c>
      <c r="M483" t="s">
        <v>15</v>
      </c>
    </row>
    <row r="484" spans="1:13" x14ac:dyDescent="0.25">
      <c r="A484" s="5">
        <v>43469</v>
      </c>
      <c r="B484" s="2">
        <v>0</v>
      </c>
      <c r="C484" t="s">
        <v>942</v>
      </c>
      <c r="D484" t="s">
        <v>884</v>
      </c>
      <c r="E484" t="s">
        <v>866</v>
      </c>
      <c r="F484" s="3">
        <v>43399</v>
      </c>
      <c r="G484" s="2">
        <v>70</v>
      </c>
      <c r="H484" s="1">
        <v>274.19</v>
      </c>
      <c r="I484" t="s">
        <v>943</v>
      </c>
      <c r="J484" s="2">
        <v>1</v>
      </c>
      <c r="K484" t="s">
        <v>13</v>
      </c>
      <c r="L484" t="s">
        <v>671</v>
      </c>
      <c r="M484" t="s">
        <v>15</v>
      </c>
    </row>
    <row r="485" spans="1:13" x14ac:dyDescent="0.25">
      <c r="A485" s="5">
        <v>43469</v>
      </c>
      <c r="B485" s="2">
        <v>0</v>
      </c>
      <c r="C485" t="s">
        <v>944</v>
      </c>
      <c r="D485" t="s">
        <v>877</v>
      </c>
      <c r="E485" t="s">
        <v>878</v>
      </c>
      <c r="F485" s="3">
        <v>43399</v>
      </c>
      <c r="G485" s="2">
        <v>70</v>
      </c>
      <c r="H485" s="1">
        <v>699.62</v>
      </c>
      <c r="I485" t="s">
        <v>945</v>
      </c>
      <c r="J485" s="2">
        <v>1</v>
      </c>
      <c r="K485" t="s">
        <v>13</v>
      </c>
      <c r="L485" t="s">
        <v>671</v>
      </c>
      <c r="M485" t="s">
        <v>15</v>
      </c>
    </row>
    <row r="486" spans="1:13" x14ac:dyDescent="0.25">
      <c r="A486" s="5">
        <v>43472</v>
      </c>
      <c r="B486" s="2">
        <v>0</v>
      </c>
      <c r="C486" t="s">
        <v>946</v>
      </c>
      <c r="D486" t="s">
        <v>884</v>
      </c>
      <c r="E486" t="s">
        <v>866</v>
      </c>
      <c r="F486" s="3">
        <v>43402</v>
      </c>
      <c r="G486" s="2">
        <v>70</v>
      </c>
      <c r="H486" s="1">
        <v>1026.58</v>
      </c>
      <c r="I486" t="s">
        <v>947</v>
      </c>
      <c r="J486" s="2">
        <v>1</v>
      </c>
      <c r="K486" t="s">
        <v>13</v>
      </c>
      <c r="L486" t="s">
        <v>671</v>
      </c>
      <c r="M486" t="s">
        <v>15</v>
      </c>
    </row>
    <row r="487" spans="1:13" x14ac:dyDescent="0.25">
      <c r="A487" s="5">
        <v>43472</v>
      </c>
      <c r="B487" s="2">
        <v>0</v>
      </c>
      <c r="C487" t="s">
        <v>948</v>
      </c>
      <c r="D487" t="s">
        <v>877</v>
      </c>
      <c r="E487" t="s">
        <v>878</v>
      </c>
      <c r="F487" s="3">
        <v>43402</v>
      </c>
      <c r="G487" s="2">
        <v>70</v>
      </c>
      <c r="H487" s="1">
        <v>2562.42</v>
      </c>
      <c r="I487" t="s">
        <v>949</v>
      </c>
      <c r="J487" s="2">
        <v>1</v>
      </c>
      <c r="K487" t="s">
        <v>13</v>
      </c>
      <c r="L487" t="s">
        <v>671</v>
      </c>
      <c r="M487" t="s">
        <v>15</v>
      </c>
    </row>
    <row r="488" spans="1:13" x14ac:dyDescent="0.25">
      <c r="A488" s="5">
        <v>43472</v>
      </c>
      <c r="B488" s="2">
        <v>0</v>
      </c>
      <c r="C488" t="s">
        <v>950</v>
      </c>
      <c r="D488" t="s">
        <v>877</v>
      </c>
      <c r="E488" t="s">
        <v>878</v>
      </c>
      <c r="F488" s="3">
        <v>43402</v>
      </c>
      <c r="G488" s="2">
        <v>70</v>
      </c>
      <c r="H488" s="1">
        <v>732.35</v>
      </c>
      <c r="I488" t="s">
        <v>951</v>
      </c>
      <c r="J488" s="2">
        <v>1</v>
      </c>
      <c r="K488" t="s">
        <v>13</v>
      </c>
      <c r="L488" t="s">
        <v>671</v>
      </c>
      <c r="M488" t="s">
        <v>15</v>
      </c>
    </row>
    <row r="489" spans="1:13" x14ac:dyDescent="0.25">
      <c r="A489" s="5">
        <v>43472</v>
      </c>
      <c r="B489" s="2">
        <v>0</v>
      </c>
      <c r="C489" t="s">
        <v>952</v>
      </c>
      <c r="D489" t="s">
        <v>861</v>
      </c>
      <c r="E489" t="s">
        <v>862</v>
      </c>
      <c r="F489" s="3">
        <v>43425</v>
      </c>
      <c r="G489" s="2">
        <v>47</v>
      </c>
      <c r="H489" s="1">
        <v>390.99</v>
      </c>
      <c r="I489" t="s">
        <v>953</v>
      </c>
      <c r="J489" s="2">
        <v>1</v>
      </c>
      <c r="K489" t="s">
        <v>13</v>
      </c>
      <c r="L489" t="s">
        <v>695</v>
      </c>
      <c r="M489" t="s">
        <v>15</v>
      </c>
    </row>
    <row r="490" spans="1:13" x14ac:dyDescent="0.25">
      <c r="A490" s="5">
        <v>43474</v>
      </c>
      <c r="B490" s="2">
        <v>0</v>
      </c>
      <c r="C490" t="s">
        <v>954</v>
      </c>
      <c r="D490" t="s">
        <v>917</v>
      </c>
      <c r="E490" t="s">
        <v>918</v>
      </c>
      <c r="F490" s="3">
        <v>43444</v>
      </c>
      <c r="G490" s="2">
        <v>30</v>
      </c>
      <c r="H490" s="1">
        <v>613.23</v>
      </c>
      <c r="I490" t="s">
        <v>919</v>
      </c>
      <c r="J490" s="2">
        <v>1</v>
      </c>
      <c r="K490" t="s">
        <v>13</v>
      </c>
      <c r="L490" t="s">
        <v>830</v>
      </c>
      <c r="M490" t="s">
        <v>17</v>
      </c>
    </row>
    <row r="491" spans="1:13" x14ac:dyDescent="0.25">
      <c r="A491" s="5">
        <v>43474</v>
      </c>
      <c r="B491" s="2">
        <v>0</v>
      </c>
      <c r="C491" t="s">
        <v>955</v>
      </c>
      <c r="D491" t="s">
        <v>865</v>
      </c>
      <c r="E491" t="s">
        <v>866</v>
      </c>
      <c r="F491" s="3">
        <v>43404</v>
      </c>
      <c r="G491" s="2">
        <v>70</v>
      </c>
      <c r="H491" s="1">
        <v>355.21</v>
      </c>
      <c r="I491" t="s">
        <v>956</v>
      </c>
      <c r="J491" s="2">
        <v>1</v>
      </c>
      <c r="K491" t="s">
        <v>13</v>
      </c>
      <c r="L491" t="s">
        <v>671</v>
      </c>
      <c r="M491" t="s">
        <v>15</v>
      </c>
    </row>
    <row r="492" spans="1:13" x14ac:dyDescent="0.25">
      <c r="A492" s="5">
        <v>43474</v>
      </c>
      <c r="B492" s="2">
        <v>0</v>
      </c>
      <c r="C492" t="s">
        <v>957</v>
      </c>
      <c r="D492" t="s">
        <v>881</v>
      </c>
      <c r="E492" t="s">
        <v>866</v>
      </c>
      <c r="F492" s="3">
        <v>43404</v>
      </c>
      <c r="G492" s="2">
        <v>70</v>
      </c>
      <c r="H492" s="1">
        <v>374.14</v>
      </c>
      <c r="I492" t="s">
        <v>958</v>
      </c>
      <c r="J492" s="2">
        <v>1</v>
      </c>
      <c r="K492" t="s">
        <v>13</v>
      </c>
      <c r="L492" t="s">
        <v>671</v>
      </c>
      <c r="M492" t="s">
        <v>15</v>
      </c>
    </row>
    <row r="493" spans="1:13" x14ac:dyDescent="0.25">
      <c r="A493" s="5">
        <v>43474</v>
      </c>
      <c r="B493" s="2">
        <v>0</v>
      </c>
      <c r="C493" t="s">
        <v>959</v>
      </c>
      <c r="D493" t="s">
        <v>884</v>
      </c>
      <c r="E493" t="s">
        <v>866</v>
      </c>
      <c r="F493" s="3">
        <v>43404</v>
      </c>
      <c r="G493" s="2">
        <v>70</v>
      </c>
      <c r="H493" s="1">
        <v>621.34</v>
      </c>
      <c r="I493" t="s">
        <v>960</v>
      </c>
      <c r="J493" s="2">
        <v>1</v>
      </c>
      <c r="K493" t="s">
        <v>13</v>
      </c>
      <c r="L493" t="s">
        <v>671</v>
      </c>
      <c r="M493" t="s">
        <v>15</v>
      </c>
    </row>
    <row r="494" spans="1:13" x14ac:dyDescent="0.25">
      <c r="A494" s="5">
        <v>43474</v>
      </c>
      <c r="B494" s="2">
        <v>0</v>
      </c>
      <c r="C494" t="s">
        <v>961</v>
      </c>
      <c r="D494" t="s">
        <v>891</v>
      </c>
      <c r="E494" t="s">
        <v>892</v>
      </c>
      <c r="F494" s="3">
        <v>43404</v>
      </c>
      <c r="G494" s="2">
        <v>70</v>
      </c>
      <c r="H494" s="1">
        <v>459.3</v>
      </c>
      <c r="I494" t="s">
        <v>962</v>
      </c>
      <c r="J494" s="2">
        <v>1</v>
      </c>
      <c r="K494" t="s">
        <v>13</v>
      </c>
      <c r="L494" t="s">
        <v>671</v>
      </c>
      <c r="M494" t="s">
        <v>15</v>
      </c>
    </row>
    <row r="495" spans="1:13" x14ac:dyDescent="0.25">
      <c r="A495" s="5">
        <v>43474</v>
      </c>
      <c r="B495" s="2">
        <v>0</v>
      </c>
      <c r="C495" t="s">
        <v>963</v>
      </c>
      <c r="D495" t="s">
        <v>929</v>
      </c>
      <c r="E495" t="s">
        <v>930</v>
      </c>
      <c r="F495" s="3">
        <v>43404</v>
      </c>
      <c r="G495" s="2">
        <v>70</v>
      </c>
      <c r="H495" s="1">
        <v>703.39</v>
      </c>
      <c r="I495" t="s">
        <v>964</v>
      </c>
      <c r="J495" s="2">
        <v>1</v>
      </c>
      <c r="K495" t="s">
        <v>13</v>
      </c>
      <c r="L495" t="s">
        <v>671</v>
      </c>
      <c r="M495" t="s">
        <v>15</v>
      </c>
    </row>
    <row r="496" spans="1:13" x14ac:dyDescent="0.25">
      <c r="A496" s="5">
        <v>43474</v>
      </c>
      <c r="B496" s="2">
        <v>0</v>
      </c>
      <c r="C496" t="s">
        <v>965</v>
      </c>
      <c r="D496" t="s">
        <v>873</v>
      </c>
      <c r="E496" t="s">
        <v>874</v>
      </c>
      <c r="F496" s="3">
        <v>43404</v>
      </c>
      <c r="G496" s="2">
        <v>70</v>
      </c>
      <c r="H496" s="1">
        <v>594.65</v>
      </c>
      <c r="I496" t="s">
        <v>966</v>
      </c>
      <c r="J496" s="2">
        <v>1</v>
      </c>
      <c r="K496" t="s">
        <v>13</v>
      </c>
      <c r="L496" t="s">
        <v>671</v>
      </c>
      <c r="M496" t="s">
        <v>15</v>
      </c>
    </row>
    <row r="497" spans="1:13" x14ac:dyDescent="0.25">
      <c r="A497" s="5">
        <v>43474</v>
      </c>
      <c r="B497" s="2">
        <v>0</v>
      </c>
      <c r="C497" t="s">
        <v>967</v>
      </c>
      <c r="D497" t="s">
        <v>895</v>
      </c>
      <c r="E497" t="s">
        <v>896</v>
      </c>
      <c r="F497" s="3">
        <v>43404</v>
      </c>
      <c r="G497" s="2">
        <v>70</v>
      </c>
      <c r="H497" s="1">
        <v>544.88</v>
      </c>
      <c r="I497" t="s">
        <v>968</v>
      </c>
      <c r="J497" s="2">
        <v>1</v>
      </c>
      <c r="K497" t="s">
        <v>13</v>
      </c>
      <c r="L497" t="s">
        <v>671</v>
      </c>
      <c r="M497" t="s">
        <v>15</v>
      </c>
    </row>
    <row r="498" spans="1:13" x14ac:dyDescent="0.25">
      <c r="A498" s="5">
        <v>43474</v>
      </c>
      <c r="B498" s="2">
        <v>0</v>
      </c>
      <c r="C498" t="s">
        <v>969</v>
      </c>
      <c r="D498" t="s">
        <v>903</v>
      </c>
      <c r="E498" t="s">
        <v>904</v>
      </c>
      <c r="F498" s="3">
        <v>43404</v>
      </c>
      <c r="G498" s="2">
        <v>70</v>
      </c>
      <c r="H498" s="1">
        <v>737.68</v>
      </c>
      <c r="I498" t="s">
        <v>970</v>
      </c>
      <c r="J498" s="2">
        <v>1</v>
      </c>
      <c r="K498" t="s">
        <v>13</v>
      </c>
      <c r="L498" t="s">
        <v>671</v>
      </c>
      <c r="M498" t="s">
        <v>15</v>
      </c>
    </row>
    <row r="499" spans="1:13" x14ac:dyDescent="0.25">
      <c r="A499" s="5">
        <v>43474</v>
      </c>
      <c r="B499" s="2">
        <v>0</v>
      </c>
      <c r="C499" t="s">
        <v>971</v>
      </c>
      <c r="D499" t="s">
        <v>877</v>
      </c>
      <c r="E499" t="s">
        <v>878</v>
      </c>
      <c r="F499" s="3">
        <v>43404</v>
      </c>
      <c r="G499" s="2">
        <v>70</v>
      </c>
      <c r="H499" s="1">
        <v>525.49</v>
      </c>
      <c r="I499" t="s">
        <v>972</v>
      </c>
      <c r="J499" s="2">
        <v>1</v>
      </c>
      <c r="K499" t="s">
        <v>13</v>
      </c>
      <c r="L499" t="s">
        <v>671</v>
      </c>
      <c r="M499" t="s">
        <v>15</v>
      </c>
    </row>
    <row r="500" spans="1:13" x14ac:dyDescent="0.25">
      <c r="A500" s="5">
        <v>43479</v>
      </c>
      <c r="B500" s="2">
        <v>0</v>
      </c>
      <c r="C500" t="s">
        <v>973</v>
      </c>
      <c r="D500" t="s">
        <v>735</v>
      </c>
      <c r="E500" t="s">
        <v>736</v>
      </c>
      <c r="F500" s="3">
        <v>43397</v>
      </c>
      <c r="G500" s="2">
        <v>82</v>
      </c>
      <c r="H500" s="1">
        <v>356.46</v>
      </c>
      <c r="I500" t="s">
        <v>941</v>
      </c>
      <c r="J500" s="2">
        <v>1</v>
      </c>
      <c r="K500" t="s">
        <v>13</v>
      </c>
      <c r="L500" t="s">
        <v>21</v>
      </c>
      <c r="M500" t="s">
        <v>15</v>
      </c>
    </row>
    <row r="501" spans="1:13" x14ac:dyDescent="0.25">
      <c r="A501" s="5">
        <v>43479</v>
      </c>
      <c r="B501" s="2">
        <v>0</v>
      </c>
      <c r="C501" t="s">
        <v>974</v>
      </c>
      <c r="D501" t="s">
        <v>891</v>
      </c>
      <c r="E501" t="s">
        <v>892</v>
      </c>
      <c r="F501" s="3">
        <v>43409</v>
      </c>
      <c r="G501" s="2">
        <v>70</v>
      </c>
      <c r="H501" s="1">
        <v>84.49</v>
      </c>
      <c r="I501" t="s">
        <v>975</v>
      </c>
      <c r="J501" s="2">
        <v>1</v>
      </c>
      <c r="K501" t="s">
        <v>13</v>
      </c>
      <c r="L501" t="s">
        <v>671</v>
      </c>
      <c r="M501" t="s">
        <v>15</v>
      </c>
    </row>
    <row r="502" spans="1:13" x14ac:dyDescent="0.25">
      <c r="A502" s="5">
        <v>43479</v>
      </c>
      <c r="B502" s="2">
        <v>0</v>
      </c>
      <c r="C502" t="s">
        <v>976</v>
      </c>
      <c r="D502" t="s">
        <v>929</v>
      </c>
      <c r="E502" t="s">
        <v>930</v>
      </c>
      <c r="F502" s="3">
        <v>43409</v>
      </c>
      <c r="G502" s="2">
        <v>70</v>
      </c>
      <c r="H502" s="1">
        <v>99.25</v>
      </c>
      <c r="I502" t="s">
        <v>977</v>
      </c>
      <c r="J502" s="2">
        <v>1</v>
      </c>
      <c r="K502" t="s">
        <v>13</v>
      </c>
      <c r="L502" t="s">
        <v>671</v>
      </c>
      <c r="M502" t="s">
        <v>15</v>
      </c>
    </row>
    <row r="503" spans="1:13" x14ac:dyDescent="0.25">
      <c r="A503" s="5">
        <v>43479</v>
      </c>
      <c r="B503" s="2">
        <v>0</v>
      </c>
      <c r="C503" t="s">
        <v>978</v>
      </c>
      <c r="D503" t="s">
        <v>873</v>
      </c>
      <c r="E503" t="s">
        <v>874</v>
      </c>
      <c r="F503" s="3">
        <v>43409</v>
      </c>
      <c r="G503" s="2">
        <v>70</v>
      </c>
      <c r="H503" s="1">
        <v>631.51</v>
      </c>
      <c r="I503" t="s">
        <v>979</v>
      </c>
      <c r="J503" s="2">
        <v>1</v>
      </c>
      <c r="K503" t="s">
        <v>13</v>
      </c>
      <c r="L503" t="s">
        <v>671</v>
      </c>
      <c r="M503" t="s">
        <v>15</v>
      </c>
    </row>
    <row r="504" spans="1:13" x14ac:dyDescent="0.25">
      <c r="A504" s="5">
        <v>43479</v>
      </c>
      <c r="B504" s="2">
        <v>0</v>
      </c>
      <c r="C504" t="s">
        <v>980</v>
      </c>
      <c r="D504" t="s">
        <v>899</v>
      </c>
      <c r="E504" t="s">
        <v>900</v>
      </c>
      <c r="F504" s="3">
        <v>43409</v>
      </c>
      <c r="G504" s="2">
        <v>70</v>
      </c>
      <c r="H504" s="1">
        <v>189.61</v>
      </c>
      <c r="I504" t="s">
        <v>981</v>
      </c>
      <c r="J504" s="2">
        <v>1</v>
      </c>
      <c r="K504" t="s">
        <v>13</v>
      </c>
      <c r="L504" t="s">
        <v>671</v>
      </c>
      <c r="M504" t="s">
        <v>15</v>
      </c>
    </row>
    <row r="505" spans="1:13" x14ac:dyDescent="0.25">
      <c r="A505" s="5">
        <v>43479</v>
      </c>
      <c r="B505" s="2">
        <v>0</v>
      </c>
      <c r="C505" t="s">
        <v>982</v>
      </c>
      <c r="D505" t="s">
        <v>903</v>
      </c>
      <c r="E505" t="s">
        <v>904</v>
      </c>
      <c r="F505" s="3">
        <v>43409</v>
      </c>
      <c r="G505" s="2">
        <v>70</v>
      </c>
      <c r="H505" s="1">
        <v>81.09</v>
      </c>
      <c r="I505" t="s">
        <v>983</v>
      </c>
      <c r="J505" s="2">
        <v>1</v>
      </c>
      <c r="K505" t="s">
        <v>13</v>
      </c>
      <c r="L505" t="s">
        <v>671</v>
      </c>
      <c r="M505" t="s">
        <v>15</v>
      </c>
    </row>
    <row r="506" spans="1:13" x14ac:dyDescent="0.25">
      <c r="A506" s="5">
        <v>43479</v>
      </c>
      <c r="B506" s="2">
        <v>0</v>
      </c>
      <c r="C506" t="s">
        <v>984</v>
      </c>
      <c r="D506" t="s">
        <v>877</v>
      </c>
      <c r="E506" t="s">
        <v>878</v>
      </c>
      <c r="F506" s="3">
        <v>43409</v>
      </c>
      <c r="G506" s="2">
        <v>70</v>
      </c>
      <c r="H506" s="1">
        <v>1103.28</v>
      </c>
      <c r="I506" t="s">
        <v>985</v>
      </c>
      <c r="J506" s="2">
        <v>1</v>
      </c>
      <c r="K506" t="s">
        <v>13</v>
      </c>
      <c r="L506" t="s">
        <v>671</v>
      </c>
      <c r="M506" t="s">
        <v>15</v>
      </c>
    </row>
    <row r="507" spans="1:13" x14ac:dyDescent="0.25">
      <c r="A507" s="5">
        <v>43480</v>
      </c>
      <c r="B507" s="2">
        <v>0</v>
      </c>
      <c r="C507" t="s">
        <v>986</v>
      </c>
      <c r="D507" t="s">
        <v>884</v>
      </c>
      <c r="E507" t="s">
        <v>866</v>
      </c>
      <c r="F507" s="3">
        <v>43410</v>
      </c>
      <c r="G507" s="2">
        <v>70</v>
      </c>
      <c r="H507" s="1">
        <v>74.510000000000005</v>
      </c>
      <c r="I507" t="s">
        <v>987</v>
      </c>
      <c r="J507" s="2">
        <v>1</v>
      </c>
      <c r="K507" t="s">
        <v>13</v>
      </c>
      <c r="L507" t="s">
        <v>671</v>
      </c>
      <c r="M507" t="s">
        <v>15</v>
      </c>
    </row>
    <row r="508" spans="1:13" x14ac:dyDescent="0.25">
      <c r="A508" s="5">
        <v>43483</v>
      </c>
      <c r="B508" s="2">
        <v>0</v>
      </c>
      <c r="C508" t="s">
        <v>988</v>
      </c>
      <c r="D508" t="s">
        <v>887</v>
      </c>
      <c r="E508" t="s">
        <v>888</v>
      </c>
      <c r="F508" s="3">
        <v>43413</v>
      </c>
      <c r="G508" s="2">
        <v>70</v>
      </c>
      <c r="H508" s="1">
        <v>301.74</v>
      </c>
      <c r="I508" t="s">
        <v>989</v>
      </c>
      <c r="J508" s="2">
        <v>1</v>
      </c>
      <c r="K508" t="s">
        <v>13</v>
      </c>
      <c r="L508" t="s">
        <v>671</v>
      </c>
      <c r="M508" t="s">
        <v>15</v>
      </c>
    </row>
    <row r="509" spans="1:13" x14ac:dyDescent="0.25">
      <c r="A509" s="5">
        <v>43483</v>
      </c>
      <c r="B509" s="2">
        <v>0</v>
      </c>
      <c r="C509" t="s">
        <v>990</v>
      </c>
      <c r="D509" t="s">
        <v>891</v>
      </c>
      <c r="E509" t="s">
        <v>892</v>
      </c>
      <c r="F509" s="3">
        <v>43413</v>
      </c>
      <c r="G509" s="2">
        <v>70</v>
      </c>
      <c r="H509" s="1">
        <v>339.42</v>
      </c>
      <c r="I509" t="s">
        <v>991</v>
      </c>
      <c r="J509" s="2">
        <v>1</v>
      </c>
      <c r="K509" t="s">
        <v>13</v>
      </c>
      <c r="L509" t="s">
        <v>671</v>
      </c>
      <c r="M509" t="s">
        <v>15</v>
      </c>
    </row>
    <row r="510" spans="1:13" x14ac:dyDescent="0.25">
      <c r="A510" s="5">
        <v>43483</v>
      </c>
      <c r="B510" s="2">
        <v>0</v>
      </c>
      <c r="C510" t="s">
        <v>992</v>
      </c>
      <c r="D510" t="s">
        <v>873</v>
      </c>
      <c r="E510" t="s">
        <v>874</v>
      </c>
      <c r="F510" s="3">
        <v>43413</v>
      </c>
      <c r="G510" s="2">
        <v>70</v>
      </c>
      <c r="H510" s="1">
        <v>324.68</v>
      </c>
      <c r="I510" t="s">
        <v>993</v>
      </c>
      <c r="J510" s="2">
        <v>1</v>
      </c>
      <c r="K510" t="s">
        <v>13</v>
      </c>
      <c r="L510" t="s">
        <v>671</v>
      </c>
      <c r="M510" t="s">
        <v>15</v>
      </c>
    </row>
    <row r="511" spans="1:13" x14ac:dyDescent="0.25">
      <c r="A511" s="5">
        <v>43483</v>
      </c>
      <c r="B511" s="2">
        <v>0</v>
      </c>
      <c r="C511" t="s">
        <v>994</v>
      </c>
      <c r="D511" t="s">
        <v>895</v>
      </c>
      <c r="E511" t="s">
        <v>896</v>
      </c>
      <c r="F511" s="3">
        <v>43413</v>
      </c>
      <c r="G511" s="2">
        <v>70</v>
      </c>
      <c r="H511" s="1">
        <v>303.48</v>
      </c>
      <c r="I511" t="s">
        <v>995</v>
      </c>
      <c r="J511" s="2">
        <v>1</v>
      </c>
      <c r="K511" t="s">
        <v>13</v>
      </c>
      <c r="L511" t="s">
        <v>671</v>
      </c>
      <c r="M511" t="s">
        <v>15</v>
      </c>
    </row>
    <row r="512" spans="1:13" x14ac:dyDescent="0.25">
      <c r="A512" s="5">
        <v>43483</v>
      </c>
      <c r="B512" s="2">
        <v>0</v>
      </c>
      <c r="C512" t="s">
        <v>996</v>
      </c>
      <c r="D512" t="s">
        <v>877</v>
      </c>
      <c r="E512" t="s">
        <v>878</v>
      </c>
      <c r="F512" s="3">
        <v>43413</v>
      </c>
      <c r="G512" s="2">
        <v>70</v>
      </c>
      <c r="H512" s="1">
        <v>747.86</v>
      </c>
      <c r="I512" t="s">
        <v>997</v>
      </c>
      <c r="J512" s="2">
        <v>1</v>
      </c>
      <c r="K512" t="s">
        <v>13</v>
      </c>
      <c r="L512" t="s">
        <v>671</v>
      </c>
      <c r="M512" t="s">
        <v>15</v>
      </c>
    </row>
    <row r="513" spans="1:13" x14ac:dyDescent="0.25">
      <c r="A513" s="5">
        <v>43486</v>
      </c>
      <c r="B513" s="2">
        <v>0</v>
      </c>
      <c r="C513" t="s">
        <v>998</v>
      </c>
      <c r="D513" t="s">
        <v>917</v>
      </c>
      <c r="E513" t="s">
        <v>918</v>
      </c>
      <c r="F513" s="3">
        <v>43444</v>
      </c>
      <c r="G513" s="2">
        <v>42</v>
      </c>
      <c r="H513" s="1">
        <v>613.23</v>
      </c>
      <c r="I513" t="s">
        <v>919</v>
      </c>
      <c r="J513" s="2">
        <v>1</v>
      </c>
      <c r="K513" t="s">
        <v>13</v>
      </c>
      <c r="L513" t="s">
        <v>830</v>
      </c>
      <c r="M513" t="s">
        <v>17</v>
      </c>
    </row>
    <row r="514" spans="1:13" x14ac:dyDescent="0.25">
      <c r="A514" s="5">
        <v>43486</v>
      </c>
      <c r="B514" s="2">
        <v>0</v>
      </c>
      <c r="C514" t="s">
        <v>999</v>
      </c>
      <c r="D514" t="s">
        <v>881</v>
      </c>
      <c r="E514" t="s">
        <v>866</v>
      </c>
      <c r="F514" s="3">
        <v>43416</v>
      </c>
      <c r="G514" s="2">
        <v>70</v>
      </c>
      <c r="H514" s="1">
        <v>84.33</v>
      </c>
      <c r="I514" t="s">
        <v>1000</v>
      </c>
      <c r="J514" s="2">
        <v>1</v>
      </c>
      <c r="K514" t="s">
        <v>13</v>
      </c>
      <c r="L514" t="s">
        <v>671</v>
      </c>
      <c r="M514" t="s">
        <v>15</v>
      </c>
    </row>
    <row r="515" spans="1:13" x14ac:dyDescent="0.25">
      <c r="A515" s="5">
        <v>43486</v>
      </c>
      <c r="B515" s="2">
        <v>0</v>
      </c>
      <c r="C515" t="s">
        <v>1001</v>
      </c>
      <c r="D515" t="s">
        <v>884</v>
      </c>
      <c r="E515" t="s">
        <v>866</v>
      </c>
      <c r="F515" s="3">
        <v>43416</v>
      </c>
      <c r="G515" s="2">
        <v>70</v>
      </c>
      <c r="H515" s="1">
        <v>209.37</v>
      </c>
      <c r="I515" t="s">
        <v>1002</v>
      </c>
      <c r="J515" s="2">
        <v>1</v>
      </c>
      <c r="K515" t="s">
        <v>13</v>
      </c>
      <c r="L515" t="s">
        <v>671</v>
      </c>
      <c r="M515" t="s">
        <v>15</v>
      </c>
    </row>
    <row r="516" spans="1:13" x14ac:dyDescent="0.25">
      <c r="A516" s="5">
        <v>43486</v>
      </c>
      <c r="B516" s="2">
        <v>0</v>
      </c>
      <c r="C516" t="s">
        <v>1003</v>
      </c>
      <c r="D516" t="s">
        <v>891</v>
      </c>
      <c r="E516" t="s">
        <v>892</v>
      </c>
      <c r="F516" s="3">
        <v>43416</v>
      </c>
      <c r="G516" s="2">
        <v>70</v>
      </c>
      <c r="H516" s="1">
        <v>174.27</v>
      </c>
      <c r="I516" t="s">
        <v>1004</v>
      </c>
      <c r="J516" s="2">
        <v>1</v>
      </c>
      <c r="K516" t="s">
        <v>13</v>
      </c>
      <c r="L516" t="s">
        <v>671</v>
      </c>
      <c r="M516" t="s">
        <v>15</v>
      </c>
    </row>
    <row r="517" spans="1:13" x14ac:dyDescent="0.25">
      <c r="A517" s="5">
        <v>43486</v>
      </c>
      <c r="B517" s="2">
        <v>0</v>
      </c>
      <c r="C517" t="s">
        <v>1005</v>
      </c>
      <c r="D517" t="s">
        <v>929</v>
      </c>
      <c r="E517" t="s">
        <v>930</v>
      </c>
      <c r="F517" s="3">
        <v>43416</v>
      </c>
      <c r="G517" s="2">
        <v>70</v>
      </c>
      <c r="H517" s="1">
        <v>65.19</v>
      </c>
      <c r="I517" t="s">
        <v>1006</v>
      </c>
      <c r="J517" s="2">
        <v>1</v>
      </c>
      <c r="K517" t="s">
        <v>13</v>
      </c>
      <c r="L517" t="s">
        <v>671</v>
      </c>
      <c r="M517" t="s">
        <v>15</v>
      </c>
    </row>
    <row r="518" spans="1:13" x14ac:dyDescent="0.25">
      <c r="A518" s="5">
        <v>43486</v>
      </c>
      <c r="B518" s="2">
        <v>0</v>
      </c>
      <c r="C518" t="s">
        <v>1007</v>
      </c>
      <c r="D518" t="s">
        <v>869</v>
      </c>
      <c r="E518" t="s">
        <v>870</v>
      </c>
      <c r="F518" s="3">
        <v>43416</v>
      </c>
      <c r="G518" s="2">
        <v>70</v>
      </c>
      <c r="H518" s="1">
        <v>158.79</v>
      </c>
      <c r="I518" t="s">
        <v>1008</v>
      </c>
      <c r="J518" s="2">
        <v>1</v>
      </c>
      <c r="K518" t="s">
        <v>13</v>
      </c>
      <c r="L518" t="s">
        <v>671</v>
      </c>
      <c r="M518" t="s">
        <v>15</v>
      </c>
    </row>
    <row r="519" spans="1:13" x14ac:dyDescent="0.25">
      <c r="A519" s="5">
        <v>43486</v>
      </c>
      <c r="B519" s="2">
        <v>0</v>
      </c>
      <c r="C519" t="s">
        <v>1009</v>
      </c>
      <c r="D519" t="s">
        <v>873</v>
      </c>
      <c r="E519" t="s">
        <v>874</v>
      </c>
      <c r="F519" s="3">
        <v>43416</v>
      </c>
      <c r="G519" s="2">
        <v>70</v>
      </c>
      <c r="H519" s="1">
        <v>431.48</v>
      </c>
      <c r="I519" t="s">
        <v>1010</v>
      </c>
      <c r="J519" s="2">
        <v>1</v>
      </c>
      <c r="K519" t="s">
        <v>13</v>
      </c>
      <c r="L519" t="s">
        <v>671</v>
      </c>
      <c r="M519" t="s">
        <v>15</v>
      </c>
    </row>
    <row r="520" spans="1:13" x14ac:dyDescent="0.25">
      <c r="A520" s="5">
        <v>43486</v>
      </c>
      <c r="B520" s="2">
        <v>0</v>
      </c>
      <c r="C520" t="s">
        <v>1011</v>
      </c>
      <c r="D520" t="s">
        <v>895</v>
      </c>
      <c r="E520" t="s">
        <v>896</v>
      </c>
      <c r="F520" s="3">
        <v>43416</v>
      </c>
      <c r="G520" s="2">
        <v>70</v>
      </c>
      <c r="H520" s="1">
        <v>26.54</v>
      </c>
      <c r="I520" t="s">
        <v>1012</v>
      </c>
      <c r="J520" s="2">
        <v>1</v>
      </c>
      <c r="K520" t="s">
        <v>13</v>
      </c>
      <c r="L520" t="s">
        <v>671</v>
      </c>
      <c r="M520" t="s">
        <v>15</v>
      </c>
    </row>
    <row r="521" spans="1:13" x14ac:dyDescent="0.25">
      <c r="A521" s="5">
        <v>43486</v>
      </c>
      <c r="B521" s="2">
        <v>0</v>
      </c>
      <c r="C521" t="s">
        <v>1013</v>
      </c>
      <c r="D521" t="s">
        <v>903</v>
      </c>
      <c r="E521" t="s">
        <v>904</v>
      </c>
      <c r="F521" s="3">
        <v>43416</v>
      </c>
      <c r="G521" s="2">
        <v>70</v>
      </c>
      <c r="H521" s="1">
        <v>106.08</v>
      </c>
      <c r="I521" t="s">
        <v>1014</v>
      </c>
      <c r="J521" s="2">
        <v>1</v>
      </c>
      <c r="K521" t="s">
        <v>13</v>
      </c>
      <c r="L521" t="s">
        <v>671</v>
      </c>
      <c r="M521" t="s">
        <v>15</v>
      </c>
    </row>
    <row r="522" spans="1:13" x14ac:dyDescent="0.25">
      <c r="A522" s="5">
        <v>43486</v>
      </c>
      <c r="B522" s="2">
        <v>0</v>
      </c>
      <c r="C522" t="s">
        <v>1015</v>
      </c>
      <c r="D522" t="s">
        <v>877</v>
      </c>
      <c r="E522" t="s">
        <v>878</v>
      </c>
      <c r="F522" s="3">
        <v>43416</v>
      </c>
      <c r="G522" s="2">
        <v>70</v>
      </c>
      <c r="H522" s="1">
        <v>2638.69</v>
      </c>
      <c r="I522" t="s">
        <v>1016</v>
      </c>
      <c r="J522" s="2">
        <v>1</v>
      </c>
      <c r="K522" t="s">
        <v>13</v>
      </c>
      <c r="L522" t="s">
        <v>671</v>
      </c>
      <c r="M522" t="s">
        <v>15</v>
      </c>
    </row>
    <row r="523" spans="1:13" x14ac:dyDescent="0.25">
      <c r="A523" s="5">
        <v>43487</v>
      </c>
      <c r="B523" s="2">
        <v>0</v>
      </c>
      <c r="C523" t="s">
        <v>1017</v>
      </c>
      <c r="D523" t="s">
        <v>735</v>
      </c>
      <c r="E523" t="s">
        <v>736</v>
      </c>
      <c r="F523" s="3">
        <v>43397</v>
      </c>
      <c r="G523" s="2">
        <v>90</v>
      </c>
      <c r="H523" s="1">
        <v>356.46</v>
      </c>
      <c r="I523" t="s">
        <v>941</v>
      </c>
      <c r="J523" s="2">
        <v>1</v>
      </c>
      <c r="K523" t="s">
        <v>13</v>
      </c>
      <c r="L523" t="s">
        <v>21</v>
      </c>
      <c r="M523" t="s">
        <v>15</v>
      </c>
    </row>
    <row r="524" spans="1:13" x14ac:dyDescent="0.25">
      <c r="A524" s="5">
        <v>43494</v>
      </c>
      <c r="B524" s="2">
        <v>0</v>
      </c>
      <c r="C524" t="s">
        <v>1018</v>
      </c>
      <c r="D524" t="s">
        <v>917</v>
      </c>
      <c r="E524" t="s">
        <v>918</v>
      </c>
      <c r="F524" s="3">
        <v>43444</v>
      </c>
      <c r="G524" s="2">
        <v>50</v>
      </c>
      <c r="H524" s="1">
        <v>613.21</v>
      </c>
      <c r="I524" t="s">
        <v>919</v>
      </c>
      <c r="J524" s="2">
        <v>1</v>
      </c>
      <c r="K524" t="s">
        <v>13</v>
      </c>
      <c r="L524" t="s">
        <v>830</v>
      </c>
      <c r="M524" t="s">
        <v>17</v>
      </c>
    </row>
    <row r="525" spans="1:13" x14ac:dyDescent="0.25">
      <c r="A525" s="5">
        <v>43494</v>
      </c>
      <c r="B525" s="2">
        <v>0</v>
      </c>
      <c r="C525" t="s">
        <v>1019</v>
      </c>
      <c r="D525" t="s">
        <v>865</v>
      </c>
      <c r="E525" t="s">
        <v>866</v>
      </c>
      <c r="F525" s="3">
        <v>43424</v>
      </c>
      <c r="G525" s="2">
        <v>70</v>
      </c>
      <c r="H525" s="1">
        <v>445.85</v>
      </c>
      <c r="I525" t="s">
        <v>1020</v>
      </c>
      <c r="J525" s="2">
        <v>1</v>
      </c>
      <c r="K525" t="s">
        <v>13</v>
      </c>
      <c r="L525" t="s">
        <v>671</v>
      </c>
      <c r="M525" t="s">
        <v>15</v>
      </c>
    </row>
    <row r="526" spans="1:13" x14ac:dyDescent="0.25">
      <c r="A526" s="5">
        <v>43494</v>
      </c>
      <c r="B526" s="2">
        <v>0</v>
      </c>
      <c r="C526" t="s">
        <v>1021</v>
      </c>
      <c r="D526" t="s">
        <v>881</v>
      </c>
      <c r="E526" t="s">
        <v>866</v>
      </c>
      <c r="F526" s="3">
        <v>43424</v>
      </c>
      <c r="G526" s="2">
        <v>70</v>
      </c>
      <c r="H526" s="1">
        <v>422.79</v>
      </c>
      <c r="I526" t="s">
        <v>1022</v>
      </c>
      <c r="J526" s="2">
        <v>1</v>
      </c>
      <c r="K526" t="s">
        <v>13</v>
      </c>
      <c r="L526" t="s">
        <v>671</v>
      </c>
      <c r="M526" t="s">
        <v>15</v>
      </c>
    </row>
    <row r="527" spans="1:13" x14ac:dyDescent="0.25">
      <c r="A527" s="5">
        <v>43494</v>
      </c>
      <c r="B527" s="2">
        <v>0</v>
      </c>
      <c r="C527" t="s">
        <v>1023</v>
      </c>
      <c r="D527" t="s">
        <v>884</v>
      </c>
      <c r="E527" t="s">
        <v>866</v>
      </c>
      <c r="F527" s="3">
        <v>43424</v>
      </c>
      <c r="G527" s="2">
        <v>70</v>
      </c>
      <c r="H527" s="1">
        <v>386.48</v>
      </c>
      <c r="I527" t="s">
        <v>1024</v>
      </c>
      <c r="J527" s="2">
        <v>1</v>
      </c>
      <c r="K527" t="s">
        <v>13</v>
      </c>
      <c r="L527" t="s">
        <v>671</v>
      </c>
      <c r="M527" t="s">
        <v>15</v>
      </c>
    </row>
    <row r="528" spans="1:13" x14ac:dyDescent="0.25">
      <c r="A528" s="5">
        <v>43494</v>
      </c>
      <c r="B528" s="2">
        <v>0</v>
      </c>
      <c r="C528" t="s">
        <v>1025</v>
      </c>
      <c r="D528" t="s">
        <v>884</v>
      </c>
      <c r="E528" t="s">
        <v>866</v>
      </c>
      <c r="F528" s="3">
        <v>43424</v>
      </c>
      <c r="G528" s="2">
        <v>70</v>
      </c>
      <c r="H528" s="1">
        <v>993.76</v>
      </c>
      <c r="I528" t="s">
        <v>1026</v>
      </c>
      <c r="J528" s="2">
        <v>1</v>
      </c>
      <c r="K528" t="s">
        <v>13</v>
      </c>
      <c r="L528" t="s">
        <v>671</v>
      </c>
      <c r="M528" t="s">
        <v>15</v>
      </c>
    </row>
    <row r="529" spans="1:13" x14ac:dyDescent="0.25">
      <c r="A529" s="5">
        <v>43494</v>
      </c>
      <c r="B529" s="2">
        <v>0</v>
      </c>
      <c r="C529" t="s">
        <v>1027</v>
      </c>
      <c r="D529" t="s">
        <v>887</v>
      </c>
      <c r="E529" t="s">
        <v>888</v>
      </c>
      <c r="F529" s="3">
        <v>43424</v>
      </c>
      <c r="G529" s="2">
        <v>70</v>
      </c>
      <c r="H529" s="1">
        <v>223.3</v>
      </c>
      <c r="I529" t="s">
        <v>1028</v>
      </c>
      <c r="J529" s="2">
        <v>1</v>
      </c>
      <c r="K529" t="s">
        <v>13</v>
      </c>
      <c r="L529" t="s">
        <v>671</v>
      </c>
      <c r="M529" t="s">
        <v>15</v>
      </c>
    </row>
    <row r="530" spans="1:13" x14ac:dyDescent="0.25">
      <c r="A530" s="5">
        <v>43494</v>
      </c>
      <c r="B530" s="2">
        <v>0</v>
      </c>
      <c r="C530" t="s">
        <v>1029</v>
      </c>
      <c r="D530" t="s">
        <v>891</v>
      </c>
      <c r="E530" t="s">
        <v>892</v>
      </c>
      <c r="F530" s="3">
        <v>43424</v>
      </c>
      <c r="G530" s="2">
        <v>70</v>
      </c>
      <c r="H530" s="1">
        <v>753.46</v>
      </c>
      <c r="I530" t="s">
        <v>1030</v>
      </c>
      <c r="J530" s="2">
        <v>1</v>
      </c>
      <c r="K530" t="s">
        <v>13</v>
      </c>
      <c r="L530" t="s">
        <v>671</v>
      </c>
      <c r="M530" t="s">
        <v>15</v>
      </c>
    </row>
    <row r="531" spans="1:13" x14ac:dyDescent="0.25">
      <c r="A531" s="5">
        <v>43494</v>
      </c>
      <c r="B531" s="2">
        <v>0</v>
      </c>
      <c r="C531" t="s">
        <v>1031</v>
      </c>
      <c r="D531" t="s">
        <v>891</v>
      </c>
      <c r="E531" t="s">
        <v>892</v>
      </c>
      <c r="F531" s="3">
        <v>43424</v>
      </c>
      <c r="G531" s="2">
        <v>70</v>
      </c>
      <c r="H531" s="1">
        <v>1193.0999999999999</v>
      </c>
      <c r="I531" t="s">
        <v>1032</v>
      </c>
      <c r="J531" s="2">
        <v>1</v>
      </c>
      <c r="K531" t="s">
        <v>13</v>
      </c>
      <c r="L531" t="s">
        <v>671</v>
      </c>
      <c r="M531" t="s">
        <v>15</v>
      </c>
    </row>
    <row r="532" spans="1:13" x14ac:dyDescent="0.25">
      <c r="A532" s="5">
        <v>43494</v>
      </c>
      <c r="B532" s="2">
        <v>0</v>
      </c>
      <c r="C532" t="s">
        <v>1033</v>
      </c>
      <c r="D532" t="s">
        <v>929</v>
      </c>
      <c r="E532" t="s">
        <v>930</v>
      </c>
      <c r="F532" s="3">
        <v>43424</v>
      </c>
      <c r="G532" s="2">
        <v>70</v>
      </c>
      <c r="H532" s="1">
        <v>203.91</v>
      </c>
      <c r="I532" t="s">
        <v>1034</v>
      </c>
      <c r="J532" s="2">
        <v>1</v>
      </c>
      <c r="K532" t="s">
        <v>13</v>
      </c>
      <c r="L532" t="s">
        <v>671</v>
      </c>
      <c r="M532" t="s">
        <v>15</v>
      </c>
    </row>
    <row r="533" spans="1:13" x14ac:dyDescent="0.25">
      <c r="A533" s="5">
        <v>43494</v>
      </c>
      <c r="B533" s="2">
        <v>0</v>
      </c>
      <c r="C533" t="s">
        <v>1035</v>
      </c>
      <c r="D533" t="s">
        <v>929</v>
      </c>
      <c r="E533" t="s">
        <v>930</v>
      </c>
      <c r="F533" s="3">
        <v>43424</v>
      </c>
      <c r="G533" s="2">
        <v>70</v>
      </c>
      <c r="H533" s="1">
        <v>419.46</v>
      </c>
      <c r="I533" t="s">
        <v>1036</v>
      </c>
      <c r="J533" s="2">
        <v>1</v>
      </c>
      <c r="K533" t="s">
        <v>13</v>
      </c>
      <c r="L533" t="s">
        <v>671</v>
      </c>
      <c r="M533" t="s">
        <v>15</v>
      </c>
    </row>
    <row r="534" spans="1:13" x14ac:dyDescent="0.25">
      <c r="A534" s="5">
        <v>43494</v>
      </c>
      <c r="B534" s="2">
        <v>0</v>
      </c>
      <c r="C534" t="s">
        <v>1037</v>
      </c>
      <c r="D534" t="s">
        <v>869</v>
      </c>
      <c r="E534" t="s">
        <v>870</v>
      </c>
      <c r="F534" s="3">
        <v>43424</v>
      </c>
      <c r="G534" s="2">
        <v>70</v>
      </c>
      <c r="H534" s="1">
        <v>221.31</v>
      </c>
      <c r="I534" t="s">
        <v>1038</v>
      </c>
      <c r="J534" s="2">
        <v>1</v>
      </c>
      <c r="K534" t="s">
        <v>13</v>
      </c>
      <c r="L534" t="s">
        <v>671</v>
      </c>
      <c r="M534" t="s">
        <v>15</v>
      </c>
    </row>
    <row r="535" spans="1:13" x14ac:dyDescent="0.25">
      <c r="A535" s="5">
        <v>43494</v>
      </c>
      <c r="B535" s="2">
        <v>0</v>
      </c>
      <c r="C535" t="s">
        <v>1039</v>
      </c>
      <c r="D535" t="s">
        <v>869</v>
      </c>
      <c r="E535" t="s">
        <v>870</v>
      </c>
      <c r="F535" s="3">
        <v>43424</v>
      </c>
      <c r="G535" s="2">
        <v>70</v>
      </c>
      <c r="H535" s="1">
        <v>323.63</v>
      </c>
      <c r="I535" t="s">
        <v>1040</v>
      </c>
      <c r="J535" s="2">
        <v>1</v>
      </c>
      <c r="K535" t="s">
        <v>13</v>
      </c>
      <c r="L535" t="s">
        <v>671</v>
      </c>
      <c r="M535" t="s">
        <v>15</v>
      </c>
    </row>
    <row r="536" spans="1:13" x14ac:dyDescent="0.25">
      <c r="A536" s="5">
        <v>43494</v>
      </c>
      <c r="B536" s="2">
        <v>0</v>
      </c>
      <c r="C536" t="s">
        <v>1041</v>
      </c>
      <c r="D536" t="s">
        <v>873</v>
      </c>
      <c r="E536" t="s">
        <v>874</v>
      </c>
      <c r="F536" s="3">
        <v>43424</v>
      </c>
      <c r="G536" s="2">
        <v>70</v>
      </c>
      <c r="H536" s="1">
        <v>57.23</v>
      </c>
      <c r="I536" t="s">
        <v>1042</v>
      </c>
      <c r="J536" s="2">
        <v>1</v>
      </c>
      <c r="K536" t="s">
        <v>13</v>
      </c>
      <c r="L536" t="s">
        <v>671</v>
      </c>
      <c r="M536" t="s">
        <v>15</v>
      </c>
    </row>
    <row r="537" spans="1:13" x14ac:dyDescent="0.25">
      <c r="A537" s="5">
        <v>43494</v>
      </c>
      <c r="B537" s="2">
        <v>0</v>
      </c>
      <c r="C537" t="s">
        <v>1043</v>
      </c>
      <c r="D537" t="s">
        <v>873</v>
      </c>
      <c r="E537" t="s">
        <v>874</v>
      </c>
      <c r="F537" s="3">
        <v>43424</v>
      </c>
      <c r="G537" s="2">
        <v>70</v>
      </c>
      <c r="H537" s="1">
        <v>746.84</v>
      </c>
      <c r="I537" t="s">
        <v>1044</v>
      </c>
      <c r="J537" s="2">
        <v>1</v>
      </c>
      <c r="K537" t="s">
        <v>13</v>
      </c>
      <c r="L537" t="s">
        <v>671</v>
      </c>
      <c r="M537" t="s">
        <v>15</v>
      </c>
    </row>
    <row r="538" spans="1:13" x14ac:dyDescent="0.25">
      <c r="A538" s="5">
        <v>43494</v>
      </c>
      <c r="B538" s="2">
        <v>0</v>
      </c>
      <c r="C538" t="s">
        <v>1045</v>
      </c>
      <c r="D538" t="s">
        <v>895</v>
      </c>
      <c r="E538" t="s">
        <v>896</v>
      </c>
      <c r="F538" s="3">
        <v>43424</v>
      </c>
      <c r="G538" s="2">
        <v>70</v>
      </c>
      <c r="H538" s="1">
        <v>354.12</v>
      </c>
      <c r="I538" t="s">
        <v>1046</v>
      </c>
      <c r="J538" s="2">
        <v>1</v>
      </c>
      <c r="K538" t="s">
        <v>13</v>
      </c>
      <c r="L538" t="s">
        <v>671</v>
      </c>
      <c r="M538" t="s">
        <v>15</v>
      </c>
    </row>
    <row r="539" spans="1:13" x14ac:dyDescent="0.25">
      <c r="A539" s="5">
        <v>43494</v>
      </c>
      <c r="B539" s="2">
        <v>0</v>
      </c>
      <c r="C539" t="s">
        <v>1047</v>
      </c>
      <c r="D539" t="s">
        <v>895</v>
      </c>
      <c r="E539" t="s">
        <v>896</v>
      </c>
      <c r="F539" s="3">
        <v>43424</v>
      </c>
      <c r="G539" s="2">
        <v>70</v>
      </c>
      <c r="H539" s="1">
        <v>46.55</v>
      </c>
      <c r="I539" t="s">
        <v>1048</v>
      </c>
      <c r="J539" s="2">
        <v>1</v>
      </c>
      <c r="K539" t="s">
        <v>13</v>
      </c>
      <c r="L539" t="s">
        <v>671</v>
      </c>
      <c r="M539" t="s">
        <v>15</v>
      </c>
    </row>
    <row r="540" spans="1:13" x14ac:dyDescent="0.25">
      <c r="A540" s="5">
        <v>43494</v>
      </c>
      <c r="B540" s="2">
        <v>0</v>
      </c>
      <c r="C540" t="s">
        <v>1049</v>
      </c>
      <c r="D540" t="s">
        <v>895</v>
      </c>
      <c r="E540" t="s">
        <v>896</v>
      </c>
      <c r="F540" s="3">
        <v>43424</v>
      </c>
      <c r="G540" s="2">
        <v>70</v>
      </c>
      <c r="H540" s="1">
        <v>703.17</v>
      </c>
      <c r="I540" t="s">
        <v>1050</v>
      </c>
      <c r="J540" s="2">
        <v>1</v>
      </c>
      <c r="K540" t="s">
        <v>13</v>
      </c>
      <c r="L540" t="s">
        <v>671</v>
      </c>
      <c r="M540" t="s">
        <v>15</v>
      </c>
    </row>
    <row r="541" spans="1:13" x14ac:dyDescent="0.25">
      <c r="A541" s="5">
        <v>43494</v>
      </c>
      <c r="B541" s="2">
        <v>0</v>
      </c>
      <c r="C541" t="s">
        <v>1051</v>
      </c>
      <c r="D541" t="s">
        <v>899</v>
      </c>
      <c r="E541" t="s">
        <v>900</v>
      </c>
      <c r="F541" s="3">
        <v>43424</v>
      </c>
      <c r="G541" s="2">
        <v>70</v>
      </c>
      <c r="H541" s="1">
        <v>216.86</v>
      </c>
      <c r="I541" t="s">
        <v>1052</v>
      </c>
      <c r="J541" s="2">
        <v>1</v>
      </c>
      <c r="K541" t="s">
        <v>13</v>
      </c>
      <c r="L541" t="s">
        <v>671</v>
      </c>
      <c r="M541" t="s">
        <v>15</v>
      </c>
    </row>
    <row r="542" spans="1:13" x14ac:dyDescent="0.25">
      <c r="A542" s="5">
        <v>43494</v>
      </c>
      <c r="B542" s="2">
        <v>0</v>
      </c>
      <c r="C542" t="s">
        <v>1053</v>
      </c>
      <c r="D542" t="s">
        <v>903</v>
      </c>
      <c r="E542" t="s">
        <v>904</v>
      </c>
      <c r="F542" s="3">
        <v>43424</v>
      </c>
      <c r="G542" s="2">
        <v>70</v>
      </c>
      <c r="H542" s="1">
        <v>391.86</v>
      </c>
      <c r="I542" t="s">
        <v>1054</v>
      </c>
      <c r="J542" s="2">
        <v>1</v>
      </c>
      <c r="K542" t="s">
        <v>13</v>
      </c>
      <c r="L542" t="s">
        <v>671</v>
      </c>
      <c r="M542" t="s">
        <v>15</v>
      </c>
    </row>
    <row r="543" spans="1:13" x14ac:dyDescent="0.25">
      <c r="A543" s="5">
        <v>43494</v>
      </c>
      <c r="B543" s="2">
        <v>0</v>
      </c>
      <c r="C543" t="s">
        <v>1055</v>
      </c>
      <c r="D543" t="s">
        <v>877</v>
      </c>
      <c r="E543" t="s">
        <v>878</v>
      </c>
      <c r="F543" s="3">
        <v>43424</v>
      </c>
      <c r="G543" s="2">
        <v>70</v>
      </c>
      <c r="H543" s="1">
        <v>390.18</v>
      </c>
      <c r="I543" t="s">
        <v>1056</v>
      </c>
      <c r="J543" s="2">
        <v>1</v>
      </c>
      <c r="K543" t="s">
        <v>13</v>
      </c>
      <c r="L543" t="s">
        <v>671</v>
      </c>
      <c r="M543" t="s">
        <v>15</v>
      </c>
    </row>
    <row r="544" spans="1:13" x14ac:dyDescent="0.25">
      <c r="A544" s="5">
        <v>43494</v>
      </c>
      <c r="B544" s="2">
        <v>0</v>
      </c>
      <c r="C544" t="s">
        <v>1057</v>
      </c>
      <c r="D544" t="s">
        <v>877</v>
      </c>
      <c r="E544" t="s">
        <v>878</v>
      </c>
      <c r="F544" s="3">
        <v>43424</v>
      </c>
      <c r="G544" s="2">
        <v>70</v>
      </c>
      <c r="H544" s="1">
        <v>2216.38</v>
      </c>
      <c r="I544" t="s">
        <v>1058</v>
      </c>
      <c r="J544" s="2">
        <v>1</v>
      </c>
      <c r="K544" t="s">
        <v>13</v>
      </c>
      <c r="L544" t="s">
        <v>671</v>
      </c>
      <c r="M544" t="s">
        <v>15</v>
      </c>
    </row>
    <row r="545" spans="1:13" x14ac:dyDescent="0.25">
      <c r="A545" s="5">
        <v>43495</v>
      </c>
      <c r="B545" s="2">
        <v>0</v>
      </c>
      <c r="C545" t="s">
        <v>1059</v>
      </c>
      <c r="D545" t="s">
        <v>903</v>
      </c>
      <c r="E545" t="s">
        <v>904</v>
      </c>
      <c r="F545" s="3">
        <v>43425</v>
      </c>
      <c r="G545" s="2">
        <v>70</v>
      </c>
      <c r="H545" s="1">
        <v>24.89</v>
      </c>
      <c r="I545" t="s">
        <v>1060</v>
      </c>
      <c r="J545" s="2">
        <v>1</v>
      </c>
      <c r="K545" t="s">
        <v>13</v>
      </c>
      <c r="L545" t="s">
        <v>671</v>
      </c>
      <c r="M545" t="s">
        <v>15</v>
      </c>
    </row>
    <row r="546" spans="1:13" x14ac:dyDescent="0.25">
      <c r="A546" s="5">
        <v>43502</v>
      </c>
      <c r="B546" s="2">
        <v>0</v>
      </c>
      <c r="C546" t="s">
        <v>1061</v>
      </c>
      <c r="D546" t="s">
        <v>881</v>
      </c>
      <c r="E546" t="s">
        <v>866</v>
      </c>
      <c r="F546" s="3">
        <v>43432</v>
      </c>
      <c r="G546" s="2">
        <v>70</v>
      </c>
      <c r="H546" s="1">
        <v>98.16</v>
      </c>
      <c r="I546" t="s">
        <v>1062</v>
      </c>
      <c r="J546" s="2">
        <v>1</v>
      </c>
      <c r="K546" t="s">
        <v>13</v>
      </c>
      <c r="L546" t="s">
        <v>671</v>
      </c>
      <c r="M546" t="s">
        <v>15</v>
      </c>
    </row>
    <row r="547" spans="1:13" x14ac:dyDescent="0.25">
      <c r="A547" s="5">
        <v>43502</v>
      </c>
      <c r="B547" s="2">
        <v>0</v>
      </c>
      <c r="C547" t="s">
        <v>1063</v>
      </c>
      <c r="D547" t="s">
        <v>884</v>
      </c>
      <c r="E547" t="s">
        <v>866</v>
      </c>
      <c r="F547" s="3">
        <v>43432</v>
      </c>
      <c r="G547" s="2">
        <v>70</v>
      </c>
      <c r="H547" s="1">
        <v>176.66</v>
      </c>
      <c r="I547" t="s">
        <v>1064</v>
      </c>
      <c r="J547" s="2">
        <v>1</v>
      </c>
      <c r="K547" t="s">
        <v>13</v>
      </c>
      <c r="L547" t="s">
        <v>671</v>
      </c>
      <c r="M547" t="s">
        <v>15</v>
      </c>
    </row>
    <row r="548" spans="1:13" x14ac:dyDescent="0.25">
      <c r="A548" s="5">
        <v>43502</v>
      </c>
      <c r="B548" s="2">
        <v>0</v>
      </c>
      <c r="C548" t="s">
        <v>1065</v>
      </c>
      <c r="D548" t="s">
        <v>891</v>
      </c>
      <c r="E548" t="s">
        <v>892</v>
      </c>
      <c r="F548" s="3">
        <v>43432</v>
      </c>
      <c r="G548" s="2">
        <v>70</v>
      </c>
      <c r="H548" s="1">
        <v>31.93</v>
      </c>
      <c r="I548" t="s">
        <v>1066</v>
      </c>
      <c r="J548" s="2">
        <v>1</v>
      </c>
      <c r="K548" t="s">
        <v>13</v>
      </c>
      <c r="L548" t="s">
        <v>671</v>
      </c>
      <c r="M548" t="s">
        <v>15</v>
      </c>
    </row>
    <row r="549" spans="1:13" x14ac:dyDescent="0.25">
      <c r="A549" s="5">
        <v>43502</v>
      </c>
      <c r="B549" s="2">
        <v>0</v>
      </c>
      <c r="C549" t="s">
        <v>1067</v>
      </c>
      <c r="D549" t="s">
        <v>891</v>
      </c>
      <c r="E549" t="s">
        <v>892</v>
      </c>
      <c r="F549" s="3">
        <v>43432</v>
      </c>
      <c r="G549" s="2">
        <v>70</v>
      </c>
      <c r="H549" s="1">
        <v>206.5</v>
      </c>
      <c r="I549" t="s">
        <v>1068</v>
      </c>
      <c r="J549" s="2">
        <v>1</v>
      </c>
      <c r="K549" t="s">
        <v>13</v>
      </c>
      <c r="L549" t="s">
        <v>671</v>
      </c>
      <c r="M549" t="s">
        <v>15</v>
      </c>
    </row>
    <row r="550" spans="1:13" x14ac:dyDescent="0.25">
      <c r="A550" s="5">
        <v>43502</v>
      </c>
      <c r="B550" s="2">
        <v>0</v>
      </c>
      <c r="C550" t="s">
        <v>1069</v>
      </c>
      <c r="D550" t="s">
        <v>929</v>
      </c>
      <c r="E550" t="s">
        <v>930</v>
      </c>
      <c r="F550" s="3">
        <v>43432</v>
      </c>
      <c r="G550" s="2">
        <v>70</v>
      </c>
      <c r="H550" s="1">
        <v>24.62</v>
      </c>
      <c r="I550" t="s">
        <v>1070</v>
      </c>
      <c r="J550" s="2">
        <v>1</v>
      </c>
      <c r="K550" t="s">
        <v>13</v>
      </c>
      <c r="L550" t="s">
        <v>671</v>
      </c>
      <c r="M550" t="s">
        <v>15</v>
      </c>
    </row>
    <row r="551" spans="1:13" x14ac:dyDescent="0.25">
      <c r="A551" s="5">
        <v>43502</v>
      </c>
      <c r="B551" s="2">
        <v>0</v>
      </c>
      <c r="C551" t="s">
        <v>1071</v>
      </c>
      <c r="D551" t="s">
        <v>929</v>
      </c>
      <c r="E551" t="s">
        <v>930</v>
      </c>
      <c r="F551" s="3">
        <v>43432</v>
      </c>
      <c r="G551" s="2">
        <v>70</v>
      </c>
      <c r="H551" s="1">
        <v>141.09</v>
      </c>
      <c r="I551" t="s">
        <v>1072</v>
      </c>
      <c r="J551" s="2">
        <v>1</v>
      </c>
      <c r="K551" t="s">
        <v>13</v>
      </c>
      <c r="L551" t="s">
        <v>671</v>
      </c>
      <c r="M551" t="s">
        <v>15</v>
      </c>
    </row>
    <row r="552" spans="1:13" x14ac:dyDescent="0.25">
      <c r="A552" s="5">
        <v>43502</v>
      </c>
      <c r="B552" s="2">
        <v>0</v>
      </c>
      <c r="C552" t="s">
        <v>1073</v>
      </c>
      <c r="D552" t="s">
        <v>895</v>
      </c>
      <c r="E552" t="s">
        <v>896</v>
      </c>
      <c r="F552" s="3">
        <v>43432</v>
      </c>
      <c r="G552" s="2">
        <v>70</v>
      </c>
      <c r="H552" s="1">
        <v>90.96</v>
      </c>
      <c r="I552" t="s">
        <v>1074</v>
      </c>
      <c r="J552" s="2">
        <v>1</v>
      </c>
      <c r="K552" t="s">
        <v>13</v>
      </c>
      <c r="L552" t="s">
        <v>671</v>
      </c>
      <c r="M552" t="s">
        <v>15</v>
      </c>
    </row>
    <row r="553" spans="1:13" x14ac:dyDescent="0.25">
      <c r="A553" s="5">
        <v>43502</v>
      </c>
      <c r="B553" s="2">
        <v>0</v>
      </c>
      <c r="C553" t="s">
        <v>1075</v>
      </c>
      <c r="D553" t="s">
        <v>903</v>
      </c>
      <c r="E553" t="s">
        <v>904</v>
      </c>
      <c r="F553" s="3">
        <v>43432</v>
      </c>
      <c r="G553" s="2">
        <v>70</v>
      </c>
      <c r="H553" s="1">
        <v>88.47</v>
      </c>
      <c r="I553" t="s">
        <v>1076</v>
      </c>
      <c r="J553" s="2">
        <v>1</v>
      </c>
      <c r="K553" t="s">
        <v>13</v>
      </c>
      <c r="L553" t="s">
        <v>671</v>
      </c>
      <c r="M553" t="s">
        <v>15</v>
      </c>
    </row>
    <row r="554" spans="1:13" x14ac:dyDescent="0.25">
      <c r="A554" s="5">
        <v>43502</v>
      </c>
      <c r="B554" s="2">
        <v>0</v>
      </c>
      <c r="C554" t="s">
        <v>1077</v>
      </c>
      <c r="D554" t="s">
        <v>877</v>
      </c>
      <c r="E554" t="s">
        <v>878</v>
      </c>
      <c r="F554" s="3">
        <v>43432</v>
      </c>
      <c r="G554" s="2">
        <v>70</v>
      </c>
      <c r="H554" s="1">
        <v>17.3</v>
      </c>
      <c r="I554" t="s">
        <v>1078</v>
      </c>
      <c r="J554" s="2">
        <v>1</v>
      </c>
      <c r="K554" t="s">
        <v>13</v>
      </c>
      <c r="L554" t="s">
        <v>671</v>
      </c>
      <c r="M554" t="s">
        <v>15</v>
      </c>
    </row>
    <row r="555" spans="1:13" x14ac:dyDescent="0.25">
      <c r="A555" s="5">
        <v>43502</v>
      </c>
      <c r="B555" s="2">
        <v>0</v>
      </c>
      <c r="C555" t="s">
        <v>1079</v>
      </c>
      <c r="D555" t="s">
        <v>877</v>
      </c>
      <c r="E555" t="s">
        <v>878</v>
      </c>
      <c r="F555" s="3">
        <v>43432</v>
      </c>
      <c r="G555" s="2">
        <v>70</v>
      </c>
      <c r="H555" s="1">
        <v>408.15</v>
      </c>
      <c r="I555" t="s">
        <v>1080</v>
      </c>
      <c r="J555" s="2">
        <v>1</v>
      </c>
      <c r="K555" t="s">
        <v>13</v>
      </c>
      <c r="L555" t="s">
        <v>671</v>
      </c>
      <c r="M555" t="s">
        <v>15</v>
      </c>
    </row>
    <row r="556" spans="1:13" x14ac:dyDescent="0.25">
      <c r="A556" s="5">
        <v>43504</v>
      </c>
      <c r="B556" s="2">
        <v>0</v>
      </c>
      <c r="C556" t="s">
        <v>1082</v>
      </c>
      <c r="D556" t="s">
        <v>884</v>
      </c>
      <c r="E556" t="s">
        <v>866</v>
      </c>
      <c r="F556" s="3">
        <v>43434</v>
      </c>
      <c r="G556" s="2">
        <v>70</v>
      </c>
      <c r="H556" s="1">
        <v>970.93</v>
      </c>
      <c r="I556" t="s">
        <v>1083</v>
      </c>
      <c r="J556" s="2">
        <v>1</v>
      </c>
      <c r="K556" t="s">
        <v>13</v>
      </c>
      <c r="L556" t="s">
        <v>671</v>
      </c>
      <c r="M556" t="s">
        <v>15</v>
      </c>
    </row>
    <row r="557" spans="1:13" x14ac:dyDescent="0.25">
      <c r="A557" s="5">
        <v>43504</v>
      </c>
      <c r="B557" s="2">
        <v>0</v>
      </c>
      <c r="C557" t="s">
        <v>1084</v>
      </c>
      <c r="D557" t="s">
        <v>891</v>
      </c>
      <c r="E557" t="s">
        <v>892</v>
      </c>
      <c r="F557" s="3">
        <v>43434</v>
      </c>
      <c r="G557" s="2">
        <v>70</v>
      </c>
      <c r="H557" s="1">
        <v>479.06</v>
      </c>
      <c r="I557" t="s">
        <v>1085</v>
      </c>
      <c r="J557" s="2">
        <v>1</v>
      </c>
      <c r="K557" t="s">
        <v>13</v>
      </c>
      <c r="L557" t="s">
        <v>671</v>
      </c>
      <c r="M557" t="s">
        <v>15</v>
      </c>
    </row>
    <row r="558" spans="1:13" x14ac:dyDescent="0.25">
      <c r="A558" s="5">
        <v>43504</v>
      </c>
      <c r="B558" s="2">
        <v>0</v>
      </c>
      <c r="C558" t="s">
        <v>1086</v>
      </c>
      <c r="D558" t="s">
        <v>869</v>
      </c>
      <c r="E558" t="s">
        <v>870</v>
      </c>
      <c r="F558" s="3">
        <v>43434</v>
      </c>
      <c r="G558" s="2">
        <v>70</v>
      </c>
      <c r="H558" s="1">
        <v>678.26</v>
      </c>
      <c r="I558" t="s">
        <v>1087</v>
      </c>
      <c r="J558" s="2">
        <v>1</v>
      </c>
      <c r="K558" t="s">
        <v>13</v>
      </c>
      <c r="L558" t="s">
        <v>671</v>
      </c>
      <c r="M558" t="s">
        <v>15</v>
      </c>
    </row>
    <row r="559" spans="1:13" x14ac:dyDescent="0.25">
      <c r="A559" s="5">
        <v>43504</v>
      </c>
      <c r="B559" s="2">
        <v>0</v>
      </c>
      <c r="C559" t="s">
        <v>1088</v>
      </c>
      <c r="D559" t="s">
        <v>873</v>
      </c>
      <c r="E559" t="s">
        <v>874</v>
      </c>
      <c r="F559" s="3">
        <v>43434</v>
      </c>
      <c r="G559" s="2">
        <v>70</v>
      </c>
      <c r="H559" s="1">
        <v>387.31</v>
      </c>
      <c r="I559" t="s">
        <v>1089</v>
      </c>
      <c r="J559" s="2">
        <v>1</v>
      </c>
      <c r="K559" t="s">
        <v>13</v>
      </c>
      <c r="L559" t="s">
        <v>671</v>
      </c>
      <c r="M559" t="s">
        <v>15</v>
      </c>
    </row>
    <row r="560" spans="1:13" x14ac:dyDescent="0.25">
      <c r="A560" s="5">
        <v>43504</v>
      </c>
      <c r="B560" s="2">
        <v>0</v>
      </c>
      <c r="C560" t="s">
        <v>1090</v>
      </c>
      <c r="D560" t="s">
        <v>895</v>
      </c>
      <c r="E560" t="s">
        <v>896</v>
      </c>
      <c r="F560" s="3">
        <v>43434</v>
      </c>
      <c r="G560" s="2">
        <v>70</v>
      </c>
      <c r="H560" s="1">
        <v>696.69</v>
      </c>
      <c r="I560" t="s">
        <v>1091</v>
      </c>
      <c r="J560" s="2">
        <v>1</v>
      </c>
      <c r="K560" t="s">
        <v>13</v>
      </c>
      <c r="L560" t="s">
        <v>671</v>
      </c>
      <c r="M560" t="s">
        <v>15</v>
      </c>
    </row>
    <row r="561" spans="1:13" x14ac:dyDescent="0.25">
      <c r="A561" s="5">
        <v>43504</v>
      </c>
      <c r="B561" s="2">
        <v>0</v>
      </c>
      <c r="C561" t="s">
        <v>1092</v>
      </c>
      <c r="D561" t="s">
        <v>899</v>
      </c>
      <c r="E561" t="s">
        <v>900</v>
      </c>
      <c r="F561" s="3">
        <v>43434</v>
      </c>
      <c r="G561" s="2">
        <v>70</v>
      </c>
      <c r="H561" s="1">
        <v>277.99</v>
      </c>
      <c r="I561" t="s">
        <v>1093</v>
      </c>
      <c r="J561" s="2">
        <v>1</v>
      </c>
      <c r="K561" t="s">
        <v>13</v>
      </c>
      <c r="L561" t="s">
        <v>671</v>
      </c>
      <c r="M561" t="s">
        <v>15</v>
      </c>
    </row>
    <row r="562" spans="1:13" x14ac:dyDescent="0.25">
      <c r="A562" s="5">
        <v>43504</v>
      </c>
      <c r="B562" s="2">
        <v>0</v>
      </c>
      <c r="C562" t="s">
        <v>1094</v>
      </c>
      <c r="D562" t="s">
        <v>903</v>
      </c>
      <c r="E562" t="s">
        <v>904</v>
      </c>
      <c r="F562" s="3">
        <v>43434</v>
      </c>
      <c r="G562" s="2">
        <v>70</v>
      </c>
      <c r="H562" s="1">
        <v>520.22</v>
      </c>
      <c r="I562" t="s">
        <v>1095</v>
      </c>
      <c r="J562" s="2">
        <v>1</v>
      </c>
      <c r="K562" t="s">
        <v>13</v>
      </c>
      <c r="L562" t="s">
        <v>671</v>
      </c>
      <c r="M562" t="s">
        <v>15</v>
      </c>
    </row>
    <row r="563" spans="1:13" x14ac:dyDescent="0.25">
      <c r="A563" s="5">
        <v>43504</v>
      </c>
      <c r="B563" s="2">
        <v>0</v>
      </c>
      <c r="C563" t="s">
        <v>1096</v>
      </c>
      <c r="D563" t="s">
        <v>877</v>
      </c>
      <c r="E563" t="s">
        <v>878</v>
      </c>
      <c r="F563" s="3">
        <v>43434</v>
      </c>
      <c r="G563" s="2">
        <v>70</v>
      </c>
      <c r="H563" s="1">
        <v>885.97</v>
      </c>
      <c r="I563" t="s">
        <v>1097</v>
      </c>
      <c r="J563" s="2">
        <v>1</v>
      </c>
      <c r="K563" t="s">
        <v>13</v>
      </c>
      <c r="L563" t="s">
        <v>671</v>
      </c>
      <c r="M563" t="s">
        <v>15</v>
      </c>
    </row>
    <row r="564" spans="1:13" x14ac:dyDescent="0.25">
      <c r="A564" s="5">
        <v>43509</v>
      </c>
      <c r="B564" s="2">
        <v>0</v>
      </c>
      <c r="C564" t="s">
        <v>1098</v>
      </c>
      <c r="D564" t="s">
        <v>861</v>
      </c>
      <c r="E564" t="s">
        <v>862</v>
      </c>
      <c r="F564" s="3">
        <v>43444</v>
      </c>
      <c r="G564" s="2">
        <v>65</v>
      </c>
      <c r="H564" s="1">
        <v>379.01</v>
      </c>
      <c r="I564" t="s">
        <v>1099</v>
      </c>
      <c r="J564" s="2">
        <v>1</v>
      </c>
      <c r="K564" t="s">
        <v>13</v>
      </c>
      <c r="L564" t="s">
        <v>695</v>
      </c>
      <c r="M564" t="s">
        <v>15</v>
      </c>
    </row>
    <row r="565" spans="1:13" x14ac:dyDescent="0.25">
      <c r="A565" s="5">
        <v>43510</v>
      </c>
      <c r="B565" s="2">
        <v>0</v>
      </c>
      <c r="C565" t="s">
        <v>1100</v>
      </c>
      <c r="D565" t="s">
        <v>887</v>
      </c>
      <c r="E565" t="s">
        <v>888</v>
      </c>
      <c r="F565" s="3">
        <v>43440</v>
      </c>
      <c r="G565" s="2">
        <v>70</v>
      </c>
      <c r="H565" s="1">
        <v>57.23</v>
      </c>
      <c r="I565" t="s">
        <v>1101</v>
      </c>
      <c r="J565" s="2">
        <v>1</v>
      </c>
      <c r="K565" t="s">
        <v>13</v>
      </c>
      <c r="L565" t="s">
        <v>671</v>
      </c>
      <c r="M565" t="s">
        <v>15</v>
      </c>
    </row>
    <row r="566" spans="1:13" x14ac:dyDescent="0.25">
      <c r="A566" s="5">
        <v>43510</v>
      </c>
      <c r="B566" s="2">
        <v>0</v>
      </c>
      <c r="C566" t="s">
        <v>1102</v>
      </c>
      <c r="D566" t="s">
        <v>891</v>
      </c>
      <c r="E566" t="s">
        <v>892</v>
      </c>
      <c r="F566" s="3">
        <v>43440</v>
      </c>
      <c r="G566" s="2">
        <v>70</v>
      </c>
      <c r="H566" s="1">
        <v>236.79</v>
      </c>
      <c r="I566" t="s">
        <v>1103</v>
      </c>
      <c r="J566" s="2">
        <v>1</v>
      </c>
      <c r="K566" t="s">
        <v>13</v>
      </c>
      <c r="L566" t="s">
        <v>671</v>
      </c>
      <c r="M566" t="s">
        <v>15</v>
      </c>
    </row>
    <row r="567" spans="1:13" x14ac:dyDescent="0.25">
      <c r="A567" s="5">
        <v>43510</v>
      </c>
      <c r="B567" s="2">
        <v>0</v>
      </c>
      <c r="C567" t="s">
        <v>1104</v>
      </c>
      <c r="D567" t="s">
        <v>929</v>
      </c>
      <c r="E567" t="s">
        <v>930</v>
      </c>
      <c r="F567" s="3">
        <v>43440</v>
      </c>
      <c r="G567" s="2">
        <v>70</v>
      </c>
      <c r="H567" s="1">
        <v>362.36</v>
      </c>
      <c r="I567" t="s">
        <v>1105</v>
      </c>
      <c r="J567" s="2">
        <v>1</v>
      </c>
      <c r="K567" t="s">
        <v>13</v>
      </c>
      <c r="L567" t="s">
        <v>671</v>
      </c>
      <c r="M567" t="s">
        <v>15</v>
      </c>
    </row>
    <row r="568" spans="1:13" x14ac:dyDescent="0.25">
      <c r="A568" s="5">
        <v>43510</v>
      </c>
      <c r="B568" s="2">
        <v>0</v>
      </c>
      <c r="C568" t="s">
        <v>1106</v>
      </c>
      <c r="D568" t="s">
        <v>873</v>
      </c>
      <c r="E568" t="s">
        <v>874</v>
      </c>
      <c r="F568" s="3">
        <v>43440</v>
      </c>
      <c r="G568" s="2">
        <v>70</v>
      </c>
      <c r="H568" s="1">
        <v>372.7</v>
      </c>
      <c r="I568" t="s">
        <v>1107</v>
      </c>
      <c r="J568" s="2">
        <v>1</v>
      </c>
      <c r="K568" t="s">
        <v>13</v>
      </c>
      <c r="L568" t="s">
        <v>671</v>
      </c>
      <c r="M568" t="s">
        <v>15</v>
      </c>
    </row>
    <row r="569" spans="1:13" x14ac:dyDescent="0.25">
      <c r="A569" s="5">
        <v>43510</v>
      </c>
      <c r="B569" s="2">
        <v>0</v>
      </c>
      <c r="C569" t="s">
        <v>1108</v>
      </c>
      <c r="D569" t="s">
        <v>895</v>
      </c>
      <c r="E569" t="s">
        <v>896</v>
      </c>
      <c r="F569" s="3">
        <v>43440</v>
      </c>
      <c r="G569" s="2">
        <v>70</v>
      </c>
      <c r="H569" s="1">
        <v>105.07</v>
      </c>
      <c r="I569" t="s">
        <v>1109</v>
      </c>
      <c r="J569" s="2">
        <v>1</v>
      </c>
      <c r="K569" t="s">
        <v>13</v>
      </c>
      <c r="L569" t="s">
        <v>671</v>
      </c>
      <c r="M569" t="s">
        <v>15</v>
      </c>
    </row>
    <row r="570" spans="1:13" x14ac:dyDescent="0.25">
      <c r="A570" s="5">
        <v>43510</v>
      </c>
      <c r="B570" s="2">
        <v>0</v>
      </c>
      <c r="C570" t="s">
        <v>1110</v>
      </c>
      <c r="D570" t="s">
        <v>903</v>
      </c>
      <c r="E570" t="s">
        <v>904</v>
      </c>
      <c r="F570" s="3">
        <v>43440</v>
      </c>
      <c r="G570" s="2">
        <v>70</v>
      </c>
      <c r="H570" s="1">
        <v>86.73</v>
      </c>
      <c r="I570" t="s">
        <v>1111</v>
      </c>
      <c r="J570" s="2">
        <v>1</v>
      </c>
      <c r="K570" t="s">
        <v>13</v>
      </c>
      <c r="L570" t="s">
        <v>671</v>
      </c>
      <c r="M570" t="s">
        <v>15</v>
      </c>
    </row>
    <row r="571" spans="1:13" x14ac:dyDescent="0.25">
      <c r="A571" s="5">
        <v>43510</v>
      </c>
      <c r="B571" s="2">
        <v>0</v>
      </c>
      <c r="C571" t="s">
        <v>1112</v>
      </c>
      <c r="D571" t="s">
        <v>877</v>
      </c>
      <c r="E571" t="s">
        <v>878</v>
      </c>
      <c r="F571" s="3">
        <v>43440</v>
      </c>
      <c r="G571" s="2">
        <v>70</v>
      </c>
      <c r="H571" s="1">
        <v>964.56</v>
      </c>
      <c r="I571" t="s">
        <v>1113</v>
      </c>
      <c r="J571" s="2">
        <v>1</v>
      </c>
      <c r="K571" t="s">
        <v>13</v>
      </c>
      <c r="L571" t="s">
        <v>671</v>
      </c>
      <c r="M571" t="s">
        <v>15</v>
      </c>
    </row>
    <row r="572" spans="1:13" x14ac:dyDescent="0.25">
      <c r="A572" s="5">
        <v>43521</v>
      </c>
      <c r="B572" s="2">
        <v>0</v>
      </c>
      <c r="C572" t="s">
        <v>1115</v>
      </c>
      <c r="D572" t="s">
        <v>861</v>
      </c>
      <c r="E572" t="s">
        <v>862</v>
      </c>
      <c r="F572" s="3">
        <v>43444</v>
      </c>
      <c r="G572" s="2">
        <v>77</v>
      </c>
      <c r="H572" s="1">
        <v>328.22</v>
      </c>
      <c r="I572" t="s">
        <v>1099</v>
      </c>
      <c r="J572" s="2">
        <v>1</v>
      </c>
      <c r="K572" t="s">
        <v>13</v>
      </c>
      <c r="L572" t="s">
        <v>695</v>
      </c>
      <c r="M572" t="s">
        <v>15</v>
      </c>
    </row>
    <row r="573" spans="1:13" x14ac:dyDescent="0.25">
      <c r="A573" s="5">
        <v>43528</v>
      </c>
      <c r="B573" s="2">
        <v>0</v>
      </c>
      <c r="C573" t="s">
        <v>1116</v>
      </c>
      <c r="D573" t="s">
        <v>917</v>
      </c>
      <c r="E573" t="s">
        <v>918</v>
      </c>
      <c r="F573" s="3">
        <v>43497</v>
      </c>
      <c r="G573" s="2">
        <v>31</v>
      </c>
      <c r="H573" s="1">
        <v>2052.35</v>
      </c>
      <c r="I573" t="s">
        <v>1117</v>
      </c>
      <c r="J573" s="2">
        <v>1</v>
      </c>
      <c r="K573" t="s">
        <v>13</v>
      </c>
      <c r="L573" t="s">
        <v>1114</v>
      </c>
      <c r="M573" t="s">
        <v>17</v>
      </c>
    </row>
    <row r="574" spans="1:13" x14ac:dyDescent="0.25">
      <c r="A574" s="5">
        <v>43549</v>
      </c>
      <c r="B574" s="2">
        <v>0</v>
      </c>
      <c r="C574" t="s">
        <v>1118</v>
      </c>
      <c r="D574" t="s">
        <v>1119</v>
      </c>
      <c r="E574" t="s">
        <v>1120</v>
      </c>
      <c r="F574" s="3">
        <v>43503</v>
      </c>
      <c r="G574" s="2">
        <v>46</v>
      </c>
      <c r="H574" s="1">
        <v>1489.43</v>
      </c>
      <c r="I574" t="s">
        <v>1121</v>
      </c>
      <c r="J574" s="2">
        <v>1</v>
      </c>
      <c r="K574" t="s">
        <v>13</v>
      </c>
      <c r="L574" t="s">
        <v>671</v>
      </c>
      <c r="M574" t="s">
        <v>15</v>
      </c>
    </row>
    <row r="575" spans="1:13" x14ac:dyDescent="0.25">
      <c r="A575" s="5">
        <v>43559</v>
      </c>
      <c r="B575" s="2">
        <v>0</v>
      </c>
      <c r="C575" t="s">
        <v>1122</v>
      </c>
      <c r="D575" t="s">
        <v>718</v>
      </c>
      <c r="E575" t="s">
        <v>719</v>
      </c>
      <c r="F575" s="3">
        <v>43489</v>
      </c>
      <c r="G575" s="2">
        <v>70</v>
      </c>
      <c r="H575" s="1">
        <v>434.9</v>
      </c>
      <c r="I575" t="s">
        <v>1123</v>
      </c>
      <c r="J575" s="2">
        <v>1</v>
      </c>
      <c r="K575" t="s">
        <v>13</v>
      </c>
      <c r="L575" t="s">
        <v>1081</v>
      </c>
      <c r="M575" t="s">
        <v>15</v>
      </c>
    </row>
    <row r="576" spans="1:13" x14ac:dyDescent="0.25">
      <c r="A576" s="5">
        <v>43559</v>
      </c>
      <c r="B576" s="2">
        <v>0</v>
      </c>
      <c r="C576" t="s">
        <v>1124</v>
      </c>
      <c r="D576" t="s">
        <v>552</v>
      </c>
      <c r="E576" t="s">
        <v>553</v>
      </c>
      <c r="F576" s="3">
        <v>43552</v>
      </c>
      <c r="G576" s="2">
        <v>7</v>
      </c>
      <c r="H576" s="1">
        <v>399.02</v>
      </c>
      <c r="I576" t="s">
        <v>1125</v>
      </c>
      <c r="J576" s="2">
        <v>700</v>
      </c>
      <c r="K576" t="s">
        <v>13</v>
      </c>
      <c r="L576" t="s">
        <v>554</v>
      </c>
      <c r="M576" t="s">
        <v>81</v>
      </c>
    </row>
    <row r="577" spans="1:13" x14ac:dyDescent="0.25">
      <c r="A577" s="5">
        <v>43595</v>
      </c>
      <c r="B577" s="2">
        <v>0</v>
      </c>
      <c r="C577" t="s">
        <v>1126</v>
      </c>
      <c r="D577" t="s">
        <v>718</v>
      </c>
      <c r="E577" t="s">
        <v>719</v>
      </c>
      <c r="F577" s="3">
        <v>43535</v>
      </c>
      <c r="G577" s="2">
        <v>60</v>
      </c>
      <c r="H577" s="1">
        <v>459.01</v>
      </c>
      <c r="I577" t="s">
        <v>1127</v>
      </c>
      <c r="J577" s="2">
        <v>1</v>
      </c>
      <c r="K577" t="s">
        <v>13</v>
      </c>
      <c r="L577" t="s">
        <v>1128</v>
      </c>
      <c r="M577" t="s">
        <v>15</v>
      </c>
    </row>
    <row r="578" spans="1:13" x14ac:dyDescent="0.25">
      <c r="A578" s="5">
        <v>43599</v>
      </c>
      <c r="B578" s="2">
        <v>0</v>
      </c>
      <c r="C578" t="s">
        <v>1129</v>
      </c>
      <c r="D578" t="s">
        <v>884</v>
      </c>
      <c r="E578" t="s">
        <v>866</v>
      </c>
      <c r="F578" s="3">
        <v>43531</v>
      </c>
      <c r="G578" s="2">
        <v>68</v>
      </c>
      <c r="H578" s="1">
        <v>403.11</v>
      </c>
      <c r="I578" t="s">
        <v>1130</v>
      </c>
      <c r="J578" s="2">
        <v>1</v>
      </c>
      <c r="K578" t="s">
        <v>13</v>
      </c>
      <c r="L578" t="s">
        <v>671</v>
      </c>
      <c r="M578" t="s">
        <v>15</v>
      </c>
    </row>
    <row r="579" spans="1:13" x14ac:dyDescent="0.25">
      <c r="A579" s="5">
        <v>43599</v>
      </c>
      <c r="B579" s="2">
        <v>0</v>
      </c>
      <c r="C579" t="s">
        <v>1131</v>
      </c>
      <c r="D579" t="s">
        <v>891</v>
      </c>
      <c r="E579" t="s">
        <v>892</v>
      </c>
      <c r="F579" s="3">
        <v>43539</v>
      </c>
      <c r="G579" s="2">
        <v>60</v>
      </c>
      <c r="H579" s="1">
        <v>399.82</v>
      </c>
      <c r="I579" t="s">
        <v>1132</v>
      </c>
      <c r="J579" s="2">
        <v>1</v>
      </c>
      <c r="K579" t="s">
        <v>13</v>
      </c>
      <c r="L579" t="s">
        <v>671</v>
      </c>
      <c r="M579" t="s">
        <v>15</v>
      </c>
    </row>
    <row r="580" spans="1:13" x14ac:dyDescent="0.25">
      <c r="A580" s="5">
        <v>43599</v>
      </c>
      <c r="B580" s="2">
        <v>0</v>
      </c>
      <c r="C580" t="s">
        <v>1133</v>
      </c>
      <c r="D580" t="s">
        <v>891</v>
      </c>
      <c r="E580" t="s">
        <v>892</v>
      </c>
      <c r="F580" s="3">
        <v>43539</v>
      </c>
      <c r="G580" s="2">
        <v>60</v>
      </c>
      <c r="H580" s="1">
        <v>301.27999999999997</v>
      </c>
      <c r="I580" t="s">
        <v>1134</v>
      </c>
      <c r="J580" s="2">
        <v>1</v>
      </c>
      <c r="K580" t="s">
        <v>13</v>
      </c>
      <c r="L580" t="s">
        <v>671</v>
      </c>
      <c r="M580" t="s">
        <v>15</v>
      </c>
    </row>
    <row r="581" spans="1:13" x14ac:dyDescent="0.25">
      <c r="A581" s="5">
        <v>43599</v>
      </c>
      <c r="B581" s="2">
        <v>0</v>
      </c>
      <c r="C581" t="s">
        <v>1135</v>
      </c>
      <c r="D581" t="s">
        <v>929</v>
      </c>
      <c r="E581" t="s">
        <v>930</v>
      </c>
      <c r="F581" s="3">
        <v>43539</v>
      </c>
      <c r="G581" s="2">
        <v>60</v>
      </c>
      <c r="H581" s="1">
        <v>583.21</v>
      </c>
      <c r="I581" t="s">
        <v>1136</v>
      </c>
      <c r="J581" s="2">
        <v>1</v>
      </c>
      <c r="K581" t="s">
        <v>13</v>
      </c>
      <c r="L581" t="s">
        <v>671</v>
      </c>
      <c r="M581" t="s">
        <v>15</v>
      </c>
    </row>
    <row r="582" spans="1:13" x14ac:dyDescent="0.25">
      <c r="A582" s="5">
        <v>43599</v>
      </c>
      <c r="B582" s="2">
        <v>0</v>
      </c>
      <c r="C582" t="s">
        <v>1137</v>
      </c>
      <c r="D582" t="s">
        <v>873</v>
      </c>
      <c r="E582" t="s">
        <v>874</v>
      </c>
      <c r="F582" s="3">
        <v>43539</v>
      </c>
      <c r="G582" s="2">
        <v>60</v>
      </c>
      <c r="H582" s="1">
        <v>837.75</v>
      </c>
      <c r="I582" t="s">
        <v>1138</v>
      </c>
      <c r="J582" s="2">
        <v>1</v>
      </c>
      <c r="K582" t="s">
        <v>13</v>
      </c>
      <c r="L582" t="s">
        <v>671</v>
      </c>
      <c r="M582" t="s">
        <v>15</v>
      </c>
    </row>
    <row r="583" spans="1:13" x14ac:dyDescent="0.25">
      <c r="A583" s="5">
        <v>43599</v>
      </c>
      <c r="B583" s="2">
        <v>0</v>
      </c>
      <c r="C583" t="s">
        <v>1139</v>
      </c>
      <c r="D583" t="s">
        <v>873</v>
      </c>
      <c r="E583" t="s">
        <v>874</v>
      </c>
      <c r="F583" s="3">
        <v>43539</v>
      </c>
      <c r="G583" s="2">
        <v>60</v>
      </c>
      <c r="H583" s="1">
        <v>301.27999999999997</v>
      </c>
      <c r="I583" t="s">
        <v>1140</v>
      </c>
      <c r="J583" s="2">
        <v>1</v>
      </c>
      <c r="K583" t="s">
        <v>13</v>
      </c>
      <c r="L583" t="s">
        <v>671</v>
      </c>
      <c r="M583" t="s">
        <v>15</v>
      </c>
    </row>
    <row r="584" spans="1:13" x14ac:dyDescent="0.25">
      <c r="A584" s="5">
        <v>43599</v>
      </c>
      <c r="B584" s="2">
        <v>0</v>
      </c>
      <c r="C584" t="s">
        <v>1141</v>
      </c>
      <c r="D584" t="s">
        <v>895</v>
      </c>
      <c r="E584" t="s">
        <v>896</v>
      </c>
      <c r="F584" s="3">
        <v>43539</v>
      </c>
      <c r="G584" s="2">
        <v>60</v>
      </c>
      <c r="H584" s="1">
        <v>405.19</v>
      </c>
      <c r="I584" t="s">
        <v>1142</v>
      </c>
      <c r="J584" s="2">
        <v>1</v>
      </c>
      <c r="K584" t="s">
        <v>13</v>
      </c>
      <c r="L584" t="s">
        <v>671</v>
      </c>
      <c r="M584" t="s">
        <v>15</v>
      </c>
    </row>
    <row r="585" spans="1:13" x14ac:dyDescent="0.25">
      <c r="A585" s="5">
        <v>43599</v>
      </c>
      <c r="B585" s="2">
        <v>0</v>
      </c>
      <c r="C585" t="s">
        <v>1143</v>
      </c>
      <c r="D585" t="s">
        <v>903</v>
      </c>
      <c r="E585" t="s">
        <v>904</v>
      </c>
      <c r="F585" s="3">
        <v>43539</v>
      </c>
      <c r="G585" s="2">
        <v>60</v>
      </c>
      <c r="H585" s="1">
        <v>688.81</v>
      </c>
      <c r="I585" t="s">
        <v>1144</v>
      </c>
      <c r="J585" s="2">
        <v>1</v>
      </c>
      <c r="K585" t="s">
        <v>13</v>
      </c>
      <c r="L585" t="s">
        <v>671</v>
      </c>
      <c r="M585" t="s">
        <v>15</v>
      </c>
    </row>
    <row r="586" spans="1:13" x14ac:dyDescent="0.25">
      <c r="A586" s="5">
        <v>43599</v>
      </c>
      <c r="B586" s="2">
        <v>0</v>
      </c>
      <c r="C586" t="s">
        <v>1145</v>
      </c>
      <c r="D586" t="s">
        <v>903</v>
      </c>
      <c r="E586" t="s">
        <v>904</v>
      </c>
      <c r="F586" s="3">
        <v>43539</v>
      </c>
      <c r="G586" s="2">
        <v>60</v>
      </c>
      <c r="H586" s="1">
        <v>301.27999999999997</v>
      </c>
      <c r="I586" t="s">
        <v>1146</v>
      </c>
      <c r="J586" s="2">
        <v>1</v>
      </c>
      <c r="K586" t="s">
        <v>13</v>
      </c>
      <c r="L586" t="s">
        <v>671</v>
      </c>
      <c r="M586" t="s">
        <v>15</v>
      </c>
    </row>
    <row r="587" spans="1:13" x14ac:dyDescent="0.25">
      <c r="A587" s="5">
        <v>43599</v>
      </c>
      <c r="B587" s="2">
        <v>0</v>
      </c>
      <c r="C587" t="s">
        <v>1147</v>
      </c>
      <c r="D587" t="s">
        <v>877</v>
      </c>
      <c r="E587" t="s">
        <v>878</v>
      </c>
      <c r="F587" s="3">
        <v>43539</v>
      </c>
      <c r="G587" s="2">
        <v>60</v>
      </c>
      <c r="H587" s="1">
        <v>710.15</v>
      </c>
      <c r="I587" t="s">
        <v>1148</v>
      </c>
      <c r="J587" s="2">
        <v>1</v>
      </c>
      <c r="K587" t="s">
        <v>13</v>
      </c>
      <c r="L587" t="s">
        <v>671</v>
      </c>
      <c r="M587" t="s">
        <v>15</v>
      </c>
    </row>
    <row r="588" spans="1:13" x14ac:dyDescent="0.25">
      <c r="A588" s="5">
        <v>43600</v>
      </c>
      <c r="B588" s="2">
        <v>0</v>
      </c>
      <c r="C588" t="s">
        <v>1149</v>
      </c>
      <c r="D588" t="s">
        <v>877</v>
      </c>
      <c r="E588" t="s">
        <v>878</v>
      </c>
      <c r="F588" s="3">
        <v>43531</v>
      </c>
      <c r="G588" s="2">
        <v>69</v>
      </c>
      <c r="H588" s="1">
        <v>584.49</v>
      </c>
      <c r="I588" t="s">
        <v>1150</v>
      </c>
      <c r="J588" s="2">
        <v>1</v>
      </c>
      <c r="K588" t="s">
        <v>13</v>
      </c>
      <c r="L588" t="s">
        <v>671</v>
      </c>
      <c r="M588" t="s">
        <v>15</v>
      </c>
    </row>
    <row r="589" spans="1:13" x14ac:dyDescent="0.25">
      <c r="A589" s="5">
        <v>43601</v>
      </c>
      <c r="B589" s="2">
        <v>0</v>
      </c>
      <c r="C589" t="s">
        <v>1151</v>
      </c>
      <c r="D589" t="s">
        <v>881</v>
      </c>
      <c r="E589" t="s">
        <v>866</v>
      </c>
      <c r="F589" s="3">
        <v>43531</v>
      </c>
      <c r="G589" s="2">
        <v>70</v>
      </c>
      <c r="H589" s="1">
        <v>345.33</v>
      </c>
      <c r="I589" t="s">
        <v>1152</v>
      </c>
      <c r="J589" s="2">
        <v>1</v>
      </c>
      <c r="K589" t="s">
        <v>13</v>
      </c>
      <c r="L589" t="s">
        <v>671</v>
      </c>
      <c r="M589" t="s">
        <v>15</v>
      </c>
    </row>
    <row r="590" spans="1:13" x14ac:dyDescent="0.25">
      <c r="A590" s="5">
        <v>43601</v>
      </c>
      <c r="B590" s="2">
        <v>0</v>
      </c>
      <c r="C590" t="s">
        <v>1153</v>
      </c>
      <c r="D590" t="s">
        <v>895</v>
      </c>
      <c r="E590" t="s">
        <v>896</v>
      </c>
      <c r="F590" s="3">
        <v>43531</v>
      </c>
      <c r="G590" s="2">
        <v>70</v>
      </c>
      <c r="H590" s="1">
        <v>426.52</v>
      </c>
      <c r="I590" t="s">
        <v>1154</v>
      </c>
      <c r="J590" s="2">
        <v>1</v>
      </c>
      <c r="K590" t="s">
        <v>13</v>
      </c>
      <c r="L590" t="s">
        <v>671</v>
      </c>
      <c r="M590" t="s">
        <v>15</v>
      </c>
    </row>
    <row r="591" spans="1:13" x14ac:dyDescent="0.25">
      <c r="A591" s="5">
        <v>43601</v>
      </c>
      <c r="B591" s="2">
        <v>0</v>
      </c>
      <c r="C591" t="s">
        <v>1155</v>
      </c>
      <c r="D591" t="s">
        <v>877</v>
      </c>
      <c r="E591" t="s">
        <v>878</v>
      </c>
      <c r="F591" s="3">
        <v>43531</v>
      </c>
      <c r="G591" s="2">
        <v>70</v>
      </c>
      <c r="H591" s="1">
        <v>426.5</v>
      </c>
      <c r="I591" t="s">
        <v>1156</v>
      </c>
      <c r="J591" s="2">
        <v>1</v>
      </c>
      <c r="K591" t="s">
        <v>13</v>
      </c>
      <c r="L591" t="s">
        <v>671</v>
      </c>
      <c r="M591" t="s">
        <v>15</v>
      </c>
    </row>
    <row r="592" spans="1:13" x14ac:dyDescent="0.25">
      <c r="A592" s="5">
        <v>43602</v>
      </c>
      <c r="B592" s="2">
        <v>0</v>
      </c>
      <c r="C592" t="s">
        <v>1157</v>
      </c>
      <c r="D592" t="s">
        <v>884</v>
      </c>
      <c r="E592" t="s">
        <v>866</v>
      </c>
      <c r="F592" s="3">
        <v>43532</v>
      </c>
      <c r="G592" s="2">
        <v>70</v>
      </c>
      <c r="H592" s="1">
        <v>548.47</v>
      </c>
      <c r="I592" t="s">
        <v>1158</v>
      </c>
      <c r="J592" s="2">
        <v>1</v>
      </c>
      <c r="K592" t="s">
        <v>13</v>
      </c>
      <c r="L592" t="s">
        <v>671</v>
      </c>
      <c r="M592" t="s">
        <v>15</v>
      </c>
    </row>
    <row r="593" spans="1:13" x14ac:dyDescent="0.25">
      <c r="A593" s="5">
        <v>43602</v>
      </c>
      <c r="B593" s="2">
        <v>0</v>
      </c>
      <c r="C593" t="s">
        <v>1159</v>
      </c>
      <c r="D593" t="s">
        <v>891</v>
      </c>
      <c r="E593" t="s">
        <v>892</v>
      </c>
      <c r="F593" s="3">
        <v>43532</v>
      </c>
      <c r="G593" s="2">
        <v>70</v>
      </c>
      <c r="H593" s="1">
        <v>466.6</v>
      </c>
      <c r="I593" t="s">
        <v>1160</v>
      </c>
      <c r="J593" s="2">
        <v>1</v>
      </c>
      <c r="K593" t="s">
        <v>13</v>
      </c>
      <c r="L593" t="s">
        <v>671</v>
      </c>
      <c r="M593" t="s">
        <v>15</v>
      </c>
    </row>
    <row r="594" spans="1:13" x14ac:dyDescent="0.25">
      <c r="A594" s="5">
        <v>43602</v>
      </c>
      <c r="B594" s="2">
        <v>0</v>
      </c>
      <c r="C594" t="s">
        <v>1161</v>
      </c>
      <c r="D594" t="s">
        <v>895</v>
      </c>
      <c r="E594" t="s">
        <v>896</v>
      </c>
      <c r="F594" s="3">
        <v>43532</v>
      </c>
      <c r="G594" s="2">
        <v>70</v>
      </c>
      <c r="H594" s="1">
        <v>361.62</v>
      </c>
      <c r="I594" t="s">
        <v>1162</v>
      </c>
      <c r="J594" s="2">
        <v>1</v>
      </c>
      <c r="K594" t="s">
        <v>13</v>
      </c>
      <c r="L594" t="s">
        <v>671</v>
      </c>
      <c r="M594" t="s">
        <v>15</v>
      </c>
    </row>
    <row r="595" spans="1:13" x14ac:dyDescent="0.25">
      <c r="A595" s="5">
        <v>43602</v>
      </c>
      <c r="B595" s="2">
        <v>0</v>
      </c>
      <c r="C595" t="s">
        <v>1163</v>
      </c>
      <c r="D595" t="s">
        <v>877</v>
      </c>
      <c r="E595" t="s">
        <v>878</v>
      </c>
      <c r="F595" s="3">
        <v>43532</v>
      </c>
      <c r="G595" s="2">
        <v>70</v>
      </c>
      <c r="H595" s="1">
        <v>386.78</v>
      </c>
      <c r="I595" t="s">
        <v>1164</v>
      </c>
      <c r="J595" s="2">
        <v>1</v>
      </c>
      <c r="K595" t="s">
        <v>13</v>
      </c>
      <c r="L595" t="s">
        <v>671</v>
      </c>
      <c r="M595" t="s">
        <v>15</v>
      </c>
    </row>
    <row r="596" spans="1:13" x14ac:dyDescent="0.25">
      <c r="A596" s="5">
        <v>43606</v>
      </c>
      <c r="B596" s="2">
        <v>0</v>
      </c>
      <c r="C596" t="s">
        <v>1166</v>
      </c>
      <c r="D596" t="s">
        <v>891</v>
      </c>
      <c r="E596" t="s">
        <v>892</v>
      </c>
      <c r="F596" s="3">
        <v>43546</v>
      </c>
      <c r="G596" s="2">
        <v>60</v>
      </c>
      <c r="H596" s="1">
        <v>459.85</v>
      </c>
      <c r="I596" t="s">
        <v>1167</v>
      </c>
      <c r="J596" s="2">
        <v>1</v>
      </c>
      <c r="K596" t="s">
        <v>13</v>
      </c>
      <c r="L596" t="s">
        <v>671</v>
      </c>
      <c r="M596" t="s">
        <v>15</v>
      </c>
    </row>
    <row r="597" spans="1:13" x14ac:dyDescent="0.25">
      <c r="A597" s="5">
        <v>43606</v>
      </c>
      <c r="B597" s="2">
        <v>0</v>
      </c>
      <c r="C597" t="s">
        <v>1168</v>
      </c>
      <c r="D597" t="s">
        <v>929</v>
      </c>
      <c r="E597" t="s">
        <v>930</v>
      </c>
      <c r="F597" s="3">
        <v>43546</v>
      </c>
      <c r="G597" s="2">
        <v>60</v>
      </c>
      <c r="H597" s="1">
        <v>380.17</v>
      </c>
      <c r="I597" t="s">
        <v>1169</v>
      </c>
      <c r="J597" s="2">
        <v>1</v>
      </c>
      <c r="K597" t="s">
        <v>13</v>
      </c>
      <c r="L597" t="s">
        <v>671</v>
      </c>
      <c r="M597" t="s">
        <v>15</v>
      </c>
    </row>
    <row r="598" spans="1:13" x14ac:dyDescent="0.25">
      <c r="A598" s="5">
        <v>43606</v>
      </c>
      <c r="B598" s="2">
        <v>0</v>
      </c>
      <c r="C598" t="s">
        <v>1170</v>
      </c>
      <c r="D598" t="s">
        <v>895</v>
      </c>
      <c r="E598" t="s">
        <v>896</v>
      </c>
      <c r="F598" s="3">
        <v>43546</v>
      </c>
      <c r="G598" s="2">
        <v>60</v>
      </c>
      <c r="H598" s="1">
        <v>675.87</v>
      </c>
      <c r="I598" t="s">
        <v>1171</v>
      </c>
      <c r="J598" s="2">
        <v>1</v>
      </c>
      <c r="K598" t="s">
        <v>13</v>
      </c>
      <c r="L598" t="s">
        <v>671</v>
      </c>
      <c r="M598" t="s">
        <v>15</v>
      </c>
    </row>
    <row r="599" spans="1:13" x14ac:dyDescent="0.25">
      <c r="A599" s="5">
        <v>43609</v>
      </c>
      <c r="B599" s="2">
        <v>0</v>
      </c>
      <c r="C599" t="s">
        <v>1172</v>
      </c>
      <c r="D599" t="s">
        <v>881</v>
      </c>
      <c r="E599" t="s">
        <v>866</v>
      </c>
      <c r="F599" s="3">
        <v>43539</v>
      </c>
      <c r="G599" s="2">
        <v>70</v>
      </c>
      <c r="H599" s="1">
        <v>339.6</v>
      </c>
      <c r="I599" t="s">
        <v>1173</v>
      </c>
      <c r="J599" s="2">
        <v>1</v>
      </c>
      <c r="K599" t="s">
        <v>13</v>
      </c>
      <c r="L599" t="s">
        <v>671</v>
      </c>
      <c r="M599" t="s">
        <v>15</v>
      </c>
    </row>
    <row r="600" spans="1:13" x14ac:dyDescent="0.25">
      <c r="A600" s="5">
        <v>43609</v>
      </c>
      <c r="B600" s="2">
        <v>0</v>
      </c>
      <c r="C600" t="s">
        <v>1174</v>
      </c>
      <c r="D600" t="s">
        <v>718</v>
      </c>
      <c r="E600" t="s">
        <v>719</v>
      </c>
      <c r="F600" s="3">
        <v>43554</v>
      </c>
      <c r="G600" s="2">
        <v>55</v>
      </c>
      <c r="H600" s="1">
        <v>508.65</v>
      </c>
      <c r="I600" t="s">
        <v>1175</v>
      </c>
      <c r="J600" s="2">
        <v>1</v>
      </c>
      <c r="K600" t="s">
        <v>13</v>
      </c>
      <c r="L600" t="s">
        <v>1128</v>
      </c>
      <c r="M600" t="s">
        <v>15</v>
      </c>
    </row>
    <row r="601" spans="1:13" x14ac:dyDescent="0.25">
      <c r="A601" s="5">
        <v>43609</v>
      </c>
      <c r="B601" s="2">
        <v>0</v>
      </c>
      <c r="C601" t="s">
        <v>1176</v>
      </c>
      <c r="D601" t="s">
        <v>873</v>
      </c>
      <c r="E601" t="s">
        <v>874</v>
      </c>
      <c r="F601" s="3">
        <v>43550</v>
      </c>
      <c r="G601" s="2">
        <v>59</v>
      </c>
      <c r="H601" s="1">
        <v>482.45</v>
      </c>
      <c r="I601" t="s">
        <v>1177</v>
      </c>
      <c r="J601" s="2">
        <v>1</v>
      </c>
      <c r="K601" t="s">
        <v>13</v>
      </c>
      <c r="L601" t="s">
        <v>671</v>
      </c>
      <c r="M601" t="s">
        <v>15</v>
      </c>
    </row>
    <row r="602" spans="1:13" x14ac:dyDescent="0.25">
      <c r="A602" s="5">
        <v>43609</v>
      </c>
      <c r="B602" s="2">
        <v>0</v>
      </c>
      <c r="C602" t="s">
        <v>1178</v>
      </c>
      <c r="D602" t="s">
        <v>877</v>
      </c>
      <c r="E602" t="s">
        <v>878</v>
      </c>
      <c r="F602" s="3">
        <v>43539</v>
      </c>
      <c r="G602" s="2">
        <v>70</v>
      </c>
      <c r="H602" s="1">
        <v>710.16</v>
      </c>
      <c r="I602" t="s">
        <v>1148</v>
      </c>
      <c r="J602" s="2">
        <v>1</v>
      </c>
      <c r="K602" t="s">
        <v>13</v>
      </c>
      <c r="L602" t="s">
        <v>671</v>
      </c>
      <c r="M602" t="s">
        <v>15</v>
      </c>
    </row>
    <row r="603" spans="1:13" x14ac:dyDescent="0.25">
      <c r="A603" s="5">
        <v>43612</v>
      </c>
      <c r="B603" s="2">
        <v>0</v>
      </c>
      <c r="C603" t="s">
        <v>1179</v>
      </c>
      <c r="D603" t="s">
        <v>881</v>
      </c>
      <c r="E603" t="s">
        <v>866</v>
      </c>
      <c r="F603" s="3">
        <v>43550</v>
      </c>
      <c r="G603" s="2">
        <v>62</v>
      </c>
      <c r="H603" s="1">
        <v>160.38</v>
      </c>
      <c r="I603" t="s">
        <v>1180</v>
      </c>
      <c r="J603" s="2">
        <v>1</v>
      </c>
      <c r="K603" t="s">
        <v>13</v>
      </c>
      <c r="L603" t="s">
        <v>671</v>
      </c>
      <c r="M603" t="s">
        <v>15</v>
      </c>
    </row>
    <row r="604" spans="1:13" x14ac:dyDescent="0.25">
      <c r="A604" s="5">
        <v>43612</v>
      </c>
      <c r="B604" s="2">
        <v>0</v>
      </c>
      <c r="C604" t="s">
        <v>1181</v>
      </c>
      <c r="D604" t="s">
        <v>884</v>
      </c>
      <c r="E604" t="s">
        <v>866</v>
      </c>
      <c r="F604" s="3">
        <v>43550</v>
      </c>
      <c r="G604" s="2">
        <v>62</v>
      </c>
      <c r="H604" s="1">
        <v>522.32000000000005</v>
      </c>
      <c r="I604" t="s">
        <v>1182</v>
      </c>
      <c r="J604" s="2">
        <v>1</v>
      </c>
      <c r="K604" t="s">
        <v>13</v>
      </c>
      <c r="L604" t="s">
        <v>671</v>
      </c>
      <c r="M604" t="s">
        <v>15</v>
      </c>
    </row>
    <row r="605" spans="1:13" x14ac:dyDescent="0.25">
      <c r="A605" s="5">
        <v>43612</v>
      </c>
      <c r="B605" s="2">
        <v>0</v>
      </c>
      <c r="C605" t="s">
        <v>1183</v>
      </c>
      <c r="D605" t="s">
        <v>903</v>
      </c>
      <c r="E605" t="s">
        <v>904</v>
      </c>
      <c r="F605" s="3">
        <v>43550</v>
      </c>
      <c r="G605" s="2">
        <v>62</v>
      </c>
      <c r="H605" s="1">
        <v>289.07</v>
      </c>
      <c r="I605" t="s">
        <v>1184</v>
      </c>
      <c r="J605" s="2">
        <v>1</v>
      </c>
      <c r="K605" t="s">
        <v>13</v>
      </c>
      <c r="L605" t="s">
        <v>671</v>
      </c>
      <c r="M605" t="s">
        <v>15</v>
      </c>
    </row>
    <row r="606" spans="1:13" x14ac:dyDescent="0.25">
      <c r="A606" s="5">
        <v>43612</v>
      </c>
      <c r="B606" s="2">
        <v>0</v>
      </c>
      <c r="C606" t="s">
        <v>1185</v>
      </c>
      <c r="D606" t="s">
        <v>877</v>
      </c>
      <c r="E606" t="s">
        <v>878</v>
      </c>
      <c r="F606" s="3">
        <v>43552</v>
      </c>
      <c r="G606" s="2">
        <v>60</v>
      </c>
      <c r="H606" s="1">
        <v>641.79999999999995</v>
      </c>
      <c r="I606" t="s">
        <v>1186</v>
      </c>
      <c r="J606" s="2">
        <v>1</v>
      </c>
      <c r="K606" t="s">
        <v>13</v>
      </c>
      <c r="L606" t="s">
        <v>671</v>
      </c>
      <c r="M606" t="s">
        <v>15</v>
      </c>
    </row>
    <row r="607" spans="1:13" x14ac:dyDescent="0.25">
      <c r="A607" s="5">
        <v>43613</v>
      </c>
      <c r="B607" s="2">
        <v>0</v>
      </c>
      <c r="C607" t="s">
        <v>1187</v>
      </c>
      <c r="D607" t="s">
        <v>884</v>
      </c>
      <c r="E607" t="s">
        <v>866</v>
      </c>
      <c r="F607" s="3">
        <v>43553</v>
      </c>
      <c r="G607" s="2">
        <v>60</v>
      </c>
      <c r="H607" s="1">
        <v>293.86</v>
      </c>
      <c r="I607" t="s">
        <v>1188</v>
      </c>
      <c r="J607" s="2">
        <v>1</v>
      </c>
      <c r="K607" t="s">
        <v>13</v>
      </c>
      <c r="L607" t="s">
        <v>671</v>
      </c>
      <c r="M607" t="s">
        <v>15</v>
      </c>
    </row>
    <row r="608" spans="1:13" x14ac:dyDescent="0.25">
      <c r="A608" s="5">
        <v>43613</v>
      </c>
      <c r="B608" s="2">
        <v>0</v>
      </c>
      <c r="C608" t="s">
        <v>1189</v>
      </c>
      <c r="D608" t="s">
        <v>884</v>
      </c>
      <c r="E608" t="s">
        <v>866</v>
      </c>
      <c r="F608" s="3">
        <v>43553</v>
      </c>
      <c r="G608" s="2">
        <v>60</v>
      </c>
      <c r="H608" s="1">
        <v>692.25</v>
      </c>
      <c r="I608" t="s">
        <v>1190</v>
      </c>
      <c r="J608" s="2">
        <v>1</v>
      </c>
      <c r="K608" t="s">
        <v>13</v>
      </c>
      <c r="L608" t="s">
        <v>671</v>
      </c>
      <c r="M608" t="s">
        <v>15</v>
      </c>
    </row>
    <row r="609" spans="1:13" x14ac:dyDescent="0.25">
      <c r="A609" s="5">
        <v>43613</v>
      </c>
      <c r="B609" s="2">
        <v>0</v>
      </c>
      <c r="C609" t="s">
        <v>1191</v>
      </c>
      <c r="D609" t="s">
        <v>891</v>
      </c>
      <c r="E609" t="s">
        <v>892</v>
      </c>
      <c r="F609" s="3">
        <v>43553</v>
      </c>
      <c r="G609" s="2">
        <v>60</v>
      </c>
      <c r="H609" s="1">
        <v>269.04000000000002</v>
      </c>
      <c r="I609" t="s">
        <v>1192</v>
      </c>
      <c r="J609" s="2">
        <v>1</v>
      </c>
      <c r="K609" t="s">
        <v>13</v>
      </c>
      <c r="L609" t="s">
        <v>671</v>
      </c>
      <c r="M609" t="s">
        <v>15</v>
      </c>
    </row>
    <row r="610" spans="1:13" x14ac:dyDescent="0.25">
      <c r="A610" s="5">
        <v>43613</v>
      </c>
      <c r="B610" s="2">
        <v>0</v>
      </c>
      <c r="C610" t="s">
        <v>1193</v>
      </c>
      <c r="D610" t="s">
        <v>891</v>
      </c>
      <c r="E610" t="s">
        <v>892</v>
      </c>
      <c r="F610" s="3">
        <v>43553</v>
      </c>
      <c r="G610" s="2">
        <v>60</v>
      </c>
      <c r="H610" s="1">
        <v>347.55</v>
      </c>
      <c r="I610" t="s">
        <v>1194</v>
      </c>
      <c r="J610" s="2">
        <v>1</v>
      </c>
      <c r="K610" t="s">
        <v>13</v>
      </c>
      <c r="L610" t="s">
        <v>671</v>
      </c>
      <c r="M610" t="s">
        <v>15</v>
      </c>
    </row>
    <row r="611" spans="1:13" x14ac:dyDescent="0.25">
      <c r="A611" s="5">
        <v>43613</v>
      </c>
      <c r="B611" s="2">
        <v>0</v>
      </c>
      <c r="C611" t="s">
        <v>1195</v>
      </c>
      <c r="D611" t="s">
        <v>929</v>
      </c>
      <c r="E611" t="s">
        <v>930</v>
      </c>
      <c r="F611" s="3">
        <v>43553</v>
      </c>
      <c r="G611" s="2">
        <v>60</v>
      </c>
      <c r="H611" s="1">
        <v>254.79</v>
      </c>
      <c r="I611" t="s">
        <v>1196</v>
      </c>
      <c r="J611" s="2">
        <v>1</v>
      </c>
      <c r="K611" t="s">
        <v>13</v>
      </c>
      <c r="L611" t="s">
        <v>671</v>
      </c>
      <c r="M611" t="s">
        <v>15</v>
      </c>
    </row>
    <row r="612" spans="1:13" x14ac:dyDescent="0.25">
      <c r="A612" s="5">
        <v>43613</v>
      </c>
      <c r="B612" s="2">
        <v>0</v>
      </c>
      <c r="C612" t="s">
        <v>1197</v>
      </c>
      <c r="D612" t="s">
        <v>929</v>
      </c>
      <c r="E612" t="s">
        <v>930</v>
      </c>
      <c r="F612" s="3">
        <v>43553</v>
      </c>
      <c r="G612" s="2">
        <v>60</v>
      </c>
      <c r="H612" s="1">
        <v>67.16</v>
      </c>
      <c r="I612" t="s">
        <v>1198</v>
      </c>
      <c r="J612" s="2">
        <v>1</v>
      </c>
      <c r="K612" t="s">
        <v>13</v>
      </c>
      <c r="L612" t="s">
        <v>671</v>
      </c>
      <c r="M612" t="s">
        <v>15</v>
      </c>
    </row>
    <row r="613" spans="1:13" x14ac:dyDescent="0.25">
      <c r="A613" s="5">
        <v>43613</v>
      </c>
      <c r="B613" s="2">
        <v>0</v>
      </c>
      <c r="C613" t="s">
        <v>1199</v>
      </c>
      <c r="D613" t="s">
        <v>873</v>
      </c>
      <c r="E613" t="s">
        <v>874</v>
      </c>
      <c r="F613" s="3">
        <v>43553</v>
      </c>
      <c r="G613" s="2">
        <v>60</v>
      </c>
      <c r="H613" s="1">
        <v>184.35</v>
      </c>
      <c r="I613" t="s">
        <v>1200</v>
      </c>
      <c r="J613" s="2">
        <v>1</v>
      </c>
      <c r="K613" t="s">
        <v>13</v>
      </c>
      <c r="L613" t="s">
        <v>671</v>
      </c>
      <c r="M613" t="s">
        <v>15</v>
      </c>
    </row>
    <row r="614" spans="1:13" x14ac:dyDescent="0.25">
      <c r="A614" s="5">
        <v>43613</v>
      </c>
      <c r="B614" s="2">
        <v>0</v>
      </c>
      <c r="C614" t="s">
        <v>1201</v>
      </c>
      <c r="D614" t="s">
        <v>873</v>
      </c>
      <c r="E614" t="s">
        <v>874</v>
      </c>
      <c r="F614" s="3">
        <v>43553</v>
      </c>
      <c r="G614" s="2">
        <v>60</v>
      </c>
      <c r="H614" s="1">
        <v>137.52000000000001</v>
      </c>
      <c r="I614" t="s">
        <v>1202</v>
      </c>
      <c r="J614" s="2">
        <v>1</v>
      </c>
      <c r="K614" t="s">
        <v>13</v>
      </c>
      <c r="L614" t="s">
        <v>671</v>
      </c>
      <c r="M614" t="s">
        <v>15</v>
      </c>
    </row>
    <row r="615" spans="1:13" x14ac:dyDescent="0.25">
      <c r="A615" s="5">
        <v>43613</v>
      </c>
      <c r="B615" s="2">
        <v>0</v>
      </c>
      <c r="C615" t="s">
        <v>1203</v>
      </c>
      <c r="D615" t="s">
        <v>895</v>
      </c>
      <c r="E615" t="s">
        <v>896</v>
      </c>
      <c r="F615" s="3">
        <v>43553</v>
      </c>
      <c r="G615" s="2">
        <v>60</v>
      </c>
      <c r="H615" s="1">
        <v>200.76</v>
      </c>
      <c r="I615" t="s">
        <v>1204</v>
      </c>
      <c r="J615" s="2">
        <v>1</v>
      </c>
      <c r="K615" t="s">
        <v>13</v>
      </c>
      <c r="L615" t="s">
        <v>671</v>
      </c>
      <c r="M615" t="s">
        <v>15</v>
      </c>
    </row>
    <row r="616" spans="1:13" x14ac:dyDescent="0.25">
      <c r="A616" s="5">
        <v>43613</v>
      </c>
      <c r="B616" s="2">
        <v>0</v>
      </c>
      <c r="C616" t="s">
        <v>1205</v>
      </c>
      <c r="D616" t="s">
        <v>903</v>
      </c>
      <c r="E616" t="s">
        <v>904</v>
      </c>
      <c r="F616" s="3">
        <v>43553</v>
      </c>
      <c r="G616" s="2">
        <v>60</v>
      </c>
      <c r="H616" s="1">
        <v>195.7</v>
      </c>
      <c r="I616" t="s">
        <v>1206</v>
      </c>
      <c r="J616" s="2">
        <v>1</v>
      </c>
      <c r="K616" t="s">
        <v>13</v>
      </c>
      <c r="L616" t="s">
        <v>671</v>
      </c>
      <c r="M616" t="s">
        <v>15</v>
      </c>
    </row>
    <row r="617" spans="1:13" x14ac:dyDescent="0.25">
      <c r="A617" s="5">
        <v>43613</v>
      </c>
      <c r="B617" s="2">
        <v>0</v>
      </c>
      <c r="C617" t="s">
        <v>1207</v>
      </c>
      <c r="D617" t="s">
        <v>903</v>
      </c>
      <c r="E617" t="s">
        <v>904</v>
      </c>
      <c r="F617" s="3">
        <v>43553</v>
      </c>
      <c r="G617" s="2">
        <v>60</v>
      </c>
      <c r="H617" s="1">
        <v>264.81</v>
      </c>
      <c r="I617" t="s">
        <v>1208</v>
      </c>
      <c r="J617" s="2">
        <v>1</v>
      </c>
      <c r="K617" t="s">
        <v>13</v>
      </c>
      <c r="L617" t="s">
        <v>671</v>
      </c>
      <c r="M617" t="s">
        <v>15</v>
      </c>
    </row>
    <row r="618" spans="1:13" x14ac:dyDescent="0.25">
      <c r="A618" s="5">
        <v>43613</v>
      </c>
      <c r="B618" s="2">
        <v>0</v>
      </c>
      <c r="C618" t="s">
        <v>1209</v>
      </c>
      <c r="D618" t="s">
        <v>877</v>
      </c>
      <c r="E618" t="s">
        <v>878</v>
      </c>
      <c r="F618" s="3">
        <v>43553</v>
      </c>
      <c r="G618" s="2">
        <v>60</v>
      </c>
      <c r="H618" s="1">
        <v>691.5</v>
      </c>
      <c r="I618" t="s">
        <v>1210</v>
      </c>
      <c r="J618" s="2">
        <v>1</v>
      </c>
      <c r="K618" t="s">
        <v>13</v>
      </c>
      <c r="L618" t="s">
        <v>671</v>
      </c>
      <c r="M618" t="s">
        <v>15</v>
      </c>
    </row>
    <row r="619" spans="1:13" x14ac:dyDescent="0.25">
      <c r="A619" s="5">
        <v>43613</v>
      </c>
      <c r="B619" s="2">
        <v>0</v>
      </c>
      <c r="C619" t="s">
        <v>1211</v>
      </c>
      <c r="D619" t="s">
        <v>877</v>
      </c>
      <c r="E619" t="s">
        <v>878</v>
      </c>
      <c r="F619" s="3">
        <v>43553</v>
      </c>
      <c r="G619" s="2">
        <v>60</v>
      </c>
      <c r="H619" s="1">
        <v>206.92</v>
      </c>
      <c r="I619" t="s">
        <v>1212</v>
      </c>
      <c r="J619" s="2">
        <v>1</v>
      </c>
      <c r="K619" t="s">
        <v>13</v>
      </c>
      <c r="L619" t="s">
        <v>671</v>
      </c>
      <c r="M619" t="s">
        <v>15</v>
      </c>
    </row>
    <row r="620" spans="1:13" x14ac:dyDescent="0.25">
      <c r="A620" s="5">
        <v>43616</v>
      </c>
      <c r="B620" s="2">
        <v>0</v>
      </c>
      <c r="C620" t="s">
        <v>1217</v>
      </c>
      <c r="D620" t="s">
        <v>877</v>
      </c>
      <c r="E620" t="s">
        <v>878</v>
      </c>
      <c r="F620" s="3">
        <v>43546</v>
      </c>
      <c r="G620" s="2">
        <v>70</v>
      </c>
      <c r="H620" s="1">
        <v>508.19</v>
      </c>
      <c r="I620" t="s">
        <v>1218</v>
      </c>
      <c r="J620" s="2">
        <v>1</v>
      </c>
      <c r="K620" t="s">
        <v>13</v>
      </c>
      <c r="L620" t="s">
        <v>671</v>
      </c>
      <c r="M620" t="s">
        <v>15</v>
      </c>
    </row>
    <row r="621" spans="1:13" x14ac:dyDescent="0.25">
      <c r="A621" s="5">
        <v>43616</v>
      </c>
      <c r="B621" s="2">
        <v>0</v>
      </c>
      <c r="C621" t="s">
        <v>1214</v>
      </c>
      <c r="D621" t="s">
        <v>1215</v>
      </c>
      <c r="E621" t="s">
        <v>1865</v>
      </c>
      <c r="F621" s="3">
        <v>43551</v>
      </c>
      <c r="G621" s="2">
        <v>65</v>
      </c>
      <c r="H621" s="1">
        <v>691.38</v>
      </c>
      <c r="I621" t="s">
        <v>1216</v>
      </c>
      <c r="J621" s="2">
        <v>1</v>
      </c>
      <c r="K621" t="s">
        <v>13</v>
      </c>
      <c r="L621" t="s">
        <v>671</v>
      </c>
      <c r="M621" t="s">
        <v>15</v>
      </c>
    </row>
    <row r="622" spans="1:13" x14ac:dyDescent="0.25">
      <c r="A622" s="5">
        <v>43619</v>
      </c>
      <c r="B622" s="2">
        <v>0</v>
      </c>
      <c r="C622" t="s">
        <v>1219</v>
      </c>
      <c r="D622" t="s">
        <v>891</v>
      </c>
      <c r="E622" t="s">
        <v>892</v>
      </c>
      <c r="F622" s="3">
        <v>43573</v>
      </c>
      <c r="G622" s="2">
        <v>46</v>
      </c>
      <c r="H622" s="1">
        <v>1371.62</v>
      </c>
      <c r="I622" t="s">
        <v>1220</v>
      </c>
      <c r="J622" s="2">
        <v>1</v>
      </c>
      <c r="K622" t="s">
        <v>13</v>
      </c>
      <c r="L622" t="s">
        <v>671</v>
      </c>
      <c r="M622" t="s">
        <v>15</v>
      </c>
    </row>
    <row r="623" spans="1:13" x14ac:dyDescent="0.25">
      <c r="A623" s="5">
        <v>43623</v>
      </c>
      <c r="B623" s="2">
        <v>0</v>
      </c>
      <c r="C623" t="s">
        <v>1221</v>
      </c>
      <c r="D623" t="s">
        <v>891</v>
      </c>
      <c r="E623" t="s">
        <v>892</v>
      </c>
      <c r="F623" s="3">
        <v>43573</v>
      </c>
      <c r="G623" s="2">
        <v>50</v>
      </c>
      <c r="H623" s="1">
        <v>494.41</v>
      </c>
      <c r="I623" t="s">
        <v>1222</v>
      </c>
      <c r="J623" s="2">
        <v>1</v>
      </c>
      <c r="K623" t="s">
        <v>13</v>
      </c>
      <c r="L623" t="s">
        <v>671</v>
      </c>
      <c r="M623" t="s">
        <v>15</v>
      </c>
    </row>
    <row r="624" spans="1:13" x14ac:dyDescent="0.25">
      <c r="A624" s="5">
        <v>43623</v>
      </c>
      <c r="B624" s="2">
        <v>0</v>
      </c>
      <c r="C624" t="s">
        <v>1223</v>
      </c>
      <c r="D624" t="s">
        <v>891</v>
      </c>
      <c r="E624" t="s">
        <v>892</v>
      </c>
      <c r="F624" s="3">
        <v>43573</v>
      </c>
      <c r="G624" s="2">
        <v>50</v>
      </c>
      <c r="H624" s="1">
        <v>500.59</v>
      </c>
      <c r="I624" t="s">
        <v>1224</v>
      </c>
      <c r="J624" s="2">
        <v>1</v>
      </c>
      <c r="K624" t="s">
        <v>13</v>
      </c>
      <c r="L624" t="s">
        <v>671</v>
      </c>
      <c r="M624" t="s">
        <v>15</v>
      </c>
    </row>
    <row r="625" spans="1:13" x14ac:dyDescent="0.25">
      <c r="A625" s="5">
        <v>43623</v>
      </c>
      <c r="B625" s="2">
        <v>0</v>
      </c>
      <c r="C625" t="s">
        <v>1225</v>
      </c>
      <c r="D625" t="s">
        <v>891</v>
      </c>
      <c r="E625" t="s">
        <v>892</v>
      </c>
      <c r="F625" s="3">
        <v>43573</v>
      </c>
      <c r="G625" s="2">
        <v>50</v>
      </c>
      <c r="H625" s="1">
        <v>501.97</v>
      </c>
      <c r="I625" t="s">
        <v>1226</v>
      </c>
      <c r="J625" s="2">
        <v>1</v>
      </c>
      <c r="K625" t="s">
        <v>13</v>
      </c>
      <c r="L625" t="s">
        <v>671</v>
      </c>
      <c r="M625" t="s">
        <v>15</v>
      </c>
    </row>
    <row r="626" spans="1:13" x14ac:dyDescent="0.25">
      <c r="A626" s="5">
        <v>43623</v>
      </c>
      <c r="B626" s="2">
        <v>0</v>
      </c>
      <c r="C626" t="s">
        <v>1227</v>
      </c>
      <c r="D626" t="s">
        <v>891</v>
      </c>
      <c r="E626" t="s">
        <v>892</v>
      </c>
      <c r="F626" s="3">
        <v>43573</v>
      </c>
      <c r="G626" s="2">
        <v>50</v>
      </c>
      <c r="H626" s="1">
        <v>439.73</v>
      </c>
      <c r="I626" t="s">
        <v>1228</v>
      </c>
      <c r="J626" s="2">
        <v>1</v>
      </c>
      <c r="K626" t="s">
        <v>13</v>
      </c>
      <c r="L626" t="s">
        <v>671</v>
      </c>
      <c r="M626" t="s">
        <v>15</v>
      </c>
    </row>
    <row r="627" spans="1:13" x14ac:dyDescent="0.25">
      <c r="A627" s="5">
        <v>43623</v>
      </c>
      <c r="B627" s="2">
        <v>0</v>
      </c>
      <c r="C627" t="s">
        <v>1229</v>
      </c>
      <c r="D627" t="s">
        <v>891</v>
      </c>
      <c r="E627" t="s">
        <v>892</v>
      </c>
      <c r="F627" s="3">
        <v>43573</v>
      </c>
      <c r="G627" s="2">
        <v>50</v>
      </c>
      <c r="H627" s="1">
        <v>433.4</v>
      </c>
      <c r="I627" t="s">
        <v>1230</v>
      </c>
      <c r="J627" s="2">
        <v>1</v>
      </c>
      <c r="K627" t="s">
        <v>13</v>
      </c>
      <c r="L627" t="s">
        <v>671</v>
      </c>
      <c r="M627" t="s">
        <v>15</v>
      </c>
    </row>
    <row r="628" spans="1:13" x14ac:dyDescent="0.25">
      <c r="A628" s="5">
        <v>43623</v>
      </c>
      <c r="B628" s="2">
        <v>0</v>
      </c>
      <c r="C628" t="s">
        <v>1231</v>
      </c>
      <c r="D628" t="s">
        <v>891</v>
      </c>
      <c r="E628" t="s">
        <v>892</v>
      </c>
      <c r="F628" s="3">
        <v>43573</v>
      </c>
      <c r="G628" s="2">
        <v>50</v>
      </c>
      <c r="H628" s="1">
        <v>379.86</v>
      </c>
      <c r="I628" t="s">
        <v>1232</v>
      </c>
      <c r="J628" s="2">
        <v>1</v>
      </c>
      <c r="K628" t="s">
        <v>13</v>
      </c>
      <c r="L628" t="s">
        <v>671</v>
      </c>
      <c r="M628" t="s">
        <v>15</v>
      </c>
    </row>
    <row r="629" spans="1:13" x14ac:dyDescent="0.25">
      <c r="A629" s="5">
        <v>43623</v>
      </c>
      <c r="B629" s="2">
        <v>0</v>
      </c>
      <c r="C629" t="s">
        <v>1233</v>
      </c>
      <c r="D629" t="s">
        <v>891</v>
      </c>
      <c r="E629" t="s">
        <v>892</v>
      </c>
      <c r="F629" s="3">
        <v>43573</v>
      </c>
      <c r="G629" s="2">
        <v>50</v>
      </c>
      <c r="H629" s="1">
        <v>412.38</v>
      </c>
      <c r="I629" t="s">
        <v>1234</v>
      </c>
      <c r="J629" s="2">
        <v>1</v>
      </c>
      <c r="K629" t="s">
        <v>13</v>
      </c>
      <c r="L629" t="s">
        <v>671</v>
      </c>
      <c r="M629" t="s">
        <v>15</v>
      </c>
    </row>
    <row r="630" spans="1:13" x14ac:dyDescent="0.25">
      <c r="A630" s="5">
        <v>43623</v>
      </c>
      <c r="B630" s="2">
        <v>0</v>
      </c>
      <c r="C630" t="s">
        <v>1235</v>
      </c>
      <c r="D630" t="s">
        <v>891</v>
      </c>
      <c r="E630" t="s">
        <v>892</v>
      </c>
      <c r="F630" s="3">
        <v>43573</v>
      </c>
      <c r="G630" s="2">
        <v>50</v>
      </c>
      <c r="H630" s="1">
        <v>365.4</v>
      </c>
      <c r="I630" t="s">
        <v>1236</v>
      </c>
      <c r="J630" s="2">
        <v>1</v>
      </c>
      <c r="K630" t="s">
        <v>13</v>
      </c>
      <c r="L630" t="s">
        <v>671</v>
      </c>
      <c r="M630" t="s">
        <v>15</v>
      </c>
    </row>
    <row r="631" spans="1:13" x14ac:dyDescent="0.25">
      <c r="A631" s="5">
        <v>43623</v>
      </c>
      <c r="B631" s="2">
        <v>0</v>
      </c>
      <c r="C631" t="s">
        <v>1237</v>
      </c>
      <c r="D631" t="s">
        <v>891</v>
      </c>
      <c r="E631" t="s">
        <v>892</v>
      </c>
      <c r="F631" s="3">
        <v>43573</v>
      </c>
      <c r="G631" s="2">
        <v>50</v>
      </c>
      <c r="H631" s="1">
        <v>392.54</v>
      </c>
      <c r="I631" t="s">
        <v>1238</v>
      </c>
      <c r="J631" s="2">
        <v>1</v>
      </c>
      <c r="K631" t="s">
        <v>13</v>
      </c>
      <c r="L631" t="s">
        <v>671</v>
      </c>
      <c r="M631" t="s">
        <v>15</v>
      </c>
    </row>
    <row r="632" spans="1:13" x14ac:dyDescent="0.25">
      <c r="A632" s="5">
        <v>43623</v>
      </c>
      <c r="B632" s="2">
        <v>0</v>
      </c>
      <c r="C632" t="s">
        <v>1239</v>
      </c>
      <c r="D632" t="s">
        <v>891</v>
      </c>
      <c r="E632" t="s">
        <v>892</v>
      </c>
      <c r="F632" s="3">
        <v>43573</v>
      </c>
      <c r="G632" s="2">
        <v>50</v>
      </c>
      <c r="H632" s="1">
        <v>421.7</v>
      </c>
      <c r="I632" t="s">
        <v>1240</v>
      </c>
      <c r="J632" s="2">
        <v>1</v>
      </c>
      <c r="K632" t="s">
        <v>13</v>
      </c>
      <c r="L632" t="s">
        <v>671</v>
      </c>
      <c r="M632" t="s">
        <v>15</v>
      </c>
    </row>
    <row r="633" spans="1:13" x14ac:dyDescent="0.25">
      <c r="A633" s="5">
        <v>43623</v>
      </c>
      <c r="B633" s="2">
        <v>0</v>
      </c>
      <c r="C633" t="s">
        <v>1241</v>
      </c>
      <c r="D633" t="s">
        <v>891</v>
      </c>
      <c r="E633" t="s">
        <v>892</v>
      </c>
      <c r="F633" s="3">
        <v>43573</v>
      </c>
      <c r="G633" s="2">
        <v>50</v>
      </c>
      <c r="H633" s="1">
        <v>376.22</v>
      </c>
      <c r="I633" t="s">
        <v>1242</v>
      </c>
      <c r="J633" s="2">
        <v>1</v>
      </c>
      <c r="K633" t="s">
        <v>13</v>
      </c>
      <c r="L633" t="s">
        <v>671</v>
      </c>
      <c r="M633" t="s">
        <v>15</v>
      </c>
    </row>
    <row r="634" spans="1:13" x14ac:dyDescent="0.25">
      <c r="A634" s="5">
        <v>43623</v>
      </c>
      <c r="B634" s="2">
        <v>0</v>
      </c>
      <c r="C634" t="s">
        <v>1243</v>
      </c>
      <c r="D634" t="s">
        <v>891</v>
      </c>
      <c r="E634" t="s">
        <v>892</v>
      </c>
      <c r="F634" s="3">
        <v>43573</v>
      </c>
      <c r="G634" s="2">
        <v>50</v>
      </c>
      <c r="H634" s="1">
        <v>470.91</v>
      </c>
      <c r="I634" t="s">
        <v>1244</v>
      </c>
      <c r="J634" s="2">
        <v>1</v>
      </c>
      <c r="K634" t="s">
        <v>13</v>
      </c>
      <c r="L634" t="s">
        <v>671</v>
      </c>
      <c r="M634" t="s">
        <v>15</v>
      </c>
    </row>
    <row r="635" spans="1:13" x14ac:dyDescent="0.25">
      <c r="A635" s="5">
        <v>43628</v>
      </c>
      <c r="B635" s="2">
        <v>0</v>
      </c>
      <c r="C635" t="s">
        <v>1245</v>
      </c>
      <c r="D635" t="s">
        <v>891</v>
      </c>
      <c r="E635" t="s">
        <v>892</v>
      </c>
      <c r="F635" s="3">
        <v>43573</v>
      </c>
      <c r="G635" s="2">
        <v>55</v>
      </c>
      <c r="H635" s="1">
        <v>1046.0999999999999</v>
      </c>
      <c r="I635" t="s">
        <v>1220</v>
      </c>
      <c r="J635" s="2">
        <v>1</v>
      </c>
      <c r="K635" t="s">
        <v>13</v>
      </c>
      <c r="L635" t="s">
        <v>671</v>
      </c>
      <c r="M635" t="s">
        <v>15</v>
      </c>
    </row>
    <row r="636" spans="1:13" x14ac:dyDescent="0.25">
      <c r="A636" s="5">
        <v>43633</v>
      </c>
      <c r="B636" s="2">
        <v>0</v>
      </c>
      <c r="C636" t="s">
        <v>1246</v>
      </c>
      <c r="D636" t="s">
        <v>891</v>
      </c>
      <c r="E636" t="s">
        <v>892</v>
      </c>
      <c r="F636" s="3">
        <v>43573</v>
      </c>
      <c r="G636" s="2">
        <v>60</v>
      </c>
      <c r="H636" s="1">
        <v>401.17</v>
      </c>
      <c r="I636" t="s">
        <v>1222</v>
      </c>
      <c r="J636" s="2">
        <v>1</v>
      </c>
      <c r="K636" t="s">
        <v>13</v>
      </c>
      <c r="L636" t="s">
        <v>671</v>
      </c>
      <c r="M636" t="s">
        <v>15</v>
      </c>
    </row>
    <row r="637" spans="1:13" x14ac:dyDescent="0.25">
      <c r="A637" s="5">
        <v>43633</v>
      </c>
      <c r="B637" s="2">
        <v>0</v>
      </c>
      <c r="C637" t="s">
        <v>1247</v>
      </c>
      <c r="D637" t="s">
        <v>891</v>
      </c>
      <c r="E637" t="s">
        <v>892</v>
      </c>
      <c r="F637" s="3">
        <v>43573</v>
      </c>
      <c r="G637" s="2">
        <v>60</v>
      </c>
      <c r="H637" s="1">
        <v>406.16</v>
      </c>
      <c r="I637" t="s">
        <v>1224</v>
      </c>
      <c r="J637" s="2">
        <v>1</v>
      </c>
      <c r="K637" t="s">
        <v>13</v>
      </c>
      <c r="L637" t="s">
        <v>671</v>
      </c>
      <c r="M637" t="s">
        <v>15</v>
      </c>
    </row>
    <row r="638" spans="1:13" x14ac:dyDescent="0.25">
      <c r="A638" s="5">
        <v>43633</v>
      </c>
      <c r="B638" s="2">
        <v>0</v>
      </c>
      <c r="C638" t="s">
        <v>1248</v>
      </c>
      <c r="D638" t="s">
        <v>891</v>
      </c>
      <c r="E638" t="s">
        <v>892</v>
      </c>
      <c r="F638" s="3">
        <v>43573</v>
      </c>
      <c r="G638" s="2">
        <v>60</v>
      </c>
      <c r="H638" s="1">
        <v>407.28</v>
      </c>
      <c r="I638" t="s">
        <v>1226</v>
      </c>
      <c r="J638" s="2">
        <v>1</v>
      </c>
      <c r="K638" t="s">
        <v>13</v>
      </c>
      <c r="L638" t="s">
        <v>671</v>
      </c>
      <c r="M638" t="s">
        <v>15</v>
      </c>
    </row>
    <row r="639" spans="1:13" x14ac:dyDescent="0.25">
      <c r="A639" s="5">
        <v>43633</v>
      </c>
      <c r="B639" s="2">
        <v>0</v>
      </c>
      <c r="C639" t="s">
        <v>1249</v>
      </c>
      <c r="D639" t="s">
        <v>891</v>
      </c>
      <c r="E639" t="s">
        <v>892</v>
      </c>
      <c r="F639" s="3">
        <v>43573</v>
      </c>
      <c r="G639" s="2">
        <v>60</v>
      </c>
      <c r="H639" s="1">
        <v>351.72</v>
      </c>
      <c r="I639" t="s">
        <v>1230</v>
      </c>
      <c r="J639" s="2">
        <v>1</v>
      </c>
      <c r="K639" t="s">
        <v>13</v>
      </c>
      <c r="L639" t="s">
        <v>671</v>
      </c>
      <c r="M639" t="s">
        <v>15</v>
      </c>
    </row>
    <row r="640" spans="1:13" x14ac:dyDescent="0.25">
      <c r="A640" s="5">
        <v>43633</v>
      </c>
      <c r="B640" s="2">
        <v>0</v>
      </c>
      <c r="C640" t="s">
        <v>1250</v>
      </c>
      <c r="D640" t="s">
        <v>891</v>
      </c>
      <c r="E640" t="s">
        <v>892</v>
      </c>
      <c r="F640" s="3">
        <v>43573</v>
      </c>
      <c r="G640" s="2">
        <v>60</v>
      </c>
      <c r="H640" s="1">
        <v>587.82000000000005</v>
      </c>
      <c r="I640" t="s">
        <v>1251</v>
      </c>
      <c r="J640" s="2">
        <v>1</v>
      </c>
      <c r="K640" t="s">
        <v>13</v>
      </c>
      <c r="L640" t="s">
        <v>671</v>
      </c>
      <c r="M640" t="s">
        <v>15</v>
      </c>
    </row>
    <row r="641" spans="1:13" x14ac:dyDescent="0.25">
      <c r="A641" s="5">
        <v>43633</v>
      </c>
      <c r="B641" s="2">
        <v>0</v>
      </c>
      <c r="C641" t="s">
        <v>1252</v>
      </c>
      <c r="D641" t="s">
        <v>891</v>
      </c>
      <c r="E641" t="s">
        <v>892</v>
      </c>
      <c r="F641" s="3">
        <v>43573</v>
      </c>
      <c r="G641" s="2">
        <v>60</v>
      </c>
      <c r="H641" s="1">
        <v>575.13</v>
      </c>
      <c r="I641" t="s">
        <v>1253</v>
      </c>
      <c r="J641" s="2">
        <v>1</v>
      </c>
      <c r="K641" t="s">
        <v>13</v>
      </c>
      <c r="L641" t="s">
        <v>671</v>
      </c>
      <c r="M641" t="s">
        <v>15</v>
      </c>
    </row>
    <row r="642" spans="1:13" x14ac:dyDescent="0.25">
      <c r="A642" s="5">
        <v>43633</v>
      </c>
      <c r="B642" s="2">
        <v>0</v>
      </c>
      <c r="C642" t="s">
        <v>1254</v>
      </c>
      <c r="D642" t="s">
        <v>891</v>
      </c>
      <c r="E642" t="s">
        <v>892</v>
      </c>
      <c r="F642" s="3">
        <v>43573</v>
      </c>
      <c r="G642" s="2">
        <v>60</v>
      </c>
      <c r="H642" s="1">
        <v>396.93</v>
      </c>
      <c r="I642" t="s">
        <v>1255</v>
      </c>
      <c r="J642" s="2">
        <v>1</v>
      </c>
      <c r="K642" t="s">
        <v>13</v>
      </c>
      <c r="L642" t="s">
        <v>671</v>
      </c>
      <c r="M642" t="s">
        <v>15</v>
      </c>
    </row>
    <row r="643" spans="1:13" x14ac:dyDescent="0.25">
      <c r="A643" s="5">
        <v>43633</v>
      </c>
      <c r="B643" s="2">
        <v>0</v>
      </c>
      <c r="C643" t="s">
        <v>1256</v>
      </c>
      <c r="D643" t="s">
        <v>891</v>
      </c>
      <c r="E643" t="s">
        <v>892</v>
      </c>
      <c r="F643" s="3">
        <v>43573</v>
      </c>
      <c r="G643" s="2">
        <v>60</v>
      </c>
      <c r="H643" s="1">
        <v>342.24</v>
      </c>
      <c r="I643" t="s">
        <v>1240</v>
      </c>
      <c r="J643" s="2">
        <v>1</v>
      </c>
      <c r="K643" t="s">
        <v>13</v>
      </c>
      <c r="L643" t="s">
        <v>671</v>
      </c>
      <c r="M643" t="s">
        <v>15</v>
      </c>
    </row>
    <row r="644" spans="1:13" x14ac:dyDescent="0.25">
      <c r="A644" s="5">
        <v>43636</v>
      </c>
      <c r="B644" s="2">
        <v>0</v>
      </c>
      <c r="C644" t="s">
        <v>1259</v>
      </c>
      <c r="D644" t="s">
        <v>718</v>
      </c>
      <c r="E644" t="s">
        <v>719</v>
      </c>
      <c r="F644" s="3">
        <v>43581</v>
      </c>
      <c r="G644" s="2">
        <v>55</v>
      </c>
      <c r="H644" s="1">
        <v>403.77</v>
      </c>
      <c r="I644" t="s">
        <v>1260</v>
      </c>
      <c r="J644" s="2">
        <v>1</v>
      </c>
      <c r="K644" t="s">
        <v>13</v>
      </c>
      <c r="L644" t="s">
        <v>1128</v>
      </c>
      <c r="M644" t="s">
        <v>15</v>
      </c>
    </row>
    <row r="645" spans="1:13" x14ac:dyDescent="0.25">
      <c r="A645" s="5">
        <v>43640</v>
      </c>
      <c r="B645" s="2">
        <v>0</v>
      </c>
      <c r="C645" t="s">
        <v>1261</v>
      </c>
      <c r="D645" t="s">
        <v>891</v>
      </c>
      <c r="E645" t="s">
        <v>892</v>
      </c>
      <c r="F645" s="3">
        <v>43573</v>
      </c>
      <c r="G645" s="2">
        <v>67</v>
      </c>
      <c r="H645" s="1">
        <v>1046.0999999999999</v>
      </c>
      <c r="I645" t="s">
        <v>1220</v>
      </c>
      <c r="J645" s="2">
        <v>1</v>
      </c>
      <c r="K645" t="s">
        <v>13</v>
      </c>
      <c r="L645" t="s">
        <v>671</v>
      </c>
      <c r="M645" t="s">
        <v>15</v>
      </c>
    </row>
    <row r="646" spans="1:13" x14ac:dyDescent="0.25">
      <c r="A646" s="5">
        <v>43643</v>
      </c>
      <c r="B646" s="2">
        <v>0</v>
      </c>
      <c r="C646" t="s">
        <v>1262</v>
      </c>
      <c r="D646" t="s">
        <v>891</v>
      </c>
      <c r="E646" t="s">
        <v>892</v>
      </c>
      <c r="F646" s="3">
        <v>43573</v>
      </c>
      <c r="G646" s="2">
        <v>70</v>
      </c>
      <c r="H646" s="1">
        <v>401.16</v>
      </c>
      <c r="I646" t="s">
        <v>1222</v>
      </c>
      <c r="J646" s="2">
        <v>1</v>
      </c>
      <c r="K646" t="s">
        <v>13</v>
      </c>
      <c r="L646" t="s">
        <v>671</v>
      </c>
      <c r="M646" t="s">
        <v>15</v>
      </c>
    </row>
    <row r="647" spans="1:13" x14ac:dyDescent="0.25">
      <c r="A647" s="5">
        <v>43643</v>
      </c>
      <c r="B647" s="2">
        <v>0</v>
      </c>
      <c r="C647" t="s">
        <v>1263</v>
      </c>
      <c r="D647" t="s">
        <v>891</v>
      </c>
      <c r="E647" t="s">
        <v>892</v>
      </c>
      <c r="F647" s="3">
        <v>43573</v>
      </c>
      <c r="G647" s="2">
        <v>70</v>
      </c>
      <c r="H647" s="1">
        <v>406.17</v>
      </c>
      <c r="I647" t="s">
        <v>1224</v>
      </c>
      <c r="J647" s="2">
        <v>1</v>
      </c>
      <c r="K647" t="s">
        <v>13</v>
      </c>
      <c r="L647" t="s">
        <v>671</v>
      </c>
      <c r="M647" t="s">
        <v>15</v>
      </c>
    </row>
    <row r="648" spans="1:13" x14ac:dyDescent="0.25">
      <c r="A648" s="5">
        <v>43643</v>
      </c>
      <c r="B648" s="2">
        <v>0</v>
      </c>
      <c r="C648" t="s">
        <v>1264</v>
      </c>
      <c r="D648" t="s">
        <v>891</v>
      </c>
      <c r="E648" t="s">
        <v>892</v>
      </c>
      <c r="F648" s="3">
        <v>43573</v>
      </c>
      <c r="G648" s="2">
        <v>70</v>
      </c>
      <c r="H648" s="1">
        <v>407.29</v>
      </c>
      <c r="I648" t="s">
        <v>1226</v>
      </c>
      <c r="J648" s="2">
        <v>1</v>
      </c>
      <c r="K648" t="s">
        <v>13</v>
      </c>
      <c r="L648" t="s">
        <v>671</v>
      </c>
      <c r="M648" t="s">
        <v>15</v>
      </c>
    </row>
    <row r="649" spans="1:13" x14ac:dyDescent="0.25">
      <c r="A649" s="5">
        <v>43643</v>
      </c>
      <c r="B649" s="2">
        <v>0</v>
      </c>
      <c r="C649" t="s">
        <v>1265</v>
      </c>
      <c r="D649" t="s">
        <v>891</v>
      </c>
      <c r="E649" t="s">
        <v>892</v>
      </c>
      <c r="F649" s="3">
        <v>43573</v>
      </c>
      <c r="G649" s="2">
        <v>70</v>
      </c>
      <c r="H649" s="1">
        <v>380.75</v>
      </c>
      <c r="I649" t="s">
        <v>1228</v>
      </c>
      <c r="J649" s="2">
        <v>1</v>
      </c>
      <c r="K649" t="s">
        <v>13</v>
      </c>
      <c r="L649" t="s">
        <v>671</v>
      </c>
      <c r="M649" t="s">
        <v>15</v>
      </c>
    </row>
    <row r="650" spans="1:13" x14ac:dyDescent="0.25">
      <c r="A650" s="5">
        <v>43643</v>
      </c>
      <c r="B650" s="2">
        <v>0</v>
      </c>
      <c r="C650" t="s">
        <v>1266</v>
      </c>
      <c r="D650" t="s">
        <v>891</v>
      </c>
      <c r="E650" t="s">
        <v>892</v>
      </c>
      <c r="F650" s="3">
        <v>43573</v>
      </c>
      <c r="G650" s="2">
        <v>70</v>
      </c>
      <c r="H650" s="1">
        <v>351.73</v>
      </c>
      <c r="I650" t="s">
        <v>1230</v>
      </c>
      <c r="J650" s="2">
        <v>1</v>
      </c>
      <c r="K650" t="s">
        <v>13</v>
      </c>
      <c r="L650" t="s">
        <v>671</v>
      </c>
      <c r="M650" t="s">
        <v>15</v>
      </c>
    </row>
    <row r="651" spans="1:13" x14ac:dyDescent="0.25">
      <c r="A651" s="5">
        <v>43643</v>
      </c>
      <c r="B651" s="2">
        <v>0</v>
      </c>
      <c r="C651" t="s">
        <v>1267</v>
      </c>
      <c r="D651" t="s">
        <v>891</v>
      </c>
      <c r="E651" t="s">
        <v>892</v>
      </c>
      <c r="F651" s="3">
        <v>43573</v>
      </c>
      <c r="G651" s="2">
        <v>70</v>
      </c>
      <c r="H651" s="1">
        <v>328.96</v>
      </c>
      <c r="I651" t="s">
        <v>1232</v>
      </c>
      <c r="J651" s="2">
        <v>1</v>
      </c>
      <c r="K651" t="s">
        <v>13</v>
      </c>
      <c r="L651" t="s">
        <v>671</v>
      </c>
      <c r="M651" t="s">
        <v>15</v>
      </c>
    </row>
    <row r="652" spans="1:13" x14ac:dyDescent="0.25">
      <c r="A652" s="5">
        <v>43643</v>
      </c>
      <c r="B652" s="2">
        <v>0</v>
      </c>
      <c r="C652" t="s">
        <v>1268</v>
      </c>
      <c r="D652" t="s">
        <v>891</v>
      </c>
      <c r="E652" t="s">
        <v>892</v>
      </c>
      <c r="F652" s="3">
        <v>43573</v>
      </c>
      <c r="G652" s="2">
        <v>70</v>
      </c>
      <c r="H652" s="1">
        <v>357.09</v>
      </c>
      <c r="I652" t="s">
        <v>1234</v>
      </c>
      <c r="J652" s="2">
        <v>1</v>
      </c>
      <c r="K652" t="s">
        <v>13</v>
      </c>
      <c r="L652" t="s">
        <v>671</v>
      </c>
      <c r="M652" t="s">
        <v>15</v>
      </c>
    </row>
    <row r="653" spans="1:13" x14ac:dyDescent="0.25">
      <c r="A653" s="5">
        <v>43643</v>
      </c>
      <c r="B653" s="2">
        <v>0</v>
      </c>
      <c r="C653" t="s">
        <v>1269</v>
      </c>
      <c r="D653" t="s">
        <v>891</v>
      </c>
      <c r="E653" t="s">
        <v>892</v>
      </c>
      <c r="F653" s="3">
        <v>43573</v>
      </c>
      <c r="G653" s="2">
        <v>70</v>
      </c>
      <c r="H653" s="1">
        <v>316.45</v>
      </c>
      <c r="I653" t="s">
        <v>1236</v>
      </c>
      <c r="J653" s="2">
        <v>1</v>
      </c>
      <c r="K653" t="s">
        <v>13</v>
      </c>
      <c r="L653" t="s">
        <v>671</v>
      </c>
      <c r="M653" t="s">
        <v>15</v>
      </c>
    </row>
    <row r="654" spans="1:13" x14ac:dyDescent="0.25">
      <c r="A654" s="5">
        <v>43643</v>
      </c>
      <c r="B654" s="2">
        <v>0</v>
      </c>
      <c r="C654" t="s">
        <v>1270</v>
      </c>
      <c r="D654" t="s">
        <v>891</v>
      </c>
      <c r="E654" t="s">
        <v>892</v>
      </c>
      <c r="F654" s="3">
        <v>43573</v>
      </c>
      <c r="G654" s="2">
        <v>70</v>
      </c>
      <c r="H654" s="1">
        <v>339.93</v>
      </c>
      <c r="I654" t="s">
        <v>1238</v>
      </c>
      <c r="J654" s="2">
        <v>1</v>
      </c>
      <c r="K654" t="s">
        <v>13</v>
      </c>
      <c r="L654" t="s">
        <v>671</v>
      </c>
      <c r="M654" t="s">
        <v>15</v>
      </c>
    </row>
    <row r="655" spans="1:13" x14ac:dyDescent="0.25">
      <c r="A655" s="5">
        <v>43643</v>
      </c>
      <c r="B655" s="2">
        <v>0</v>
      </c>
      <c r="C655" t="s">
        <v>1271</v>
      </c>
      <c r="D655" t="s">
        <v>891</v>
      </c>
      <c r="E655" t="s">
        <v>892</v>
      </c>
      <c r="F655" s="3">
        <v>43573</v>
      </c>
      <c r="G655" s="2">
        <v>70</v>
      </c>
      <c r="H655" s="1">
        <v>342.25</v>
      </c>
      <c r="I655" t="s">
        <v>1240</v>
      </c>
      <c r="J655" s="2">
        <v>1</v>
      </c>
      <c r="K655" t="s">
        <v>13</v>
      </c>
      <c r="L655" t="s">
        <v>671</v>
      </c>
      <c r="M655" t="s">
        <v>15</v>
      </c>
    </row>
    <row r="656" spans="1:13" x14ac:dyDescent="0.25">
      <c r="A656" s="5">
        <v>43643</v>
      </c>
      <c r="B656" s="2">
        <v>0</v>
      </c>
      <c r="C656" t="s">
        <v>1272</v>
      </c>
      <c r="D656" t="s">
        <v>891</v>
      </c>
      <c r="E656" t="s">
        <v>892</v>
      </c>
      <c r="F656" s="3">
        <v>43573</v>
      </c>
      <c r="G656" s="2">
        <v>70</v>
      </c>
      <c r="H656" s="1">
        <v>325.81</v>
      </c>
      <c r="I656" t="s">
        <v>1242</v>
      </c>
      <c r="J656" s="2">
        <v>1</v>
      </c>
      <c r="K656" t="s">
        <v>13</v>
      </c>
      <c r="L656" t="s">
        <v>671</v>
      </c>
      <c r="M656" t="s">
        <v>15</v>
      </c>
    </row>
    <row r="657" spans="1:13" x14ac:dyDescent="0.25">
      <c r="A657" s="5">
        <v>43643</v>
      </c>
      <c r="B657" s="2">
        <v>0</v>
      </c>
      <c r="C657" t="s">
        <v>1273</v>
      </c>
      <c r="D657" t="s">
        <v>891</v>
      </c>
      <c r="E657" t="s">
        <v>892</v>
      </c>
      <c r="F657" s="3">
        <v>43573</v>
      </c>
      <c r="G657" s="2">
        <v>70</v>
      </c>
      <c r="H657" s="1">
        <v>407.72</v>
      </c>
      <c r="I657" t="s">
        <v>1244</v>
      </c>
      <c r="J657" s="2">
        <v>1</v>
      </c>
      <c r="K657" t="s">
        <v>13</v>
      </c>
      <c r="L657" t="s">
        <v>671</v>
      </c>
      <c r="M657" t="s">
        <v>15</v>
      </c>
    </row>
    <row r="658" spans="1:13" x14ac:dyDescent="0.25">
      <c r="A658" s="5">
        <v>43648</v>
      </c>
      <c r="B658" s="2">
        <v>0</v>
      </c>
      <c r="C658" t="s">
        <v>1275</v>
      </c>
      <c r="D658" t="s">
        <v>891</v>
      </c>
      <c r="E658" t="s">
        <v>892</v>
      </c>
      <c r="F658" s="3">
        <v>43573</v>
      </c>
      <c r="G658" s="2">
        <v>75</v>
      </c>
      <c r="H658" s="1">
        <v>1046.08</v>
      </c>
      <c r="I658" t="s">
        <v>1220</v>
      </c>
      <c r="J658" s="2">
        <v>1</v>
      </c>
      <c r="K658" t="s">
        <v>13</v>
      </c>
      <c r="L658" t="s">
        <v>671</v>
      </c>
      <c r="M658" t="s">
        <v>15</v>
      </c>
    </row>
    <row r="659" spans="1:13" x14ac:dyDescent="0.25">
      <c r="A659" s="5">
        <v>43649</v>
      </c>
      <c r="B659" s="2">
        <v>0</v>
      </c>
      <c r="C659" t="s">
        <v>1276</v>
      </c>
      <c r="D659" t="s">
        <v>1277</v>
      </c>
      <c r="E659" t="s">
        <v>1866</v>
      </c>
      <c r="F659" s="3">
        <v>43579</v>
      </c>
      <c r="G659" s="2">
        <v>70</v>
      </c>
      <c r="H659" s="1">
        <v>941.96</v>
      </c>
      <c r="I659" t="s">
        <v>1278</v>
      </c>
      <c r="J659" s="2">
        <v>1</v>
      </c>
      <c r="K659" t="s">
        <v>13</v>
      </c>
      <c r="L659" t="s">
        <v>671</v>
      </c>
      <c r="M659" t="s">
        <v>31</v>
      </c>
    </row>
    <row r="660" spans="1:13" x14ac:dyDescent="0.25">
      <c r="A660" s="5">
        <v>43651</v>
      </c>
      <c r="B660" s="2">
        <v>0</v>
      </c>
      <c r="C660" t="s">
        <v>1279</v>
      </c>
      <c r="D660" t="s">
        <v>891</v>
      </c>
      <c r="E660" t="s">
        <v>892</v>
      </c>
      <c r="F660" s="3">
        <v>43591</v>
      </c>
      <c r="G660" s="2">
        <v>60</v>
      </c>
      <c r="H660" s="1">
        <v>547.79999999999995</v>
      </c>
      <c r="I660" t="s">
        <v>1280</v>
      </c>
      <c r="J660" s="2">
        <v>1</v>
      </c>
      <c r="K660" t="s">
        <v>13</v>
      </c>
      <c r="L660" t="s">
        <v>671</v>
      </c>
      <c r="M660" t="s">
        <v>15</v>
      </c>
    </row>
    <row r="661" spans="1:13" x14ac:dyDescent="0.25">
      <c r="A661" s="5">
        <v>43651</v>
      </c>
      <c r="B661" s="2">
        <v>0</v>
      </c>
      <c r="C661" t="s">
        <v>1281</v>
      </c>
      <c r="D661" t="s">
        <v>891</v>
      </c>
      <c r="E661" t="s">
        <v>892</v>
      </c>
      <c r="F661" s="3">
        <v>43591</v>
      </c>
      <c r="G661" s="2">
        <v>60</v>
      </c>
      <c r="H661" s="1">
        <v>791.61</v>
      </c>
      <c r="I661" t="s">
        <v>1282</v>
      </c>
      <c r="J661" s="2">
        <v>1</v>
      </c>
      <c r="K661" t="s">
        <v>13</v>
      </c>
      <c r="L661" t="s">
        <v>671</v>
      </c>
      <c r="M661" t="s">
        <v>15</v>
      </c>
    </row>
    <row r="662" spans="1:13" x14ac:dyDescent="0.25">
      <c r="A662" s="5">
        <v>43651</v>
      </c>
      <c r="B662" s="2">
        <v>0</v>
      </c>
      <c r="C662" t="s">
        <v>1283</v>
      </c>
      <c r="D662" t="s">
        <v>891</v>
      </c>
      <c r="E662" t="s">
        <v>892</v>
      </c>
      <c r="F662" s="3">
        <v>43591</v>
      </c>
      <c r="G662" s="2">
        <v>60</v>
      </c>
      <c r="H662" s="1">
        <v>621.64</v>
      </c>
      <c r="I662" t="s">
        <v>1284</v>
      </c>
      <c r="J662" s="2">
        <v>1</v>
      </c>
      <c r="K662" t="s">
        <v>13</v>
      </c>
      <c r="L662" t="s">
        <v>671</v>
      </c>
      <c r="M662" t="s">
        <v>15</v>
      </c>
    </row>
    <row r="663" spans="1:13" x14ac:dyDescent="0.25">
      <c r="A663" s="5">
        <v>43651</v>
      </c>
      <c r="B663" s="2">
        <v>0</v>
      </c>
      <c r="C663" t="s">
        <v>1285</v>
      </c>
      <c r="D663" t="s">
        <v>891</v>
      </c>
      <c r="E663" t="s">
        <v>892</v>
      </c>
      <c r="F663" s="3">
        <v>43591</v>
      </c>
      <c r="G663" s="2">
        <v>60</v>
      </c>
      <c r="H663" s="1">
        <v>713.59</v>
      </c>
      <c r="I663" t="s">
        <v>1286</v>
      </c>
      <c r="J663" s="2">
        <v>1</v>
      </c>
      <c r="K663" t="s">
        <v>13</v>
      </c>
      <c r="L663" t="s">
        <v>671</v>
      </c>
      <c r="M663" t="s">
        <v>15</v>
      </c>
    </row>
    <row r="664" spans="1:13" x14ac:dyDescent="0.25">
      <c r="A664" s="5">
        <v>43654</v>
      </c>
      <c r="B664" s="2">
        <v>0</v>
      </c>
      <c r="C664" t="s">
        <v>1287</v>
      </c>
      <c r="D664" t="s">
        <v>1257</v>
      </c>
      <c r="E664" t="s">
        <v>1258</v>
      </c>
      <c r="F664" s="3">
        <v>43594</v>
      </c>
      <c r="G664" s="2">
        <v>60</v>
      </c>
      <c r="H664" s="1">
        <v>308.63</v>
      </c>
      <c r="I664" t="s">
        <v>1274</v>
      </c>
      <c r="J664" s="2">
        <v>1</v>
      </c>
      <c r="K664" t="s">
        <v>13</v>
      </c>
      <c r="L664" t="s">
        <v>1114</v>
      </c>
      <c r="M664" t="s">
        <v>17</v>
      </c>
    </row>
    <row r="665" spans="1:13" x14ac:dyDescent="0.25">
      <c r="A665" s="5">
        <v>43654</v>
      </c>
      <c r="B665" s="2">
        <v>0</v>
      </c>
      <c r="C665" t="s">
        <v>1288</v>
      </c>
      <c r="D665" t="s">
        <v>891</v>
      </c>
      <c r="E665" t="s">
        <v>892</v>
      </c>
      <c r="F665" s="3">
        <v>43592</v>
      </c>
      <c r="G665" s="2">
        <v>62</v>
      </c>
      <c r="H665" s="1">
        <v>1021.5</v>
      </c>
      <c r="I665" t="s">
        <v>1289</v>
      </c>
      <c r="J665" s="2">
        <v>1</v>
      </c>
      <c r="K665" t="s">
        <v>13</v>
      </c>
      <c r="L665" t="s">
        <v>671</v>
      </c>
      <c r="M665" t="s">
        <v>15</v>
      </c>
    </row>
    <row r="666" spans="1:13" x14ac:dyDescent="0.25">
      <c r="A666" s="5">
        <v>43654</v>
      </c>
      <c r="B666" s="2">
        <v>0</v>
      </c>
      <c r="C666" t="s">
        <v>1290</v>
      </c>
      <c r="D666" t="s">
        <v>891</v>
      </c>
      <c r="E666" t="s">
        <v>892</v>
      </c>
      <c r="F666" s="3">
        <v>43593</v>
      </c>
      <c r="G666" s="2">
        <v>61</v>
      </c>
      <c r="H666" s="1">
        <v>937.45</v>
      </c>
      <c r="I666" t="s">
        <v>1291</v>
      </c>
      <c r="J666" s="2">
        <v>1</v>
      </c>
      <c r="K666" t="s">
        <v>13</v>
      </c>
      <c r="L666" t="s">
        <v>671</v>
      </c>
      <c r="M666" t="s">
        <v>15</v>
      </c>
    </row>
    <row r="667" spans="1:13" x14ac:dyDescent="0.25">
      <c r="A667" s="5">
        <v>43654</v>
      </c>
      <c r="B667" s="2">
        <v>0</v>
      </c>
      <c r="C667" t="s">
        <v>1292</v>
      </c>
      <c r="D667" t="s">
        <v>891</v>
      </c>
      <c r="E667" t="s">
        <v>892</v>
      </c>
      <c r="F667" s="3">
        <v>43593</v>
      </c>
      <c r="G667" s="2">
        <v>61</v>
      </c>
      <c r="H667" s="1">
        <v>59.41</v>
      </c>
      <c r="I667" t="s">
        <v>1293</v>
      </c>
      <c r="J667" s="2">
        <v>1</v>
      </c>
      <c r="K667" t="s">
        <v>13</v>
      </c>
      <c r="L667" t="s">
        <v>671</v>
      </c>
      <c r="M667" t="s">
        <v>15</v>
      </c>
    </row>
    <row r="668" spans="1:13" x14ac:dyDescent="0.25">
      <c r="A668" s="5">
        <v>43654</v>
      </c>
      <c r="B668" s="2">
        <v>0</v>
      </c>
      <c r="C668" t="s">
        <v>1294</v>
      </c>
      <c r="D668" t="s">
        <v>891</v>
      </c>
      <c r="E668" t="s">
        <v>892</v>
      </c>
      <c r="F668" s="3">
        <v>43593</v>
      </c>
      <c r="G668" s="2">
        <v>61</v>
      </c>
      <c r="H668" s="1">
        <v>1161.56</v>
      </c>
      <c r="I668" t="s">
        <v>1295</v>
      </c>
      <c r="J668" s="2">
        <v>1</v>
      </c>
      <c r="K668" t="s">
        <v>13</v>
      </c>
      <c r="L668" t="s">
        <v>671</v>
      </c>
      <c r="M668" t="s">
        <v>15</v>
      </c>
    </row>
    <row r="669" spans="1:13" x14ac:dyDescent="0.25">
      <c r="A669" s="5">
        <v>43654</v>
      </c>
      <c r="B669" s="2">
        <v>0</v>
      </c>
      <c r="C669" t="s">
        <v>1296</v>
      </c>
      <c r="D669" t="s">
        <v>891</v>
      </c>
      <c r="E669" t="s">
        <v>892</v>
      </c>
      <c r="F669" s="3">
        <v>43593</v>
      </c>
      <c r="G669" s="2">
        <v>61</v>
      </c>
      <c r="H669" s="1">
        <v>48.56</v>
      </c>
      <c r="I669" t="s">
        <v>1297</v>
      </c>
      <c r="J669" s="2">
        <v>1</v>
      </c>
      <c r="K669" t="s">
        <v>13</v>
      </c>
      <c r="L669" t="s">
        <v>671</v>
      </c>
      <c r="M669" t="s">
        <v>15</v>
      </c>
    </row>
    <row r="670" spans="1:13" x14ac:dyDescent="0.25">
      <c r="A670" s="5">
        <v>43654</v>
      </c>
      <c r="B670" s="2">
        <v>0</v>
      </c>
      <c r="C670" t="s">
        <v>1298</v>
      </c>
      <c r="D670" t="s">
        <v>891</v>
      </c>
      <c r="E670" t="s">
        <v>892</v>
      </c>
      <c r="F670" s="3">
        <v>43593</v>
      </c>
      <c r="G670" s="2">
        <v>61</v>
      </c>
      <c r="H670" s="1">
        <v>43.49</v>
      </c>
      <c r="I670" t="s">
        <v>1299</v>
      </c>
      <c r="J670" s="2">
        <v>1</v>
      </c>
      <c r="K670" t="s">
        <v>13</v>
      </c>
      <c r="L670" t="s">
        <v>671</v>
      </c>
      <c r="M670" t="s">
        <v>15</v>
      </c>
    </row>
    <row r="671" spans="1:13" x14ac:dyDescent="0.25">
      <c r="A671" s="5">
        <v>43654</v>
      </c>
      <c r="B671" s="2">
        <v>0</v>
      </c>
      <c r="C671" t="s">
        <v>1300</v>
      </c>
      <c r="D671" t="s">
        <v>891</v>
      </c>
      <c r="E671" t="s">
        <v>892</v>
      </c>
      <c r="F671" s="3">
        <v>43593</v>
      </c>
      <c r="G671" s="2">
        <v>61</v>
      </c>
      <c r="H671" s="1">
        <v>47.92</v>
      </c>
      <c r="I671" t="s">
        <v>1301</v>
      </c>
      <c r="J671" s="2">
        <v>1</v>
      </c>
      <c r="K671" t="s">
        <v>13</v>
      </c>
      <c r="L671" t="s">
        <v>671</v>
      </c>
      <c r="M671" t="s">
        <v>15</v>
      </c>
    </row>
    <row r="672" spans="1:13" x14ac:dyDescent="0.25">
      <c r="A672" s="5">
        <v>43654</v>
      </c>
      <c r="B672" s="2">
        <v>0</v>
      </c>
      <c r="C672" t="s">
        <v>1302</v>
      </c>
      <c r="D672" t="s">
        <v>891</v>
      </c>
      <c r="E672" t="s">
        <v>892</v>
      </c>
      <c r="F672" s="3">
        <v>43593</v>
      </c>
      <c r="G672" s="2">
        <v>61</v>
      </c>
      <c r="H672" s="1">
        <v>179.15</v>
      </c>
      <c r="I672" t="s">
        <v>1303</v>
      </c>
      <c r="J672" s="2">
        <v>1</v>
      </c>
      <c r="K672" t="s">
        <v>13</v>
      </c>
      <c r="L672" t="s">
        <v>671</v>
      </c>
      <c r="M672" t="s">
        <v>15</v>
      </c>
    </row>
    <row r="673" spans="1:13" x14ac:dyDescent="0.25">
      <c r="A673" s="5">
        <v>43654</v>
      </c>
      <c r="B673" s="2">
        <v>0</v>
      </c>
      <c r="C673" t="s">
        <v>1304</v>
      </c>
      <c r="D673" t="s">
        <v>891</v>
      </c>
      <c r="E673" t="s">
        <v>892</v>
      </c>
      <c r="F673" s="3">
        <v>43593</v>
      </c>
      <c r="G673" s="2">
        <v>61</v>
      </c>
      <c r="H673" s="1">
        <v>1236.18</v>
      </c>
      <c r="I673" t="s">
        <v>1305</v>
      </c>
      <c r="J673" s="2">
        <v>1</v>
      </c>
      <c r="K673" t="s">
        <v>13</v>
      </c>
      <c r="L673" t="s">
        <v>671</v>
      </c>
      <c r="M673" t="s">
        <v>15</v>
      </c>
    </row>
    <row r="674" spans="1:13" x14ac:dyDescent="0.25">
      <c r="A674" s="5">
        <v>43654</v>
      </c>
      <c r="B674" s="2">
        <v>0</v>
      </c>
      <c r="C674" t="s">
        <v>1306</v>
      </c>
      <c r="D674" t="s">
        <v>891</v>
      </c>
      <c r="E674" t="s">
        <v>892</v>
      </c>
      <c r="F674" s="3">
        <v>43593</v>
      </c>
      <c r="G674" s="2">
        <v>61</v>
      </c>
      <c r="H674" s="1">
        <v>97.47</v>
      </c>
      <c r="I674" t="s">
        <v>1307</v>
      </c>
      <c r="J674" s="2">
        <v>1</v>
      </c>
      <c r="K674" t="s">
        <v>13</v>
      </c>
      <c r="L674" t="s">
        <v>671</v>
      </c>
      <c r="M674" t="s">
        <v>15</v>
      </c>
    </row>
    <row r="675" spans="1:13" x14ac:dyDescent="0.25">
      <c r="A675" s="5">
        <v>43654</v>
      </c>
      <c r="B675" s="2">
        <v>0</v>
      </c>
      <c r="C675" t="s">
        <v>1308</v>
      </c>
      <c r="D675" t="s">
        <v>891</v>
      </c>
      <c r="E675" t="s">
        <v>892</v>
      </c>
      <c r="F675" s="3">
        <v>43593</v>
      </c>
      <c r="G675" s="2">
        <v>61</v>
      </c>
      <c r="H675" s="1">
        <v>3150.92</v>
      </c>
      <c r="I675" t="s">
        <v>1309</v>
      </c>
      <c r="J675" s="2">
        <v>1</v>
      </c>
      <c r="K675" t="s">
        <v>13</v>
      </c>
      <c r="L675" t="s">
        <v>671</v>
      </c>
      <c r="M675" t="s">
        <v>15</v>
      </c>
    </row>
    <row r="676" spans="1:13" x14ac:dyDescent="0.25">
      <c r="A676" s="5">
        <v>43661</v>
      </c>
      <c r="B676" s="2">
        <v>0</v>
      </c>
      <c r="C676" t="s">
        <v>1312</v>
      </c>
      <c r="D676" t="s">
        <v>718</v>
      </c>
      <c r="E676" t="s">
        <v>719</v>
      </c>
      <c r="F676" s="3">
        <v>43616</v>
      </c>
      <c r="G676" s="2">
        <v>45</v>
      </c>
      <c r="H676" s="1">
        <v>433.82</v>
      </c>
      <c r="I676" t="s">
        <v>1313</v>
      </c>
      <c r="J676" s="2">
        <v>1</v>
      </c>
      <c r="K676" t="s">
        <v>13</v>
      </c>
      <c r="L676" t="s">
        <v>1128</v>
      </c>
      <c r="M676" t="s">
        <v>15</v>
      </c>
    </row>
    <row r="677" spans="1:13" x14ac:dyDescent="0.25">
      <c r="A677" s="5">
        <v>43664</v>
      </c>
      <c r="B677" s="2">
        <v>0</v>
      </c>
      <c r="C677" t="s">
        <v>1315</v>
      </c>
      <c r="D677" t="s">
        <v>1257</v>
      </c>
      <c r="E677" t="s">
        <v>1258</v>
      </c>
      <c r="F677" s="3">
        <v>43594</v>
      </c>
      <c r="G677" s="2">
        <v>70</v>
      </c>
      <c r="H677" s="1">
        <v>308.62</v>
      </c>
      <c r="I677" t="s">
        <v>1274</v>
      </c>
      <c r="J677" s="2">
        <v>1</v>
      </c>
      <c r="K677" t="s">
        <v>13</v>
      </c>
      <c r="L677" t="s">
        <v>1114</v>
      </c>
      <c r="M677" t="s">
        <v>17</v>
      </c>
    </row>
    <row r="678" spans="1:13" x14ac:dyDescent="0.25">
      <c r="A678" s="5">
        <v>43675</v>
      </c>
      <c r="B678" s="2">
        <v>0</v>
      </c>
      <c r="C678" t="s">
        <v>1316</v>
      </c>
      <c r="D678" t="s">
        <v>1317</v>
      </c>
      <c r="E678" t="s">
        <v>1318</v>
      </c>
      <c r="F678" s="3">
        <v>43585</v>
      </c>
      <c r="G678" s="2">
        <v>90</v>
      </c>
      <c r="H678" s="1">
        <v>657.84</v>
      </c>
      <c r="I678" t="s">
        <v>1319</v>
      </c>
      <c r="J678" s="2">
        <v>1</v>
      </c>
      <c r="K678" t="s">
        <v>13</v>
      </c>
      <c r="L678" t="s">
        <v>21</v>
      </c>
      <c r="M678" t="s">
        <v>33</v>
      </c>
    </row>
    <row r="679" spans="1:13" x14ac:dyDescent="0.25">
      <c r="A679" s="5">
        <v>43682</v>
      </c>
      <c r="B679" s="2">
        <v>0</v>
      </c>
      <c r="C679" t="s">
        <v>1320</v>
      </c>
      <c r="D679" t="s">
        <v>718</v>
      </c>
      <c r="E679" t="s">
        <v>719</v>
      </c>
      <c r="F679" s="3">
        <v>43616</v>
      </c>
      <c r="G679" s="2">
        <v>66</v>
      </c>
      <c r="H679" s="1">
        <v>347.6</v>
      </c>
      <c r="I679" t="s">
        <v>1313</v>
      </c>
      <c r="J679" s="2">
        <v>1</v>
      </c>
      <c r="K679" t="s">
        <v>13</v>
      </c>
      <c r="L679" t="s">
        <v>1128</v>
      </c>
      <c r="M679" t="s">
        <v>15</v>
      </c>
    </row>
    <row r="680" spans="1:13" x14ac:dyDescent="0.25">
      <c r="A680" s="5">
        <v>43682</v>
      </c>
      <c r="B680" s="2">
        <v>0</v>
      </c>
      <c r="C680" t="s">
        <v>1321</v>
      </c>
      <c r="D680" t="s">
        <v>1310</v>
      </c>
      <c r="E680" t="s">
        <v>1311</v>
      </c>
      <c r="F680" s="3">
        <v>43615</v>
      </c>
      <c r="G680" s="2">
        <v>67</v>
      </c>
      <c r="H680" s="1">
        <v>434.04</v>
      </c>
      <c r="I680" t="s">
        <v>1314</v>
      </c>
      <c r="J680" s="2">
        <v>1</v>
      </c>
      <c r="K680" t="s">
        <v>13</v>
      </c>
      <c r="L680" t="s">
        <v>21</v>
      </c>
      <c r="M680" t="s">
        <v>15</v>
      </c>
    </row>
    <row r="681" spans="1:13" x14ac:dyDescent="0.25">
      <c r="A681" s="5">
        <v>43690</v>
      </c>
      <c r="B681" s="2">
        <v>0</v>
      </c>
      <c r="C681" t="s">
        <v>1323</v>
      </c>
      <c r="D681" t="s">
        <v>1310</v>
      </c>
      <c r="E681" t="s">
        <v>1311</v>
      </c>
      <c r="F681" s="3">
        <v>43615</v>
      </c>
      <c r="G681" s="2">
        <v>75</v>
      </c>
      <c r="H681" s="1">
        <v>434.04</v>
      </c>
      <c r="I681" t="s">
        <v>1314</v>
      </c>
      <c r="J681" s="2">
        <v>1</v>
      </c>
      <c r="K681" t="s">
        <v>13</v>
      </c>
      <c r="L681" t="s">
        <v>21</v>
      </c>
      <c r="M681" t="s">
        <v>15</v>
      </c>
    </row>
    <row r="682" spans="1:13" x14ac:dyDescent="0.25">
      <c r="A682" s="5">
        <v>43696</v>
      </c>
      <c r="B682" s="2">
        <v>0</v>
      </c>
      <c r="C682" t="s">
        <v>1330</v>
      </c>
      <c r="D682" t="s">
        <v>718</v>
      </c>
      <c r="E682" t="s">
        <v>719</v>
      </c>
      <c r="F682" s="3">
        <v>43630</v>
      </c>
      <c r="G682" s="2">
        <v>66</v>
      </c>
      <c r="H682" s="1">
        <v>338.52</v>
      </c>
      <c r="I682" t="s">
        <v>1331</v>
      </c>
      <c r="J682" s="2">
        <v>1</v>
      </c>
      <c r="K682" t="s">
        <v>13</v>
      </c>
      <c r="L682" t="s">
        <v>1128</v>
      </c>
      <c r="M682" t="s">
        <v>15</v>
      </c>
    </row>
    <row r="683" spans="1:13" x14ac:dyDescent="0.25">
      <c r="A683" s="5">
        <v>43697</v>
      </c>
      <c r="B683" s="2">
        <v>0</v>
      </c>
      <c r="C683" t="s">
        <v>1332</v>
      </c>
      <c r="D683" t="s">
        <v>718</v>
      </c>
      <c r="E683" t="s">
        <v>719</v>
      </c>
      <c r="F683" s="3">
        <v>43627</v>
      </c>
      <c r="G683" s="2">
        <v>70</v>
      </c>
      <c r="H683" s="1">
        <v>291.05</v>
      </c>
      <c r="I683" t="s">
        <v>1333</v>
      </c>
      <c r="J683" s="2">
        <v>1</v>
      </c>
      <c r="K683" t="s">
        <v>13</v>
      </c>
      <c r="L683" t="s">
        <v>1128</v>
      </c>
      <c r="M683" t="s">
        <v>15</v>
      </c>
    </row>
    <row r="684" spans="1:13" x14ac:dyDescent="0.25">
      <c r="A684" s="5">
        <v>43697</v>
      </c>
      <c r="B684" s="2">
        <v>0</v>
      </c>
      <c r="C684" t="s">
        <v>1334</v>
      </c>
      <c r="D684" t="s">
        <v>718</v>
      </c>
      <c r="E684" t="s">
        <v>719</v>
      </c>
      <c r="F684" s="3">
        <v>43637</v>
      </c>
      <c r="G684" s="2">
        <v>60</v>
      </c>
      <c r="H684" s="1">
        <v>542.58000000000004</v>
      </c>
      <c r="I684" t="s">
        <v>1335</v>
      </c>
      <c r="J684" s="2">
        <v>1</v>
      </c>
      <c r="K684" t="s">
        <v>13</v>
      </c>
      <c r="L684" t="s">
        <v>1128</v>
      </c>
      <c r="M684" t="s">
        <v>15</v>
      </c>
    </row>
    <row r="685" spans="1:13" x14ac:dyDescent="0.25">
      <c r="A685" s="5">
        <v>43697</v>
      </c>
      <c r="B685" s="2">
        <v>0</v>
      </c>
      <c r="C685" t="s">
        <v>1336</v>
      </c>
      <c r="D685" t="s">
        <v>718</v>
      </c>
      <c r="E685" t="s">
        <v>719</v>
      </c>
      <c r="F685" s="3">
        <v>43642</v>
      </c>
      <c r="G685" s="2">
        <v>55</v>
      </c>
      <c r="H685" s="1">
        <v>329.92</v>
      </c>
      <c r="I685" t="s">
        <v>1337</v>
      </c>
      <c r="J685" s="2">
        <v>1</v>
      </c>
      <c r="K685" t="s">
        <v>13</v>
      </c>
      <c r="L685" t="s">
        <v>1128</v>
      </c>
      <c r="M685" t="s">
        <v>15</v>
      </c>
    </row>
    <row r="686" spans="1:13" x14ac:dyDescent="0.25">
      <c r="A686" s="5">
        <v>43698</v>
      </c>
      <c r="B686" s="2">
        <v>0</v>
      </c>
      <c r="C686" t="s">
        <v>1338</v>
      </c>
      <c r="D686" t="s">
        <v>718</v>
      </c>
      <c r="E686" t="s">
        <v>719</v>
      </c>
      <c r="F686" s="3">
        <v>43623</v>
      </c>
      <c r="G686" s="2">
        <v>75</v>
      </c>
      <c r="H686" s="1">
        <v>264.31</v>
      </c>
      <c r="I686" t="s">
        <v>1339</v>
      </c>
      <c r="J686" s="2">
        <v>1</v>
      </c>
      <c r="K686" t="s">
        <v>13</v>
      </c>
      <c r="L686" t="s">
        <v>1128</v>
      </c>
      <c r="M686" t="s">
        <v>15</v>
      </c>
    </row>
    <row r="687" spans="1:13" x14ac:dyDescent="0.25">
      <c r="A687" s="5">
        <v>43700</v>
      </c>
      <c r="B687" s="2">
        <v>0</v>
      </c>
      <c r="C687" t="s">
        <v>1340</v>
      </c>
      <c r="D687" t="s">
        <v>1310</v>
      </c>
      <c r="E687" t="s">
        <v>1311</v>
      </c>
      <c r="F687" s="3">
        <v>43615</v>
      </c>
      <c r="G687" s="2">
        <v>85</v>
      </c>
      <c r="H687" s="1">
        <v>434.04</v>
      </c>
      <c r="I687" t="s">
        <v>1314</v>
      </c>
      <c r="J687" s="2">
        <v>1</v>
      </c>
      <c r="K687" t="s">
        <v>13</v>
      </c>
      <c r="L687" t="s">
        <v>21</v>
      </c>
      <c r="M687" t="s">
        <v>15</v>
      </c>
    </row>
    <row r="688" spans="1:13" x14ac:dyDescent="0.25">
      <c r="A688" s="5">
        <v>43703</v>
      </c>
      <c r="B688" s="2">
        <v>0</v>
      </c>
      <c r="C688" t="s">
        <v>1341</v>
      </c>
      <c r="D688" t="s">
        <v>718</v>
      </c>
      <c r="E688" t="s">
        <v>719</v>
      </c>
      <c r="F688" s="3">
        <v>43642</v>
      </c>
      <c r="G688" s="2">
        <v>61</v>
      </c>
      <c r="H688" s="1">
        <v>265.41000000000003</v>
      </c>
      <c r="I688" t="s">
        <v>1342</v>
      </c>
      <c r="J688" s="2">
        <v>1</v>
      </c>
      <c r="K688" t="s">
        <v>13</v>
      </c>
      <c r="L688" t="s">
        <v>1128</v>
      </c>
      <c r="M688" t="s">
        <v>15</v>
      </c>
    </row>
    <row r="689" spans="1:13" x14ac:dyDescent="0.25">
      <c r="A689" s="5">
        <v>43703</v>
      </c>
      <c r="B689" s="2">
        <v>0</v>
      </c>
      <c r="C689" t="s">
        <v>1343</v>
      </c>
      <c r="D689" t="s">
        <v>1344</v>
      </c>
      <c r="E689" t="s">
        <v>1345</v>
      </c>
      <c r="F689" s="3">
        <v>43613</v>
      </c>
      <c r="G689" s="2">
        <v>90</v>
      </c>
      <c r="H689" s="1">
        <v>364.94</v>
      </c>
      <c r="I689" t="s">
        <v>1346</v>
      </c>
      <c r="J689" s="2">
        <v>1</v>
      </c>
      <c r="K689" t="s">
        <v>13</v>
      </c>
      <c r="L689" t="s">
        <v>671</v>
      </c>
      <c r="M689" t="s">
        <v>33</v>
      </c>
    </row>
    <row r="690" spans="1:13" x14ac:dyDescent="0.25">
      <c r="A690" s="5">
        <v>43706</v>
      </c>
      <c r="B690" s="2">
        <v>0</v>
      </c>
      <c r="C690" t="s">
        <v>1347</v>
      </c>
      <c r="D690" t="s">
        <v>718</v>
      </c>
      <c r="E690" t="s">
        <v>719</v>
      </c>
      <c r="F690" s="3">
        <v>43651</v>
      </c>
      <c r="G690" s="2">
        <v>55</v>
      </c>
      <c r="H690" s="1">
        <v>447.12</v>
      </c>
      <c r="I690" t="s">
        <v>1348</v>
      </c>
      <c r="J690" s="2">
        <v>1</v>
      </c>
      <c r="K690" t="s">
        <v>13</v>
      </c>
      <c r="L690" t="s">
        <v>1128</v>
      </c>
      <c r="M690" t="s">
        <v>15</v>
      </c>
    </row>
    <row r="691" spans="1:13" x14ac:dyDescent="0.25">
      <c r="A691" s="5">
        <v>43710</v>
      </c>
      <c r="B691" s="2">
        <v>0</v>
      </c>
      <c r="C691" t="s">
        <v>1349</v>
      </c>
      <c r="D691" t="s">
        <v>1310</v>
      </c>
      <c r="E691" t="s">
        <v>1311</v>
      </c>
      <c r="F691" s="3">
        <v>43615</v>
      </c>
      <c r="G691" s="2">
        <v>95</v>
      </c>
      <c r="H691" s="1">
        <v>434.07</v>
      </c>
      <c r="I691" t="s">
        <v>1314</v>
      </c>
      <c r="J691" s="2">
        <v>1</v>
      </c>
      <c r="K691" t="s">
        <v>13</v>
      </c>
      <c r="L691" t="s">
        <v>21</v>
      </c>
      <c r="M691" t="s">
        <v>15</v>
      </c>
    </row>
    <row r="692" spans="1:13" x14ac:dyDescent="0.25">
      <c r="A692" s="5">
        <v>43711</v>
      </c>
      <c r="B692" s="2">
        <v>0</v>
      </c>
      <c r="C692" t="s">
        <v>1352</v>
      </c>
      <c r="D692" t="s">
        <v>1324</v>
      </c>
      <c r="E692" t="s">
        <v>1937</v>
      </c>
      <c r="F692" s="3">
        <v>43616</v>
      </c>
      <c r="G692" s="2">
        <v>95</v>
      </c>
      <c r="H692" s="1">
        <v>443.22</v>
      </c>
      <c r="I692" t="s">
        <v>1325</v>
      </c>
      <c r="J692" s="2">
        <v>1</v>
      </c>
      <c r="K692" t="s">
        <v>13</v>
      </c>
      <c r="L692" t="s">
        <v>21</v>
      </c>
      <c r="M692" t="s">
        <v>1326</v>
      </c>
    </row>
    <row r="693" spans="1:13" x14ac:dyDescent="0.25">
      <c r="A693" s="5">
        <v>43712</v>
      </c>
      <c r="B693" s="2">
        <v>0</v>
      </c>
      <c r="C693" t="s">
        <v>1353</v>
      </c>
      <c r="D693" t="s">
        <v>1324</v>
      </c>
      <c r="E693" t="s">
        <v>1937</v>
      </c>
      <c r="F693" s="3">
        <v>43612</v>
      </c>
      <c r="G693" s="2">
        <v>100</v>
      </c>
      <c r="H693" s="1">
        <v>1583.48</v>
      </c>
      <c r="I693" t="s">
        <v>1327</v>
      </c>
      <c r="J693" s="2">
        <v>1</v>
      </c>
      <c r="K693" t="s">
        <v>13</v>
      </c>
      <c r="L693" t="s">
        <v>21</v>
      </c>
      <c r="M693" t="s">
        <v>1326</v>
      </c>
    </row>
    <row r="694" spans="1:13" x14ac:dyDescent="0.25">
      <c r="A694" s="5">
        <v>43714</v>
      </c>
      <c r="B694" s="2">
        <v>0</v>
      </c>
      <c r="C694" t="s">
        <v>1358</v>
      </c>
      <c r="D694" t="s">
        <v>1324</v>
      </c>
      <c r="E694" t="s">
        <v>1937</v>
      </c>
      <c r="F694" s="3">
        <v>43634</v>
      </c>
      <c r="G694" s="2">
        <v>80</v>
      </c>
      <c r="H694" s="1">
        <v>682.27</v>
      </c>
      <c r="I694" t="s">
        <v>1329</v>
      </c>
      <c r="J694" s="2">
        <v>1</v>
      </c>
      <c r="K694" t="s">
        <v>13</v>
      </c>
      <c r="L694" t="s">
        <v>21</v>
      </c>
      <c r="M694" t="s">
        <v>1326</v>
      </c>
    </row>
    <row r="695" spans="1:13" x14ac:dyDescent="0.25">
      <c r="A695" s="5">
        <v>43717</v>
      </c>
      <c r="B695" s="2">
        <v>0</v>
      </c>
      <c r="C695" t="s">
        <v>1360</v>
      </c>
      <c r="D695" t="s">
        <v>1324</v>
      </c>
      <c r="E695" t="s">
        <v>1937</v>
      </c>
      <c r="F695" s="3">
        <v>43612</v>
      </c>
      <c r="G695" s="2">
        <v>105</v>
      </c>
      <c r="H695" s="1">
        <v>1583.48</v>
      </c>
      <c r="I695" t="s">
        <v>1327</v>
      </c>
      <c r="J695" s="2">
        <v>1</v>
      </c>
      <c r="K695" t="s">
        <v>13</v>
      </c>
      <c r="L695" t="s">
        <v>21</v>
      </c>
      <c r="M695" t="s">
        <v>1326</v>
      </c>
    </row>
    <row r="696" spans="1:13" x14ac:dyDescent="0.25">
      <c r="A696" s="5">
        <v>43717</v>
      </c>
      <c r="B696" s="2">
        <v>0</v>
      </c>
      <c r="C696" t="s">
        <v>1361</v>
      </c>
      <c r="D696" t="s">
        <v>1324</v>
      </c>
      <c r="E696" t="s">
        <v>1937</v>
      </c>
      <c r="F696" s="3">
        <v>43616</v>
      </c>
      <c r="G696" s="2">
        <v>101</v>
      </c>
      <c r="H696" s="1">
        <v>631.01</v>
      </c>
      <c r="I696" t="s">
        <v>1328</v>
      </c>
      <c r="J696" s="2">
        <v>1</v>
      </c>
      <c r="K696" t="s">
        <v>13</v>
      </c>
      <c r="L696" t="s">
        <v>21</v>
      </c>
      <c r="M696" t="s">
        <v>1326</v>
      </c>
    </row>
    <row r="697" spans="1:13" x14ac:dyDescent="0.25">
      <c r="A697" s="5">
        <v>43721</v>
      </c>
      <c r="B697" s="2">
        <v>0</v>
      </c>
      <c r="C697" t="s">
        <v>1364</v>
      </c>
      <c r="D697" t="s">
        <v>1324</v>
      </c>
      <c r="E697" t="s">
        <v>1937</v>
      </c>
      <c r="F697" s="3">
        <v>43616</v>
      </c>
      <c r="G697" s="2">
        <v>105</v>
      </c>
      <c r="H697" s="1">
        <v>631.01</v>
      </c>
      <c r="I697" t="s">
        <v>1328</v>
      </c>
      <c r="J697" s="2">
        <v>1</v>
      </c>
      <c r="K697" t="s">
        <v>13</v>
      </c>
      <c r="L697" t="s">
        <v>21</v>
      </c>
      <c r="M697" t="s">
        <v>1326</v>
      </c>
    </row>
    <row r="698" spans="1:13" x14ac:dyDescent="0.25">
      <c r="A698" s="5">
        <v>43721</v>
      </c>
      <c r="B698" s="2">
        <v>0</v>
      </c>
      <c r="C698" t="s">
        <v>1365</v>
      </c>
      <c r="D698" t="s">
        <v>1324</v>
      </c>
      <c r="E698" t="s">
        <v>1937</v>
      </c>
      <c r="F698" s="3">
        <v>43616</v>
      </c>
      <c r="G698" s="2">
        <v>105</v>
      </c>
      <c r="H698" s="1">
        <v>443.22</v>
      </c>
      <c r="I698" t="s">
        <v>1325</v>
      </c>
      <c r="J698" s="2">
        <v>1</v>
      </c>
      <c r="K698" t="s">
        <v>13</v>
      </c>
      <c r="L698" t="s">
        <v>21</v>
      </c>
      <c r="M698" t="s">
        <v>1326</v>
      </c>
    </row>
    <row r="699" spans="1:13" x14ac:dyDescent="0.25">
      <c r="A699" s="5">
        <v>43724</v>
      </c>
      <c r="B699" s="2">
        <v>0</v>
      </c>
      <c r="C699" t="s">
        <v>1366</v>
      </c>
      <c r="D699" t="s">
        <v>1324</v>
      </c>
      <c r="E699" t="s">
        <v>1937</v>
      </c>
      <c r="F699" s="3">
        <v>43612</v>
      </c>
      <c r="G699" s="2">
        <v>112</v>
      </c>
      <c r="H699" s="1">
        <v>1583.48</v>
      </c>
      <c r="I699" t="s">
        <v>1327</v>
      </c>
      <c r="J699" s="2">
        <v>1</v>
      </c>
      <c r="K699" t="s">
        <v>13</v>
      </c>
      <c r="L699" t="s">
        <v>21</v>
      </c>
      <c r="M699" t="s">
        <v>1326</v>
      </c>
    </row>
    <row r="700" spans="1:13" x14ac:dyDescent="0.25">
      <c r="A700" s="5">
        <v>43724</v>
      </c>
      <c r="B700" s="2">
        <v>0</v>
      </c>
      <c r="C700" t="s">
        <v>1367</v>
      </c>
      <c r="D700" t="s">
        <v>1324</v>
      </c>
      <c r="E700" t="s">
        <v>1937</v>
      </c>
      <c r="F700" s="3">
        <v>43634</v>
      </c>
      <c r="G700" s="2">
        <v>90</v>
      </c>
      <c r="H700" s="1">
        <v>682.27</v>
      </c>
      <c r="I700" t="s">
        <v>1329</v>
      </c>
      <c r="J700" s="2">
        <v>1</v>
      </c>
      <c r="K700" t="s">
        <v>13</v>
      </c>
      <c r="L700" t="s">
        <v>21</v>
      </c>
      <c r="M700" t="s">
        <v>1326</v>
      </c>
    </row>
    <row r="701" spans="1:13" x14ac:dyDescent="0.25">
      <c r="A701" s="5">
        <v>43724</v>
      </c>
      <c r="B701" s="2">
        <v>0</v>
      </c>
      <c r="C701" t="s">
        <v>1368</v>
      </c>
      <c r="D701" t="s">
        <v>1350</v>
      </c>
      <c r="E701" t="s">
        <v>1351</v>
      </c>
      <c r="F701" s="3">
        <v>43677</v>
      </c>
      <c r="G701" s="2">
        <v>47</v>
      </c>
      <c r="H701" s="1">
        <v>532.22</v>
      </c>
      <c r="I701" t="s">
        <v>1354</v>
      </c>
      <c r="J701" s="2">
        <v>1</v>
      </c>
      <c r="K701" t="s">
        <v>13</v>
      </c>
      <c r="L701" t="s">
        <v>21</v>
      </c>
      <c r="M701" t="s">
        <v>25</v>
      </c>
    </row>
    <row r="702" spans="1:13" x14ac:dyDescent="0.25">
      <c r="A702" s="5">
        <v>43731</v>
      </c>
      <c r="B702" s="2">
        <v>0</v>
      </c>
      <c r="C702" t="s">
        <v>1369</v>
      </c>
      <c r="D702" t="s">
        <v>1350</v>
      </c>
      <c r="E702" t="s">
        <v>1351</v>
      </c>
      <c r="F702" s="3">
        <v>43691</v>
      </c>
      <c r="G702" s="2">
        <v>40</v>
      </c>
      <c r="H702" s="1">
        <v>509.2</v>
      </c>
      <c r="I702" t="s">
        <v>1370</v>
      </c>
      <c r="J702" s="2">
        <v>1</v>
      </c>
      <c r="K702" t="s">
        <v>13</v>
      </c>
      <c r="L702" t="s">
        <v>21</v>
      </c>
      <c r="M702" t="s">
        <v>25</v>
      </c>
    </row>
    <row r="703" spans="1:13" x14ac:dyDescent="0.25">
      <c r="A703" s="5">
        <v>43732</v>
      </c>
      <c r="B703" s="2">
        <v>0</v>
      </c>
      <c r="C703" t="s">
        <v>1371</v>
      </c>
      <c r="D703" t="s">
        <v>1350</v>
      </c>
      <c r="E703" t="s">
        <v>1351</v>
      </c>
      <c r="F703" s="3">
        <v>43677</v>
      </c>
      <c r="G703" s="2">
        <v>55</v>
      </c>
      <c r="H703" s="1">
        <v>532.23</v>
      </c>
      <c r="I703" t="s">
        <v>1354</v>
      </c>
      <c r="J703" s="2">
        <v>1</v>
      </c>
      <c r="K703" t="s">
        <v>13</v>
      </c>
      <c r="L703" t="s">
        <v>21</v>
      </c>
      <c r="M703" t="s">
        <v>25</v>
      </c>
    </row>
    <row r="704" spans="1:13" x14ac:dyDescent="0.25">
      <c r="A704" s="5">
        <v>43734</v>
      </c>
      <c r="B704" s="2">
        <v>0</v>
      </c>
      <c r="C704" t="s">
        <v>1373</v>
      </c>
      <c r="D704" t="s">
        <v>1324</v>
      </c>
      <c r="E704" t="s">
        <v>1937</v>
      </c>
      <c r="F704" s="3">
        <v>43634</v>
      </c>
      <c r="G704" s="2">
        <v>100</v>
      </c>
      <c r="H704" s="1">
        <v>682.27</v>
      </c>
      <c r="I704" t="s">
        <v>1329</v>
      </c>
      <c r="J704" s="2">
        <v>1</v>
      </c>
      <c r="K704" t="s">
        <v>13</v>
      </c>
      <c r="L704" t="s">
        <v>21</v>
      </c>
      <c r="M704" t="s">
        <v>1326</v>
      </c>
    </row>
    <row r="705" spans="1:13" x14ac:dyDescent="0.25">
      <c r="A705" s="5">
        <v>43734</v>
      </c>
      <c r="B705" s="2">
        <v>0</v>
      </c>
      <c r="C705" t="s">
        <v>1374</v>
      </c>
      <c r="D705" t="s">
        <v>1350</v>
      </c>
      <c r="E705" t="s">
        <v>1351</v>
      </c>
      <c r="F705" s="3">
        <v>43679</v>
      </c>
      <c r="G705" s="2">
        <v>55</v>
      </c>
      <c r="H705" s="1">
        <v>550.74</v>
      </c>
      <c r="I705" t="s">
        <v>1359</v>
      </c>
      <c r="J705" s="2">
        <v>1</v>
      </c>
      <c r="K705" t="s">
        <v>13</v>
      </c>
      <c r="L705" t="s">
        <v>21</v>
      </c>
      <c r="M705" t="s">
        <v>25</v>
      </c>
    </row>
    <row r="706" spans="1:13" x14ac:dyDescent="0.25">
      <c r="A706" s="5">
        <v>43735</v>
      </c>
      <c r="B706" s="2">
        <v>0</v>
      </c>
      <c r="C706" t="s">
        <v>1375</v>
      </c>
      <c r="D706" t="s">
        <v>1376</v>
      </c>
      <c r="E706" t="s">
        <v>2096</v>
      </c>
      <c r="F706" s="3">
        <v>43675</v>
      </c>
      <c r="G706" s="2">
        <v>60</v>
      </c>
      <c r="H706" s="1">
        <v>193.29</v>
      </c>
      <c r="I706" t="s">
        <v>1377</v>
      </c>
      <c r="J706" s="2">
        <v>1</v>
      </c>
      <c r="K706" t="s">
        <v>13</v>
      </c>
      <c r="L706" t="s">
        <v>1114</v>
      </c>
      <c r="M706" t="s">
        <v>27</v>
      </c>
    </row>
    <row r="707" spans="1:13" x14ac:dyDescent="0.25">
      <c r="A707" s="5">
        <v>43739</v>
      </c>
      <c r="B707" s="2">
        <v>0</v>
      </c>
      <c r="C707" t="s">
        <v>1378</v>
      </c>
      <c r="D707" t="s">
        <v>1350</v>
      </c>
      <c r="E707" t="s">
        <v>1351</v>
      </c>
      <c r="F707" s="3">
        <v>43684</v>
      </c>
      <c r="G707" s="2">
        <v>55</v>
      </c>
      <c r="H707" s="1">
        <v>351.66</v>
      </c>
      <c r="I707" t="s">
        <v>1363</v>
      </c>
      <c r="J707" s="2">
        <v>1</v>
      </c>
      <c r="K707" t="s">
        <v>13</v>
      </c>
      <c r="L707" t="s">
        <v>21</v>
      </c>
      <c r="M707" t="s">
        <v>25</v>
      </c>
    </row>
    <row r="708" spans="1:13" x14ac:dyDescent="0.25">
      <c r="A708" s="5">
        <v>43741</v>
      </c>
      <c r="B708" s="2">
        <v>0</v>
      </c>
      <c r="C708" t="s">
        <v>1379</v>
      </c>
      <c r="D708" t="s">
        <v>1350</v>
      </c>
      <c r="E708" t="s">
        <v>1351</v>
      </c>
      <c r="F708" s="3">
        <v>43691</v>
      </c>
      <c r="G708" s="2">
        <v>50</v>
      </c>
      <c r="H708" s="1">
        <v>509.2</v>
      </c>
      <c r="I708" t="s">
        <v>1370</v>
      </c>
      <c r="J708" s="2">
        <v>1</v>
      </c>
      <c r="K708" t="s">
        <v>13</v>
      </c>
      <c r="L708" t="s">
        <v>21</v>
      </c>
      <c r="M708" t="s">
        <v>25</v>
      </c>
    </row>
    <row r="709" spans="1:13" x14ac:dyDescent="0.25">
      <c r="A709" s="5">
        <v>43741</v>
      </c>
      <c r="B709" s="2">
        <v>0</v>
      </c>
      <c r="C709" t="s">
        <v>1380</v>
      </c>
      <c r="D709" t="s">
        <v>1350</v>
      </c>
      <c r="E709" t="s">
        <v>1351</v>
      </c>
      <c r="F709" s="3">
        <v>43706</v>
      </c>
      <c r="G709" s="2">
        <v>35</v>
      </c>
      <c r="H709" s="1">
        <v>504.4</v>
      </c>
      <c r="I709" t="s">
        <v>1381</v>
      </c>
      <c r="J709" s="2">
        <v>1</v>
      </c>
      <c r="K709" t="s">
        <v>13</v>
      </c>
      <c r="L709" t="s">
        <v>21</v>
      </c>
      <c r="M709" t="s">
        <v>25</v>
      </c>
    </row>
    <row r="710" spans="1:13" x14ac:dyDescent="0.25">
      <c r="A710" s="5">
        <v>43745</v>
      </c>
      <c r="B710" s="2">
        <v>0</v>
      </c>
      <c r="C710" t="s">
        <v>1382</v>
      </c>
      <c r="D710" t="s">
        <v>718</v>
      </c>
      <c r="E710" t="s">
        <v>719</v>
      </c>
      <c r="F710" s="3">
        <v>43689</v>
      </c>
      <c r="G710" s="2">
        <v>56</v>
      </c>
      <c r="H710" s="1">
        <v>319.10000000000002</v>
      </c>
      <c r="I710" t="s">
        <v>1383</v>
      </c>
      <c r="J710" s="2">
        <v>1</v>
      </c>
      <c r="K710" t="s">
        <v>13</v>
      </c>
      <c r="L710" t="s">
        <v>1128</v>
      </c>
      <c r="M710" t="s">
        <v>15</v>
      </c>
    </row>
    <row r="711" spans="1:13" x14ac:dyDescent="0.25">
      <c r="A711" s="5">
        <v>43745</v>
      </c>
      <c r="B711" s="2">
        <v>0</v>
      </c>
      <c r="C711" t="s">
        <v>1384</v>
      </c>
      <c r="D711" t="s">
        <v>1385</v>
      </c>
      <c r="E711" t="s">
        <v>2062</v>
      </c>
      <c r="F711" s="3">
        <v>43693</v>
      </c>
      <c r="G711" s="2">
        <v>52</v>
      </c>
      <c r="H711" s="1">
        <v>355.01</v>
      </c>
      <c r="I711" t="s">
        <v>1386</v>
      </c>
      <c r="J711" s="2">
        <v>1</v>
      </c>
      <c r="K711" t="s">
        <v>13</v>
      </c>
      <c r="L711" t="s">
        <v>1114</v>
      </c>
      <c r="M711" t="s">
        <v>27</v>
      </c>
    </row>
    <row r="712" spans="1:13" x14ac:dyDescent="0.25">
      <c r="A712" s="5">
        <v>43746</v>
      </c>
      <c r="B712" s="2">
        <v>0</v>
      </c>
      <c r="C712" t="s">
        <v>1387</v>
      </c>
      <c r="D712" t="s">
        <v>718</v>
      </c>
      <c r="E712" t="s">
        <v>719</v>
      </c>
      <c r="F712" s="3">
        <v>43676</v>
      </c>
      <c r="G712" s="2">
        <v>70</v>
      </c>
      <c r="H712" s="1">
        <v>321.52</v>
      </c>
      <c r="I712" t="s">
        <v>1388</v>
      </c>
      <c r="J712" s="2">
        <v>1</v>
      </c>
      <c r="K712" t="s">
        <v>13</v>
      </c>
      <c r="L712" t="s">
        <v>1128</v>
      </c>
      <c r="M712" t="s">
        <v>15</v>
      </c>
    </row>
    <row r="713" spans="1:13" x14ac:dyDescent="0.25">
      <c r="A713" s="5">
        <v>43747</v>
      </c>
      <c r="B713" s="2">
        <v>0</v>
      </c>
      <c r="C713" t="s">
        <v>1389</v>
      </c>
      <c r="D713" t="s">
        <v>1350</v>
      </c>
      <c r="E713" t="s">
        <v>1351</v>
      </c>
      <c r="F713" s="3">
        <v>43447</v>
      </c>
      <c r="G713" s="2">
        <v>300</v>
      </c>
      <c r="H713" s="1">
        <v>2318.44</v>
      </c>
      <c r="I713" t="s">
        <v>1362</v>
      </c>
      <c r="J713" s="2">
        <v>1</v>
      </c>
      <c r="K713" t="s">
        <v>13</v>
      </c>
      <c r="L713" t="s">
        <v>21</v>
      </c>
      <c r="M713" t="s">
        <v>25</v>
      </c>
    </row>
    <row r="714" spans="1:13" x14ac:dyDescent="0.25">
      <c r="A714" s="5">
        <v>43748</v>
      </c>
      <c r="B714" s="2">
        <v>0</v>
      </c>
      <c r="C714" t="s">
        <v>1390</v>
      </c>
      <c r="D714" t="s">
        <v>718</v>
      </c>
      <c r="E714" t="s">
        <v>719</v>
      </c>
      <c r="F714" s="3">
        <v>43693</v>
      </c>
      <c r="G714" s="2">
        <v>55</v>
      </c>
      <c r="H714" s="1">
        <v>475.92</v>
      </c>
      <c r="I714" t="s">
        <v>1391</v>
      </c>
      <c r="J714" s="2">
        <v>1</v>
      </c>
      <c r="K714" t="s">
        <v>13</v>
      </c>
      <c r="L714" t="s">
        <v>1128</v>
      </c>
      <c r="M714" t="s">
        <v>15</v>
      </c>
    </row>
    <row r="715" spans="1:13" x14ac:dyDescent="0.25">
      <c r="A715" s="5">
        <v>43749</v>
      </c>
      <c r="B715" s="2">
        <v>0</v>
      </c>
      <c r="C715" t="s">
        <v>1392</v>
      </c>
      <c r="D715" t="s">
        <v>718</v>
      </c>
      <c r="E715" t="s">
        <v>719</v>
      </c>
      <c r="F715" s="3">
        <v>43679</v>
      </c>
      <c r="G715" s="2">
        <v>70</v>
      </c>
      <c r="H715" s="1">
        <v>307.49</v>
      </c>
      <c r="I715" t="s">
        <v>1393</v>
      </c>
      <c r="J715" s="2">
        <v>1</v>
      </c>
      <c r="K715" t="s">
        <v>13</v>
      </c>
      <c r="L715" t="s">
        <v>1128</v>
      </c>
      <c r="M715" t="s">
        <v>15</v>
      </c>
    </row>
    <row r="716" spans="1:13" x14ac:dyDescent="0.25">
      <c r="A716" s="5">
        <v>43752</v>
      </c>
      <c r="B716" s="2">
        <v>0</v>
      </c>
      <c r="C716" t="s">
        <v>1394</v>
      </c>
      <c r="D716" t="s">
        <v>718</v>
      </c>
      <c r="E716" t="s">
        <v>719</v>
      </c>
      <c r="F716" s="3">
        <v>43706</v>
      </c>
      <c r="G716" s="2">
        <v>46</v>
      </c>
      <c r="H716" s="1">
        <v>400.41</v>
      </c>
      <c r="I716" t="s">
        <v>1395</v>
      </c>
      <c r="J716" s="2">
        <v>1</v>
      </c>
      <c r="K716" t="s">
        <v>13</v>
      </c>
      <c r="L716" t="s">
        <v>1128</v>
      </c>
      <c r="M716" t="s">
        <v>15</v>
      </c>
    </row>
    <row r="717" spans="1:13" x14ac:dyDescent="0.25">
      <c r="A717" s="5">
        <v>43752</v>
      </c>
      <c r="B717" s="2">
        <v>0</v>
      </c>
      <c r="C717" t="s">
        <v>1396</v>
      </c>
      <c r="D717" t="s">
        <v>1310</v>
      </c>
      <c r="E717" t="s">
        <v>1311</v>
      </c>
      <c r="F717" s="3">
        <v>43691</v>
      </c>
      <c r="G717" s="2">
        <v>61</v>
      </c>
      <c r="H717" s="1">
        <v>839.72</v>
      </c>
      <c r="I717" t="s">
        <v>1397</v>
      </c>
      <c r="J717" s="2">
        <v>1</v>
      </c>
      <c r="K717" t="s">
        <v>13</v>
      </c>
      <c r="L717" t="s">
        <v>21</v>
      </c>
      <c r="M717" t="s">
        <v>15</v>
      </c>
    </row>
    <row r="718" spans="1:13" x14ac:dyDescent="0.25">
      <c r="A718" s="5">
        <v>43752</v>
      </c>
      <c r="B718" s="2">
        <v>0</v>
      </c>
      <c r="C718" t="s">
        <v>1398</v>
      </c>
      <c r="D718" t="s">
        <v>1350</v>
      </c>
      <c r="E718" t="s">
        <v>1351</v>
      </c>
      <c r="F718" s="3">
        <v>43706</v>
      </c>
      <c r="G718" s="2">
        <v>46</v>
      </c>
      <c r="H718" s="1">
        <v>504.4</v>
      </c>
      <c r="I718" t="s">
        <v>1381</v>
      </c>
      <c r="J718" s="2">
        <v>1</v>
      </c>
      <c r="K718" t="s">
        <v>13</v>
      </c>
      <c r="L718" t="s">
        <v>21</v>
      </c>
      <c r="M718" t="s">
        <v>25</v>
      </c>
    </row>
    <row r="719" spans="1:13" x14ac:dyDescent="0.25">
      <c r="A719" s="5">
        <v>43753</v>
      </c>
      <c r="B719" s="2">
        <v>0</v>
      </c>
      <c r="C719" t="s">
        <v>1399</v>
      </c>
      <c r="D719" t="s">
        <v>718</v>
      </c>
      <c r="E719" t="s">
        <v>719</v>
      </c>
      <c r="F719" s="3">
        <v>43693</v>
      </c>
      <c r="G719" s="2">
        <v>60</v>
      </c>
      <c r="H719" s="1">
        <v>188.76</v>
      </c>
      <c r="I719" t="s">
        <v>1400</v>
      </c>
      <c r="J719" s="2">
        <v>1</v>
      </c>
      <c r="K719" t="s">
        <v>13</v>
      </c>
      <c r="L719" t="s">
        <v>1128</v>
      </c>
      <c r="M719" t="s">
        <v>15</v>
      </c>
    </row>
    <row r="720" spans="1:13" x14ac:dyDescent="0.25">
      <c r="A720" s="5">
        <v>43753</v>
      </c>
      <c r="B720" s="2">
        <v>0</v>
      </c>
      <c r="C720" t="s">
        <v>1401</v>
      </c>
      <c r="D720" t="s">
        <v>1385</v>
      </c>
      <c r="E720" t="s">
        <v>2062</v>
      </c>
      <c r="F720" s="3">
        <v>43693</v>
      </c>
      <c r="G720" s="2">
        <v>60</v>
      </c>
      <c r="H720" s="1">
        <v>355.02</v>
      </c>
      <c r="I720" t="s">
        <v>1386</v>
      </c>
      <c r="J720" s="2">
        <v>1</v>
      </c>
      <c r="K720" t="s">
        <v>13</v>
      </c>
      <c r="L720" t="s">
        <v>1114</v>
      </c>
      <c r="M720" t="s">
        <v>27</v>
      </c>
    </row>
    <row r="721" spans="1:13" x14ac:dyDescent="0.25">
      <c r="A721" s="5">
        <v>43754</v>
      </c>
      <c r="B721" s="2">
        <v>0</v>
      </c>
      <c r="C721" t="s">
        <v>1402</v>
      </c>
      <c r="D721" t="s">
        <v>718</v>
      </c>
      <c r="E721" t="s">
        <v>719</v>
      </c>
      <c r="F721" s="3">
        <v>43684</v>
      </c>
      <c r="G721" s="2">
        <v>70</v>
      </c>
      <c r="H721" s="1">
        <v>257.44</v>
      </c>
      <c r="I721" t="s">
        <v>1403</v>
      </c>
      <c r="J721" s="2">
        <v>1</v>
      </c>
      <c r="K721" t="s">
        <v>13</v>
      </c>
      <c r="L721" t="s">
        <v>1128</v>
      </c>
      <c r="M721" t="s">
        <v>15</v>
      </c>
    </row>
    <row r="722" spans="1:13" x14ac:dyDescent="0.25">
      <c r="A722" s="5">
        <v>43754</v>
      </c>
      <c r="B722" s="2">
        <v>0</v>
      </c>
      <c r="C722" t="s">
        <v>1404</v>
      </c>
      <c r="D722" t="s">
        <v>718</v>
      </c>
      <c r="E722" t="s">
        <v>719</v>
      </c>
      <c r="F722" s="3">
        <v>43689</v>
      </c>
      <c r="G722" s="2">
        <v>65</v>
      </c>
      <c r="H722" s="1">
        <v>278</v>
      </c>
      <c r="I722" t="s">
        <v>1383</v>
      </c>
      <c r="J722" s="2">
        <v>1</v>
      </c>
      <c r="K722" t="s">
        <v>13</v>
      </c>
      <c r="L722" t="s">
        <v>1128</v>
      </c>
      <c r="M722" t="s">
        <v>15</v>
      </c>
    </row>
    <row r="723" spans="1:13" x14ac:dyDescent="0.25">
      <c r="A723" s="5">
        <v>43755</v>
      </c>
      <c r="B723" s="2">
        <v>0</v>
      </c>
      <c r="C723" t="s">
        <v>1405</v>
      </c>
      <c r="D723" t="s">
        <v>718</v>
      </c>
      <c r="E723" t="s">
        <v>719</v>
      </c>
      <c r="F723" s="3">
        <v>43700</v>
      </c>
      <c r="G723" s="2">
        <v>55</v>
      </c>
      <c r="H723" s="1">
        <v>431.94</v>
      </c>
      <c r="I723" t="s">
        <v>1406</v>
      </c>
      <c r="J723" s="2">
        <v>1</v>
      </c>
      <c r="K723" t="s">
        <v>13</v>
      </c>
      <c r="L723" t="s">
        <v>1128</v>
      </c>
      <c r="M723" t="s">
        <v>15</v>
      </c>
    </row>
    <row r="724" spans="1:13" x14ac:dyDescent="0.25">
      <c r="A724" s="5">
        <v>43759</v>
      </c>
      <c r="B724" s="2">
        <v>0</v>
      </c>
      <c r="C724" t="s">
        <v>1408</v>
      </c>
      <c r="D724" t="s">
        <v>718</v>
      </c>
      <c r="E724" t="s">
        <v>719</v>
      </c>
      <c r="F724" s="3">
        <v>43693</v>
      </c>
      <c r="G724" s="2">
        <v>66</v>
      </c>
      <c r="H724" s="1">
        <v>414.67</v>
      </c>
      <c r="I724" t="s">
        <v>1391</v>
      </c>
      <c r="J724" s="2">
        <v>1</v>
      </c>
      <c r="K724" t="s">
        <v>13</v>
      </c>
      <c r="L724" t="s">
        <v>1128</v>
      </c>
      <c r="M724" t="s">
        <v>15</v>
      </c>
    </row>
    <row r="725" spans="1:13" x14ac:dyDescent="0.25">
      <c r="A725" s="5">
        <v>43761</v>
      </c>
      <c r="B725" s="2">
        <v>0</v>
      </c>
      <c r="C725" t="s">
        <v>1409</v>
      </c>
      <c r="D725" t="s">
        <v>718</v>
      </c>
      <c r="E725" t="s">
        <v>719</v>
      </c>
      <c r="F725" s="3">
        <v>43706</v>
      </c>
      <c r="G725" s="2">
        <v>55</v>
      </c>
      <c r="H725" s="1">
        <v>312.08</v>
      </c>
      <c r="I725" t="s">
        <v>1395</v>
      </c>
      <c r="J725" s="2">
        <v>1</v>
      </c>
      <c r="K725" t="s">
        <v>13</v>
      </c>
      <c r="L725" t="s">
        <v>1128</v>
      </c>
      <c r="M725" t="s">
        <v>15</v>
      </c>
    </row>
    <row r="726" spans="1:13" x14ac:dyDescent="0.25">
      <c r="A726" s="5">
        <v>43761</v>
      </c>
      <c r="B726" s="2">
        <v>0</v>
      </c>
      <c r="C726" t="s">
        <v>1410</v>
      </c>
      <c r="D726" t="s">
        <v>1350</v>
      </c>
      <c r="E726" t="s">
        <v>1351</v>
      </c>
      <c r="F726" s="3">
        <v>43706</v>
      </c>
      <c r="G726" s="2">
        <v>55</v>
      </c>
      <c r="H726" s="1">
        <v>504.39</v>
      </c>
      <c r="I726" t="s">
        <v>1381</v>
      </c>
      <c r="J726" s="2">
        <v>1</v>
      </c>
      <c r="K726" t="s">
        <v>13</v>
      </c>
      <c r="L726" t="s">
        <v>21</v>
      </c>
      <c r="M726" t="s">
        <v>25</v>
      </c>
    </row>
    <row r="727" spans="1:13" x14ac:dyDescent="0.25">
      <c r="A727" s="5">
        <v>43762</v>
      </c>
      <c r="B727" s="2">
        <v>0</v>
      </c>
      <c r="C727" t="s">
        <v>1411</v>
      </c>
      <c r="D727" t="s">
        <v>718</v>
      </c>
      <c r="E727" t="s">
        <v>719</v>
      </c>
      <c r="F727" s="3">
        <v>43712</v>
      </c>
      <c r="G727" s="2">
        <v>50</v>
      </c>
      <c r="H727" s="1">
        <v>343.14</v>
      </c>
      <c r="I727" t="s">
        <v>1412</v>
      </c>
      <c r="J727" s="2">
        <v>1</v>
      </c>
      <c r="K727" t="s">
        <v>13</v>
      </c>
      <c r="L727" t="s">
        <v>1128</v>
      </c>
      <c r="M727" t="s">
        <v>15</v>
      </c>
    </row>
    <row r="728" spans="1:13" x14ac:dyDescent="0.25">
      <c r="A728" s="5">
        <v>43762</v>
      </c>
      <c r="B728" s="2">
        <v>0</v>
      </c>
      <c r="C728" t="s">
        <v>1413</v>
      </c>
      <c r="D728" t="s">
        <v>718</v>
      </c>
      <c r="E728" t="s">
        <v>719</v>
      </c>
      <c r="F728" s="3">
        <v>43717</v>
      </c>
      <c r="G728" s="2">
        <v>45</v>
      </c>
      <c r="H728" s="1">
        <v>293.5</v>
      </c>
      <c r="I728" t="s">
        <v>1414</v>
      </c>
      <c r="J728" s="2">
        <v>1</v>
      </c>
      <c r="K728" t="s">
        <v>13</v>
      </c>
      <c r="L728" t="s">
        <v>1128</v>
      </c>
      <c r="M728" t="s">
        <v>15</v>
      </c>
    </row>
    <row r="729" spans="1:13" x14ac:dyDescent="0.25">
      <c r="A729" s="5">
        <v>43763</v>
      </c>
      <c r="B729" s="2">
        <v>0</v>
      </c>
      <c r="C729" t="s">
        <v>1415</v>
      </c>
      <c r="D729" t="s">
        <v>1385</v>
      </c>
      <c r="E729" t="s">
        <v>2062</v>
      </c>
      <c r="F729" s="3">
        <v>43693</v>
      </c>
      <c r="G729" s="2">
        <v>70</v>
      </c>
      <c r="H729" s="1">
        <v>355.01</v>
      </c>
      <c r="I729" t="s">
        <v>1386</v>
      </c>
      <c r="J729" s="2">
        <v>1</v>
      </c>
      <c r="K729" t="s">
        <v>13</v>
      </c>
      <c r="L729" t="s">
        <v>1114</v>
      </c>
      <c r="M729" t="s">
        <v>27</v>
      </c>
    </row>
    <row r="730" spans="1:13" x14ac:dyDescent="0.25">
      <c r="A730" s="5">
        <v>43766</v>
      </c>
      <c r="B730" s="2">
        <v>0</v>
      </c>
      <c r="C730" t="s">
        <v>1416</v>
      </c>
      <c r="D730" t="s">
        <v>718</v>
      </c>
      <c r="E730" t="s">
        <v>719</v>
      </c>
      <c r="F730" s="3">
        <v>43700</v>
      </c>
      <c r="G730" s="2">
        <v>66</v>
      </c>
      <c r="H730" s="1">
        <v>431.94</v>
      </c>
      <c r="I730" t="s">
        <v>1406</v>
      </c>
      <c r="J730" s="2">
        <v>1</v>
      </c>
      <c r="K730" t="s">
        <v>13</v>
      </c>
      <c r="L730" t="s">
        <v>1128</v>
      </c>
      <c r="M730" t="s">
        <v>15</v>
      </c>
    </row>
    <row r="731" spans="1:13" x14ac:dyDescent="0.25">
      <c r="A731" s="5">
        <v>43766</v>
      </c>
      <c r="B731" s="2">
        <v>0</v>
      </c>
      <c r="C731" t="s">
        <v>1417</v>
      </c>
      <c r="D731" t="s">
        <v>718</v>
      </c>
      <c r="E731" t="s">
        <v>719</v>
      </c>
      <c r="F731" s="3">
        <v>43706</v>
      </c>
      <c r="G731" s="2">
        <v>60</v>
      </c>
      <c r="H731" s="1">
        <v>350.46</v>
      </c>
      <c r="I731" t="s">
        <v>1418</v>
      </c>
      <c r="J731" s="2">
        <v>1</v>
      </c>
      <c r="K731" t="s">
        <v>13</v>
      </c>
      <c r="L731" t="s">
        <v>1128</v>
      </c>
      <c r="M731" t="s">
        <v>15</v>
      </c>
    </row>
    <row r="732" spans="1:13" x14ac:dyDescent="0.25">
      <c r="A732" s="5">
        <v>43766</v>
      </c>
      <c r="B732" s="2">
        <v>0</v>
      </c>
      <c r="C732" t="s">
        <v>1419</v>
      </c>
      <c r="D732" t="s">
        <v>718</v>
      </c>
      <c r="E732" t="s">
        <v>719</v>
      </c>
      <c r="F732" s="3">
        <v>43721</v>
      </c>
      <c r="G732" s="2">
        <v>45</v>
      </c>
      <c r="H732" s="1">
        <v>403.24</v>
      </c>
      <c r="I732" t="s">
        <v>1420</v>
      </c>
      <c r="J732" s="2">
        <v>1</v>
      </c>
      <c r="K732" t="s">
        <v>13</v>
      </c>
      <c r="L732" t="s">
        <v>1128</v>
      </c>
      <c r="M732" t="s">
        <v>15</v>
      </c>
    </row>
    <row r="733" spans="1:13" x14ac:dyDescent="0.25">
      <c r="A733" s="5">
        <v>43773</v>
      </c>
      <c r="B733" s="2">
        <v>0</v>
      </c>
      <c r="C733" t="s">
        <v>1423</v>
      </c>
      <c r="D733" t="s">
        <v>718</v>
      </c>
      <c r="E733" t="s">
        <v>719</v>
      </c>
      <c r="F733" s="3">
        <v>43706</v>
      </c>
      <c r="G733" s="2">
        <v>67</v>
      </c>
      <c r="H733" s="1">
        <v>312.08</v>
      </c>
      <c r="I733" t="s">
        <v>1395</v>
      </c>
      <c r="J733" s="2">
        <v>1</v>
      </c>
      <c r="K733" t="s">
        <v>13</v>
      </c>
      <c r="L733" t="s">
        <v>1128</v>
      </c>
      <c r="M733" t="s">
        <v>15</v>
      </c>
    </row>
    <row r="734" spans="1:13" x14ac:dyDescent="0.25">
      <c r="A734" s="5">
        <v>43773</v>
      </c>
      <c r="B734" s="2">
        <v>0</v>
      </c>
      <c r="C734" t="s">
        <v>1424</v>
      </c>
      <c r="D734" t="s">
        <v>718</v>
      </c>
      <c r="E734" t="s">
        <v>719</v>
      </c>
      <c r="F734" s="3">
        <v>43712</v>
      </c>
      <c r="G734" s="2">
        <v>61</v>
      </c>
      <c r="H734" s="1">
        <v>278.57</v>
      </c>
      <c r="I734" t="s">
        <v>1412</v>
      </c>
      <c r="J734" s="2">
        <v>1</v>
      </c>
      <c r="K734" t="s">
        <v>13</v>
      </c>
      <c r="L734" t="s">
        <v>1128</v>
      </c>
      <c r="M734" t="s">
        <v>15</v>
      </c>
    </row>
    <row r="735" spans="1:13" x14ac:dyDescent="0.25">
      <c r="A735" s="5">
        <v>43773</v>
      </c>
      <c r="B735" s="2">
        <v>0</v>
      </c>
      <c r="C735" t="s">
        <v>1425</v>
      </c>
      <c r="D735" t="s">
        <v>718</v>
      </c>
      <c r="E735" t="s">
        <v>719</v>
      </c>
      <c r="F735" s="3">
        <v>43713</v>
      </c>
      <c r="G735" s="2">
        <v>60</v>
      </c>
      <c r="H735" s="1">
        <v>121.11</v>
      </c>
      <c r="I735" t="s">
        <v>1426</v>
      </c>
      <c r="J735" s="2">
        <v>1</v>
      </c>
      <c r="K735" t="s">
        <v>13</v>
      </c>
      <c r="L735" t="s">
        <v>1128</v>
      </c>
      <c r="M735" t="s">
        <v>15</v>
      </c>
    </row>
    <row r="736" spans="1:13" x14ac:dyDescent="0.25">
      <c r="A736" s="5">
        <v>43773</v>
      </c>
      <c r="B736" s="2">
        <v>0</v>
      </c>
      <c r="C736" t="s">
        <v>1427</v>
      </c>
      <c r="D736" t="s">
        <v>718</v>
      </c>
      <c r="E736" t="s">
        <v>719</v>
      </c>
      <c r="F736" s="3">
        <v>43717</v>
      </c>
      <c r="G736" s="2">
        <v>56</v>
      </c>
      <c r="H736" s="1">
        <v>225.04</v>
      </c>
      <c r="I736" t="s">
        <v>1414</v>
      </c>
      <c r="J736" s="2">
        <v>1</v>
      </c>
      <c r="K736" t="s">
        <v>13</v>
      </c>
      <c r="L736" t="s">
        <v>1128</v>
      </c>
      <c r="M736" t="s">
        <v>15</v>
      </c>
    </row>
    <row r="737" spans="1:13" x14ac:dyDescent="0.25">
      <c r="A737" s="5">
        <v>43775</v>
      </c>
      <c r="B737" s="2">
        <v>0</v>
      </c>
      <c r="C737" t="s">
        <v>1428</v>
      </c>
      <c r="D737" t="s">
        <v>718</v>
      </c>
      <c r="E737" t="s">
        <v>719</v>
      </c>
      <c r="F737" s="3">
        <v>43700</v>
      </c>
      <c r="G737" s="2">
        <v>75</v>
      </c>
      <c r="H737" s="1">
        <v>431.94</v>
      </c>
      <c r="I737" t="s">
        <v>1406</v>
      </c>
      <c r="J737" s="2">
        <v>1</v>
      </c>
      <c r="K737" t="s">
        <v>13</v>
      </c>
      <c r="L737" t="s">
        <v>1128</v>
      </c>
      <c r="M737" t="s">
        <v>15</v>
      </c>
    </row>
    <row r="738" spans="1:13" x14ac:dyDescent="0.25">
      <c r="A738" s="5">
        <v>43776</v>
      </c>
      <c r="B738" s="2">
        <v>0</v>
      </c>
      <c r="C738" t="s">
        <v>1429</v>
      </c>
      <c r="D738" t="s">
        <v>718</v>
      </c>
      <c r="E738" t="s">
        <v>719</v>
      </c>
      <c r="F738" s="3">
        <v>43721</v>
      </c>
      <c r="G738" s="2">
        <v>55</v>
      </c>
      <c r="H738" s="1">
        <v>313.60000000000002</v>
      </c>
      <c r="I738" t="s">
        <v>1420</v>
      </c>
      <c r="J738" s="2">
        <v>1</v>
      </c>
      <c r="K738" t="s">
        <v>13</v>
      </c>
      <c r="L738" t="s">
        <v>1128</v>
      </c>
      <c r="M738" t="s">
        <v>15</v>
      </c>
    </row>
    <row r="739" spans="1:13" x14ac:dyDescent="0.25">
      <c r="A739" s="5">
        <v>43777</v>
      </c>
      <c r="B739" s="2">
        <v>0</v>
      </c>
      <c r="C739" t="s">
        <v>1430</v>
      </c>
      <c r="D739" t="s">
        <v>718</v>
      </c>
      <c r="E739" t="s">
        <v>719</v>
      </c>
      <c r="F739" s="3">
        <v>43717</v>
      </c>
      <c r="G739" s="2">
        <v>60</v>
      </c>
      <c r="H739" s="1">
        <v>178.37</v>
      </c>
      <c r="I739" t="s">
        <v>1431</v>
      </c>
      <c r="J739" s="2">
        <v>1</v>
      </c>
      <c r="K739" t="s">
        <v>13</v>
      </c>
      <c r="L739" t="s">
        <v>1128</v>
      </c>
      <c r="M739" t="s">
        <v>15</v>
      </c>
    </row>
    <row r="740" spans="1:13" x14ac:dyDescent="0.25">
      <c r="A740" s="5">
        <v>43780</v>
      </c>
      <c r="B740" s="2">
        <v>0</v>
      </c>
      <c r="C740" t="s">
        <v>1432</v>
      </c>
      <c r="D740" t="s">
        <v>718</v>
      </c>
      <c r="E740" t="s">
        <v>719</v>
      </c>
      <c r="F740" s="3">
        <v>43724</v>
      </c>
      <c r="G740" s="2">
        <v>56</v>
      </c>
      <c r="H740" s="1">
        <v>438.26</v>
      </c>
      <c r="I740" t="s">
        <v>1433</v>
      </c>
      <c r="J740" s="2">
        <v>1</v>
      </c>
      <c r="K740" t="s">
        <v>13</v>
      </c>
      <c r="L740" t="s">
        <v>1128</v>
      </c>
      <c r="M740" t="s">
        <v>15</v>
      </c>
    </row>
    <row r="741" spans="1:13" x14ac:dyDescent="0.25">
      <c r="A741" s="5">
        <v>43780</v>
      </c>
      <c r="B741" s="2">
        <v>0</v>
      </c>
      <c r="C741" t="s">
        <v>1434</v>
      </c>
      <c r="D741" t="s">
        <v>718</v>
      </c>
      <c r="E741" t="s">
        <v>719</v>
      </c>
      <c r="F741" s="3">
        <v>43728</v>
      </c>
      <c r="G741" s="2">
        <v>52</v>
      </c>
      <c r="H741" s="1">
        <v>407.24</v>
      </c>
      <c r="I741" t="s">
        <v>1435</v>
      </c>
      <c r="J741" s="2">
        <v>1</v>
      </c>
      <c r="K741" t="s">
        <v>13</v>
      </c>
      <c r="L741" t="s">
        <v>1128</v>
      </c>
      <c r="M741" t="s">
        <v>15</v>
      </c>
    </row>
    <row r="742" spans="1:13" x14ac:dyDescent="0.25">
      <c r="A742" s="5">
        <v>43780</v>
      </c>
      <c r="B742" s="2">
        <v>0</v>
      </c>
      <c r="C742" t="s">
        <v>1436</v>
      </c>
      <c r="D742" t="s">
        <v>1437</v>
      </c>
      <c r="E742" t="s">
        <v>1438</v>
      </c>
      <c r="F742" s="3">
        <v>43773</v>
      </c>
      <c r="G742" s="2">
        <v>7</v>
      </c>
      <c r="H742" s="1">
        <v>431.76</v>
      </c>
      <c r="I742" t="s">
        <v>1439</v>
      </c>
      <c r="J742" s="2">
        <v>1</v>
      </c>
      <c r="K742" t="s">
        <v>13</v>
      </c>
      <c r="L742" t="s">
        <v>554</v>
      </c>
      <c r="M742" t="s">
        <v>1407</v>
      </c>
    </row>
    <row r="743" spans="1:13" x14ac:dyDescent="0.25">
      <c r="A743" s="5">
        <v>43781</v>
      </c>
      <c r="B743" s="2">
        <v>0</v>
      </c>
      <c r="C743" t="s">
        <v>1440</v>
      </c>
      <c r="D743" t="s">
        <v>718</v>
      </c>
      <c r="E743" t="s">
        <v>719</v>
      </c>
      <c r="F743" s="3">
        <v>43706</v>
      </c>
      <c r="G743" s="2">
        <v>75</v>
      </c>
      <c r="H743" s="1">
        <v>312.06</v>
      </c>
      <c r="I743" t="s">
        <v>1395</v>
      </c>
      <c r="J743" s="2">
        <v>1</v>
      </c>
      <c r="K743" t="s">
        <v>13</v>
      </c>
      <c r="L743" t="s">
        <v>1128</v>
      </c>
      <c r="M743" t="s">
        <v>15</v>
      </c>
    </row>
    <row r="744" spans="1:13" x14ac:dyDescent="0.25">
      <c r="A744" s="5">
        <v>43781</v>
      </c>
      <c r="B744" s="2">
        <v>0</v>
      </c>
      <c r="C744" t="s">
        <v>1441</v>
      </c>
      <c r="D744" t="s">
        <v>718</v>
      </c>
      <c r="E744" t="s">
        <v>719</v>
      </c>
      <c r="F744" s="3">
        <v>43721</v>
      </c>
      <c r="G744" s="2">
        <v>60</v>
      </c>
      <c r="H744" s="1">
        <v>293.92</v>
      </c>
      <c r="I744" t="s">
        <v>1442</v>
      </c>
      <c r="J744" s="2">
        <v>1</v>
      </c>
      <c r="K744" t="s">
        <v>13</v>
      </c>
      <c r="L744" t="s">
        <v>1128</v>
      </c>
      <c r="M744" t="s">
        <v>15</v>
      </c>
    </row>
    <row r="745" spans="1:13" x14ac:dyDescent="0.25">
      <c r="A745" s="5">
        <v>43782</v>
      </c>
      <c r="B745" s="2">
        <v>0</v>
      </c>
      <c r="C745" t="s">
        <v>1443</v>
      </c>
      <c r="D745" t="s">
        <v>718</v>
      </c>
      <c r="E745" t="s">
        <v>719</v>
      </c>
      <c r="F745" s="3">
        <v>43712</v>
      </c>
      <c r="G745" s="2">
        <v>70</v>
      </c>
      <c r="H745" s="1">
        <v>278.58</v>
      </c>
      <c r="I745" t="s">
        <v>1412</v>
      </c>
      <c r="J745" s="2">
        <v>1</v>
      </c>
      <c r="K745" t="s">
        <v>13</v>
      </c>
      <c r="L745" t="s">
        <v>1128</v>
      </c>
      <c r="M745" t="s">
        <v>15</v>
      </c>
    </row>
    <row r="746" spans="1:13" x14ac:dyDescent="0.25">
      <c r="A746" s="5">
        <v>43782</v>
      </c>
      <c r="B746" s="2">
        <v>0</v>
      </c>
      <c r="C746" t="s">
        <v>1444</v>
      </c>
      <c r="D746" t="s">
        <v>718</v>
      </c>
      <c r="E746" t="s">
        <v>719</v>
      </c>
      <c r="F746" s="3">
        <v>43717</v>
      </c>
      <c r="G746" s="2">
        <v>65</v>
      </c>
      <c r="H746" s="1">
        <v>225.04</v>
      </c>
      <c r="I746" t="s">
        <v>1414</v>
      </c>
      <c r="J746" s="2">
        <v>1</v>
      </c>
      <c r="K746" t="s">
        <v>13</v>
      </c>
      <c r="L746" t="s">
        <v>1128</v>
      </c>
      <c r="M746" t="s">
        <v>15</v>
      </c>
    </row>
    <row r="747" spans="1:13" x14ac:dyDescent="0.25">
      <c r="A747" s="5">
        <v>43784</v>
      </c>
      <c r="B747" s="2">
        <v>0</v>
      </c>
      <c r="C747" t="s">
        <v>1445</v>
      </c>
      <c r="D747" t="s">
        <v>718</v>
      </c>
      <c r="E747" t="s">
        <v>719</v>
      </c>
      <c r="F747" s="3">
        <v>43724</v>
      </c>
      <c r="G747" s="2">
        <v>60</v>
      </c>
      <c r="H747" s="1">
        <v>346.77</v>
      </c>
      <c r="I747" t="s">
        <v>1446</v>
      </c>
      <c r="J747" s="2">
        <v>1</v>
      </c>
      <c r="K747" t="s">
        <v>13</v>
      </c>
      <c r="L747" t="s">
        <v>1128</v>
      </c>
      <c r="M747" t="s">
        <v>15</v>
      </c>
    </row>
    <row r="748" spans="1:13" x14ac:dyDescent="0.25">
      <c r="A748" s="5">
        <v>43787</v>
      </c>
      <c r="B748" s="2">
        <v>0</v>
      </c>
      <c r="C748" t="s">
        <v>1447</v>
      </c>
      <c r="D748" t="s">
        <v>718</v>
      </c>
      <c r="E748" t="s">
        <v>719</v>
      </c>
      <c r="F748" s="3">
        <v>43721</v>
      </c>
      <c r="G748" s="2">
        <v>66</v>
      </c>
      <c r="H748" s="1">
        <v>313.60000000000002</v>
      </c>
      <c r="I748" t="s">
        <v>1420</v>
      </c>
      <c r="J748" s="2">
        <v>1</v>
      </c>
      <c r="K748" t="s">
        <v>13</v>
      </c>
      <c r="L748" t="s">
        <v>1128</v>
      </c>
      <c r="M748" t="s">
        <v>15</v>
      </c>
    </row>
    <row r="749" spans="1:13" x14ac:dyDescent="0.25">
      <c r="A749" s="5">
        <v>43787</v>
      </c>
      <c r="B749" s="2">
        <v>0</v>
      </c>
      <c r="C749" t="s">
        <v>1448</v>
      </c>
      <c r="D749" t="s">
        <v>1350</v>
      </c>
      <c r="E749" t="s">
        <v>1351</v>
      </c>
      <c r="F749" s="3">
        <v>43755</v>
      </c>
      <c r="G749" s="2">
        <v>32</v>
      </c>
      <c r="H749" s="1">
        <v>548.96</v>
      </c>
      <c r="I749" t="s">
        <v>1449</v>
      </c>
      <c r="J749" s="2">
        <v>1</v>
      </c>
      <c r="K749" t="s">
        <v>13</v>
      </c>
      <c r="L749" t="s">
        <v>21</v>
      </c>
      <c r="M749" t="s">
        <v>25</v>
      </c>
    </row>
    <row r="750" spans="1:13" x14ac:dyDescent="0.25">
      <c r="A750" s="5">
        <v>43787</v>
      </c>
      <c r="B750" s="2">
        <v>0</v>
      </c>
      <c r="C750" t="s">
        <v>1452</v>
      </c>
      <c r="D750" t="s">
        <v>1437</v>
      </c>
      <c r="E750" t="s">
        <v>1438</v>
      </c>
      <c r="F750" s="3">
        <v>43780</v>
      </c>
      <c r="G750" s="2">
        <v>7</v>
      </c>
      <c r="H750" s="1">
        <v>389.49</v>
      </c>
      <c r="I750" t="s">
        <v>1453</v>
      </c>
      <c r="J750" s="2">
        <v>1</v>
      </c>
      <c r="K750" t="s">
        <v>13</v>
      </c>
      <c r="L750" t="s">
        <v>554</v>
      </c>
      <c r="M750" t="s">
        <v>1407</v>
      </c>
    </row>
    <row r="751" spans="1:13" x14ac:dyDescent="0.25">
      <c r="A751" s="5">
        <v>43788</v>
      </c>
      <c r="B751" s="2">
        <v>0</v>
      </c>
      <c r="C751" t="s">
        <v>1454</v>
      </c>
      <c r="D751" t="s">
        <v>718</v>
      </c>
      <c r="E751" t="s">
        <v>719</v>
      </c>
      <c r="F751" s="3">
        <v>43728</v>
      </c>
      <c r="G751" s="2">
        <v>60</v>
      </c>
      <c r="H751" s="1">
        <v>205.67</v>
      </c>
      <c r="I751" t="s">
        <v>1455</v>
      </c>
      <c r="J751" s="2">
        <v>1</v>
      </c>
      <c r="K751" t="s">
        <v>13</v>
      </c>
      <c r="L751" t="s">
        <v>1128</v>
      </c>
      <c r="M751" t="s">
        <v>15</v>
      </c>
    </row>
    <row r="752" spans="1:13" x14ac:dyDescent="0.25">
      <c r="A752" s="5">
        <v>43789</v>
      </c>
      <c r="B752" s="2">
        <v>0</v>
      </c>
      <c r="C752" t="s">
        <v>1456</v>
      </c>
      <c r="D752" t="s">
        <v>718</v>
      </c>
      <c r="E752" t="s">
        <v>719</v>
      </c>
      <c r="F752" s="3">
        <v>43724</v>
      </c>
      <c r="G752" s="2">
        <v>65</v>
      </c>
      <c r="H752" s="1">
        <v>393.45</v>
      </c>
      <c r="I752" t="s">
        <v>1433</v>
      </c>
      <c r="J752" s="2">
        <v>1</v>
      </c>
      <c r="K752" t="s">
        <v>13</v>
      </c>
      <c r="L752" t="s">
        <v>1128</v>
      </c>
      <c r="M752" t="s">
        <v>15</v>
      </c>
    </row>
    <row r="753" spans="1:13" x14ac:dyDescent="0.25">
      <c r="A753" s="5">
        <v>43794</v>
      </c>
      <c r="B753" s="2">
        <v>0</v>
      </c>
      <c r="C753" t="s">
        <v>1457</v>
      </c>
      <c r="D753" t="s">
        <v>718</v>
      </c>
      <c r="E753" t="s">
        <v>719</v>
      </c>
      <c r="F753" s="3">
        <v>43717</v>
      </c>
      <c r="G753" s="2">
        <v>77</v>
      </c>
      <c r="H753" s="1">
        <v>225.05</v>
      </c>
      <c r="I753" t="s">
        <v>1414</v>
      </c>
      <c r="J753" s="2">
        <v>1</v>
      </c>
      <c r="K753" t="s">
        <v>13</v>
      </c>
      <c r="L753" t="s">
        <v>1128</v>
      </c>
      <c r="M753" t="s">
        <v>15</v>
      </c>
    </row>
    <row r="754" spans="1:13" x14ac:dyDescent="0.25">
      <c r="A754" s="5">
        <v>43794</v>
      </c>
      <c r="B754" s="2">
        <v>0</v>
      </c>
      <c r="C754" t="s">
        <v>1458</v>
      </c>
      <c r="D754" t="s">
        <v>718</v>
      </c>
      <c r="E754" t="s">
        <v>719</v>
      </c>
      <c r="F754" s="3">
        <v>43742</v>
      </c>
      <c r="G754" s="2">
        <v>52</v>
      </c>
      <c r="H754" s="1">
        <v>327.9</v>
      </c>
      <c r="I754" t="s">
        <v>1459</v>
      </c>
      <c r="J754" s="2">
        <v>1</v>
      </c>
      <c r="K754" t="s">
        <v>13</v>
      </c>
      <c r="L754" t="s">
        <v>1128</v>
      </c>
      <c r="M754" t="s">
        <v>15</v>
      </c>
    </row>
    <row r="755" spans="1:13" x14ac:dyDescent="0.25">
      <c r="A755" s="5">
        <v>43794</v>
      </c>
      <c r="B755" s="2">
        <v>0</v>
      </c>
      <c r="C755" t="s">
        <v>1460</v>
      </c>
      <c r="D755" t="s">
        <v>1350</v>
      </c>
      <c r="E755" t="s">
        <v>1351</v>
      </c>
      <c r="F755" s="3">
        <v>43739</v>
      </c>
      <c r="G755" s="2">
        <v>55</v>
      </c>
      <c r="H755" s="1">
        <v>502.55</v>
      </c>
      <c r="I755" t="s">
        <v>1461</v>
      </c>
      <c r="J755" s="2">
        <v>1</v>
      </c>
      <c r="K755" t="s">
        <v>13</v>
      </c>
      <c r="L755" t="s">
        <v>21</v>
      </c>
      <c r="M755" t="s">
        <v>25</v>
      </c>
    </row>
    <row r="756" spans="1:13" x14ac:dyDescent="0.25">
      <c r="A756" s="5">
        <v>43796</v>
      </c>
      <c r="B756" s="2">
        <v>0</v>
      </c>
      <c r="C756" t="s">
        <v>1462</v>
      </c>
      <c r="D756" t="s">
        <v>718</v>
      </c>
      <c r="E756" t="s">
        <v>719</v>
      </c>
      <c r="F756" s="3">
        <v>43721</v>
      </c>
      <c r="G756" s="2">
        <v>75</v>
      </c>
      <c r="H756" s="1">
        <v>313.58999999999997</v>
      </c>
      <c r="I756" t="s">
        <v>1420</v>
      </c>
      <c r="J756" s="2">
        <v>1</v>
      </c>
      <c r="K756" t="s">
        <v>13</v>
      </c>
      <c r="L756" t="s">
        <v>1128</v>
      </c>
      <c r="M756" t="s">
        <v>15</v>
      </c>
    </row>
    <row r="757" spans="1:13" x14ac:dyDescent="0.25">
      <c r="A757" s="5">
        <v>43797</v>
      </c>
      <c r="B757" s="2">
        <v>0</v>
      </c>
      <c r="C757" t="s">
        <v>1463</v>
      </c>
      <c r="D757" t="s">
        <v>718</v>
      </c>
      <c r="E757" t="s">
        <v>719</v>
      </c>
      <c r="F757" s="3">
        <v>43747</v>
      </c>
      <c r="G757" s="2">
        <v>50</v>
      </c>
      <c r="H757" s="1">
        <v>345.17</v>
      </c>
      <c r="I757" t="s">
        <v>1464</v>
      </c>
      <c r="J757" s="2">
        <v>1</v>
      </c>
      <c r="K757" t="s">
        <v>13</v>
      </c>
      <c r="L757" t="s">
        <v>1128</v>
      </c>
      <c r="M757" t="s">
        <v>15</v>
      </c>
    </row>
    <row r="758" spans="1:13" x14ac:dyDescent="0.25">
      <c r="A758" s="5">
        <v>43801</v>
      </c>
      <c r="B758" s="2">
        <v>0</v>
      </c>
      <c r="C758" t="s">
        <v>1465</v>
      </c>
      <c r="D758" t="s">
        <v>718</v>
      </c>
      <c r="E758" t="s">
        <v>719</v>
      </c>
      <c r="F758" s="3">
        <v>43735</v>
      </c>
      <c r="G758" s="2">
        <v>66</v>
      </c>
      <c r="H758" s="1">
        <v>295.58999999999997</v>
      </c>
      <c r="I758" t="s">
        <v>1466</v>
      </c>
      <c r="J758" s="2">
        <v>1</v>
      </c>
      <c r="K758" t="s">
        <v>13</v>
      </c>
      <c r="L758" t="s">
        <v>1128</v>
      </c>
      <c r="M758" t="s">
        <v>15</v>
      </c>
    </row>
    <row r="759" spans="1:13" x14ac:dyDescent="0.25">
      <c r="A759" s="5">
        <v>43802</v>
      </c>
      <c r="B759" s="2">
        <v>0</v>
      </c>
      <c r="C759" t="s">
        <v>1467</v>
      </c>
      <c r="D759" t="s">
        <v>718</v>
      </c>
      <c r="E759" t="s">
        <v>719</v>
      </c>
      <c r="F759" s="3">
        <v>43742</v>
      </c>
      <c r="G759" s="2">
        <v>60</v>
      </c>
      <c r="H759" s="1">
        <v>457.96</v>
      </c>
      <c r="I759" t="s">
        <v>1468</v>
      </c>
      <c r="J759" s="2">
        <v>1</v>
      </c>
      <c r="K759" t="s">
        <v>13</v>
      </c>
      <c r="L759" t="s">
        <v>1128</v>
      </c>
      <c r="M759" t="s">
        <v>15</v>
      </c>
    </row>
    <row r="760" spans="1:13" x14ac:dyDescent="0.25">
      <c r="A760" s="5">
        <v>43802</v>
      </c>
      <c r="B760" s="2">
        <v>0</v>
      </c>
      <c r="C760" t="s">
        <v>1469</v>
      </c>
      <c r="D760" t="s">
        <v>718</v>
      </c>
      <c r="E760" t="s">
        <v>719</v>
      </c>
      <c r="F760" s="3">
        <v>43742</v>
      </c>
      <c r="G760" s="2">
        <v>60</v>
      </c>
      <c r="H760" s="1">
        <v>327.9</v>
      </c>
      <c r="I760" t="s">
        <v>1459</v>
      </c>
      <c r="J760" s="2">
        <v>1</v>
      </c>
      <c r="K760" t="s">
        <v>13</v>
      </c>
      <c r="L760" t="s">
        <v>1128</v>
      </c>
      <c r="M760" t="s">
        <v>15</v>
      </c>
    </row>
    <row r="761" spans="1:13" x14ac:dyDescent="0.25">
      <c r="A761" s="5">
        <v>43810</v>
      </c>
      <c r="B761" s="2">
        <v>0</v>
      </c>
      <c r="C761" t="s">
        <v>1470</v>
      </c>
      <c r="D761" t="s">
        <v>718</v>
      </c>
      <c r="E761" t="s">
        <v>719</v>
      </c>
      <c r="F761" s="3">
        <v>43735</v>
      </c>
      <c r="G761" s="2">
        <v>75</v>
      </c>
      <c r="H761" s="1">
        <v>295.60000000000002</v>
      </c>
      <c r="I761" t="s">
        <v>1466</v>
      </c>
      <c r="J761" s="2">
        <v>1</v>
      </c>
      <c r="K761" t="s">
        <v>13</v>
      </c>
      <c r="L761" t="s">
        <v>1128</v>
      </c>
      <c r="M761" t="s">
        <v>15</v>
      </c>
    </row>
    <row r="762" spans="1:13" x14ac:dyDescent="0.25">
      <c r="A762" s="5">
        <v>43810</v>
      </c>
      <c r="B762" s="2">
        <v>0</v>
      </c>
      <c r="C762" t="s">
        <v>1471</v>
      </c>
      <c r="D762" t="s">
        <v>1472</v>
      </c>
      <c r="E762" t="s">
        <v>1473</v>
      </c>
      <c r="F762" s="3">
        <v>43760</v>
      </c>
      <c r="G762" s="2">
        <v>50</v>
      </c>
      <c r="H762" s="1">
        <v>288.63</v>
      </c>
      <c r="I762" t="s">
        <v>1474</v>
      </c>
      <c r="J762" s="2">
        <v>1</v>
      </c>
      <c r="K762" t="s">
        <v>13</v>
      </c>
      <c r="L762" t="s">
        <v>695</v>
      </c>
      <c r="M762" t="s">
        <v>15</v>
      </c>
    </row>
    <row r="763" spans="1:13" x14ac:dyDescent="0.25">
      <c r="A763" s="5">
        <v>43812</v>
      </c>
      <c r="B763" s="2">
        <v>0</v>
      </c>
      <c r="C763" t="s">
        <v>1475</v>
      </c>
      <c r="D763" t="s">
        <v>718</v>
      </c>
      <c r="E763" t="s">
        <v>719</v>
      </c>
      <c r="F763" s="3">
        <v>43767</v>
      </c>
      <c r="G763" s="2">
        <v>45</v>
      </c>
      <c r="H763" s="1">
        <v>318.7</v>
      </c>
      <c r="I763" t="s">
        <v>1476</v>
      </c>
      <c r="J763" s="2">
        <v>1</v>
      </c>
      <c r="K763" t="s">
        <v>13</v>
      </c>
      <c r="L763" t="s">
        <v>1128</v>
      </c>
      <c r="M763" t="s">
        <v>15</v>
      </c>
    </row>
    <row r="764" spans="1:13" x14ac:dyDescent="0.25">
      <c r="A764" s="5">
        <v>43815</v>
      </c>
      <c r="B764" s="2">
        <v>0</v>
      </c>
      <c r="C764" t="s">
        <v>1479</v>
      </c>
      <c r="D764" t="s">
        <v>1480</v>
      </c>
      <c r="E764" t="s">
        <v>1867</v>
      </c>
      <c r="F764" s="3">
        <v>43745</v>
      </c>
      <c r="G764" s="2">
        <v>70</v>
      </c>
      <c r="H764" s="1">
        <v>1209.8599999999999</v>
      </c>
      <c r="I764" t="s">
        <v>1481</v>
      </c>
      <c r="J764" s="2">
        <v>1</v>
      </c>
      <c r="K764" t="s">
        <v>13</v>
      </c>
      <c r="L764" t="s">
        <v>671</v>
      </c>
      <c r="M764" t="s">
        <v>90</v>
      </c>
    </row>
    <row r="765" spans="1:13" x14ac:dyDescent="0.25">
      <c r="A765" s="5">
        <v>43815</v>
      </c>
      <c r="B765" s="2">
        <v>0</v>
      </c>
      <c r="C765" t="s">
        <v>1482</v>
      </c>
      <c r="D765" t="s">
        <v>1483</v>
      </c>
      <c r="E765" t="s">
        <v>1868</v>
      </c>
      <c r="F765" s="3">
        <v>43745</v>
      </c>
      <c r="G765" s="2">
        <v>70</v>
      </c>
      <c r="H765" s="1">
        <v>701.08</v>
      </c>
      <c r="I765" t="s">
        <v>1484</v>
      </c>
      <c r="J765" s="2">
        <v>1</v>
      </c>
      <c r="K765" t="s">
        <v>13</v>
      </c>
      <c r="L765" t="s">
        <v>671</v>
      </c>
      <c r="M765" t="s">
        <v>15</v>
      </c>
    </row>
    <row r="766" spans="1:13" x14ac:dyDescent="0.25">
      <c r="A766" s="5">
        <v>43815</v>
      </c>
      <c r="B766" s="2">
        <v>0</v>
      </c>
      <c r="C766" t="s">
        <v>1485</v>
      </c>
      <c r="D766" t="s">
        <v>1350</v>
      </c>
      <c r="E766" t="s">
        <v>1351</v>
      </c>
      <c r="F766" s="3">
        <v>43755</v>
      </c>
      <c r="G766" s="2">
        <v>60</v>
      </c>
      <c r="H766" s="1">
        <v>548.96</v>
      </c>
      <c r="I766" t="s">
        <v>1449</v>
      </c>
      <c r="J766" s="2">
        <v>1</v>
      </c>
      <c r="K766" t="s">
        <v>13</v>
      </c>
      <c r="L766" t="s">
        <v>21</v>
      </c>
      <c r="M766" t="s">
        <v>25</v>
      </c>
    </row>
    <row r="767" spans="1:13" x14ac:dyDescent="0.25">
      <c r="A767" s="5">
        <v>43816</v>
      </c>
      <c r="B767" s="2">
        <v>0</v>
      </c>
      <c r="C767" t="s">
        <v>1486</v>
      </c>
      <c r="D767" t="s">
        <v>1487</v>
      </c>
      <c r="E767" t="s">
        <v>1869</v>
      </c>
      <c r="F767" s="3">
        <v>43746</v>
      </c>
      <c r="G767" s="2">
        <v>70</v>
      </c>
      <c r="H767" s="1">
        <v>321.24</v>
      </c>
      <c r="I767" t="s">
        <v>1488</v>
      </c>
      <c r="J767" s="2">
        <v>1</v>
      </c>
      <c r="K767" t="s">
        <v>13</v>
      </c>
      <c r="L767" t="s">
        <v>671</v>
      </c>
      <c r="M767" t="s">
        <v>22</v>
      </c>
    </row>
    <row r="768" spans="1:13" x14ac:dyDescent="0.25">
      <c r="A768" s="5">
        <v>43818</v>
      </c>
      <c r="B768" s="2">
        <v>0</v>
      </c>
      <c r="C768" t="s">
        <v>1489</v>
      </c>
      <c r="D768" t="s">
        <v>1490</v>
      </c>
      <c r="E768" t="s">
        <v>1491</v>
      </c>
      <c r="F768" s="3">
        <v>43748</v>
      </c>
      <c r="G768" s="2">
        <v>70</v>
      </c>
      <c r="H768" s="1">
        <v>1004.26</v>
      </c>
      <c r="I768" t="s">
        <v>1492</v>
      </c>
      <c r="J768" s="2">
        <v>1</v>
      </c>
      <c r="K768" t="s">
        <v>13</v>
      </c>
      <c r="L768" t="s">
        <v>671</v>
      </c>
      <c r="M768" t="s">
        <v>15</v>
      </c>
    </row>
    <row r="769" spans="1:13" x14ac:dyDescent="0.25">
      <c r="A769" s="5">
        <v>43819</v>
      </c>
      <c r="B769" s="2">
        <v>0</v>
      </c>
      <c r="C769" t="s">
        <v>1494</v>
      </c>
      <c r="D769" t="s">
        <v>1495</v>
      </c>
      <c r="E769" t="s">
        <v>1496</v>
      </c>
      <c r="F769" s="3">
        <v>43749</v>
      </c>
      <c r="G769" s="2">
        <v>70</v>
      </c>
      <c r="H769" s="1">
        <v>241.72</v>
      </c>
      <c r="I769" t="s">
        <v>1497</v>
      </c>
      <c r="J769" s="2">
        <v>1</v>
      </c>
      <c r="K769" t="s">
        <v>13</v>
      </c>
      <c r="L769" t="s">
        <v>1322</v>
      </c>
      <c r="M769" t="s">
        <v>32</v>
      </c>
    </row>
    <row r="770" spans="1:13" x14ac:dyDescent="0.25">
      <c r="A770" s="5">
        <v>43822</v>
      </c>
      <c r="B770" s="2">
        <v>0</v>
      </c>
      <c r="C770" t="s">
        <v>1498</v>
      </c>
      <c r="D770" t="s">
        <v>1350</v>
      </c>
      <c r="E770" t="s">
        <v>1351</v>
      </c>
      <c r="F770" s="3">
        <v>43782</v>
      </c>
      <c r="G770" s="2">
        <v>40</v>
      </c>
      <c r="H770" s="1">
        <v>351.23</v>
      </c>
      <c r="I770" t="s">
        <v>1499</v>
      </c>
      <c r="J770" s="2">
        <v>1</v>
      </c>
      <c r="K770" t="s">
        <v>13</v>
      </c>
      <c r="L770" t="s">
        <v>21</v>
      </c>
      <c r="M770" t="s">
        <v>25</v>
      </c>
    </row>
    <row r="771" spans="1:13" x14ac:dyDescent="0.25">
      <c r="A771" s="5">
        <v>43822</v>
      </c>
      <c r="B771" s="2">
        <v>0</v>
      </c>
      <c r="C771" t="s">
        <v>1500</v>
      </c>
      <c r="D771" t="s">
        <v>1472</v>
      </c>
      <c r="E771" t="s">
        <v>1473</v>
      </c>
      <c r="F771" s="3">
        <v>43762</v>
      </c>
      <c r="G771" s="2">
        <v>60</v>
      </c>
      <c r="H771" s="1">
        <v>197.74</v>
      </c>
      <c r="I771" t="s">
        <v>1501</v>
      </c>
      <c r="J771" s="2">
        <v>1</v>
      </c>
      <c r="K771" t="s">
        <v>13</v>
      </c>
      <c r="L771" t="s">
        <v>695</v>
      </c>
      <c r="M771" t="s">
        <v>15</v>
      </c>
    </row>
    <row r="772" spans="1:13" x14ac:dyDescent="0.25">
      <c r="A772" s="5">
        <v>43822</v>
      </c>
      <c r="B772" s="2">
        <v>0</v>
      </c>
      <c r="C772" t="s">
        <v>1502</v>
      </c>
      <c r="D772" t="s">
        <v>1495</v>
      </c>
      <c r="E772" t="s">
        <v>1496</v>
      </c>
      <c r="F772" s="3">
        <v>43761</v>
      </c>
      <c r="G772" s="2">
        <v>61</v>
      </c>
      <c r="H772" s="1">
        <v>173.16</v>
      </c>
      <c r="I772" t="s">
        <v>1503</v>
      </c>
      <c r="J772" s="2">
        <v>1</v>
      </c>
      <c r="K772" t="s">
        <v>13</v>
      </c>
      <c r="L772" t="s">
        <v>1322</v>
      </c>
      <c r="M772" t="s">
        <v>32</v>
      </c>
    </row>
    <row r="773" spans="1:13" x14ac:dyDescent="0.25">
      <c r="A773" s="5">
        <v>43825</v>
      </c>
      <c r="B773" s="2">
        <v>0</v>
      </c>
      <c r="C773" t="s">
        <v>1505</v>
      </c>
      <c r="D773" t="s">
        <v>1472</v>
      </c>
      <c r="E773" t="s">
        <v>1473</v>
      </c>
      <c r="F773" s="3">
        <v>43795</v>
      </c>
      <c r="G773" s="2">
        <v>30</v>
      </c>
      <c r="H773" s="1">
        <v>285.37</v>
      </c>
      <c r="I773" t="s">
        <v>1506</v>
      </c>
      <c r="J773" s="2">
        <v>1</v>
      </c>
      <c r="K773" t="s">
        <v>13</v>
      </c>
      <c r="L773" t="s">
        <v>695</v>
      </c>
      <c r="M773" t="s">
        <v>15</v>
      </c>
    </row>
    <row r="774" spans="1:13" x14ac:dyDescent="0.25">
      <c r="A774" s="5">
        <v>43830</v>
      </c>
      <c r="B774" s="2">
        <v>0</v>
      </c>
      <c r="C774" t="s">
        <v>1512</v>
      </c>
      <c r="D774" t="s">
        <v>1472</v>
      </c>
      <c r="E774" t="s">
        <v>1473</v>
      </c>
      <c r="F774" s="3">
        <v>43760</v>
      </c>
      <c r="G774" s="2">
        <v>70</v>
      </c>
      <c r="H774" s="1">
        <v>264.89999999999998</v>
      </c>
      <c r="I774" t="s">
        <v>1474</v>
      </c>
      <c r="J774" s="2">
        <v>1</v>
      </c>
      <c r="K774" t="s">
        <v>13</v>
      </c>
      <c r="L774" t="s">
        <v>695</v>
      </c>
      <c r="M774" t="s">
        <v>15</v>
      </c>
    </row>
    <row r="775" spans="1:13" x14ac:dyDescent="0.25">
      <c r="A775" s="5">
        <v>43832</v>
      </c>
      <c r="B775" s="2">
        <v>0</v>
      </c>
      <c r="C775" t="s">
        <v>1513</v>
      </c>
      <c r="D775" t="s">
        <v>1350</v>
      </c>
      <c r="E775" t="s">
        <v>1351</v>
      </c>
      <c r="F775" s="3">
        <v>43782</v>
      </c>
      <c r="G775" s="2">
        <v>50</v>
      </c>
      <c r="H775" s="1">
        <v>351.23</v>
      </c>
      <c r="I775" t="s">
        <v>1499</v>
      </c>
      <c r="J775" s="2">
        <v>1</v>
      </c>
      <c r="K775" t="s">
        <v>13</v>
      </c>
      <c r="L775" t="s">
        <v>21</v>
      </c>
      <c r="M775" t="s">
        <v>25</v>
      </c>
    </row>
    <row r="776" spans="1:13" x14ac:dyDescent="0.25">
      <c r="A776" s="5">
        <v>43843</v>
      </c>
      <c r="B776" s="2">
        <v>0</v>
      </c>
      <c r="C776" t="s">
        <v>1516</v>
      </c>
      <c r="D776" t="s">
        <v>1472</v>
      </c>
      <c r="E776" t="s">
        <v>1473</v>
      </c>
      <c r="F776" s="3">
        <v>43781</v>
      </c>
      <c r="G776" s="2">
        <v>62</v>
      </c>
      <c r="H776" s="1">
        <v>375.97</v>
      </c>
      <c r="I776" t="s">
        <v>1517</v>
      </c>
      <c r="J776" s="2">
        <v>1</v>
      </c>
      <c r="K776" t="s">
        <v>13</v>
      </c>
      <c r="L776" t="s">
        <v>695</v>
      </c>
      <c r="M776" t="s">
        <v>15</v>
      </c>
    </row>
    <row r="777" spans="1:13" x14ac:dyDescent="0.25">
      <c r="A777" s="5">
        <v>43843</v>
      </c>
      <c r="B777" s="2">
        <v>0</v>
      </c>
      <c r="C777" t="s">
        <v>1518</v>
      </c>
      <c r="D777" t="s">
        <v>1477</v>
      </c>
      <c r="E777" t="s">
        <v>1478</v>
      </c>
      <c r="F777" s="3">
        <v>43783</v>
      </c>
      <c r="G777" s="2">
        <v>60</v>
      </c>
      <c r="H777" s="1">
        <v>325.47000000000003</v>
      </c>
      <c r="I777" t="s">
        <v>1504</v>
      </c>
      <c r="J777" s="2">
        <v>1</v>
      </c>
      <c r="K777" t="s">
        <v>13</v>
      </c>
      <c r="L777" t="s">
        <v>554</v>
      </c>
      <c r="M777" t="s">
        <v>81</v>
      </c>
    </row>
    <row r="778" spans="1:13" x14ac:dyDescent="0.25">
      <c r="A778" s="5">
        <v>43847</v>
      </c>
      <c r="B778" s="2">
        <v>0</v>
      </c>
      <c r="C778" t="s">
        <v>1519</v>
      </c>
      <c r="D778" t="s">
        <v>1477</v>
      </c>
      <c r="E778" t="s">
        <v>1478</v>
      </c>
      <c r="F778" s="3">
        <v>43767</v>
      </c>
      <c r="G778" s="2">
        <v>80</v>
      </c>
      <c r="H778" s="1">
        <v>348.44</v>
      </c>
      <c r="I778" t="s">
        <v>1510</v>
      </c>
      <c r="J778" s="2">
        <v>1</v>
      </c>
      <c r="K778" t="s">
        <v>13</v>
      </c>
      <c r="L778" t="s">
        <v>554</v>
      </c>
      <c r="M778" t="s">
        <v>81</v>
      </c>
    </row>
    <row r="779" spans="1:13" x14ac:dyDescent="0.25">
      <c r="A779" s="5">
        <v>43850</v>
      </c>
      <c r="B779" s="2">
        <v>0</v>
      </c>
      <c r="C779" t="s">
        <v>1520</v>
      </c>
      <c r="D779" t="s">
        <v>1477</v>
      </c>
      <c r="E779" t="s">
        <v>1478</v>
      </c>
      <c r="F779" s="3">
        <v>43769</v>
      </c>
      <c r="G779" s="2">
        <v>81</v>
      </c>
      <c r="H779" s="1">
        <v>344.45</v>
      </c>
      <c r="I779" t="s">
        <v>1511</v>
      </c>
      <c r="J779" s="2">
        <v>1</v>
      </c>
      <c r="K779" t="s">
        <v>13</v>
      </c>
      <c r="L779" t="s">
        <v>554</v>
      </c>
      <c r="M779" t="s">
        <v>81</v>
      </c>
    </row>
    <row r="780" spans="1:13" x14ac:dyDescent="0.25">
      <c r="A780" s="5">
        <v>43851</v>
      </c>
      <c r="B780" s="2">
        <v>0</v>
      </c>
      <c r="C780" t="s">
        <v>1531</v>
      </c>
      <c r="D780" t="s">
        <v>1376</v>
      </c>
      <c r="E780" t="s">
        <v>2096</v>
      </c>
      <c r="F780" s="3">
        <v>43791</v>
      </c>
      <c r="G780" s="2">
        <v>60</v>
      </c>
      <c r="H780" s="1">
        <v>273.69</v>
      </c>
      <c r="I780" t="s">
        <v>1532</v>
      </c>
      <c r="J780" s="2">
        <v>1</v>
      </c>
      <c r="K780" t="s">
        <v>13</v>
      </c>
      <c r="L780" t="s">
        <v>1372</v>
      </c>
      <c r="M780" t="s">
        <v>27</v>
      </c>
    </row>
    <row r="781" spans="1:13" x14ac:dyDescent="0.25">
      <c r="A781" s="5">
        <v>43851</v>
      </c>
      <c r="B781" s="2">
        <v>0</v>
      </c>
      <c r="C781" t="s">
        <v>1521</v>
      </c>
      <c r="D781" t="s">
        <v>1522</v>
      </c>
      <c r="E781" t="s">
        <v>1523</v>
      </c>
      <c r="F781" s="3">
        <v>43791</v>
      </c>
      <c r="G781" s="2">
        <v>60</v>
      </c>
      <c r="H781" s="1">
        <v>273.69</v>
      </c>
      <c r="I781" t="s">
        <v>1524</v>
      </c>
      <c r="J781" s="2">
        <v>1</v>
      </c>
      <c r="K781" t="s">
        <v>13</v>
      </c>
      <c r="L781" t="s">
        <v>1372</v>
      </c>
      <c r="M781" t="s">
        <v>27</v>
      </c>
    </row>
    <row r="782" spans="1:13" x14ac:dyDescent="0.25">
      <c r="A782" s="5">
        <v>43851</v>
      </c>
      <c r="B782" s="2">
        <v>0</v>
      </c>
      <c r="C782" t="s">
        <v>1525</v>
      </c>
      <c r="D782" t="s">
        <v>1385</v>
      </c>
      <c r="E782" t="s">
        <v>2062</v>
      </c>
      <c r="F782" s="3">
        <v>43791</v>
      </c>
      <c r="G782" s="2">
        <v>60</v>
      </c>
      <c r="H782" s="1">
        <v>273.69</v>
      </c>
      <c r="I782" t="s">
        <v>1526</v>
      </c>
      <c r="J782" s="2">
        <v>1</v>
      </c>
      <c r="K782" t="s">
        <v>13</v>
      </c>
      <c r="L782" t="s">
        <v>1372</v>
      </c>
      <c r="M782" t="s">
        <v>27</v>
      </c>
    </row>
    <row r="783" spans="1:13" x14ac:dyDescent="0.25">
      <c r="A783" s="5">
        <v>43851</v>
      </c>
      <c r="B783" s="2">
        <v>0</v>
      </c>
      <c r="C783" t="s">
        <v>1527</v>
      </c>
      <c r="D783" t="s">
        <v>1528</v>
      </c>
      <c r="E783" t="s">
        <v>1529</v>
      </c>
      <c r="F783" s="3">
        <v>43791</v>
      </c>
      <c r="G783" s="2">
        <v>60</v>
      </c>
      <c r="H783" s="1">
        <v>273.69</v>
      </c>
      <c r="I783" t="s">
        <v>1530</v>
      </c>
      <c r="J783" s="2">
        <v>1</v>
      </c>
      <c r="K783" t="s">
        <v>13</v>
      </c>
      <c r="L783" t="s">
        <v>1372</v>
      </c>
      <c r="M783" t="s">
        <v>27</v>
      </c>
    </row>
    <row r="784" spans="1:13" x14ac:dyDescent="0.25">
      <c r="A784" s="5">
        <v>43857</v>
      </c>
      <c r="B784" s="2">
        <v>0</v>
      </c>
      <c r="C784" t="s">
        <v>1533</v>
      </c>
      <c r="D784" t="s">
        <v>1472</v>
      </c>
      <c r="E784" t="s">
        <v>1473</v>
      </c>
      <c r="F784" s="3">
        <v>43795</v>
      </c>
      <c r="G784" s="2">
        <v>62</v>
      </c>
      <c r="H784" s="1">
        <v>285.37</v>
      </c>
      <c r="I784" t="s">
        <v>1506</v>
      </c>
      <c r="J784" s="2">
        <v>1</v>
      </c>
      <c r="K784" t="s">
        <v>13</v>
      </c>
      <c r="L784" t="s">
        <v>695</v>
      </c>
      <c r="M784" t="s">
        <v>15</v>
      </c>
    </row>
    <row r="785" spans="1:13" x14ac:dyDescent="0.25">
      <c r="A785" s="5">
        <v>43857</v>
      </c>
      <c r="B785" s="2">
        <v>0</v>
      </c>
      <c r="C785" t="s">
        <v>1534</v>
      </c>
      <c r="D785" t="s">
        <v>1472</v>
      </c>
      <c r="E785" t="s">
        <v>1473</v>
      </c>
      <c r="F785" s="3">
        <v>43795</v>
      </c>
      <c r="G785" s="2">
        <v>62</v>
      </c>
      <c r="H785" s="1">
        <v>471.4</v>
      </c>
      <c r="I785" t="s">
        <v>1535</v>
      </c>
      <c r="J785" s="2">
        <v>1</v>
      </c>
      <c r="K785" t="s">
        <v>13</v>
      </c>
      <c r="L785" t="s">
        <v>695</v>
      </c>
      <c r="M785" t="s">
        <v>15</v>
      </c>
    </row>
    <row r="786" spans="1:13" x14ac:dyDescent="0.25">
      <c r="A786" s="5">
        <v>43858</v>
      </c>
      <c r="B786" s="2">
        <v>0</v>
      </c>
      <c r="C786" t="s">
        <v>1536</v>
      </c>
      <c r="D786" t="s">
        <v>1537</v>
      </c>
      <c r="E786" t="s">
        <v>1538</v>
      </c>
      <c r="F786" s="3">
        <v>43808</v>
      </c>
      <c r="G786" s="2">
        <v>50</v>
      </c>
      <c r="H786" s="1">
        <v>273.82</v>
      </c>
      <c r="I786" t="s">
        <v>1539</v>
      </c>
      <c r="J786" s="2">
        <v>1</v>
      </c>
      <c r="K786" t="s">
        <v>13</v>
      </c>
      <c r="L786" t="s">
        <v>671</v>
      </c>
      <c r="M786" t="s">
        <v>31</v>
      </c>
    </row>
    <row r="787" spans="1:13" x14ac:dyDescent="0.25">
      <c r="A787" s="5">
        <v>43864</v>
      </c>
      <c r="B787" s="2">
        <v>0</v>
      </c>
      <c r="C787" t="s">
        <v>1540</v>
      </c>
      <c r="D787" t="s">
        <v>1495</v>
      </c>
      <c r="E787" t="s">
        <v>1496</v>
      </c>
      <c r="F787" s="3">
        <v>43817</v>
      </c>
      <c r="G787" s="2">
        <v>47</v>
      </c>
      <c r="H787" s="1">
        <v>335.69</v>
      </c>
      <c r="I787" t="s">
        <v>1541</v>
      </c>
      <c r="J787" s="2">
        <v>1</v>
      </c>
      <c r="K787" t="s">
        <v>13</v>
      </c>
      <c r="L787" t="s">
        <v>1493</v>
      </c>
      <c r="M787" t="s">
        <v>32</v>
      </c>
    </row>
    <row r="788" spans="1:13" x14ac:dyDescent="0.25">
      <c r="A788" s="5">
        <v>43864</v>
      </c>
      <c r="B788" s="2">
        <v>0</v>
      </c>
      <c r="C788" t="s">
        <v>1542</v>
      </c>
      <c r="D788" t="s">
        <v>1477</v>
      </c>
      <c r="E788" t="s">
        <v>1478</v>
      </c>
      <c r="F788" s="3">
        <v>43783</v>
      </c>
      <c r="G788" s="2">
        <v>81</v>
      </c>
      <c r="H788" s="1">
        <v>325.48</v>
      </c>
      <c r="I788" t="s">
        <v>1504</v>
      </c>
      <c r="J788" s="2">
        <v>1</v>
      </c>
      <c r="K788" t="s">
        <v>13</v>
      </c>
      <c r="L788" t="s">
        <v>554</v>
      </c>
      <c r="M788" t="s">
        <v>81</v>
      </c>
    </row>
    <row r="789" spans="1:13" x14ac:dyDescent="0.25">
      <c r="A789" s="5">
        <v>43867</v>
      </c>
      <c r="B789" s="2">
        <v>0</v>
      </c>
      <c r="C789" t="s">
        <v>1544</v>
      </c>
      <c r="D789" t="s">
        <v>1514</v>
      </c>
      <c r="E789" t="s">
        <v>1515</v>
      </c>
      <c r="F789" s="3">
        <v>43817</v>
      </c>
      <c r="G789" s="2">
        <v>50</v>
      </c>
      <c r="H789" s="1">
        <v>414.4</v>
      </c>
      <c r="I789" t="s">
        <v>1545</v>
      </c>
      <c r="J789" s="2">
        <v>1</v>
      </c>
      <c r="K789" t="s">
        <v>13</v>
      </c>
      <c r="L789" t="s">
        <v>554</v>
      </c>
      <c r="M789" t="s">
        <v>81</v>
      </c>
    </row>
    <row r="790" spans="1:13" x14ac:dyDescent="0.25">
      <c r="A790" s="5">
        <v>43868</v>
      </c>
      <c r="B790" s="2">
        <v>0</v>
      </c>
      <c r="C790" t="s">
        <v>1546</v>
      </c>
      <c r="D790" t="s">
        <v>1547</v>
      </c>
      <c r="E790" t="s">
        <v>1548</v>
      </c>
      <c r="F790" s="3">
        <v>43808</v>
      </c>
      <c r="G790" s="2">
        <v>60</v>
      </c>
      <c r="H790" s="1">
        <v>708.72</v>
      </c>
      <c r="I790" t="s">
        <v>1549</v>
      </c>
      <c r="J790" s="2">
        <v>1</v>
      </c>
      <c r="K790" t="s">
        <v>13</v>
      </c>
      <c r="L790" t="s">
        <v>1493</v>
      </c>
      <c r="M790" t="s">
        <v>26</v>
      </c>
    </row>
    <row r="791" spans="1:13" x14ac:dyDescent="0.25">
      <c r="A791" s="5">
        <v>43871</v>
      </c>
      <c r="B791" s="2">
        <v>0</v>
      </c>
      <c r="C791" t="s">
        <v>1550</v>
      </c>
      <c r="D791" t="s">
        <v>1547</v>
      </c>
      <c r="E791" t="s">
        <v>1548</v>
      </c>
      <c r="F791" s="3">
        <v>43801</v>
      </c>
      <c r="G791" s="2">
        <v>70</v>
      </c>
      <c r="H791" s="1">
        <v>895.66</v>
      </c>
      <c r="I791" t="s">
        <v>1551</v>
      </c>
      <c r="J791" s="2">
        <v>1</v>
      </c>
      <c r="K791" t="s">
        <v>13</v>
      </c>
      <c r="L791" t="s">
        <v>1493</v>
      </c>
      <c r="M791" t="s">
        <v>26</v>
      </c>
    </row>
    <row r="792" spans="1:13" x14ac:dyDescent="0.25">
      <c r="A792" s="5">
        <v>43872</v>
      </c>
      <c r="B792" s="2">
        <v>0</v>
      </c>
      <c r="C792" t="s">
        <v>1552</v>
      </c>
      <c r="D792" t="s">
        <v>1495</v>
      </c>
      <c r="E792" t="s">
        <v>1496</v>
      </c>
      <c r="F792" s="3">
        <v>43817</v>
      </c>
      <c r="G792" s="2">
        <v>55</v>
      </c>
      <c r="H792" s="1">
        <v>256.51</v>
      </c>
      <c r="I792" t="s">
        <v>1541</v>
      </c>
      <c r="J792" s="2">
        <v>1</v>
      </c>
      <c r="K792" t="s">
        <v>13</v>
      </c>
      <c r="L792" t="s">
        <v>1493</v>
      </c>
      <c r="M792" t="s">
        <v>32</v>
      </c>
    </row>
    <row r="793" spans="1:13" x14ac:dyDescent="0.25">
      <c r="A793" s="5">
        <v>43878</v>
      </c>
      <c r="B793" s="2">
        <v>0</v>
      </c>
      <c r="C793" t="s">
        <v>1553</v>
      </c>
      <c r="D793" t="s">
        <v>1547</v>
      </c>
      <c r="E793" t="s">
        <v>1548</v>
      </c>
      <c r="F793" s="3">
        <v>43808</v>
      </c>
      <c r="G793" s="2">
        <v>70</v>
      </c>
      <c r="H793" s="1">
        <v>708.72</v>
      </c>
      <c r="I793" t="s">
        <v>1549</v>
      </c>
      <c r="J793" s="2">
        <v>1</v>
      </c>
      <c r="K793" t="s">
        <v>13</v>
      </c>
      <c r="L793" t="s">
        <v>1493</v>
      </c>
      <c r="M793" t="s">
        <v>26</v>
      </c>
    </row>
    <row r="794" spans="1:13" x14ac:dyDescent="0.25">
      <c r="A794" s="5">
        <v>43878</v>
      </c>
      <c r="B794" s="2">
        <v>0</v>
      </c>
      <c r="C794" t="s">
        <v>1554</v>
      </c>
      <c r="D794" t="s">
        <v>1555</v>
      </c>
      <c r="E794" t="s">
        <v>1556</v>
      </c>
      <c r="F794" s="3">
        <v>43811</v>
      </c>
      <c r="G794" s="2">
        <v>67</v>
      </c>
      <c r="H794" s="1">
        <v>318.47000000000003</v>
      </c>
      <c r="I794" t="s">
        <v>1557</v>
      </c>
      <c r="J794" s="2">
        <v>1</v>
      </c>
      <c r="K794" t="s">
        <v>13</v>
      </c>
      <c r="L794" t="s">
        <v>671</v>
      </c>
      <c r="M794" t="s">
        <v>15</v>
      </c>
    </row>
    <row r="795" spans="1:13" x14ac:dyDescent="0.25">
      <c r="A795" s="5">
        <v>43878</v>
      </c>
      <c r="B795" s="2">
        <v>0</v>
      </c>
      <c r="C795" t="s">
        <v>1558</v>
      </c>
      <c r="D795" t="s">
        <v>1507</v>
      </c>
      <c r="E795" t="s">
        <v>1508</v>
      </c>
      <c r="F795" s="3">
        <v>43794</v>
      </c>
      <c r="G795" s="2">
        <v>84</v>
      </c>
      <c r="H795" s="1">
        <v>480.37</v>
      </c>
      <c r="I795" t="s">
        <v>1509</v>
      </c>
      <c r="J795" s="2">
        <v>1</v>
      </c>
      <c r="K795" t="s">
        <v>13</v>
      </c>
      <c r="L795" t="s">
        <v>21</v>
      </c>
      <c r="M795" t="s">
        <v>50</v>
      </c>
    </row>
    <row r="796" spans="1:13" x14ac:dyDescent="0.25">
      <c r="A796" s="5">
        <v>43881</v>
      </c>
      <c r="B796" s="2">
        <v>0</v>
      </c>
      <c r="C796" t="s">
        <v>1559</v>
      </c>
      <c r="D796" t="s">
        <v>1547</v>
      </c>
      <c r="E796" t="s">
        <v>1548</v>
      </c>
      <c r="F796" s="3">
        <v>43801</v>
      </c>
      <c r="G796" s="2">
        <v>80</v>
      </c>
      <c r="H796" s="1">
        <v>895.65</v>
      </c>
      <c r="I796" t="s">
        <v>1551</v>
      </c>
      <c r="J796" s="2">
        <v>1</v>
      </c>
      <c r="K796" t="s">
        <v>13</v>
      </c>
      <c r="L796" t="s">
        <v>1493</v>
      </c>
      <c r="M796" t="s">
        <v>26</v>
      </c>
    </row>
    <row r="797" spans="1:13" x14ac:dyDescent="0.25">
      <c r="A797" s="5">
        <v>43882</v>
      </c>
      <c r="B797" s="2">
        <v>0</v>
      </c>
      <c r="C797" t="s">
        <v>1560</v>
      </c>
      <c r="D797" t="s">
        <v>1495</v>
      </c>
      <c r="E797" t="s">
        <v>1496</v>
      </c>
      <c r="F797" s="3">
        <v>43817</v>
      </c>
      <c r="G797" s="2">
        <v>65</v>
      </c>
      <c r="H797" s="1">
        <v>256.51</v>
      </c>
      <c r="I797" t="s">
        <v>1541</v>
      </c>
      <c r="J797" s="2">
        <v>1</v>
      </c>
      <c r="K797" t="s">
        <v>13</v>
      </c>
      <c r="L797" t="s">
        <v>1493</v>
      </c>
      <c r="M797" t="s">
        <v>32</v>
      </c>
    </row>
    <row r="798" spans="1:13" x14ac:dyDescent="0.25">
      <c r="A798" s="5">
        <v>43885</v>
      </c>
      <c r="B798" s="2">
        <v>0</v>
      </c>
      <c r="C798" t="s">
        <v>1561</v>
      </c>
      <c r="D798" t="s">
        <v>1472</v>
      </c>
      <c r="E798" t="s">
        <v>1473</v>
      </c>
      <c r="F798" s="3">
        <v>43795</v>
      </c>
      <c r="G798" s="2">
        <v>90</v>
      </c>
      <c r="H798" s="1">
        <v>285.37</v>
      </c>
      <c r="I798" t="s">
        <v>1506</v>
      </c>
      <c r="J798" s="2">
        <v>1</v>
      </c>
      <c r="K798" t="s">
        <v>13</v>
      </c>
      <c r="L798" t="s">
        <v>695</v>
      </c>
      <c r="M798" t="s">
        <v>15</v>
      </c>
    </row>
    <row r="799" spans="1:13" x14ac:dyDescent="0.25">
      <c r="A799" s="5">
        <v>43885</v>
      </c>
      <c r="B799" s="2">
        <v>0</v>
      </c>
      <c r="C799" t="s">
        <v>1562</v>
      </c>
      <c r="D799" t="s">
        <v>1563</v>
      </c>
      <c r="E799" t="s">
        <v>1564</v>
      </c>
      <c r="F799" s="3">
        <v>43658</v>
      </c>
      <c r="G799" s="2">
        <v>227</v>
      </c>
      <c r="H799" s="1">
        <v>657.03</v>
      </c>
      <c r="I799" t="s">
        <v>1565</v>
      </c>
      <c r="J799" s="2">
        <v>1</v>
      </c>
      <c r="K799" t="s">
        <v>13</v>
      </c>
      <c r="L799" t="s">
        <v>1128</v>
      </c>
      <c r="M799" t="s">
        <v>1566</v>
      </c>
    </row>
    <row r="800" spans="1:13" x14ac:dyDescent="0.25">
      <c r="A800" s="5">
        <v>43885</v>
      </c>
      <c r="B800" s="2">
        <v>0</v>
      </c>
      <c r="C800" t="s">
        <v>1567</v>
      </c>
      <c r="D800" t="s">
        <v>1563</v>
      </c>
      <c r="E800" t="s">
        <v>1564</v>
      </c>
      <c r="F800" s="3">
        <v>43668</v>
      </c>
      <c r="G800" s="2">
        <v>217</v>
      </c>
      <c r="H800" s="1">
        <v>522.1</v>
      </c>
      <c r="I800" t="s">
        <v>1568</v>
      </c>
      <c r="J800" s="2">
        <v>1</v>
      </c>
      <c r="K800" t="s">
        <v>13</v>
      </c>
      <c r="L800" t="s">
        <v>1128</v>
      </c>
      <c r="M800" t="s">
        <v>1566</v>
      </c>
    </row>
    <row r="801" spans="1:13" x14ac:dyDescent="0.25">
      <c r="A801" s="5">
        <v>43885</v>
      </c>
      <c r="B801" s="2">
        <v>0</v>
      </c>
      <c r="C801" t="s">
        <v>1569</v>
      </c>
      <c r="D801" t="s">
        <v>1563</v>
      </c>
      <c r="E801" t="s">
        <v>1564</v>
      </c>
      <c r="F801" s="3">
        <v>43679</v>
      </c>
      <c r="G801" s="2">
        <v>206</v>
      </c>
      <c r="H801" s="1">
        <v>1118.27</v>
      </c>
      <c r="I801" t="s">
        <v>1570</v>
      </c>
      <c r="J801" s="2">
        <v>1</v>
      </c>
      <c r="K801" t="s">
        <v>13</v>
      </c>
      <c r="L801" t="s">
        <v>1128</v>
      </c>
      <c r="M801" t="s">
        <v>1566</v>
      </c>
    </row>
    <row r="802" spans="1:13" x14ac:dyDescent="0.25">
      <c r="A802" s="5">
        <v>43886</v>
      </c>
      <c r="B802" s="2">
        <v>0</v>
      </c>
      <c r="C802" t="s">
        <v>1571</v>
      </c>
      <c r="D802" t="s">
        <v>1507</v>
      </c>
      <c r="E802" t="s">
        <v>1508</v>
      </c>
      <c r="F802" s="3">
        <v>43794</v>
      </c>
      <c r="G802" s="2">
        <v>92</v>
      </c>
      <c r="H802" s="1">
        <v>480.37</v>
      </c>
      <c r="I802" t="s">
        <v>1509</v>
      </c>
      <c r="J802" s="2">
        <v>1</v>
      </c>
      <c r="K802" t="s">
        <v>13</v>
      </c>
      <c r="L802" t="s">
        <v>21</v>
      </c>
      <c r="M802" t="s">
        <v>50</v>
      </c>
    </row>
    <row r="803" spans="1:13" x14ac:dyDescent="0.25">
      <c r="A803" s="5">
        <v>43887</v>
      </c>
      <c r="B803" s="2">
        <v>0</v>
      </c>
      <c r="C803" t="s">
        <v>1574</v>
      </c>
      <c r="D803" t="s">
        <v>1514</v>
      </c>
      <c r="E803" t="s">
        <v>1515</v>
      </c>
      <c r="F803" s="3">
        <v>43817</v>
      </c>
      <c r="G803" s="2">
        <v>70</v>
      </c>
      <c r="H803" s="1">
        <v>358.84</v>
      </c>
      <c r="I803" t="s">
        <v>1545</v>
      </c>
      <c r="J803" s="2">
        <v>1</v>
      </c>
      <c r="K803" t="s">
        <v>13</v>
      </c>
      <c r="L803" t="s">
        <v>554</v>
      </c>
      <c r="M803" t="s">
        <v>81</v>
      </c>
    </row>
    <row r="804" spans="1:13" x14ac:dyDescent="0.25">
      <c r="A804" s="5">
        <v>43887</v>
      </c>
      <c r="B804" s="2">
        <v>0</v>
      </c>
      <c r="C804" t="s">
        <v>1575</v>
      </c>
      <c r="D804" t="s">
        <v>1563</v>
      </c>
      <c r="E804" t="s">
        <v>1564</v>
      </c>
      <c r="F804" s="3">
        <v>43822</v>
      </c>
      <c r="G804" s="2">
        <v>65</v>
      </c>
      <c r="H804" s="1">
        <v>742.46</v>
      </c>
      <c r="I804" t="s">
        <v>1576</v>
      </c>
      <c r="J804" s="2">
        <v>1</v>
      </c>
      <c r="K804" t="s">
        <v>13</v>
      </c>
      <c r="L804" t="s">
        <v>1128</v>
      </c>
      <c r="M804" t="s">
        <v>1566</v>
      </c>
    </row>
    <row r="805" spans="1:13" x14ac:dyDescent="0.25">
      <c r="A805" s="5">
        <v>43888</v>
      </c>
      <c r="B805" s="2">
        <v>0</v>
      </c>
      <c r="C805" t="s">
        <v>1577</v>
      </c>
      <c r="D805" t="s">
        <v>1547</v>
      </c>
      <c r="E805" t="s">
        <v>1548</v>
      </c>
      <c r="F805" s="3">
        <v>43808</v>
      </c>
      <c r="G805" s="2">
        <v>80</v>
      </c>
      <c r="H805" s="1">
        <v>708.72</v>
      </c>
      <c r="I805" t="s">
        <v>1549</v>
      </c>
      <c r="J805" s="2">
        <v>1</v>
      </c>
      <c r="K805" t="s">
        <v>13</v>
      </c>
      <c r="L805" t="s">
        <v>1493</v>
      </c>
      <c r="M805" t="s">
        <v>26</v>
      </c>
    </row>
    <row r="806" spans="1:13" x14ac:dyDescent="0.25">
      <c r="A806" s="5">
        <v>43889</v>
      </c>
      <c r="B806" s="2">
        <v>0</v>
      </c>
      <c r="C806" t="s">
        <v>1578</v>
      </c>
      <c r="D806" t="s">
        <v>1563</v>
      </c>
      <c r="E806" t="s">
        <v>1564</v>
      </c>
      <c r="F806" s="3">
        <v>43754</v>
      </c>
      <c r="G806" s="2">
        <v>135</v>
      </c>
      <c r="H806" s="1">
        <v>2079.12</v>
      </c>
      <c r="I806" t="s">
        <v>1579</v>
      </c>
      <c r="J806" s="2">
        <v>1</v>
      </c>
      <c r="K806" t="s">
        <v>13</v>
      </c>
      <c r="L806" t="s">
        <v>1128</v>
      </c>
      <c r="M806" t="s">
        <v>1566</v>
      </c>
    </row>
    <row r="807" spans="1:13" x14ac:dyDescent="0.25">
      <c r="A807" s="5">
        <v>43892</v>
      </c>
      <c r="B807" s="2">
        <v>0</v>
      </c>
      <c r="C807" t="s">
        <v>1580</v>
      </c>
      <c r="D807" t="s">
        <v>1547</v>
      </c>
      <c r="E807" t="s">
        <v>1548</v>
      </c>
      <c r="F807" s="3">
        <v>43837</v>
      </c>
      <c r="G807" s="2">
        <v>55</v>
      </c>
      <c r="H807" s="1">
        <v>676.73</v>
      </c>
      <c r="I807" t="s">
        <v>1581</v>
      </c>
      <c r="J807" s="2">
        <v>1</v>
      </c>
      <c r="K807" t="s">
        <v>13</v>
      </c>
      <c r="L807" t="s">
        <v>1493</v>
      </c>
      <c r="M807" t="s">
        <v>26</v>
      </c>
    </row>
    <row r="808" spans="1:13" x14ac:dyDescent="0.25">
      <c r="A808" s="5">
        <v>43892</v>
      </c>
      <c r="B808" s="2">
        <v>0</v>
      </c>
      <c r="C808" t="s">
        <v>1582</v>
      </c>
      <c r="D808" t="s">
        <v>1495</v>
      </c>
      <c r="E808" t="s">
        <v>1496</v>
      </c>
      <c r="F808" s="3">
        <v>43817</v>
      </c>
      <c r="G808" s="2">
        <v>75</v>
      </c>
      <c r="H808" s="1">
        <v>256.49</v>
      </c>
      <c r="I808" t="s">
        <v>1541</v>
      </c>
      <c r="J808" s="2">
        <v>1</v>
      </c>
      <c r="K808" t="s">
        <v>13</v>
      </c>
      <c r="L808" t="s">
        <v>1493</v>
      </c>
      <c r="M808" t="s">
        <v>32</v>
      </c>
    </row>
    <row r="809" spans="1:13" x14ac:dyDescent="0.25">
      <c r="A809" s="5">
        <v>43892</v>
      </c>
      <c r="B809" s="2">
        <v>0</v>
      </c>
      <c r="C809" t="s">
        <v>1583</v>
      </c>
      <c r="D809" t="s">
        <v>1563</v>
      </c>
      <c r="E809" t="s">
        <v>1564</v>
      </c>
      <c r="F809" s="3">
        <v>43725</v>
      </c>
      <c r="G809" s="2">
        <v>167</v>
      </c>
      <c r="H809" s="1">
        <v>649.49</v>
      </c>
      <c r="I809" t="s">
        <v>1584</v>
      </c>
      <c r="J809" s="2">
        <v>1</v>
      </c>
      <c r="K809" t="s">
        <v>13</v>
      </c>
      <c r="L809" t="s">
        <v>1128</v>
      </c>
      <c r="M809" t="s">
        <v>1566</v>
      </c>
    </row>
    <row r="810" spans="1:13" x14ac:dyDescent="0.25">
      <c r="A810" s="5">
        <v>43893</v>
      </c>
      <c r="B810" s="2">
        <v>0</v>
      </c>
      <c r="C810" t="s">
        <v>1585</v>
      </c>
      <c r="D810" t="s">
        <v>1563</v>
      </c>
      <c r="E810" t="s">
        <v>1564</v>
      </c>
      <c r="F810" s="3">
        <v>43658</v>
      </c>
      <c r="G810" s="2">
        <v>235</v>
      </c>
      <c r="H810" s="1">
        <v>657.03</v>
      </c>
      <c r="I810" t="s">
        <v>1565</v>
      </c>
      <c r="J810" s="2">
        <v>1</v>
      </c>
      <c r="K810" t="s">
        <v>13</v>
      </c>
      <c r="L810" t="s">
        <v>1128</v>
      </c>
      <c r="M810" t="s">
        <v>1566</v>
      </c>
    </row>
    <row r="811" spans="1:13" x14ac:dyDescent="0.25">
      <c r="A811" s="5">
        <v>43893</v>
      </c>
      <c r="B811" s="2">
        <v>0</v>
      </c>
      <c r="C811" t="s">
        <v>1586</v>
      </c>
      <c r="D811" t="s">
        <v>1563</v>
      </c>
      <c r="E811" t="s">
        <v>1564</v>
      </c>
      <c r="F811" s="3">
        <v>43668</v>
      </c>
      <c r="G811" s="2">
        <v>225</v>
      </c>
      <c r="H811" s="1">
        <v>522.1</v>
      </c>
      <c r="I811" t="s">
        <v>1568</v>
      </c>
      <c r="J811" s="2">
        <v>1</v>
      </c>
      <c r="K811" t="s">
        <v>13</v>
      </c>
      <c r="L811" t="s">
        <v>1128</v>
      </c>
      <c r="M811" t="s">
        <v>1566</v>
      </c>
    </row>
    <row r="812" spans="1:13" x14ac:dyDescent="0.25">
      <c r="A812" s="5">
        <v>43894</v>
      </c>
      <c r="B812" s="2">
        <v>0</v>
      </c>
      <c r="C812" t="s">
        <v>1587</v>
      </c>
      <c r="D812" t="s">
        <v>1563</v>
      </c>
      <c r="E812" t="s">
        <v>1564</v>
      </c>
      <c r="F812" s="3">
        <v>43679</v>
      </c>
      <c r="G812" s="2">
        <v>215</v>
      </c>
      <c r="H812" s="1">
        <v>1118.27</v>
      </c>
      <c r="I812" t="s">
        <v>1570</v>
      </c>
      <c r="J812" s="2">
        <v>1</v>
      </c>
      <c r="K812" t="s">
        <v>13</v>
      </c>
      <c r="L812" t="s">
        <v>1128</v>
      </c>
      <c r="M812" t="s">
        <v>1566</v>
      </c>
    </row>
    <row r="813" spans="1:13" x14ac:dyDescent="0.25">
      <c r="A813" s="5">
        <v>43894</v>
      </c>
      <c r="B813" s="2">
        <v>0</v>
      </c>
      <c r="C813" t="s">
        <v>1588</v>
      </c>
      <c r="D813" t="s">
        <v>1563</v>
      </c>
      <c r="E813" t="s">
        <v>1564</v>
      </c>
      <c r="F813" s="3">
        <v>43629</v>
      </c>
      <c r="G813" s="2">
        <v>265</v>
      </c>
      <c r="H813" s="1">
        <v>852.94</v>
      </c>
      <c r="I813" t="s">
        <v>1589</v>
      </c>
      <c r="J813" s="2">
        <v>1</v>
      </c>
      <c r="K813" t="s">
        <v>13</v>
      </c>
      <c r="L813" t="s">
        <v>1128</v>
      </c>
      <c r="M813" t="s">
        <v>1566</v>
      </c>
    </row>
    <row r="814" spans="1:13" x14ac:dyDescent="0.25">
      <c r="A814" s="5">
        <v>43895</v>
      </c>
      <c r="B814" s="2">
        <v>0</v>
      </c>
      <c r="C814" t="s">
        <v>1590</v>
      </c>
      <c r="D814" t="s">
        <v>1537</v>
      </c>
      <c r="E814" t="s">
        <v>1538</v>
      </c>
      <c r="F814" s="3">
        <v>43838</v>
      </c>
      <c r="G814" s="2">
        <v>57</v>
      </c>
      <c r="H814" s="1">
        <v>424.82</v>
      </c>
      <c r="I814" t="s">
        <v>1591</v>
      </c>
      <c r="J814" s="2">
        <v>1</v>
      </c>
      <c r="K814" t="s">
        <v>13</v>
      </c>
      <c r="L814" t="s">
        <v>671</v>
      </c>
      <c r="M814" t="s">
        <v>31</v>
      </c>
    </row>
    <row r="815" spans="1:13" x14ac:dyDescent="0.25">
      <c r="A815" s="5">
        <v>43895</v>
      </c>
      <c r="B815" s="2">
        <v>0</v>
      </c>
      <c r="C815" t="s">
        <v>1592</v>
      </c>
      <c r="D815" t="s">
        <v>1563</v>
      </c>
      <c r="E815" t="s">
        <v>1564</v>
      </c>
      <c r="F815" s="3">
        <v>43645</v>
      </c>
      <c r="G815" s="2">
        <v>250</v>
      </c>
      <c r="H815" s="1">
        <v>1335.92</v>
      </c>
      <c r="I815" t="s">
        <v>1593</v>
      </c>
      <c r="J815" s="2">
        <v>1</v>
      </c>
      <c r="K815" t="s">
        <v>13</v>
      </c>
      <c r="L815" t="s">
        <v>1128</v>
      </c>
      <c r="M815" t="s">
        <v>1566</v>
      </c>
    </row>
    <row r="816" spans="1:13" x14ac:dyDescent="0.25">
      <c r="A816" s="5">
        <v>43896</v>
      </c>
      <c r="B816" s="2">
        <v>0</v>
      </c>
      <c r="C816" t="s">
        <v>1594</v>
      </c>
      <c r="D816" t="s">
        <v>1472</v>
      </c>
      <c r="E816" t="s">
        <v>1473</v>
      </c>
      <c r="F816" s="3">
        <v>43836</v>
      </c>
      <c r="G816" s="2">
        <v>60</v>
      </c>
      <c r="H816" s="1">
        <v>398.75</v>
      </c>
      <c r="I816" t="s">
        <v>1595</v>
      </c>
      <c r="J816" s="2">
        <v>1</v>
      </c>
      <c r="K816" t="s">
        <v>13</v>
      </c>
      <c r="L816" t="s">
        <v>695</v>
      </c>
      <c r="M816" t="s">
        <v>15</v>
      </c>
    </row>
    <row r="817" spans="1:13" x14ac:dyDescent="0.25">
      <c r="A817" s="5">
        <v>43896</v>
      </c>
      <c r="B817" s="2">
        <v>0</v>
      </c>
      <c r="C817" t="s">
        <v>1596</v>
      </c>
      <c r="D817" t="s">
        <v>1507</v>
      </c>
      <c r="E817" t="s">
        <v>1508</v>
      </c>
      <c r="F817" s="3">
        <v>43794</v>
      </c>
      <c r="G817" s="2">
        <v>102</v>
      </c>
      <c r="H817" s="1">
        <v>480.37</v>
      </c>
      <c r="I817" t="s">
        <v>1509</v>
      </c>
      <c r="J817" s="2">
        <v>1</v>
      </c>
      <c r="K817" t="s">
        <v>13</v>
      </c>
      <c r="L817" t="s">
        <v>21</v>
      </c>
      <c r="M817" t="s">
        <v>50</v>
      </c>
    </row>
    <row r="818" spans="1:13" x14ac:dyDescent="0.25">
      <c r="A818" s="5">
        <v>43899</v>
      </c>
      <c r="B818" s="2">
        <v>0</v>
      </c>
      <c r="C818" t="s">
        <v>1597</v>
      </c>
      <c r="D818" t="s">
        <v>1563</v>
      </c>
      <c r="E818" t="s">
        <v>1564</v>
      </c>
      <c r="F818" s="3">
        <v>43754</v>
      </c>
      <c r="G818" s="2">
        <v>145</v>
      </c>
      <c r="H818" s="1">
        <v>2079.12</v>
      </c>
      <c r="I818" t="s">
        <v>1579</v>
      </c>
      <c r="J818" s="2">
        <v>1</v>
      </c>
      <c r="K818" t="s">
        <v>13</v>
      </c>
      <c r="L818" t="s">
        <v>1128</v>
      </c>
      <c r="M818" t="s">
        <v>1566</v>
      </c>
    </row>
    <row r="819" spans="1:13" x14ac:dyDescent="0.25">
      <c r="A819" s="5">
        <v>43899</v>
      </c>
      <c r="B819" s="2">
        <v>0</v>
      </c>
      <c r="C819" t="s">
        <v>1598</v>
      </c>
      <c r="D819" t="s">
        <v>1563</v>
      </c>
      <c r="E819" t="s">
        <v>1564</v>
      </c>
      <c r="F819" s="3">
        <v>43822</v>
      </c>
      <c r="G819" s="2">
        <v>77</v>
      </c>
      <c r="H819" s="1">
        <v>742.46</v>
      </c>
      <c r="I819" t="s">
        <v>1576</v>
      </c>
      <c r="J819" s="2">
        <v>1</v>
      </c>
      <c r="K819" t="s">
        <v>13</v>
      </c>
      <c r="L819" t="s">
        <v>1128</v>
      </c>
      <c r="M819" t="s">
        <v>1566</v>
      </c>
    </row>
    <row r="820" spans="1:13" x14ac:dyDescent="0.25">
      <c r="A820" s="5">
        <v>43899</v>
      </c>
      <c r="B820" s="2">
        <v>0</v>
      </c>
      <c r="C820" t="s">
        <v>1599</v>
      </c>
      <c r="D820" t="s">
        <v>1563</v>
      </c>
      <c r="E820" t="s">
        <v>1564</v>
      </c>
      <c r="F820" s="3">
        <v>43708</v>
      </c>
      <c r="G820" s="2">
        <v>191</v>
      </c>
      <c r="H820" s="1">
        <v>1091.8399999999999</v>
      </c>
      <c r="I820" t="s">
        <v>1600</v>
      </c>
      <c r="J820" s="2">
        <v>1</v>
      </c>
      <c r="K820" t="s">
        <v>13</v>
      </c>
      <c r="L820" t="s">
        <v>1128</v>
      </c>
      <c r="M820" t="s">
        <v>1566</v>
      </c>
    </row>
    <row r="821" spans="1:13" x14ac:dyDescent="0.25">
      <c r="A821" s="5">
        <v>43900</v>
      </c>
      <c r="B821" s="2">
        <v>0</v>
      </c>
      <c r="C821" t="s">
        <v>1601</v>
      </c>
      <c r="D821" t="s">
        <v>1563</v>
      </c>
      <c r="E821" t="s">
        <v>1564</v>
      </c>
      <c r="F821" s="3">
        <v>43725</v>
      </c>
      <c r="G821" s="2">
        <v>175</v>
      </c>
      <c r="H821" s="1">
        <v>649.49</v>
      </c>
      <c r="I821" t="s">
        <v>1584</v>
      </c>
      <c r="J821" s="2">
        <v>1</v>
      </c>
      <c r="K821" t="s">
        <v>13</v>
      </c>
      <c r="L821" t="s">
        <v>1128</v>
      </c>
      <c r="M821" t="s">
        <v>1566</v>
      </c>
    </row>
    <row r="822" spans="1:13" x14ac:dyDescent="0.25">
      <c r="A822" s="5">
        <v>43901</v>
      </c>
      <c r="B822" s="2">
        <v>0</v>
      </c>
      <c r="C822" t="s">
        <v>1602</v>
      </c>
      <c r="D822" t="s">
        <v>1514</v>
      </c>
      <c r="E822" t="s">
        <v>1515</v>
      </c>
      <c r="F822" s="3">
        <v>43851</v>
      </c>
      <c r="G822" s="2">
        <v>50</v>
      </c>
      <c r="H822" s="1">
        <v>266.24</v>
      </c>
      <c r="I822" t="s">
        <v>1603</v>
      </c>
      <c r="J822" s="2">
        <v>1</v>
      </c>
      <c r="K822" t="s">
        <v>13</v>
      </c>
      <c r="L822" t="s">
        <v>554</v>
      </c>
      <c r="M822" t="s">
        <v>81</v>
      </c>
    </row>
    <row r="823" spans="1:13" x14ac:dyDescent="0.25">
      <c r="A823" s="5">
        <v>43901</v>
      </c>
      <c r="B823" s="2">
        <v>0</v>
      </c>
      <c r="C823" t="s">
        <v>1604</v>
      </c>
      <c r="D823" t="s">
        <v>1563</v>
      </c>
      <c r="E823" t="s">
        <v>1564</v>
      </c>
      <c r="F823" s="3">
        <v>43686</v>
      </c>
      <c r="G823" s="2">
        <v>215</v>
      </c>
      <c r="H823" s="1">
        <v>906.79</v>
      </c>
      <c r="I823" t="s">
        <v>1605</v>
      </c>
      <c r="J823" s="2">
        <v>1</v>
      </c>
      <c r="K823" t="s">
        <v>13</v>
      </c>
      <c r="L823" t="s">
        <v>1128</v>
      </c>
      <c r="M823" t="s">
        <v>1566</v>
      </c>
    </row>
    <row r="824" spans="1:13" x14ac:dyDescent="0.25">
      <c r="A824" s="5">
        <v>43902</v>
      </c>
      <c r="B824" s="2">
        <v>0</v>
      </c>
      <c r="C824" t="s">
        <v>1606</v>
      </c>
      <c r="D824" t="s">
        <v>1547</v>
      </c>
      <c r="E824" t="s">
        <v>1548</v>
      </c>
      <c r="F824" s="3">
        <v>43837</v>
      </c>
      <c r="G824" s="2">
        <v>65</v>
      </c>
      <c r="H824" s="1">
        <v>676.73</v>
      </c>
      <c r="I824" t="s">
        <v>1581</v>
      </c>
      <c r="J824" s="2">
        <v>1</v>
      </c>
      <c r="K824" t="s">
        <v>13</v>
      </c>
      <c r="L824" t="s">
        <v>1493</v>
      </c>
      <c r="M824" t="s">
        <v>26</v>
      </c>
    </row>
    <row r="825" spans="1:13" x14ac:dyDescent="0.25">
      <c r="A825" s="5">
        <v>43902</v>
      </c>
      <c r="B825" s="2">
        <v>0</v>
      </c>
      <c r="C825" t="s">
        <v>1607</v>
      </c>
      <c r="D825" t="s">
        <v>1563</v>
      </c>
      <c r="E825" t="s">
        <v>1564</v>
      </c>
      <c r="F825" s="3">
        <v>43677</v>
      </c>
      <c r="G825" s="2">
        <v>225</v>
      </c>
      <c r="H825" s="1">
        <v>421.85</v>
      </c>
      <c r="I825" t="s">
        <v>1608</v>
      </c>
      <c r="J825" s="2">
        <v>1</v>
      </c>
      <c r="K825" t="s">
        <v>13</v>
      </c>
      <c r="L825" t="s">
        <v>1128</v>
      </c>
      <c r="M825" t="s">
        <v>1566</v>
      </c>
    </row>
    <row r="826" spans="1:13" x14ac:dyDescent="0.25">
      <c r="A826" s="5">
        <v>43903</v>
      </c>
      <c r="B826" s="2">
        <v>0</v>
      </c>
      <c r="C826" t="s">
        <v>1609</v>
      </c>
      <c r="D826" t="s">
        <v>1563</v>
      </c>
      <c r="E826" t="s">
        <v>1564</v>
      </c>
      <c r="F826" s="3">
        <v>43668</v>
      </c>
      <c r="G826" s="2">
        <v>235</v>
      </c>
      <c r="H826" s="1">
        <v>522.1</v>
      </c>
      <c r="I826" t="s">
        <v>1568</v>
      </c>
      <c r="J826" s="2">
        <v>1</v>
      </c>
      <c r="K826" t="s">
        <v>13</v>
      </c>
      <c r="L826" t="s">
        <v>1128</v>
      </c>
      <c r="M826" t="s">
        <v>1566</v>
      </c>
    </row>
    <row r="827" spans="1:13" x14ac:dyDescent="0.25">
      <c r="A827" s="5">
        <v>43906</v>
      </c>
      <c r="B827" s="2">
        <v>0</v>
      </c>
      <c r="C827" t="s">
        <v>1610</v>
      </c>
      <c r="D827" t="s">
        <v>1507</v>
      </c>
      <c r="E827" t="s">
        <v>1508</v>
      </c>
      <c r="F827" s="3">
        <v>43794</v>
      </c>
      <c r="G827" s="2">
        <v>112</v>
      </c>
      <c r="H827" s="1">
        <v>480.37</v>
      </c>
      <c r="I827" t="s">
        <v>1509</v>
      </c>
      <c r="J827" s="2">
        <v>1</v>
      </c>
      <c r="K827" t="s">
        <v>13</v>
      </c>
      <c r="L827" t="s">
        <v>21</v>
      </c>
      <c r="M827" t="s">
        <v>50</v>
      </c>
    </row>
    <row r="828" spans="1:13" x14ac:dyDescent="0.25">
      <c r="A828" s="5">
        <v>43906</v>
      </c>
      <c r="B828" s="2">
        <v>0</v>
      </c>
      <c r="C828" t="s">
        <v>1611</v>
      </c>
      <c r="D828" t="s">
        <v>1537</v>
      </c>
      <c r="E828" t="s">
        <v>1538</v>
      </c>
      <c r="F828" s="3">
        <v>43838</v>
      </c>
      <c r="G828" s="2">
        <v>68</v>
      </c>
      <c r="H828" s="1">
        <v>424.82</v>
      </c>
      <c r="I828" t="s">
        <v>1591</v>
      </c>
      <c r="J828" s="2">
        <v>1</v>
      </c>
      <c r="K828" t="s">
        <v>13</v>
      </c>
      <c r="L828" t="s">
        <v>671</v>
      </c>
      <c r="M828" t="s">
        <v>31</v>
      </c>
    </row>
    <row r="829" spans="1:13" x14ac:dyDescent="0.25">
      <c r="A829" s="5">
        <v>43906</v>
      </c>
      <c r="B829" s="2">
        <v>0</v>
      </c>
      <c r="C829" t="s">
        <v>1612</v>
      </c>
      <c r="D829" t="s">
        <v>1563</v>
      </c>
      <c r="E829" t="s">
        <v>1564</v>
      </c>
      <c r="F829" s="3">
        <v>43679</v>
      </c>
      <c r="G829" s="2">
        <v>227</v>
      </c>
      <c r="H829" s="1">
        <v>1118.27</v>
      </c>
      <c r="I829" t="s">
        <v>1570</v>
      </c>
      <c r="J829" s="2">
        <v>1</v>
      </c>
      <c r="K829" t="s">
        <v>13</v>
      </c>
      <c r="L829" t="s">
        <v>1128</v>
      </c>
      <c r="M829" t="s">
        <v>1566</v>
      </c>
    </row>
    <row r="830" spans="1:13" x14ac:dyDescent="0.25">
      <c r="A830" s="5">
        <v>43906</v>
      </c>
      <c r="B830" s="2">
        <v>0</v>
      </c>
      <c r="C830" t="s">
        <v>1613</v>
      </c>
      <c r="D830" t="s">
        <v>1563</v>
      </c>
      <c r="E830" t="s">
        <v>1564</v>
      </c>
      <c r="F830" s="3">
        <v>43629</v>
      </c>
      <c r="G830" s="2">
        <v>277</v>
      </c>
      <c r="H830" s="1">
        <v>852.94</v>
      </c>
      <c r="I830" t="s">
        <v>1589</v>
      </c>
      <c r="J830" s="2">
        <v>1</v>
      </c>
      <c r="K830" t="s">
        <v>13</v>
      </c>
      <c r="L830" t="s">
        <v>1128</v>
      </c>
      <c r="M830" t="s">
        <v>1566</v>
      </c>
    </row>
    <row r="831" spans="1:13" x14ac:dyDescent="0.25">
      <c r="A831" s="5">
        <v>43907</v>
      </c>
      <c r="B831" s="2">
        <v>0</v>
      </c>
      <c r="C831" t="s">
        <v>1614</v>
      </c>
      <c r="D831" t="s">
        <v>1563</v>
      </c>
      <c r="E831" t="s">
        <v>1564</v>
      </c>
      <c r="F831" s="3">
        <v>43822</v>
      </c>
      <c r="G831" s="2">
        <v>85</v>
      </c>
      <c r="H831" s="1">
        <v>742.46</v>
      </c>
      <c r="I831" t="s">
        <v>1576</v>
      </c>
      <c r="J831" s="2">
        <v>1</v>
      </c>
      <c r="K831" t="s">
        <v>13</v>
      </c>
      <c r="L831" t="s">
        <v>1128</v>
      </c>
      <c r="M831" t="s">
        <v>1566</v>
      </c>
    </row>
    <row r="832" spans="1:13" x14ac:dyDescent="0.25">
      <c r="A832" s="5">
        <v>43907</v>
      </c>
      <c r="B832" s="2">
        <v>0</v>
      </c>
      <c r="C832" t="s">
        <v>1615</v>
      </c>
      <c r="D832" t="s">
        <v>1563</v>
      </c>
      <c r="E832" t="s">
        <v>1564</v>
      </c>
      <c r="F832" s="3">
        <v>43812</v>
      </c>
      <c r="G832" s="2">
        <v>95</v>
      </c>
      <c r="H832" s="1">
        <v>476.25</v>
      </c>
      <c r="I832" t="s">
        <v>1616</v>
      </c>
      <c r="J832" s="2">
        <v>1</v>
      </c>
      <c r="K832" t="s">
        <v>13</v>
      </c>
      <c r="L832" t="s">
        <v>1128</v>
      </c>
      <c r="M832" t="s">
        <v>1566</v>
      </c>
    </row>
    <row r="833" spans="1:13" x14ac:dyDescent="0.25">
      <c r="A833" s="5">
        <v>43908</v>
      </c>
      <c r="B833" s="2">
        <v>0</v>
      </c>
      <c r="C833" t="s">
        <v>1617</v>
      </c>
      <c r="D833" t="s">
        <v>1563</v>
      </c>
      <c r="E833" t="s">
        <v>1564</v>
      </c>
      <c r="F833" s="3">
        <v>43868</v>
      </c>
      <c r="G833" s="2">
        <v>40</v>
      </c>
      <c r="H833" s="1">
        <v>963.88</v>
      </c>
      <c r="I833" t="s">
        <v>1618</v>
      </c>
      <c r="J833" s="2">
        <v>1</v>
      </c>
      <c r="K833" t="s">
        <v>13</v>
      </c>
      <c r="L833" t="s">
        <v>1128</v>
      </c>
      <c r="M833" t="s">
        <v>1566</v>
      </c>
    </row>
    <row r="834" spans="1:13" x14ac:dyDescent="0.25">
      <c r="A834" s="5">
        <v>43908</v>
      </c>
      <c r="B834" s="2">
        <v>0</v>
      </c>
      <c r="C834" t="s">
        <v>1619</v>
      </c>
      <c r="D834" t="s">
        <v>1563</v>
      </c>
      <c r="E834" t="s">
        <v>1564</v>
      </c>
      <c r="F834" s="3">
        <v>43708</v>
      </c>
      <c r="G834" s="2">
        <v>200</v>
      </c>
      <c r="H834" s="1">
        <v>1091.8399999999999</v>
      </c>
      <c r="I834" t="s">
        <v>1600</v>
      </c>
      <c r="J834" s="2">
        <v>1</v>
      </c>
      <c r="K834" t="s">
        <v>13</v>
      </c>
      <c r="L834" t="s">
        <v>1128</v>
      </c>
      <c r="M834" t="s">
        <v>1566</v>
      </c>
    </row>
    <row r="835" spans="1:13" x14ac:dyDescent="0.25">
      <c r="A835" s="5">
        <v>43909</v>
      </c>
      <c r="B835" s="2">
        <v>0</v>
      </c>
      <c r="C835" t="s">
        <v>1620</v>
      </c>
      <c r="D835" t="s">
        <v>1563</v>
      </c>
      <c r="E835" t="s">
        <v>1564</v>
      </c>
      <c r="F835" s="3">
        <v>43754</v>
      </c>
      <c r="G835" s="2">
        <v>155</v>
      </c>
      <c r="H835" s="1">
        <v>2079.12</v>
      </c>
      <c r="I835" t="s">
        <v>1579</v>
      </c>
      <c r="J835" s="2">
        <v>1</v>
      </c>
      <c r="K835" t="s">
        <v>13</v>
      </c>
      <c r="L835" t="s">
        <v>1128</v>
      </c>
      <c r="M835" t="s">
        <v>1566</v>
      </c>
    </row>
    <row r="836" spans="1:13" x14ac:dyDescent="0.25">
      <c r="A836" s="5">
        <v>43910</v>
      </c>
      <c r="B836" s="2">
        <v>0</v>
      </c>
      <c r="C836" t="s">
        <v>1621</v>
      </c>
      <c r="D836" t="s">
        <v>1563</v>
      </c>
      <c r="E836" t="s">
        <v>1564</v>
      </c>
      <c r="F836" s="3">
        <v>43725</v>
      </c>
      <c r="G836" s="2">
        <v>185</v>
      </c>
      <c r="H836" s="1">
        <v>649.49</v>
      </c>
      <c r="I836" t="s">
        <v>1584</v>
      </c>
      <c r="J836" s="2">
        <v>1</v>
      </c>
      <c r="K836" t="s">
        <v>13</v>
      </c>
      <c r="L836" t="s">
        <v>1128</v>
      </c>
      <c r="M836" t="s">
        <v>1566</v>
      </c>
    </row>
    <row r="837" spans="1:13" x14ac:dyDescent="0.25">
      <c r="A837" s="5">
        <v>43913</v>
      </c>
      <c r="B837" s="2">
        <v>0</v>
      </c>
      <c r="C837" t="s">
        <v>1622</v>
      </c>
      <c r="D837" t="s">
        <v>1547</v>
      </c>
      <c r="E837" t="s">
        <v>1548</v>
      </c>
      <c r="F837" s="3">
        <v>43837</v>
      </c>
      <c r="G837" s="2">
        <v>76</v>
      </c>
      <c r="H837" s="1">
        <v>676.73</v>
      </c>
      <c r="I837" t="s">
        <v>1581</v>
      </c>
      <c r="J837" s="2">
        <v>1</v>
      </c>
      <c r="K837" t="s">
        <v>13</v>
      </c>
      <c r="L837" t="s">
        <v>1493</v>
      </c>
      <c r="M837" t="s">
        <v>26</v>
      </c>
    </row>
    <row r="838" spans="1:13" x14ac:dyDescent="0.25">
      <c r="A838" s="5">
        <v>43913</v>
      </c>
      <c r="B838" s="2">
        <v>0</v>
      </c>
      <c r="C838" t="s">
        <v>1623</v>
      </c>
      <c r="D838" t="s">
        <v>1563</v>
      </c>
      <c r="E838" t="s">
        <v>1564</v>
      </c>
      <c r="F838" s="3">
        <v>43668</v>
      </c>
      <c r="G838" s="2">
        <v>245</v>
      </c>
      <c r="H838" s="1">
        <v>522.08000000000004</v>
      </c>
      <c r="I838" t="s">
        <v>1568</v>
      </c>
      <c r="J838" s="2">
        <v>1</v>
      </c>
      <c r="K838" t="s">
        <v>13</v>
      </c>
      <c r="L838" t="s">
        <v>1128</v>
      </c>
      <c r="M838" t="s">
        <v>1566</v>
      </c>
    </row>
    <row r="839" spans="1:13" x14ac:dyDescent="0.25">
      <c r="A839" s="5">
        <v>43913</v>
      </c>
      <c r="B839" s="2">
        <v>0</v>
      </c>
      <c r="C839" t="s">
        <v>1624</v>
      </c>
      <c r="D839" t="s">
        <v>1563</v>
      </c>
      <c r="E839" t="s">
        <v>1564</v>
      </c>
      <c r="F839" s="3">
        <v>43686</v>
      </c>
      <c r="G839" s="2">
        <v>227</v>
      </c>
      <c r="H839" s="1">
        <v>906.79</v>
      </c>
      <c r="I839" t="s">
        <v>1605</v>
      </c>
      <c r="J839" s="2">
        <v>1</v>
      </c>
      <c r="K839" t="s">
        <v>13</v>
      </c>
      <c r="L839" t="s">
        <v>1128</v>
      </c>
      <c r="M839" t="s">
        <v>1566</v>
      </c>
    </row>
    <row r="840" spans="1:13" x14ac:dyDescent="0.25">
      <c r="A840" s="5">
        <v>43913</v>
      </c>
      <c r="B840" s="2">
        <v>0</v>
      </c>
      <c r="C840" t="s">
        <v>1625</v>
      </c>
      <c r="D840" t="s">
        <v>1563</v>
      </c>
      <c r="E840" t="s">
        <v>1564</v>
      </c>
      <c r="F840" s="3">
        <v>43677</v>
      </c>
      <c r="G840" s="2">
        <v>236</v>
      </c>
      <c r="H840" s="1">
        <v>421.85</v>
      </c>
      <c r="I840" t="s">
        <v>1608</v>
      </c>
      <c r="J840" s="2">
        <v>1</v>
      </c>
      <c r="K840" t="s">
        <v>13</v>
      </c>
      <c r="L840" t="s">
        <v>1128</v>
      </c>
      <c r="M840" t="s">
        <v>1566</v>
      </c>
    </row>
    <row r="841" spans="1:13" x14ac:dyDescent="0.25">
      <c r="A841" s="5">
        <v>43914</v>
      </c>
      <c r="B841" s="2">
        <v>0</v>
      </c>
      <c r="C841" t="s">
        <v>1626</v>
      </c>
      <c r="D841" t="s">
        <v>1547</v>
      </c>
      <c r="E841" t="s">
        <v>1548</v>
      </c>
      <c r="F841" s="3">
        <v>43864</v>
      </c>
      <c r="G841" s="2">
        <v>50</v>
      </c>
      <c r="H841" s="1">
        <v>283.8</v>
      </c>
      <c r="I841" t="s">
        <v>1627</v>
      </c>
      <c r="J841" s="2">
        <v>1</v>
      </c>
      <c r="K841" t="s">
        <v>13</v>
      </c>
      <c r="L841" t="s">
        <v>1493</v>
      </c>
      <c r="M841" t="s">
        <v>26</v>
      </c>
    </row>
    <row r="842" spans="1:13" x14ac:dyDescent="0.25">
      <c r="A842" s="5">
        <v>43914</v>
      </c>
      <c r="B842" s="2">
        <v>0</v>
      </c>
      <c r="C842" t="s">
        <v>1628</v>
      </c>
      <c r="D842" t="s">
        <v>1563</v>
      </c>
      <c r="E842" t="s">
        <v>1564</v>
      </c>
      <c r="F842" s="3">
        <v>43679</v>
      </c>
      <c r="G842" s="2">
        <v>235</v>
      </c>
      <c r="H842" s="1">
        <v>1118.27</v>
      </c>
      <c r="I842" t="s">
        <v>1570</v>
      </c>
      <c r="J842" s="2">
        <v>1</v>
      </c>
      <c r="K842" t="s">
        <v>13</v>
      </c>
      <c r="L842" t="s">
        <v>1128</v>
      </c>
      <c r="M842" t="s">
        <v>1566</v>
      </c>
    </row>
    <row r="843" spans="1:13" x14ac:dyDescent="0.25">
      <c r="A843" s="5">
        <v>43914</v>
      </c>
      <c r="B843" s="2">
        <v>0</v>
      </c>
      <c r="C843" t="s">
        <v>1629</v>
      </c>
      <c r="D843" t="s">
        <v>1563</v>
      </c>
      <c r="E843" t="s">
        <v>1564</v>
      </c>
      <c r="F843" s="3">
        <v>43629</v>
      </c>
      <c r="G843" s="2">
        <v>285</v>
      </c>
      <c r="H843" s="1">
        <v>852.94</v>
      </c>
      <c r="I843" t="s">
        <v>1589</v>
      </c>
      <c r="J843" s="2">
        <v>1</v>
      </c>
      <c r="K843" t="s">
        <v>13</v>
      </c>
      <c r="L843" t="s">
        <v>1128</v>
      </c>
      <c r="M843" t="s">
        <v>1566</v>
      </c>
    </row>
    <row r="844" spans="1:13" x14ac:dyDescent="0.25">
      <c r="A844" s="5">
        <v>43915</v>
      </c>
      <c r="B844" s="2">
        <v>0</v>
      </c>
      <c r="C844" t="s">
        <v>1630</v>
      </c>
      <c r="D844" t="s">
        <v>1472</v>
      </c>
      <c r="E844" t="s">
        <v>1473</v>
      </c>
      <c r="F844" s="3">
        <v>43795</v>
      </c>
      <c r="G844" s="2">
        <v>120</v>
      </c>
      <c r="H844" s="1">
        <v>285.37</v>
      </c>
      <c r="I844" t="s">
        <v>1506</v>
      </c>
      <c r="J844" s="2">
        <v>1</v>
      </c>
      <c r="K844" t="s">
        <v>13</v>
      </c>
      <c r="L844" t="s">
        <v>695</v>
      </c>
      <c r="M844" t="s">
        <v>15</v>
      </c>
    </row>
    <row r="845" spans="1:13" x14ac:dyDescent="0.25">
      <c r="A845" s="5">
        <v>43916</v>
      </c>
      <c r="B845" s="2">
        <v>0</v>
      </c>
      <c r="C845" t="s">
        <v>1631</v>
      </c>
      <c r="D845" t="s">
        <v>1507</v>
      </c>
      <c r="E845" t="s">
        <v>1508</v>
      </c>
      <c r="F845" s="3">
        <v>43794</v>
      </c>
      <c r="G845" s="2">
        <v>122</v>
      </c>
      <c r="H845" s="1">
        <v>480.37</v>
      </c>
      <c r="I845" t="s">
        <v>1509</v>
      </c>
      <c r="J845" s="2">
        <v>1</v>
      </c>
      <c r="K845" t="s">
        <v>13</v>
      </c>
      <c r="L845" t="s">
        <v>21</v>
      </c>
      <c r="M845" t="s">
        <v>50</v>
      </c>
    </row>
    <row r="846" spans="1:13" x14ac:dyDescent="0.25">
      <c r="A846" s="5">
        <v>43917</v>
      </c>
      <c r="B846" s="2">
        <v>0</v>
      </c>
      <c r="C846" t="s">
        <v>1632</v>
      </c>
      <c r="D846" t="s">
        <v>1563</v>
      </c>
      <c r="E846" t="s">
        <v>1564</v>
      </c>
      <c r="F846" s="3">
        <v>43822</v>
      </c>
      <c r="G846" s="2">
        <v>95</v>
      </c>
      <c r="H846" s="1">
        <v>742.45</v>
      </c>
      <c r="I846" t="s">
        <v>1576</v>
      </c>
      <c r="J846" s="2">
        <v>1</v>
      </c>
      <c r="K846" t="s">
        <v>13</v>
      </c>
      <c r="L846" t="s">
        <v>1128</v>
      </c>
      <c r="M846" t="s">
        <v>1566</v>
      </c>
    </row>
    <row r="847" spans="1:13" x14ac:dyDescent="0.25">
      <c r="A847" s="5">
        <v>43920</v>
      </c>
      <c r="B847" s="2">
        <v>0</v>
      </c>
      <c r="C847" t="s">
        <v>1633</v>
      </c>
      <c r="D847" t="s">
        <v>1572</v>
      </c>
      <c r="E847" t="s">
        <v>1573</v>
      </c>
      <c r="F847" s="3">
        <v>43859</v>
      </c>
      <c r="G847" s="2">
        <v>61</v>
      </c>
      <c r="H847" s="1">
        <v>522</v>
      </c>
      <c r="I847" t="s">
        <v>1634</v>
      </c>
      <c r="J847" s="2">
        <v>1</v>
      </c>
      <c r="K847" t="s">
        <v>13</v>
      </c>
      <c r="L847" t="s">
        <v>1493</v>
      </c>
      <c r="M847" t="s">
        <v>26</v>
      </c>
    </row>
    <row r="848" spans="1:13" x14ac:dyDescent="0.25">
      <c r="A848" s="5">
        <v>43920</v>
      </c>
      <c r="B848" s="2">
        <v>0</v>
      </c>
      <c r="C848" t="s">
        <v>1635</v>
      </c>
      <c r="D848" t="s">
        <v>1572</v>
      </c>
      <c r="E848" t="s">
        <v>1573</v>
      </c>
      <c r="F848" s="3">
        <v>43860</v>
      </c>
      <c r="G848" s="2">
        <v>60</v>
      </c>
      <c r="H848" s="1">
        <v>450.97</v>
      </c>
      <c r="I848" t="s">
        <v>1636</v>
      </c>
      <c r="J848" s="2">
        <v>1</v>
      </c>
      <c r="K848" t="s">
        <v>13</v>
      </c>
      <c r="L848" t="s">
        <v>1493</v>
      </c>
      <c r="M848" t="s">
        <v>26</v>
      </c>
    </row>
    <row r="849" spans="1:13" x14ac:dyDescent="0.25">
      <c r="A849" s="5">
        <v>43920</v>
      </c>
      <c r="B849" s="2">
        <v>0</v>
      </c>
      <c r="C849" t="s">
        <v>1637</v>
      </c>
      <c r="D849" t="s">
        <v>1563</v>
      </c>
      <c r="E849" t="s">
        <v>1564</v>
      </c>
      <c r="F849" s="3">
        <v>43754</v>
      </c>
      <c r="G849" s="2">
        <v>166</v>
      </c>
      <c r="H849" s="1">
        <v>2079.12</v>
      </c>
      <c r="I849" t="s">
        <v>1579</v>
      </c>
      <c r="J849" s="2">
        <v>1</v>
      </c>
      <c r="K849" t="s">
        <v>13</v>
      </c>
      <c r="L849" t="s">
        <v>1128</v>
      </c>
      <c r="M849" t="s">
        <v>1566</v>
      </c>
    </row>
    <row r="850" spans="1:13" x14ac:dyDescent="0.25">
      <c r="A850" s="5">
        <v>43920</v>
      </c>
      <c r="B850" s="2">
        <v>0</v>
      </c>
      <c r="C850" t="s">
        <v>1638</v>
      </c>
      <c r="D850" t="s">
        <v>1563</v>
      </c>
      <c r="E850" t="s">
        <v>1564</v>
      </c>
      <c r="F850" s="3">
        <v>43725</v>
      </c>
      <c r="G850" s="2">
        <v>195</v>
      </c>
      <c r="H850" s="1">
        <v>649.49</v>
      </c>
      <c r="I850" t="s">
        <v>1584</v>
      </c>
      <c r="J850" s="2">
        <v>1</v>
      </c>
      <c r="K850" t="s">
        <v>13</v>
      </c>
      <c r="L850" t="s">
        <v>1128</v>
      </c>
      <c r="M850" t="s">
        <v>1566</v>
      </c>
    </row>
    <row r="851" spans="1:13" x14ac:dyDescent="0.25">
      <c r="A851" s="5">
        <v>43920</v>
      </c>
      <c r="B851" s="2">
        <v>0</v>
      </c>
      <c r="C851" t="s">
        <v>1639</v>
      </c>
      <c r="D851" t="s">
        <v>1563</v>
      </c>
      <c r="E851" t="s">
        <v>1564</v>
      </c>
      <c r="F851" s="3">
        <v>43868</v>
      </c>
      <c r="G851" s="2">
        <v>52</v>
      </c>
      <c r="H851" s="1">
        <v>694.18</v>
      </c>
      <c r="I851" t="s">
        <v>1618</v>
      </c>
      <c r="J851" s="2">
        <v>1</v>
      </c>
      <c r="K851" t="s">
        <v>13</v>
      </c>
      <c r="L851" t="s">
        <v>1128</v>
      </c>
      <c r="M851" t="s">
        <v>1566</v>
      </c>
    </row>
    <row r="852" spans="1:13" x14ac:dyDescent="0.25">
      <c r="A852" s="5">
        <v>43920</v>
      </c>
      <c r="B852" s="2">
        <v>0</v>
      </c>
      <c r="C852" t="s">
        <v>1640</v>
      </c>
      <c r="D852" t="s">
        <v>1563</v>
      </c>
      <c r="E852" t="s">
        <v>1564</v>
      </c>
      <c r="F852" s="3">
        <v>43708</v>
      </c>
      <c r="G852" s="2">
        <v>212</v>
      </c>
      <c r="H852" s="1">
        <v>1091.8399999999999</v>
      </c>
      <c r="I852" t="s">
        <v>1600</v>
      </c>
      <c r="J852" s="2">
        <v>1</v>
      </c>
      <c r="K852" t="s">
        <v>13</v>
      </c>
      <c r="L852" t="s">
        <v>1128</v>
      </c>
      <c r="M852" t="s">
        <v>1566</v>
      </c>
    </row>
    <row r="853" spans="1:13" x14ac:dyDescent="0.25">
      <c r="A853" s="5">
        <v>43921</v>
      </c>
      <c r="B853" s="2">
        <v>0</v>
      </c>
      <c r="C853" t="s">
        <v>1641</v>
      </c>
      <c r="D853" t="s">
        <v>1514</v>
      </c>
      <c r="E853" t="s">
        <v>1515</v>
      </c>
      <c r="F853" s="3">
        <v>43851</v>
      </c>
      <c r="G853" s="2">
        <v>70</v>
      </c>
      <c r="H853" s="1">
        <v>230.67</v>
      </c>
      <c r="I853" t="s">
        <v>1603</v>
      </c>
      <c r="J853" s="2">
        <v>1</v>
      </c>
      <c r="K853" t="s">
        <v>13</v>
      </c>
      <c r="L853" t="s">
        <v>554</v>
      </c>
      <c r="M853" t="s">
        <v>81</v>
      </c>
    </row>
    <row r="854" spans="1:13" x14ac:dyDescent="0.25">
      <c r="A854" s="5">
        <v>43921</v>
      </c>
      <c r="B854" s="2">
        <v>0</v>
      </c>
      <c r="C854" t="s">
        <v>1642</v>
      </c>
      <c r="D854" t="s">
        <v>1563</v>
      </c>
      <c r="E854" t="s">
        <v>1564</v>
      </c>
      <c r="F854" s="3">
        <v>43686</v>
      </c>
      <c r="G854" s="2">
        <v>235</v>
      </c>
      <c r="H854" s="1">
        <v>906.79</v>
      </c>
      <c r="I854" t="s">
        <v>1605</v>
      </c>
      <c r="J854" s="2">
        <v>1</v>
      </c>
      <c r="K854" t="s">
        <v>13</v>
      </c>
      <c r="L854" t="s">
        <v>1128</v>
      </c>
      <c r="M854" t="s">
        <v>1566</v>
      </c>
    </row>
    <row r="855" spans="1:13" x14ac:dyDescent="0.25">
      <c r="A855" s="5">
        <v>43924</v>
      </c>
      <c r="B855" s="2">
        <v>0</v>
      </c>
      <c r="C855" t="s">
        <v>1643</v>
      </c>
      <c r="D855" t="s">
        <v>1563</v>
      </c>
      <c r="E855" t="s">
        <v>1564</v>
      </c>
      <c r="F855" s="3">
        <v>43679</v>
      </c>
      <c r="G855" s="2">
        <v>245</v>
      </c>
      <c r="H855" s="1">
        <v>1118.27</v>
      </c>
      <c r="I855" t="s">
        <v>1570</v>
      </c>
      <c r="J855" s="2">
        <v>1</v>
      </c>
      <c r="K855" t="s">
        <v>13</v>
      </c>
      <c r="L855" t="s">
        <v>1128</v>
      </c>
      <c r="M855" t="s">
        <v>1566</v>
      </c>
    </row>
    <row r="856" spans="1:13" x14ac:dyDescent="0.25">
      <c r="A856" s="5">
        <v>43924</v>
      </c>
      <c r="B856" s="2">
        <v>0</v>
      </c>
      <c r="C856" t="s">
        <v>1644</v>
      </c>
      <c r="D856" t="s">
        <v>1563</v>
      </c>
      <c r="E856" t="s">
        <v>1564</v>
      </c>
      <c r="F856" s="3">
        <v>43629</v>
      </c>
      <c r="G856" s="2">
        <v>295</v>
      </c>
      <c r="H856" s="1">
        <v>852.94</v>
      </c>
      <c r="I856" t="s">
        <v>1589</v>
      </c>
      <c r="J856" s="2">
        <v>1</v>
      </c>
      <c r="K856" t="s">
        <v>13</v>
      </c>
      <c r="L856" t="s">
        <v>1128</v>
      </c>
      <c r="M856" t="s">
        <v>1566</v>
      </c>
    </row>
    <row r="857" spans="1:13" x14ac:dyDescent="0.25">
      <c r="A857" s="5">
        <v>43927</v>
      </c>
      <c r="B857" s="2">
        <v>0</v>
      </c>
      <c r="C857" t="s">
        <v>1645</v>
      </c>
      <c r="D857" t="s">
        <v>1547</v>
      </c>
      <c r="E857" t="s">
        <v>1548</v>
      </c>
      <c r="F857" s="3">
        <v>43865</v>
      </c>
      <c r="G857" s="2">
        <v>62</v>
      </c>
      <c r="H857" s="1">
        <v>494.95</v>
      </c>
      <c r="I857" t="s">
        <v>1646</v>
      </c>
      <c r="J857" s="2">
        <v>1</v>
      </c>
      <c r="K857" t="s">
        <v>13</v>
      </c>
      <c r="L857" t="s">
        <v>1493</v>
      </c>
      <c r="M857" t="s">
        <v>26</v>
      </c>
    </row>
    <row r="858" spans="1:13" x14ac:dyDescent="0.25">
      <c r="A858" s="5">
        <v>43928</v>
      </c>
      <c r="B858" s="2">
        <v>0</v>
      </c>
      <c r="C858" t="s">
        <v>1647</v>
      </c>
      <c r="D858" t="s">
        <v>1563</v>
      </c>
      <c r="E858" t="s">
        <v>1564</v>
      </c>
      <c r="F858" s="3">
        <v>43868</v>
      </c>
      <c r="G858" s="2">
        <v>60</v>
      </c>
      <c r="H858" s="1">
        <v>694.18</v>
      </c>
      <c r="I858" t="s">
        <v>1618</v>
      </c>
      <c r="J858" s="2">
        <v>1</v>
      </c>
      <c r="K858" t="s">
        <v>13</v>
      </c>
      <c r="L858" t="s">
        <v>1128</v>
      </c>
      <c r="M858" t="s">
        <v>1566</v>
      </c>
    </row>
    <row r="859" spans="1:13" x14ac:dyDescent="0.25">
      <c r="A859" s="5">
        <v>43928</v>
      </c>
      <c r="B859" s="2">
        <v>0</v>
      </c>
      <c r="C859" t="s">
        <v>1648</v>
      </c>
      <c r="D859" t="s">
        <v>1563</v>
      </c>
      <c r="E859" t="s">
        <v>1564</v>
      </c>
      <c r="F859" s="3">
        <v>43708</v>
      </c>
      <c r="G859" s="2">
        <v>220</v>
      </c>
      <c r="H859" s="1">
        <v>1091.8399999999999</v>
      </c>
      <c r="I859" t="s">
        <v>1600</v>
      </c>
      <c r="J859" s="2">
        <v>1</v>
      </c>
      <c r="K859" t="s">
        <v>13</v>
      </c>
      <c r="L859" t="s">
        <v>1128</v>
      </c>
      <c r="M859" t="s">
        <v>1566</v>
      </c>
    </row>
    <row r="860" spans="1:13" x14ac:dyDescent="0.25">
      <c r="A860" s="5">
        <v>43929</v>
      </c>
      <c r="B860" s="2">
        <v>0</v>
      </c>
      <c r="C860" t="s">
        <v>1649</v>
      </c>
      <c r="D860" t="s">
        <v>1572</v>
      </c>
      <c r="E860" t="s">
        <v>1573</v>
      </c>
      <c r="F860" s="3">
        <v>43859</v>
      </c>
      <c r="G860" s="2">
        <v>70</v>
      </c>
      <c r="H860" s="1">
        <v>522</v>
      </c>
      <c r="I860" t="s">
        <v>1634</v>
      </c>
      <c r="J860" s="2">
        <v>1</v>
      </c>
      <c r="K860" t="s">
        <v>13</v>
      </c>
      <c r="L860" t="s">
        <v>1493</v>
      </c>
      <c r="M860" t="s">
        <v>26</v>
      </c>
    </row>
    <row r="861" spans="1:13" x14ac:dyDescent="0.25">
      <c r="A861" s="5">
        <v>43929</v>
      </c>
      <c r="B861" s="2">
        <v>0</v>
      </c>
      <c r="C861" t="s">
        <v>1650</v>
      </c>
      <c r="D861" t="s">
        <v>1563</v>
      </c>
      <c r="E861" t="s">
        <v>1564</v>
      </c>
      <c r="F861" s="3">
        <v>43754</v>
      </c>
      <c r="G861" s="2">
        <v>175</v>
      </c>
      <c r="H861" s="1">
        <v>2079.15</v>
      </c>
      <c r="I861" t="s">
        <v>1579</v>
      </c>
      <c r="J861" s="2">
        <v>1</v>
      </c>
      <c r="K861" t="s">
        <v>13</v>
      </c>
      <c r="L861" t="s">
        <v>1128</v>
      </c>
      <c r="M861" t="s">
        <v>1566</v>
      </c>
    </row>
    <row r="862" spans="1:13" x14ac:dyDescent="0.25">
      <c r="A862" s="5">
        <v>43930</v>
      </c>
      <c r="B862" s="2">
        <v>0</v>
      </c>
      <c r="C862" t="s">
        <v>1651</v>
      </c>
      <c r="D862" t="s">
        <v>1572</v>
      </c>
      <c r="E862" t="s">
        <v>1573</v>
      </c>
      <c r="F862" s="3">
        <v>43860</v>
      </c>
      <c r="G862" s="2">
        <v>70</v>
      </c>
      <c r="H862" s="1">
        <v>450.97</v>
      </c>
      <c r="I862" t="s">
        <v>1636</v>
      </c>
      <c r="J862" s="2">
        <v>1</v>
      </c>
      <c r="K862" t="s">
        <v>13</v>
      </c>
      <c r="L862" t="s">
        <v>1493</v>
      </c>
      <c r="M862" t="s">
        <v>26</v>
      </c>
    </row>
    <row r="863" spans="1:13" x14ac:dyDescent="0.25">
      <c r="A863" s="5">
        <v>43930</v>
      </c>
      <c r="B863" s="2">
        <v>0</v>
      </c>
      <c r="C863" t="s">
        <v>1652</v>
      </c>
      <c r="D863" t="s">
        <v>1563</v>
      </c>
      <c r="E863" t="s">
        <v>1564</v>
      </c>
      <c r="F863" s="3">
        <v>43725</v>
      </c>
      <c r="G863" s="2">
        <v>205</v>
      </c>
      <c r="H863" s="1">
        <v>649.5</v>
      </c>
      <c r="I863" t="s">
        <v>1584</v>
      </c>
      <c r="J863" s="2">
        <v>1</v>
      </c>
      <c r="K863" t="s">
        <v>13</v>
      </c>
      <c r="L863" t="s">
        <v>1128</v>
      </c>
      <c r="M863" t="s">
        <v>1566</v>
      </c>
    </row>
    <row r="864" spans="1:13" x14ac:dyDescent="0.25">
      <c r="A864" s="5">
        <v>43931</v>
      </c>
      <c r="B864" s="2">
        <v>0</v>
      </c>
      <c r="C864" t="s">
        <v>1653</v>
      </c>
      <c r="D864" t="s">
        <v>1563</v>
      </c>
      <c r="E864" t="s">
        <v>1564</v>
      </c>
      <c r="F864" s="3">
        <v>43686</v>
      </c>
      <c r="G864" s="2">
        <v>245</v>
      </c>
      <c r="H864" s="1">
        <v>906.79</v>
      </c>
      <c r="I864" t="s">
        <v>1605</v>
      </c>
      <c r="J864" s="2">
        <v>1</v>
      </c>
      <c r="K864" t="s">
        <v>13</v>
      </c>
      <c r="L864" t="s">
        <v>1128</v>
      </c>
      <c r="M864" t="s">
        <v>1566</v>
      </c>
    </row>
    <row r="865" spans="1:13" x14ac:dyDescent="0.25">
      <c r="A865" s="5">
        <v>43934</v>
      </c>
      <c r="B865" s="2">
        <v>0</v>
      </c>
      <c r="C865" t="s">
        <v>1654</v>
      </c>
      <c r="D865" t="s">
        <v>1547</v>
      </c>
      <c r="E865" t="s">
        <v>1548</v>
      </c>
      <c r="F865" s="3">
        <v>43864</v>
      </c>
      <c r="G865" s="2">
        <v>70</v>
      </c>
      <c r="H865" s="1">
        <v>245.86</v>
      </c>
      <c r="I865" t="s">
        <v>1627</v>
      </c>
      <c r="J865" s="2">
        <v>1</v>
      </c>
      <c r="K865" t="s">
        <v>13</v>
      </c>
      <c r="L865" t="s">
        <v>1493</v>
      </c>
      <c r="M865" t="s">
        <v>26</v>
      </c>
    </row>
    <row r="866" spans="1:13" x14ac:dyDescent="0.25">
      <c r="A866" s="5">
        <v>43934</v>
      </c>
      <c r="B866" s="2">
        <v>0</v>
      </c>
      <c r="C866" t="s">
        <v>1655</v>
      </c>
      <c r="D866" t="s">
        <v>1563</v>
      </c>
      <c r="E866" t="s">
        <v>1564</v>
      </c>
      <c r="F866" s="3">
        <v>43679</v>
      </c>
      <c r="G866" s="2">
        <v>255</v>
      </c>
      <c r="H866" s="1">
        <v>1118.25</v>
      </c>
      <c r="I866" t="s">
        <v>1570</v>
      </c>
      <c r="J866" s="2">
        <v>1</v>
      </c>
      <c r="K866" t="s">
        <v>13</v>
      </c>
      <c r="L866" t="s">
        <v>1128</v>
      </c>
      <c r="M866" t="s">
        <v>1566</v>
      </c>
    </row>
    <row r="867" spans="1:13" x14ac:dyDescent="0.25">
      <c r="A867" s="5">
        <v>43934</v>
      </c>
      <c r="B867" s="2">
        <v>0</v>
      </c>
      <c r="C867" t="s">
        <v>1656</v>
      </c>
      <c r="D867" t="s">
        <v>1563</v>
      </c>
      <c r="E867" t="s">
        <v>1564</v>
      </c>
      <c r="F867" s="3">
        <v>43629</v>
      </c>
      <c r="G867" s="2">
        <v>305</v>
      </c>
      <c r="H867" s="1">
        <v>852.93</v>
      </c>
      <c r="I867" t="s">
        <v>1589</v>
      </c>
      <c r="J867" s="2">
        <v>1</v>
      </c>
      <c r="K867" t="s">
        <v>13</v>
      </c>
      <c r="L867" t="s">
        <v>1128</v>
      </c>
      <c r="M867" t="s">
        <v>1566</v>
      </c>
    </row>
    <row r="868" spans="1:13" x14ac:dyDescent="0.25">
      <c r="A868" s="5">
        <v>43935</v>
      </c>
      <c r="B868" s="2">
        <v>0</v>
      </c>
      <c r="C868" t="s">
        <v>1657</v>
      </c>
      <c r="D868" t="s">
        <v>1547</v>
      </c>
      <c r="E868" t="s">
        <v>1548</v>
      </c>
      <c r="F868" s="3">
        <v>43865</v>
      </c>
      <c r="G868" s="2">
        <v>70</v>
      </c>
      <c r="H868" s="1">
        <v>494.95</v>
      </c>
      <c r="I868" t="s">
        <v>1646</v>
      </c>
      <c r="J868" s="2">
        <v>1</v>
      </c>
      <c r="K868" t="s">
        <v>13</v>
      </c>
      <c r="L868" t="s">
        <v>1493</v>
      </c>
      <c r="M868" t="s">
        <v>26</v>
      </c>
    </row>
    <row r="869" spans="1:13" x14ac:dyDescent="0.25">
      <c r="A869" s="5">
        <v>43938</v>
      </c>
      <c r="B869" s="2">
        <v>0</v>
      </c>
      <c r="C869" t="s">
        <v>1658</v>
      </c>
      <c r="D869" t="s">
        <v>1563</v>
      </c>
      <c r="E869" t="s">
        <v>1564</v>
      </c>
      <c r="F869" s="3">
        <v>43868</v>
      </c>
      <c r="G869" s="2">
        <v>70</v>
      </c>
      <c r="H869" s="1">
        <v>694.18</v>
      </c>
      <c r="I869" t="s">
        <v>1618</v>
      </c>
      <c r="J869" s="2">
        <v>1</v>
      </c>
      <c r="K869" t="s">
        <v>13</v>
      </c>
      <c r="L869" t="s">
        <v>1128</v>
      </c>
      <c r="M869" t="s">
        <v>1566</v>
      </c>
    </row>
    <row r="870" spans="1:13" x14ac:dyDescent="0.25">
      <c r="A870" s="5">
        <v>43938</v>
      </c>
      <c r="B870" s="2">
        <v>0</v>
      </c>
      <c r="C870" t="s">
        <v>1659</v>
      </c>
      <c r="D870" t="s">
        <v>1563</v>
      </c>
      <c r="E870" t="s">
        <v>1564</v>
      </c>
      <c r="F870" s="3">
        <v>43708</v>
      </c>
      <c r="G870" s="2">
        <v>230</v>
      </c>
      <c r="H870" s="1">
        <v>1091.8599999999999</v>
      </c>
      <c r="I870" t="s">
        <v>1600</v>
      </c>
      <c r="J870" s="2">
        <v>1</v>
      </c>
      <c r="K870" t="s">
        <v>13</v>
      </c>
      <c r="L870" t="s">
        <v>1128</v>
      </c>
      <c r="M870" t="s">
        <v>1566</v>
      </c>
    </row>
    <row r="871" spans="1:13" x14ac:dyDescent="0.25">
      <c r="A871" s="5">
        <v>43941</v>
      </c>
      <c r="B871" s="2">
        <v>0</v>
      </c>
      <c r="C871" t="s">
        <v>1660</v>
      </c>
      <c r="D871" t="s">
        <v>1572</v>
      </c>
      <c r="E871" t="s">
        <v>1573</v>
      </c>
      <c r="F871" s="3">
        <v>43859</v>
      </c>
      <c r="G871" s="2">
        <v>82</v>
      </c>
      <c r="H871" s="1">
        <v>522</v>
      </c>
      <c r="I871" t="s">
        <v>1634</v>
      </c>
      <c r="J871" s="2">
        <v>1</v>
      </c>
      <c r="K871" t="s">
        <v>13</v>
      </c>
      <c r="L871" t="s">
        <v>1493</v>
      </c>
      <c r="M871" t="s">
        <v>26</v>
      </c>
    </row>
    <row r="872" spans="1:13" x14ac:dyDescent="0.25">
      <c r="A872" s="5">
        <v>43941</v>
      </c>
      <c r="B872" s="2">
        <v>0</v>
      </c>
      <c r="C872" t="s">
        <v>1661</v>
      </c>
      <c r="D872" t="s">
        <v>1572</v>
      </c>
      <c r="E872" t="s">
        <v>1573</v>
      </c>
      <c r="F872" s="3">
        <v>43860</v>
      </c>
      <c r="G872" s="2">
        <v>81</v>
      </c>
      <c r="H872" s="1">
        <v>450.98</v>
      </c>
      <c r="I872" t="s">
        <v>1636</v>
      </c>
      <c r="J872" s="2">
        <v>1</v>
      </c>
      <c r="K872" t="s">
        <v>13</v>
      </c>
      <c r="L872" t="s">
        <v>1493</v>
      </c>
      <c r="M872" t="s">
        <v>26</v>
      </c>
    </row>
    <row r="873" spans="1:13" x14ac:dyDescent="0.25">
      <c r="A873" s="5">
        <v>43941</v>
      </c>
      <c r="B873" s="2">
        <v>0</v>
      </c>
      <c r="C873" t="s">
        <v>1662</v>
      </c>
      <c r="D873" t="s">
        <v>1563</v>
      </c>
      <c r="E873" t="s">
        <v>1564</v>
      </c>
      <c r="F873" s="3">
        <v>43686</v>
      </c>
      <c r="G873" s="2">
        <v>255</v>
      </c>
      <c r="H873" s="1">
        <v>906.79</v>
      </c>
      <c r="I873" t="s">
        <v>1605</v>
      </c>
      <c r="J873" s="2">
        <v>1</v>
      </c>
      <c r="K873" t="s">
        <v>13</v>
      </c>
      <c r="L873" t="s">
        <v>1128</v>
      </c>
      <c r="M873" t="s">
        <v>1566</v>
      </c>
    </row>
    <row r="874" spans="1:13" x14ac:dyDescent="0.25">
      <c r="A874" s="5">
        <v>43944</v>
      </c>
      <c r="B874" s="2">
        <v>0</v>
      </c>
      <c r="C874" t="s">
        <v>1663</v>
      </c>
      <c r="D874" t="s">
        <v>1563</v>
      </c>
      <c r="E874" t="s">
        <v>1564</v>
      </c>
      <c r="F874" s="3">
        <v>43714</v>
      </c>
      <c r="G874" s="2">
        <v>230</v>
      </c>
      <c r="H874" s="1">
        <v>993.17</v>
      </c>
      <c r="I874" t="s">
        <v>1664</v>
      </c>
      <c r="J874" s="2">
        <v>1</v>
      </c>
      <c r="K874" t="s">
        <v>13</v>
      </c>
      <c r="L874" t="s">
        <v>1128</v>
      </c>
      <c r="M874" t="s">
        <v>1566</v>
      </c>
    </row>
    <row r="875" spans="1:13" x14ac:dyDescent="0.25">
      <c r="A875" s="5">
        <v>43945</v>
      </c>
      <c r="B875" s="2">
        <v>0</v>
      </c>
      <c r="C875" t="s">
        <v>1665</v>
      </c>
      <c r="D875" t="s">
        <v>1547</v>
      </c>
      <c r="E875" t="s">
        <v>1548</v>
      </c>
      <c r="F875" s="3">
        <v>43865</v>
      </c>
      <c r="G875" s="2">
        <v>80</v>
      </c>
      <c r="H875" s="1">
        <v>494.95</v>
      </c>
      <c r="I875" t="s">
        <v>1646</v>
      </c>
      <c r="J875" s="2">
        <v>1</v>
      </c>
      <c r="K875" t="s">
        <v>13</v>
      </c>
      <c r="L875" t="s">
        <v>1493</v>
      </c>
      <c r="M875" t="s">
        <v>26</v>
      </c>
    </row>
    <row r="876" spans="1:13" x14ac:dyDescent="0.25">
      <c r="A876" s="5">
        <v>43948</v>
      </c>
      <c r="B876" s="2">
        <v>0</v>
      </c>
      <c r="C876" t="s">
        <v>1666</v>
      </c>
      <c r="D876" t="s">
        <v>1563</v>
      </c>
      <c r="E876" t="s">
        <v>1564</v>
      </c>
      <c r="F876" s="3">
        <v>43868</v>
      </c>
      <c r="G876" s="2">
        <v>80</v>
      </c>
      <c r="H876" s="1">
        <v>694.2</v>
      </c>
      <c r="I876" t="s">
        <v>1618</v>
      </c>
      <c r="J876" s="2">
        <v>1</v>
      </c>
      <c r="K876" t="s">
        <v>13</v>
      </c>
      <c r="L876" t="s">
        <v>1128</v>
      </c>
      <c r="M876" t="s">
        <v>1566</v>
      </c>
    </row>
    <row r="877" spans="1:13" x14ac:dyDescent="0.25">
      <c r="A877" s="5">
        <v>43951</v>
      </c>
      <c r="B877" s="2">
        <v>0</v>
      </c>
      <c r="C877" t="s">
        <v>1667</v>
      </c>
      <c r="D877" t="s">
        <v>1563</v>
      </c>
      <c r="E877" t="s">
        <v>1564</v>
      </c>
      <c r="F877" s="3">
        <v>43686</v>
      </c>
      <c r="G877" s="2">
        <v>265</v>
      </c>
      <c r="H877" s="1">
        <v>906.78</v>
      </c>
      <c r="I877" t="s">
        <v>1605</v>
      </c>
      <c r="J877" s="2">
        <v>1</v>
      </c>
      <c r="K877" t="s">
        <v>13</v>
      </c>
      <c r="L877" t="s">
        <v>1128</v>
      </c>
      <c r="M877" t="s">
        <v>1566</v>
      </c>
    </row>
    <row r="878" spans="1:13" x14ac:dyDescent="0.25">
      <c r="A878" s="5">
        <v>43955</v>
      </c>
      <c r="B878" s="2">
        <v>0</v>
      </c>
      <c r="C878" t="s">
        <v>1668</v>
      </c>
      <c r="D878" t="s">
        <v>1563</v>
      </c>
      <c r="E878" t="s">
        <v>1564</v>
      </c>
      <c r="F878" s="3">
        <v>43714</v>
      </c>
      <c r="G878" s="2">
        <v>241</v>
      </c>
      <c r="H878" s="1">
        <v>993.17</v>
      </c>
      <c r="I878" t="s">
        <v>1664</v>
      </c>
      <c r="J878" s="2">
        <v>1</v>
      </c>
      <c r="K878" t="s">
        <v>13</v>
      </c>
      <c r="L878" t="s">
        <v>1128</v>
      </c>
      <c r="M878" t="s">
        <v>1566</v>
      </c>
    </row>
    <row r="879" spans="1:13" x14ac:dyDescent="0.25">
      <c r="A879" s="5">
        <v>43964</v>
      </c>
      <c r="B879" s="2">
        <v>0</v>
      </c>
      <c r="C879" t="s">
        <v>1669</v>
      </c>
      <c r="D879" t="s">
        <v>1563</v>
      </c>
      <c r="E879" t="s">
        <v>1564</v>
      </c>
      <c r="F879" s="3">
        <v>43714</v>
      </c>
      <c r="G879" s="2">
        <v>250</v>
      </c>
      <c r="H879" s="1">
        <v>993.17</v>
      </c>
      <c r="I879" t="s">
        <v>1664</v>
      </c>
      <c r="J879" s="2">
        <v>1</v>
      </c>
      <c r="K879" t="s">
        <v>13</v>
      </c>
      <c r="L879" t="s">
        <v>1128</v>
      </c>
      <c r="M879" t="s">
        <v>1566</v>
      </c>
    </row>
    <row r="880" spans="1:13" x14ac:dyDescent="0.25">
      <c r="A880" s="5">
        <v>43976</v>
      </c>
      <c r="B880" s="2">
        <v>0</v>
      </c>
      <c r="C880" t="s">
        <v>1670</v>
      </c>
      <c r="D880" t="s">
        <v>1563</v>
      </c>
      <c r="E880" t="s">
        <v>1564</v>
      </c>
      <c r="F880" s="3">
        <v>43714</v>
      </c>
      <c r="G880" s="2">
        <v>262</v>
      </c>
      <c r="H880" s="1">
        <v>993.17</v>
      </c>
      <c r="I880" t="s">
        <v>1664</v>
      </c>
      <c r="J880" s="2">
        <v>1</v>
      </c>
      <c r="K880" t="s">
        <v>13</v>
      </c>
      <c r="L880" t="s">
        <v>1128</v>
      </c>
      <c r="M880" t="s">
        <v>1566</v>
      </c>
    </row>
    <row r="881" spans="1:13" x14ac:dyDescent="0.25">
      <c r="A881" s="5">
        <v>43977</v>
      </c>
      <c r="B881" s="2">
        <v>0</v>
      </c>
      <c r="C881" t="s">
        <v>1671</v>
      </c>
      <c r="D881" t="s">
        <v>1563</v>
      </c>
      <c r="E881" t="s">
        <v>1564</v>
      </c>
      <c r="F881" s="3">
        <v>43812</v>
      </c>
      <c r="G881" s="2">
        <v>165</v>
      </c>
      <c r="H881" s="1">
        <v>476.25</v>
      </c>
      <c r="I881" t="s">
        <v>1616</v>
      </c>
      <c r="J881" s="2">
        <v>1</v>
      </c>
      <c r="K881" t="s">
        <v>13</v>
      </c>
      <c r="L881" t="s">
        <v>1128</v>
      </c>
      <c r="M881" t="s">
        <v>1566</v>
      </c>
    </row>
    <row r="882" spans="1:13" x14ac:dyDescent="0.25">
      <c r="A882" s="5">
        <v>43984</v>
      </c>
      <c r="B882" s="2">
        <v>0</v>
      </c>
      <c r="C882" t="s">
        <v>1672</v>
      </c>
      <c r="D882" t="s">
        <v>1563</v>
      </c>
      <c r="E882" t="s">
        <v>1564</v>
      </c>
      <c r="F882" s="3">
        <v>43714</v>
      </c>
      <c r="G882" s="2">
        <v>270</v>
      </c>
      <c r="H882" s="1">
        <v>993.16</v>
      </c>
      <c r="I882" t="s">
        <v>1664</v>
      </c>
      <c r="J882" s="2">
        <v>1</v>
      </c>
      <c r="K882" t="s">
        <v>13</v>
      </c>
      <c r="L882" t="s">
        <v>1128</v>
      </c>
      <c r="M882" t="s">
        <v>1566</v>
      </c>
    </row>
    <row r="883" spans="1:13" x14ac:dyDescent="0.25">
      <c r="A883" s="5">
        <v>43997</v>
      </c>
      <c r="B883" s="2">
        <v>0</v>
      </c>
      <c r="C883" t="s">
        <v>1676</v>
      </c>
      <c r="D883" t="s">
        <v>1350</v>
      </c>
      <c r="E883" t="s">
        <v>1351</v>
      </c>
      <c r="F883" s="3">
        <v>43950</v>
      </c>
      <c r="G883" s="2">
        <v>47</v>
      </c>
      <c r="H883" s="1">
        <v>375.07</v>
      </c>
      <c r="I883" t="s">
        <v>1677</v>
      </c>
      <c r="J883" s="2">
        <v>1</v>
      </c>
      <c r="K883" t="s">
        <v>13</v>
      </c>
      <c r="L883" t="s">
        <v>21</v>
      </c>
      <c r="M883" t="s">
        <v>25</v>
      </c>
    </row>
    <row r="884" spans="1:13" x14ac:dyDescent="0.25">
      <c r="A884" s="5">
        <v>43997</v>
      </c>
      <c r="B884" s="2">
        <v>0</v>
      </c>
      <c r="C884" t="s">
        <v>1678</v>
      </c>
      <c r="D884" t="s">
        <v>1350</v>
      </c>
      <c r="E884" t="s">
        <v>1351</v>
      </c>
      <c r="F884" s="3">
        <v>43957</v>
      </c>
      <c r="G884" s="2">
        <v>40</v>
      </c>
      <c r="H884" s="1">
        <v>423</v>
      </c>
      <c r="I884" t="s">
        <v>1679</v>
      </c>
      <c r="J884" s="2">
        <v>1</v>
      </c>
      <c r="K884" t="s">
        <v>13</v>
      </c>
      <c r="L884" t="s">
        <v>21</v>
      </c>
      <c r="M884" t="s">
        <v>25</v>
      </c>
    </row>
    <row r="885" spans="1:13" x14ac:dyDescent="0.25">
      <c r="A885" s="5">
        <v>43999</v>
      </c>
      <c r="B885" s="2">
        <v>0</v>
      </c>
      <c r="C885" t="s">
        <v>1683</v>
      </c>
      <c r="D885" t="s">
        <v>1350</v>
      </c>
      <c r="E885" t="s">
        <v>1351</v>
      </c>
      <c r="F885" s="3">
        <v>43944</v>
      </c>
      <c r="G885" s="2">
        <v>55</v>
      </c>
      <c r="H885" s="1">
        <v>411.44</v>
      </c>
      <c r="I885" t="s">
        <v>1684</v>
      </c>
      <c r="J885" s="2">
        <v>1</v>
      </c>
      <c r="K885" t="s">
        <v>13</v>
      </c>
      <c r="L885" t="s">
        <v>21</v>
      </c>
      <c r="M885" t="s">
        <v>25</v>
      </c>
    </row>
    <row r="886" spans="1:13" x14ac:dyDescent="0.25">
      <c r="A886" s="5">
        <v>44000</v>
      </c>
      <c r="B886" s="2">
        <v>0</v>
      </c>
      <c r="C886" t="s">
        <v>1685</v>
      </c>
      <c r="D886" t="s">
        <v>1350</v>
      </c>
      <c r="E886" t="s">
        <v>1351</v>
      </c>
      <c r="F886" s="3">
        <v>43945</v>
      </c>
      <c r="G886" s="2">
        <v>55</v>
      </c>
      <c r="H886" s="1">
        <v>300.52999999999997</v>
      </c>
      <c r="I886" t="s">
        <v>1686</v>
      </c>
      <c r="J886" s="2">
        <v>1</v>
      </c>
      <c r="K886" t="s">
        <v>13</v>
      </c>
      <c r="L886" t="s">
        <v>21</v>
      </c>
      <c r="M886" t="s">
        <v>25</v>
      </c>
    </row>
    <row r="887" spans="1:13" x14ac:dyDescent="0.25">
      <c r="A887" s="5">
        <v>44001</v>
      </c>
      <c r="B887" s="2">
        <v>0</v>
      </c>
      <c r="C887" t="s">
        <v>1687</v>
      </c>
      <c r="D887" t="s">
        <v>1350</v>
      </c>
      <c r="E887" t="s">
        <v>1351</v>
      </c>
      <c r="F887" s="3">
        <v>43956</v>
      </c>
      <c r="G887" s="2">
        <v>45</v>
      </c>
      <c r="H887" s="1">
        <v>401.92</v>
      </c>
      <c r="I887" t="s">
        <v>1688</v>
      </c>
      <c r="J887" s="2">
        <v>1</v>
      </c>
      <c r="K887" t="s">
        <v>13</v>
      </c>
      <c r="L887" t="s">
        <v>21</v>
      </c>
      <c r="M887" t="s">
        <v>25</v>
      </c>
    </row>
    <row r="888" spans="1:13" x14ac:dyDescent="0.25">
      <c r="A888" s="5">
        <v>44004</v>
      </c>
      <c r="B888" s="2">
        <v>0</v>
      </c>
      <c r="C888" t="s">
        <v>1689</v>
      </c>
      <c r="D888" t="s">
        <v>1690</v>
      </c>
      <c r="E888" t="s">
        <v>1691</v>
      </c>
      <c r="F888" s="3">
        <v>43943</v>
      </c>
      <c r="G888" s="2">
        <v>61</v>
      </c>
      <c r="H888" s="1">
        <v>468.82</v>
      </c>
      <c r="I888" t="s">
        <v>1692</v>
      </c>
      <c r="J888" s="2">
        <v>1</v>
      </c>
      <c r="K888" t="s">
        <v>13</v>
      </c>
      <c r="L888" t="s">
        <v>1372</v>
      </c>
      <c r="M888" t="s">
        <v>1693</v>
      </c>
    </row>
    <row r="889" spans="1:13" x14ac:dyDescent="0.25">
      <c r="A889" s="5">
        <v>44005</v>
      </c>
      <c r="B889" s="2">
        <v>0</v>
      </c>
      <c r="C889" t="s">
        <v>1694</v>
      </c>
      <c r="D889" t="s">
        <v>1350</v>
      </c>
      <c r="E889" t="s">
        <v>1351</v>
      </c>
      <c r="F889" s="3">
        <v>43950</v>
      </c>
      <c r="G889" s="2">
        <v>55</v>
      </c>
      <c r="H889" s="1">
        <v>375.08</v>
      </c>
      <c r="I889" t="s">
        <v>1677</v>
      </c>
      <c r="J889" s="2">
        <v>1</v>
      </c>
      <c r="K889" t="s">
        <v>13</v>
      </c>
      <c r="L889" t="s">
        <v>21</v>
      </c>
      <c r="M889" t="s">
        <v>25</v>
      </c>
    </row>
    <row r="890" spans="1:13" x14ac:dyDescent="0.25">
      <c r="A890" s="5">
        <v>44005</v>
      </c>
      <c r="B890" s="2">
        <v>0</v>
      </c>
      <c r="C890" t="s">
        <v>1695</v>
      </c>
      <c r="D890" t="s">
        <v>1350</v>
      </c>
      <c r="E890" t="s">
        <v>1351</v>
      </c>
      <c r="F890" s="3">
        <v>43970</v>
      </c>
      <c r="G890" s="2">
        <v>35</v>
      </c>
      <c r="H890" s="1">
        <v>375.7</v>
      </c>
      <c r="I890" t="s">
        <v>1696</v>
      </c>
      <c r="J890" s="2">
        <v>1</v>
      </c>
      <c r="K890" t="s">
        <v>13</v>
      </c>
      <c r="L890" t="s">
        <v>21</v>
      </c>
      <c r="M890" t="s">
        <v>25</v>
      </c>
    </row>
    <row r="891" spans="1:13" x14ac:dyDescent="0.25">
      <c r="A891" s="5">
        <v>44006</v>
      </c>
      <c r="B891" s="2">
        <v>0</v>
      </c>
      <c r="C891" t="s">
        <v>1697</v>
      </c>
      <c r="D891" t="s">
        <v>1350</v>
      </c>
      <c r="E891" t="s">
        <v>1351</v>
      </c>
      <c r="F891" s="3">
        <v>43951</v>
      </c>
      <c r="G891" s="2">
        <v>55</v>
      </c>
      <c r="H891" s="1">
        <v>366.02</v>
      </c>
      <c r="I891" t="s">
        <v>1698</v>
      </c>
      <c r="J891" s="2">
        <v>1</v>
      </c>
      <c r="K891" t="s">
        <v>13</v>
      </c>
      <c r="L891" t="s">
        <v>21</v>
      </c>
      <c r="M891" t="s">
        <v>25</v>
      </c>
    </row>
    <row r="892" spans="1:13" x14ac:dyDescent="0.25">
      <c r="A892" s="5">
        <v>44007</v>
      </c>
      <c r="B892" s="2">
        <v>0</v>
      </c>
      <c r="C892" t="s">
        <v>1699</v>
      </c>
      <c r="D892" t="s">
        <v>1350</v>
      </c>
      <c r="E892" t="s">
        <v>1351</v>
      </c>
      <c r="F892" s="3">
        <v>43957</v>
      </c>
      <c r="G892" s="2">
        <v>50</v>
      </c>
      <c r="H892" s="1">
        <v>422.99</v>
      </c>
      <c r="I892" t="s">
        <v>1679</v>
      </c>
      <c r="J892" s="2">
        <v>1</v>
      </c>
      <c r="K892" t="s">
        <v>13</v>
      </c>
      <c r="L892" t="s">
        <v>21</v>
      </c>
      <c r="M892" t="s">
        <v>25</v>
      </c>
    </row>
    <row r="893" spans="1:13" x14ac:dyDescent="0.25">
      <c r="A893" s="5">
        <v>44008</v>
      </c>
      <c r="B893" s="2">
        <v>0</v>
      </c>
      <c r="C893" t="s">
        <v>1700</v>
      </c>
      <c r="D893" t="s">
        <v>1350</v>
      </c>
      <c r="E893" t="s">
        <v>1351</v>
      </c>
      <c r="F893" s="3">
        <v>43963</v>
      </c>
      <c r="G893" s="2">
        <v>45</v>
      </c>
      <c r="H893" s="1">
        <v>349.62</v>
      </c>
      <c r="I893" t="s">
        <v>1701</v>
      </c>
      <c r="J893" s="2">
        <v>1</v>
      </c>
      <c r="K893" t="s">
        <v>13</v>
      </c>
      <c r="L893" t="s">
        <v>21</v>
      </c>
      <c r="M893" t="s">
        <v>25</v>
      </c>
    </row>
    <row r="894" spans="1:13" x14ac:dyDescent="0.25">
      <c r="A894" s="5">
        <v>44011</v>
      </c>
      <c r="B894" s="2">
        <v>0</v>
      </c>
      <c r="C894" t="s">
        <v>1702</v>
      </c>
      <c r="D894" t="s">
        <v>1350</v>
      </c>
      <c r="E894" t="s">
        <v>1351</v>
      </c>
      <c r="F894" s="3">
        <v>43950</v>
      </c>
      <c r="G894" s="2">
        <v>61</v>
      </c>
      <c r="H894" s="1">
        <v>377.29</v>
      </c>
      <c r="I894" t="s">
        <v>1703</v>
      </c>
      <c r="J894" s="2">
        <v>1</v>
      </c>
      <c r="K894" t="s">
        <v>13</v>
      </c>
      <c r="L894" t="s">
        <v>21</v>
      </c>
      <c r="M894" t="s">
        <v>25</v>
      </c>
    </row>
    <row r="895" spans="1:13" x14ac:dyDescent="0.25">
      <c r="A895" s="5">
        <v>44011</v>
      </c>
      <c r="B895" s="2">
        <v>0</v>
      </c>
      <c r="C895" t="s">
        <v>1704</v>
      </c>
      <c r="D895" t="s">
        <v>1350</v>
      </c>
      <c r="E895" t="s">
        <v>1351</v>
      </c>
      <c r="F895" s="3">
        <v>43956</v>
      </c>
      <c r="G895" s="2">
        <v>55</v>
      </c>
      <c r="H895" s="1">
        <v>401.91</v>
      </c>
      <c r="I895" t="s">
        <v>1688</v>
      </c>
      <c r="J895" s="2">
        <v>1</v>
      </c>
      <c r="K895" t="s">
        <v>13</v>
      </c>
      <c r="L895" t="s">
        <v>21</v>
      </c>
      <c r="M895" t="s">
        <v>25</v>
      </c>
    </row>
    <row r="896" spans="1:13" x14ac:dyDescent="0.25">
      <c r="A896" s="5">
        <v>44011</v>
      </c>
      <c r="B896" s="2">
        <v>0</v>
      </c>
      <c r="C896" t="s">
        <v>1705</v>
      </c>
      <c r="D896" t="s">
        <v>1350</v>
      </c>
      <c r="E896" t="s">
        <v>1351</v>
      </c>
      <c r="F896" s="3">
        <v>43965</v>
      </c>
      <c r="G896" s="2">
        <v>46</v>
      </c>
      <c r="H896" s="1">
        <v>220.84</v>
      </c>
      <c r="I896" t="s">
        <v>1706</v>
      </c>
      <c r="J896" s="2">
        <v>1</v>
      </c>
      <c r="K896" t="s">
        <v>13</v>
      </c>
      <c r="L896" t="s">
        <v>21</v>
      </c>
      <c r="M896" t="s">
        <v>25</v>
      </c>
    </row>
    <row r="897" spans="1:13" x14ac:dyDescent="0.25">
      <c r="A897" s="5">
        <v>44011</v>
      </c>
      <c r="B897" s="2">
        <v>0</v>
      </c>
      <c r="C897" t="s">
        <v>1707</v>
      </c>
      <c r="D897" t="s">
        <v>1350</v>
      </c>
      <c r="E897" t="s">
        <v>1351</v>
      </c>
      <c r="F897" s="3">
        <v>43965</v>
      </c>
      <c r="G897" s="2">
        <v>46</v>
      </c>
      <c r="H897" s="1">
        <v>399.97</v>
      </c>
      <c r="I897" t="s">
        <v>1708</v>
      </c>
      <c r="J897" s="2">
        <v>1</v>
      </c>
      <c r="K897" t="s">
        <v>13</v>
      </c>
      <c r="L897" t="s">
        <v>21</v>
      </c>
      <c r="M897" t="s">
        <v>25</v>
      </c>
    </row>
    <row r="898" spans="1:13" x14ac:dyDescent="0.25">
      <c r="A898" s="5">
        <v>44013</v>
      </c>
      <c r="B898" s="2">
        <v>0</v>
      </c>
      <c r="C898" t="s">
        <v>1709</v>
      </c>
      <c r="D898" t="s">
        <v>1350</v>
      </c>
      <c r="E898" t="s">
        <v>1351</v>
      </c>
      <c r="F898" s="3">
        <v>43973</v>
      </c>
      <c r="G898" s="2">
        <v>40</v>
      </c>
      <c r="H898" s="1">
        <v>363.74</v>
      </c>
      <c r="I898" t="s">
        <v>1710</v>
      </c>
      <c r="J898" s="2">
        <v>1</v>
      </c>
      <c r="K898" t="s">
        <v>13</v>
      </c>
      <c r="L898" t="s">
        <v>21</v>
      </c>
      <c r="M898" t="s">
        <v>25</v>
      </c>
    </row>
    <row r="899" spans="1:13" x14ac:dyDescent="0.25">
      <c r="A899" s="5">
        <v>44013</v>
      </c>
      <c r="B899" s="2">
        <v>0</v>
      </c>
      <c r="C899" t="s">
        <v>1711</v>
      </c>
      <c r="D899" t="s">
        <v>1350</v>
      </c>
      <c r="E899" t="s">
        <v>1351</v>
      </c>
      <c r="F899" s="3">
        <v>43973</v>
      </c>
      <c r="G899" s="2">
        <v>40</v>
      </c>
      <c r="H899" s="1">
        <v>311.5</v>
      </c>
      <c r="I899" t="s">
        <v>1712</v>
      </c>
      <c r="J899" s="2">
        <v>1</v>
      </c>
      <c r="K899" t="s">
        <v>13</v>
      </c>
      <c r="L899" t="s">
        <v>21</v>
      </c>
      <c r="M899" t="s">
        <v>25</v>
      </c>
    </row>
    <row r="900" spans="1:13" x14ac:dyDescent="0.25">
      <c r="A900" s="5">
        <v>44014</v>
      </c>
      <c r="B900" s="2">
        <v>0</v>
      </c>
      <c r="C900" t="s">
        <v>1713</v>
      </c>
      <c r="D900" t="s">
        <v>1350</v>
      </c>
      <c r="E900" t="s">
        <v>1351</v>
      </c>
      <c r="F900" s="3">
        <v>43987</v>
      </c>
      <c r="G900" s="2">
        <v>27</v>
      </c>
      <c r="H900" s="1">
        <v>418.41</v>
      </c>
      <c r="I900" t="s">
        <v>1714</v>
      </c>
      <c r="J900" s="2">
        <v>1</v>
      </c>
      <c r="K900" t="s">
        <v>13</v>
      </c>
      <c r="L900" t="s">
        <v>21</v>
      </c>
      <c r="M900" t="s">
        <v>25</v>
      </c>
    </row>
    <row r="901" spans="1:13" x14ac:dyDescent="0.25">
      <c r="A901" s="5">
        <v>44015</v>
      </c>
      <c r="B901" s="2">
        <v>0</v>
      </c>
      <c r="C901" t="s">
        <v>1715</v>
      </c>
      <c r="D901" t="s">
        <v>1350</v>
      </c>
      <c r="E901" t="s">
        <v>1351</v>
      </c>
      <c r="F901" s="3">
        <v>43970</v>
      </c>
      <c r="G901" s="2">
        <v>45</v>
      </c>
      <c r="H901" s="1">
        <v>375.7</v>
      </c>
      <c r="I901" t="s">
        <v>1696</v>
      </c>
      <c r="J901" s="2">
        <v>1</v>
      </c>
      <c r="K901" t="s">
        <v>13</v>
      </c>
      <c r="L901" t="s">
        <v>21</v>
      </c>
      <c r="M901" t="s">
        <v>25</v>
      </c>
    </row>
    <row r="902" spans="1:13" x14ac:dyDescent="0.25">
      <c r="A902" s="5">
        <v>44018</v>
      </c>
      <c r="B902" s="2">
        <v>0</v>
      </c>
      <c r="C902" t="s">
        <v>1718</v>
      </c>
      <c r="D902" t="s">
        <v>1350</v>
      </c>
      <c r="E902" t="s">
        <v>1351</v>
      </c>
      <c r="F902" s="3">
        <v>43958</v>
      </c>
      <c r="G902" s="2">
        <v>60</v>
      </c>
      <c r="H902" s="1">
        <v>438.75</v>
      </c>
      <c r="I902" t="s">
        <v>1719</v>
      </c>
      <c r="J902" s="2">
        <v>1</v>
      </c>
      <c r="K902" t="s">
        <v>13</v>
      </c>
      <c r="L902" t="s">
        <v>21</v>
      </c>
      <c r="M902" t="s">
        <v>25</v>
      </c>
    </row>
    <row r="903" spans="1:13" x14ac:dyDescent="0.25">
      <c r="A903" s="5">
        <v>44018</v>
      </c>
      <c r="B903" s="2">
        <v>0</v>
      </c>
      <c r="C903" t="s">
        <v>1720</v>
      </c>
      <c r="D903" t="s">
        <v>1350</v>
      </c>
      <c r="E903" t="s">
        <v>1351</v>
      </c>
      <c r="F903" s="3">
        <v>43963</v>
      </c>
      <c r="G903" s="2">
        <v>55</v>
      </c>
      <c r="H903" s="1">
        <v>349.63</v>
      </c>
      <c r="I903" t="s">
        <v>1701</v>
      </c>
      <c r="J903" s="2">
        <v>1</v>
      </c>
      <c r="K903" t="s">
        <v>13</v>
      </c>
      <c r="L903" t="s">
        <v>21</v>
      </c>
      <c r="M903" t="s">
        <v>25</v>
      </c>
    </row>
    <row r="904" spans="1:13" x14ac:dyDescent="0.25">
      <c r="A904" s="5">
        <v>44018</v>
      </c>
      <c r="B904" s="2">
        <v>0</v>
      </c>
      <c r="C904" t="s">
        <v>1721</v>
      </c>
      <c r="D904" t="s">
        <v>1350</v>
      </c>
      <c r="E904" t="s">
        <v>1351</v>
      </c>
      <c r="F904" s="3">
        <v>43972</v>
      </c>
      <c r="G904" s="2">
        <v>46</v>
      </c>
      <c r="H904" s="1">
        <v>374.85</v>
      </c>
      <c r="I904" t="s">
        <v>1722</v>
      </c>
      <c r="J904" s="2">
        <v>1</v>
      </c>
      <c r="K904" t="s">
        <v>13</v>
      </c>
      <c r="L904" t="s">
        <v>21</v>
      </c>
      <c r="M904" t="s">
        <v>25</v>
      </c>
    </row>
    <row r="905" spans="1:13" x14ac:dyDescent="0.25">
      <c r="A905" s="5">
        <v>44020</v>
      </c>
      <c r="B905" s="2">
        <v>0</v>
      </c>
      <c r="C905" t="s">
        <v>1725</v>
      </c>
      <c r="D905" t="s">
        <v>1350</v>
      </c>
      <c r="E905" t="s">
        <v>1351</v>
      </c>
      <c r="F905" s="3">
        <v>43985</v>
      </c>
      <c r="G905" s="2">
        <v>35</v>
      </c>
      <c r="H905" s="1">
        <v>486.19</v>
      </c>
      <c r="I905" t="s">
        <v>1726</v>
      </c>
      <c r="J905" s="2">
        <v>1</v>
      </c>
      <c r="K905" t="s">
        <v>13</v>
      </c>
      <c r="L905" t="s">
        <v>21</v>
      </c>
      <c r="M905" t="s">
        <v>25</v>
      </c>
    </row>
    <row r="906" spans="1:13" x14ac:dyDescent="0.25">
      <c r="A906" s="5">
        <v>44022</v>
      </c>
      <c r="B906" s="2">
        <v>0</v>
      </c>
      <c r="C906" t="s">
        <v>1727</v>
      </c>
      <c r="D906" t="s">
        <v>1350</v>
      </c>
      <c r="E906" t="s">
        <v>1351</v>
      </c>
      <c r="F906" s="3">
        <v>43977</v>
      </c>
      <c r="G906" s="2">
        <v>45</v>
      </c>
      <c r="H906" s="1">
        <v>575.66999999999996</v>
      </c>
      <c r="I906" t="s">
        <v>1728</v>
      </c>
      <c r="J906" s="2">
        <v>1</v>
      </c>
      <c r="K906" t="s">
        <v>13</v>
      </c>
      <c r="L906" t="s">
        <v>21</v>
      </c>
      <c r="M906" t="s">
        <v>25</v>
      </c>
    </row>
    <row r="907" spans="1:13" x14ac:dyDescent="0.25">
      <c r="A907" s="5">
        <v>44022</v>
      </c>
      <c r="B907" s="2">
        <v>0</v>
      </c>
      <c r="C907" t="s">
        <v>1729</v>
      </c>
      <c r="D907" t="s">
        <v>1350</v>
      </c>
      <c r="E907" t="s">
        <v>1351</v>
      </c>
      <c r="F907" s="3">
        <v>43987</v>
      </c>
      <c r="G907" s="2">
        <v>35</v>
      </c>
      <c r="H907" s="1">
        <v>466.46</v>
      </c>
      <c r="I907" t="s">
        <v>1730</v>
      </c>
      <c r="J907" s="2">
        <v>1</v>
      </c>
      <c r="K907" t="s">
        <v>13</v>
      </c>
      <c r="L907" t="s">
        <v>21</v>
      </c>
      <c r="M907" t="s">
        <v>25</v>
      </c>
    </row>
    <row r="908" spans="1:13" x14ac:dyDescent="0.25">
      <c r="A908" s="5">
        <v>44025</v>
      </c>
      <c r="B908" s="2">
        <v>0</v>
      </c>
      <c r="C908" t="s">
        <v>1731</v>
      </c>
      <c r="D908" t="s">
        <v>1350</v>
      </c>
      <c r="E908" t="s">
        <v>1351</v>
      </c>
      <c r="F908" s="3">
        <v>43970</v>
      </c>
      <c r="G908" s="2">
        <v>55</v>
      </c>
      <c r="H908" s="1">
        <v>375.7</v>
      </c>
      <c r="I908" t="s">
        <v>1696</v>
      </c>
      <c r="J908" s="2">
        <v>1</v>
      </c>
      <c r="K908" t="s">
        <v>13</v>
      </c>
      <c r="L908" t="s">
        <v>21</v>
      </c>
      <c r="M908" t="s">
        <v>25</v>
      </c>
    </row>
    <row r="909" spans="1:13" x14ac:dyDescent="0.25">
      <c r="A909" s="5">
        <v>44025</v>
      </c>
      <c r="B909" s="2">
        <v>0</v>
      </c>
      <c r="C909" t="s">
        <v>1732</v>
      </c>
      <c r="D909" t="s">
        <v>1350</v>
      </c>
      <c r="E909" t="s">
        <v>1351</v>
      </c>
      <c r="F909" s="3">
        <v>43973</v>
      </c>
      <c r="G909" s="2">
        <v>52</v>
      </c>
      <c r="H909" s="1">
        <v>363.73</v>
      </c>
      <c r="I909" t="s">
        <v>1710</v>
      </c>
      <c r="J909" s="2">
        <v>1</v>
      </c>
      <c r="K909" t="s">
        <v>13</v>
      </c>
      <c r="L909" t="s">
        <v>21</v>
      </c>
      <c r="M909" t="s">
        <v>25</v>
      </c>
    </row>
    <row r="910" spans="1:13" x14ac:dyDescent="0.25">
      <c r="A910" s="5">
        <v>44025</v>
      </c>
      <c r="B910" s="2">
        <v>0</v>
      </c>
      <c r="C910" t="s">
        <v>1733</v>
      </c>
      <c r="D910" t="s">
        <v>1350</v>
      </c>
      <c r="E910" t="s">
        <v>1351</v>
      </c>
      <c r="F910" s="3">
        <v>43973</v>
      </c>
      <c r="G910" s="2">
        <v>52</v>
      </c>
      <c r="H910" s="1">
        <v>311.5</v>
      </c>
      <c r="I910" t="s">
        <v>1712</v>
      </c>
      <c r="J910" s="2">
        <v>1</v>
      </c>
      <c r="K910" t="s">
        <v>13</v>
      </c>
      <c r="L910" t="s">
        <v>21</v>
      </c>
      <c r="M910" t="s">
        <v>25</v>
      </c>
    </row>
    <row r="911" spans="1:13" x14ac:dyDescent="0.25">
      <c r="A911" s="5">
        <v>44025</v>
      </c>
      <c r="B911" s="2">
        <v>0</v>
      </c>
      <c r="C911" t="s">
        <v>1734</v>
      </c>
      <c r="D911" t="s">
        <v>1350</v>
      </c>
      <c r="E911" t="s">
        <v>1351</v>
      </c>
      <c r="F911" s="3">
        <v>43978</v>
      </c>
      <c r="G911" s="2">
        <v>47</v>
      </c>
      <c r="H911" s="1">
        <v>298.05</v>
      </c>
      <c r="I911" t="s">
        <v>1735</v>
      </c>
      <c r="J911" s="2">
        <v>1</v>
      </c>
      <c r="K911" t="s">
        <v>13</v>
      </c>
      <c r="L911" t="s">
        <v>21</v>
      </c>
      <c r="M911" t="s">
        <v>25</v>
      </c>
    </row>
    <row r="912" spans="1:13" x14ac:dyDescent="0.25">
      <c r="A912" s="5">
        <v>44025</v>
      </c>
      <c r="B912" s="2">
        <v>0</v>
      </c>
      <c r="C912" t="s">
        <v>1736</v>
      </c>
      <c r="D912" t="s">
        <v>1350</v>
      </c>
      <c r="E912" t="s">
        <v>1351</v>
      </c>
      <c r="F912" s="3">
        <v>43987</v>
      </c>
      <c r="G912" s="2">
        <v>38</v>
      </c>
      <c r="H912" s="1">
        <v>362.31</v>
      </c>
      <c r="I912" t="s">
        <v>1714</v>
      </c>
      <c r="J912" s="2">
        <v>1</v>
      </c>
      <c r="K912" t="s">
        <v>13</v>
      </c>
      <c r="L912" t="s">
        <v>21</v>
      </c>
      <c r="M912" t="s">
        <v>25</v>
      </c>
    </row>
    <row r="913" spans="1:13" x14ac:dyDescent="0.25">
      <c r="A913" s="5">
        <v>44032</v>
      </c>
      <c r="B913" s="2">
        <v>0</v>
      </c>
      <c r="C913" t="s">
        <v>1737</v>
      </c>
      <c r="D913" t="s">
        <v>1350</v>
      </c>
      <c r="E913" t="s">
        <v>1351</v>
      </c>
      <c r="F913" s="3">
        <v>43985</v>
      </c>
      <c r="G913" s="2">
        <v>47</v>
      </c>
      <c r="H913" s="1">
        <v>486.19</v>
      </c>
      <c r="I913" t="s">
        <v>1726</v>
      </c>
      <c r="J913" s="2">
        <v>1</v>
      </c>
      <c r="K913" t="s">
        <v>13</v>
      </c>
      <c r="L913" t="s">
        <v>21</v>
      </c>
      <c r="M913" t="s">
        <v>25</v>
      </c>
    </row>
    <row r="914" spans="1:13" x14ac:dyDescent="0.25">
      <c r="A914" s="5">
        <v>44032</v>
      </c>
      <c r="B914" s="2">
        <v>0</v>
      </c>
      <c r="C914" t="s">
        <v>1738</v>
      </c>
      <c r="D914" t="s">
        <v>1350</v>
      </c>
      <c r="E914" t="s">
        <v>1351</v>
      </c>
      <c r="F914" s="3">
        <v>43987</v>
      </c>
      <c r="G914" s="2">
        <v>45</v>
      </c>
      <c r="H914" s="1">
        <v>230.85</v>
      </c>
      <c r="I914" t="s">
        <v>1739</v>
      </c>
      <c r="J914" s="2">
        <v>1</v>
      </c>
      <c r="K914" t="s">
        <v>13</v>
      </c>
      <c r="L914" t="s">
        <v>21</v>
      </c>
      <c r="M914" t="s">
        <v>25</v>
      </c>
    </row>
    <row r="915" spans="1:13" x14ac:dyDescent="0.25">
      <c r="A915" s="5">
        <v>44032</v>
      </c>
      <c r="B915" s="2">
        <v>0</v>
      </c>
      <c r="C915" t="s">
        <v>1740</v>
      </c>
      <c r="D915" t="s">
        <v>1350</v>
      </c>
      <c r="E915" t="s">
        <v>1351</v>
      </c>
      <c r="F915" s="3">
        <v>43987</v>
      </c>
      <c r="G915" s="2">
        <v>45</v>
      </c>
      <c r="H915" s="1">
        <v>466.46</v>
      </c>
      <c r="I915" t="s">
        <v>1730</v>
      </c>
      <c r="J915" s="2">
        <v>1</v>
      </c>
      <c r="K915" t="s">
        <v>13</v>
      </c>
      <c r="L915" t="s">
        <v>21</v>
      </c>
      <c r="M915" t="s">
        <v>25</v>
      </c>
    </row>
    <row r="916" spans="1:13" x14ac:dyDescent="0.25">
      <c r="A916" s="5">
        <v>44040</v>
      </c>
      <c r="B916" s="2">
        <v>0</v>
      </c>
      <c r="C916" t="s">
        <v>1741</v>
      </c>
      <c r="D916" t="s">
        <v>1350</v>
      </c>
      <c r="E916" t="s">
        <v>1351</v>
      </c>
      <c r="F916" s="3">
        <v>43985</v>
      </c>
      <c r="G916" s="2">
        <v>55</v>
      </c>
      <c r="H916" s="1">
        <v>486.2</v>
      </c>
      <c r="I916" t="s">
        <v>1726</v>
      </c>
      <c r="J916" s="2">
        <v>1</v>
      </c>
      <c r="K916" t="s">
        <v>13</v>
      </c>
      <c r="L916" t="s">
        <v>21</v>
      </c>
      <c r="M916" t="s">
        <v>25</v>
      </c>
    </row>
    <row r="917" spans="1:13" x14ac:dyDescent="0.25">
      <c r="A917" s="5">
        <v>44042</v>
      </c>
      <c r="B917" s="2">
        <v>0</v>
      </c>
      <c r="C917" t="s">
        <v>1749</v>
      </c>
      <c r="D917" t="s">
        <v>1350</v>
      </c>
      <c r="E917" t="s">
        <v>1351</v>
      </c>
      <c r="F917" s="3">
        <v>43987</v>
      </c>
      <c r="G917" s="2">
        <v>55</v>
      </c>
      <c r="H917" s="1">
        <v>466.47</v>
      </c>
      <c r="I917" t="s">
        <v>1730</v>
      </c>
      <c r="J917" s="2">
        <v>1</v>
      </c>
      <c r="K917" t="s">
        <v>13</v>
      </c>
      <c r="L917" t="s">
        <v>21</v>
      </c>
      <c r="M917" t="s">
        <v>25</v>
      </c>
    </row>
    <row r="918" spans="1:13" x14ac:dyDescent="0.25">
      <c r="A918" s="5">
        <v>44042</v>
      </c>
      <c r="B918" s="2">
        <v>0</v>
      </c>
      <c r="C918" t="s">
        <v>1750</v>
      </c>
      <c r="D918" t="s">
        <v>1350</v>
      </c>
      <c r="E918" t="s">
        <v>1351</v>
      </c>
      <c r="F918" s="3">
        <v>43997</v>
      </c>
      <c r="G918" s="2">
        <v>45</v>
      </c>
      <c r="H918" s="1">
        <v>402.89</v>
      </c>
      <c r="I918" t="s">
        <v>1751</v>
      </c>
      <c r="J918" s="2">
        <v>1</v>
      </c>
      <c r="K918" t="s">
        <v>13</v>
      </c>
      <c r="L918" t="s">
        <v>21</v>
      </c>
      <c r="M918" t="s">
        <v>25</v>
      </c>
    </row>
    <row r="919" spans="1:13" x14ac:dyDescent="0.25">
      <c r="A919" s="5">
        <v>44063</v>
      </c>
      <c r="B919" s="2">
        <v>0</v>
      </c>
      <c r="C919" t="s">
        <v>1766</v>
      </c>
      <c r="D919" t="s">
        <v>1350</v>
      </c>
      <c r="E919" t="s">
        <v>1351</v>
      </c>
      <c r="F919" s="3">
        <v>44028</v>
      </c>
      <c r="G919" s="2">
        <v>35</v>
      </c>
      <c r="H919" s="1">
        <v>305.70999999999998</v>
      </c>
      <c r="I919" t="s">
        <v>1767</v>
      </c>
      <c r="J919" s="2">
        <v>1</v>
      </c>
      <c r="K919" t="s">
        <v>13</v>
      </c>
      <c r="L919" t="s">
        <v>21</v>
      </c>
      <c r="M919" t="s">
        <v>25</v>
      </c>
    </row>
    <row r="920" spans="1:13" x14ac:dyDescent="0.25">
      <c r="A920" s="5">
        <v>44064</v>
      </c>
      <c r="B920" s="2">
        <v>0</v>
      </c>
      <c r="C920" t="s">
        <v>1769</v>
      </c>
      <c r="D920" t="s">
        <v>1350</v>
      </c>
      <c r="E920" t="s">
        <v>1351</v>
      </c>
      <c r="F920" s="3">
        <v>44029</v>
      </c>
      <c r="G920" s="2">
        <v>35</v>
      </c>
      <c r="H920" s="1">
        <v>405.66</v>
      </c>
      <c r="I920" t="s">
        <v>1770</v>
      </c>
      <c r="J920" s="2">
        <v>1</v>
      </c>
      <c r="K920" t="s">
        <v>13</v>
      </c>
      <c r="L920" t="s">
        <v>21</v>
      </c>
      <c r="M920" t="s">
        <v>25</v>
      </c>
    </row>
    <row r="921" spans="1:13" x14ac:dyDescent="0.25">
      <c r="A921" s="5">
        <v>44067</v>
      </c>
      <c r="B921" s="2">
        <v>0</v>
      </c>
      <c r="C921" t="s">
        <v>1771</v>
      </c>
      <c r="D921" t="s">
        <v>1742</v>
      </c>
      <c r="E921" t="s">
        <v>1743</v>
      </c>
      <c r="F921" s="3">
        <v>43986</v>
      </c>
      <c r="G921" s="2">
        <v>81</v>
      </c>
      <c r="H921" s="1">
        <v>738.68</v>
      </c>
      <c r="I921" t="s">
        <v>1755</v>
      </c>
      <c r="J921" s="2">
        <v>1</v>
      </c>
      <c r="K921" t="s">
        <v>13</v>
      </c>
      <c r="L921" t="s">
        <v>1682</v>
      </c>
      <c r="M921" t="s">
        <v>704</v>
      </c>
    </row>
    <row r="922" spans="1:13" x14ac:dyDescent="0.25">
      <c r="A922" s="5">
        <v>44067</v>
      </c>
      <c r="B922" s="2">
        <v>0</v>
      </c>
      <c r="C922" t="s">
        <v>1775</v>
      </c>
      <c r="D922" t="s">
        <v>1776</v>
      </c>
      <c r="E922" t="s">
        <v>1777</v>
      </c>
      <c r="F922" s="3">
        <v>43977</v>
      </c>
      <c r="G922" s="2">
        <v>90</v>
      </c>
      <c r="H922" s="1">
        <v>196.55</v>
      </c>
      <c r="I922" t="s">
        <v>1778</v>
      </c>
      <c r="J922" s="2">
        <v>1</v>
      </c>
      <c r="K922" t="s">
        <v>13</v>
      </c>
      <c r="L922" t="s">
        <v>554</v>
      </c>
      <c r="M922" t="s">
        <v>1779</v>
      </c>
    </row>
    <row r="923" spans="1:13" x14ac:dyDescent="0.25">
      <c r="A923" s="5">
        <v>44069</v>
      </c>
      <c r="B923" s="2">
        <v>0</v>
      </c>
      <c r="C923" t="s">
        <v>1780</v>
      </c>
      <c r="D923" t="s">
        <v>1723</v>
      </c>
      <c r="E923" t="s">
        <v>1724</v>
      </c>
      <c r="F923" s="3">
        <v>44014</v>
      </c>
      <c r="G923" s="2">
        <v>55</v>
      </c>
      <c r="H923" s="1">
        <v>397.9</v>
      </c>
      <c r="I923" t="s">
        <v>1753</v>
      </c>
      <c r="J923" s="2">
        <v>1</v>
      </c>
      <c r="K923" t="s">
        <v>13</v>
      </c>
      <c r="L923" t="s">
        <v>1682</v>
      </c>
      <c r="M923" t="s">
        <v>704</v>
      </c>
    </row>
    <row r="924" spans="1:13" x14ac:dyDescent="0.25">
      <c r="A924" s="5">
        <v>44069</v>
      </c>
      <c r="B924" s="2">
        <v>0</v>
      </c>
      <c r="C924" t="s">
        <v>1781</v>
      </c>
      <c r="D924" t="s">
        <v>1742</v>
      </c>
      <c r="E924" t="s">
        <v>1743</v>
      </c>
      <c r="F924" s="3">
        <v>44019</v>
      </c>
      <c r="G924" s="2">
        <v>50</v>
      </c>
      <c r="H924" s="1">
        <v>350.74</v>
      </c>
      <c r="I924" t="s">
        <v>1782</v>
      </c>
      <c r="J924" s="2">
        <v>1</v>
      </c>
      <c r="K924" t="s">
        <v>13</v>
      </c>
      <c r="L924" t="s">
        <v>1682</v>
      </c>
      <c r="M924" t="s">
        <v>704</v>
      </c>
    </row>
    <row r="925" spans="1:13" x14ac:dyDescent="0.25">
      <c r="A925" s="5">
        <v>44070</v>
      </c>
      <c r="B925" s="2">
        <v>0</v>
      </c>
      <c r="C925" t="s">
        <v>1783</v>
      </c>
      <c r="D925" t="s">
        <v>1742</v>
      </c>
      <c r="E925" t="s">
        <v>1743</v>
      </c>
      <c r="F925" s="3">
        <v>44000</v>
      </c>
      <c r="G925" s="2">
        <v>70</v>
      </c>
      <c r="H925" s="1">
        <v>369.45</v>
      </c>
      <c r="I925" t="s">
        <v>1754</v>
      </c>
      <c r="J925" s="2">
        <v>1</v>
      </c>
      <c r="K925" t="s">
        <v>13</v>
      </c>
      <c r="L925" t="s">
        <v>1682</v>
      </c>
      <c r="M925" t="s">
        <v>704</v>
      </c>
    </row>
    <row r="926" spans="1:13" x14ac:dyDescent="0.25">
      <c r="A926" s="5">
        <v>44070</v>
      </c>
      <c r="B926" s="2">
        <v>0</v>
      </c>
      <c r="C926" t="s">
        <v>1784</v>
      </c>
      <c r="D926" t="s">
        <v>1742</v>
      </c>
      <c r="E926" t="s">
        <v>1743</v>
      </c>
      <c r="F926" s="3">
        <v>44015</v>
      </c>
      <c r="G926" s="2">
        <v>55</v>
      </c>
      <c r="H926" s="1">
        <v>427.35</v>
      </c>
      <c r="I926" t="s">
        <v>1785</v>
      </c>
      <c r="J926" s="2">
        <v>1</v>
      </c>
      <c r="K926" t="s">
        <v>13</v>
      </c>
      <c r="L926" t="s">
        <v>1682</v>
      </c>
      <c r="M926" t="s">
        <v>704</v>
      </c>
    </row>
    <row r="927" spans="1:13" x14ac:dyDescent="0.25">
      <c r="A927" s="5">
        <v>44071</v>
      </c>
      <c r="B927" s="2">
        <v>0</v>
      </c>
      <c r="C927" t="s">
        <v>1786</v>
      </c>
      <c r="D927" t="s">
        <v>1742</v>
      </c>
      <c r="E927" t="s">
        <v>1743</v>
      </c>
      <c r="F927" s="3">
        <v>44021</v>
      </c>
      <c r="G927" s="2">
        <v>50</v>
      </c>
      <c r="H927" s="1">
        <v>486.01</v>
      </c>
      <c r="I927" t="s">
        <v>1756</v>
      </c>
      <c r="J927" s="2">
        <v>1</v>
      </c>
      <c r="K927" t="s">
        <v>13</v>
      </c>
      <c r="L927" t="s">
        <v>1682</v>
      </c>
      <c r="M927" t="s">
        <v>704</v>
      </c>
    </row>
    <row r="928" spans="1:13" x14ac:dyDescent="0.25">
      <c r="A928" s="5">
        <v>44074</v>
      </c>
      <c r="B928" s="2">
        <v>0</v>
      </c>
      <c r="C928" t="s">
        <v>1787</v>
      </c>
      <c r="D928" t="s">
        <v>1742</v>
      </c>
      <c r="E928" t="s">
        <v>1743</v>
      </c>
      <c r="F928" s="3">
        <v>43992</v>
      </c>
      <c r="G928" s="2">
        <v>82</v>
      </c>
      <c r="H928" s="1">
        <v>500.19</v>
      </c>
      <c r="I928" t="s">
        <v>1747</v>
      </c>
      <c r="J928" s="2">
        <v>1</v>
      </c>
      <c r="K928" t="s">
        <v>13</v>
      </c>
      <c r="L928" t="s">
        <v>1682</v>
      </c>
      <c r="M928" t="s">
        <v>704</v>
      </c>
    </row>
    <row r="929" spans="1:13" x14ac:dyDescent="0.25">
      <c r="A929" s="5">
        <v>44074</v>
      </c>
      <c r="B929" s="2">
        <v>0</v>
      </c>
      <c r="C929" t="s">
        <v>1788</v>
      </c>
      <c r="D929" t="s">
        <v>1742</v>
      </c>
      <c r="E929" t="s">
        <v>1743</v>
      </c>
      <c r="F929" s="3">
        <v>44007</v>
      </c>
      <c r="G929" s="2">
        <v>67</v>
      </c>
      <c r="H929" s="1">
        <v>329.37</v>
      </c>
      <c r="I929" t="s">
        <v>1764</v>
      </c>
      <c r="J929" s="2">
        <v>1</v>
      </c>
      <c r="K929" t="s">
        <v>13</v>
      </c>
      <c r="L929" t="s">
        <v>1682</v>
      </c>
      <c r="M929" t="s">
        <v>704</v>
      </c>
    </row>
    <row r="930" spans="1:13" x14ac:dyDescent="0.25">
      <c r="A930" s="5">
        <v>44074</v>
      </c>
      <c r="B930" s="2">
        <v>0</v>
      </c>
      <c r="C930" t="s">
        <v>1789</v>
      </c>
      <c r="D930" t="s">
        <v>1350</v>
      </c>
      <c r="E930" t="s">
        <v>1351</v>
      </c>
      <c r="F930" s="3">
        <v>44028</v>
      </c>
      <c r="G930" s="2">
        <v>46</v>
      </c>
      <c r="H930" s="1">
        <v>251.79</v>
      </c>
      <c r="I930" t="s">
        <v>1767</v>
      </c>
      <c r="J930" s="2">
        <v>1</v>
      </c>
      <c r="K930" t="s">
        <v>13</v>
      </c>
      <c r="L930" t="s">
        <v>21</v>
      </c>
      <c r="M930" t="s">
        <v>25</v>
      </c>
    </row>
    <row r="931" spans="1:13" x14ac:dyDescent="0.25">
      <c r="A931" s="5">
        <v>44074</v>
      </c>
      <c r="B931" s="2">
        <v>0</v>
      </c>
      <c r="C931" t="s">
        <v>1790</v>
      </c>
      <c r="D931" t="s">
        <v>1350</v>
      </c>
      <c r="E931" t="s">
        <v>1351</v>
      </c>
      <c r="F931" s="3">
        <v>44029</v>
      </c>
      <c r="G931" s="2">
        <v>45</v>
      </c>
      <c r="H931" s="1">
        <v>328.78</v>
      </c>
      <c r="I931" t="s">
        <v>1770</v>
      </c>
      <c r="J931" s="2">
        <v>1</v>
      </c>
      <c r="K931" t="s">
        <v>13</v>
      </c>
      <c r="L931" t="s">
        <v>21</v>
      </c>
      <c r="M931" t="s">
        <v>25</v>
      </c>
    </row>
    <row r="932" spans="1:13" x14ac:dyDescent="0.25">
      <c r="A932" s="5">
        <v>44075</v>
      </c>
      <c r="B932" s="2">
        <v>0</v>
      </c>
      <c r="C932" t="s">
        <v>1791</v>
      </c>
      <c r="D932" t="s">
        <v>1723</v>
      </c>
      <c r="E932" t="s">
        <v>1724</v>
      </c>
      <c r="F932" s="3">
        <v>44015</v>
      </c>
      <c r="G932" s="2">
        <v>60</v>
      </c>
      <c r="H932" s="1">
        <v>305.45</v>
      </c>
      <c r="I932" t="s">
        <v>1752</v>
      </c>
      <c r="J932" s="2">
        <v>1</v>
      </c>
      <c r="K932" t="s">
        <v>13</v>
      </c>
      <c r="L932" t="s">
        <v>1682</v>
      </c>
      <c r="M932" t="s">
        <v>704</v>
      </c>
    </row>
    <row r="933" spans="1:13" x14ac:dyDescent="0.25">
      <c r="A933" s="5">
        <v>44077</v>
      </c>
      <c r="B933" s="2">
        <v>0</v>
      </c>
      <c r="C933" t="s">
        <v>1792</v>
      </c>
      <c r="D933" t="s">
        <v>1723</v>
      </c>
      <c r="E933" t="s">
        <v>1724</v>
      </c>
      <c r="F933" s="3">
        <v>44007</v>
      </c>
      <c r="G933" s="2">
        <v>70</v>
      </c>
      <c r="H933" s="1">
        <v>258.32</v>
      </c>
      <c r="I933" t="s">
        <v>1759</v>
      </c>
      <c r="J933" s="2">
        <v>1</v>
      </c>
      <c r="K933" t="s">
        <v>13</v>
      </c>
      <c r="L933" t="s">
        <v>1682</v>
      </c>
      <c r="M933" t="s">
        <v>704</v>
      </c>
    </row>
    <row r="934" spans="1:13" x14ac:dyDescent="0.25">
      <c r="A934" s="5">
        <v>44077</v>
      </c>
      <c r="B934" s="2">
        <v>0</v>
      </c>
      <c r="C934" t="s">
        <v>1793</v>
      </c>
      <c r="D934" t="s">
        <v>1723</v>
      </c>
      <c r="E934" t="s">
        <v>1724</v>
      </c>
      <c r="F934" s="3">
        <v>44021</v>
      </c>
      <c r="G934" s="2">
        <v>56</v>
      </c>
      <c r="H934" s="1">
        <v>663.56</v>
      </c>
      <c r="I934" t="s">
        <v>1794</v>
      </c>
      <c r="J934" s="2">
        <v>1</v>
      </c>
      <c r="K934" t="s">
        <v>13</v>
      </c>
      <c r="L934" t="s">
        <v>1682</v>
      </c>
      <c r="M934" t="s">
        <v>704</v>
      </c>
    </row>
    <row r="935" spans="1:13" x14ac:dyDescent="0.25">
      <c r="A935" s="5">
        <v>44081</v>
      </c>
      <c r="B935" s="2">
        <v>0</v>
      </c>
      <c r="C935" t="s">
        <v>1795</v>
      </c>
      <c r="D935" t="s">
        <v>1723</v>
      </c>
      <c r="E935" t="s">
        <v>1724</v>
      </c>
      <c r="F935" s="3">
        <v>44014</v>
      </c>
      <c r="G935" s="2">
        <v>67</v>
      </c>
      <c r="H935" s="1">
        <v>397.9</v>
      </c>
      <c r="I935" t="s">
        <v>1753</v>
      </c>
      <c r="J935" s="2">
        <v>1</v>
      </c>
      <c r="K935" t="s">
        <v>13</v>
      </c>
      <c r="L935" t="s">
        <v>1682</v>
      </c>
      <c r="M935" t="s">
        <v>704</v>
      </c>
    </row>
    <row r="936" spans="1:13" x14ac:dyDescent="0.25">
      <c r="A936" s="5">
        <v>44081</v>
      </c>
      <c r="B936" s="2">
        <v>0</v>
      </c>
      <c r="C936" t="s">
        <v>1796</v>
      </c>
      <c r="D936" t="s">
        <v>1742</v>
      </c>
      <c r="E936" t="s">
        <v>1743</v>
      </c>
      <c r="F936" s="3">
        <v>43986</v>
      </c>
      <c r="G936" s="2">
        <v>95</v>
      </c>
      <c r="H936" s="1">
        <v>738.65</v>
      </c>
      <c r="I936" t="s">
        <v>1755</v>
      </c>
      <c r="J936" s="2">
        <v>1</v>
      </c>
      <c r="K936" t="s">
        <v>13</v>
      </c>
      <c r="L936" t="s">
        <v>1682</v>
      </c>
      <c r="M936" t="s">
        <v>704</v>
      </c>
    </row>
    <row r="937" spans="1:13" x14ac:dyDescent="0.25">
      <c r="A937" s="5">
        <v>44081</v>
      </c>
      <c r="B937" s="2">
        <v>0</v>
      </c>
      <c r="C937" t="s">
        <v>1797</v>
      </c>
      <c r="D937" t="s">
        <v>1742</v>
      </c>
      <c r="E937" t="s">
        <v>1743</v>
      </c>
      <c r="F937" s="3">
        <v>44015</v>
      </c>
      <c r="G937" s="2">
        <v>66</v>
      </c>
      <c r="H937" s="1">
        <v>370.03</v>
      </c>
      <c r="I937" t="s">
        <v>1785</v>
      </c>
      <c r="J937" s="2">
        <v>1</v>
      </c>
      <c r="K937" t="s">
        <v>13</v>
      </c>
      <c r="L937" t="s">
        <v>1682</v>
      </c>
      <c r="M937" t="s">
        <v>704</v>
      </c>
    </row>
    <row r="938" spans="1:13" x14ac:dyDescent="0.25">
      <c r="A938" s="5">
        <v>44081</v>
      </c>
      <c r="B938" s="2">
        <v>0</v>
      </c>
      <c r="C938" t="s">
        <v>1798</v>
      </c>
      <c r="D938" t="s">
        <v>1742</v>
      </c>
      <c r="E938" t="s">
        <v>1743</v>
      </c>
      <c r="F938" s="3">
        <v>44019</v>
      </c>
      <c r="G938" s="2">
        <v>62</v>
      </c>
      <c r="H938" s="1">
        <v>284.66000000000003</v>
      </c>
      <c r="I938" t="s">
        <v>1782</v>
      </c>
      <c r="J938" s="2">
        <v>1</v>
      </c>
      <c r="K938" t="s">
        <v>13</v>
      </c>
      <c r="L938" t="s">
        <v>1682</v>
      </c>
      <c r="M938" t="s">
        <v>704</v>
      </c>
    </row>
    <row r="939" spans="1:13" x14ac:dyDescent="0.25">
      <c r="A939" s="5">
        <v>44081</v>
      </c>
      <c r="B939" s="2">
        <v>0</v>
      </c>
      <c r="C939" t="s">
        <v>1799</v>
      </c>
      <c r="D939" t="s">
        <v>1742</v>
      </c>
      <c r="E939" t="s">
        <v>1743</v>
      </c>
      <c r="F939" s="3">
        <v>44021</v>
      </c>
      <c r="G939" s="2">
        <v>60</v>
      </c>
      <c r="H939" s="1">
        <v>412.47</v>
      </c>
      <c r="I939" t="s">
        <v>1763</v>
      </c>
      <c r="J939" s="2">
        <v>1</v>
      </c>
      <c r="K939" t="s">
        <v>13</v>
      </c>
      <c r="L939" t="s">
        <v>1682</v>
      </c>
      <c r="M939" t="s">
        <v>704</v>
      </c>
    </row>
    <row r="940" spans="1:13" x14ac:dyDescent="0.25">
      <c r="A940" s="5">
        <v>44081</v>
      </c>
      <c r="B940" s="2">
        <v>0</v>
      </c>
      <c r="C940" t="s">
        <v>1800</v>
      </c>
      <c r="D940" t="s">
        <v>1742</v>
      </c>
      <c r="E940" t="s">
        <v>1743</v>
      </c>
      <c r="F940" s="3">
        <v>44021</v>
      </c>
      <c r="G940" s="2">
        <v>60</v>
      </c>
      <c r="H940" s="1">
        <v>486.01</v>
      </c>
      <c r="I940" t="s">
        <v>1756</v>
      </c>
      <c r="J940" s="2">
        <v>1</v>
      </c>
      <c r="K940" t="s">
        <v>13</v>
      </c>
      <c r="L940" t="s">
        <v>1682</v>
      </c>
      <c r="M940" t="s">
        <v>704</v>
      </c>
    </row>
    <row r="941" spans="1:13" x14ac:dyDescent="0.25">
      <c r="A941" s="5">
        <v>44083</v>
      </c>
      <c r="B941" s="2">
        <v>0</v>
      </c>
      <c r="C941" t="s">
        <v>1801</v>
      </c>
      <c r="D941" t="s">
        <v>1350</v>
      </c>
      <c r="E941" t="s">
        <v>1351</v>
      </c>
      <c r="F941" s="3">
        <v>44028</v>
      </c>
      <c r="G941" s="2">
        <v>55</v>
      </c>
      <c r="H941" s="1">
        <v>251.73</v>
      </c>
      <c r="I941" t="s">
        <v>1767</v>
      </c>
      <c r="J941" s="2">
        <v>1</v>
      </c>
      <c r="K941" t="s">
        <v>13</v>
      </c>
      <c r="L941" t="s">
        <v>21</v>
      </c>
      <c r="M941" t="s">
        <v>25</v>
      </c>
    </row>
    <row r="942" spans="1:13" x14ac:dyDescent="0.25">
      <c r="A942" s="5">
        <v>44084</v>
      </c>
      <c r="B942" s="2">
        <v>0</v>
      </c>
      <c r="C942" t="s">
        <v>1802</v>
      </c>
      <c r="D942" t="s">
        <v>1723</v>
      </c>
      <c r="E942" t="s">
        <v>1724</v>
      </c>
      <c r="F942" s="3">
        <v>44014</v>
      </c>
      <c r="G942" s="2">
        <v>70</v>
      </c>
      <c r="H942" s="1">
        <v>355.12</v>
      </c>
      <c r="I942" t="s">
        <v>1768</v>
      </c>
      <c r="J942" s="2">
        <v>1</v>
      </c>
      <c r="K942" t="s">
        <v>13</v>
      </c>
      <c r="L942" t="s">
        <v>1682</v>
      </c>
      <c r="M942" t="s">
        <v>704</v>
      </c>
    </row>
    <row r="943" spans="1:13" x14ac:dyDescent="0.25">
      <c r="A943" s="5">
        <v>44084</v>
      </c>
      <c r="B943" s="2">
        <v>0</v>
      </c>
      <c r="C943" t="s">
        <v>1803</v>
      </c>
      <c r="D943" t="s">
        <v>1723</v>
      </c>
      <c r="E943" t="s">
        <v>1724</v>
      </c>
      <c r="F943" s="3">
        <v>44021</v>
      </c>
      <c r="G943" s="2">
        <v>63</v>
      </c>
      <c r="H943" s="1">
        <v>538.09</v>
      </c>
      <c r="I943" t="s">
        <v>1794</v>
      </c>
      <c r="J943" s="2">
        <v>1</v>
      </c>
      <c r="K943" t="s">
        <v>13</v>
      </c>
      <c r="L943" t="s">
        <v>1682</v>
      </c>
      <c r="M943" t="s">
        <v>704</v>
      </c>
    </row>
    <row r="944" spans="1:13" x14ac:dyDescent="0.25">
      <c r="A944" s="5">
        <v>44084</v>
      </c>
      <c r="B944" s="2">
        <v>0</v>
      </c>
      <c r="C944" t="s">
        <v>1804</v>
      </c>
      <c r="D944" t="s">
        <v>1350</v>
      </c>
      <c r="E944" t="s">
        <v>1351</v>
      </c>
      <c r="F944" s="3">
        <v>44029</v>
      </c>
      <c r="G944" s="2">
        <v>55</v>
      </c>
      <c r="H944" s="1">
        <v>328.67</v>
      </c>
      <c r="I944" t="s">
        <v>1770</v>
      </c>
      <c r="J944" s="2">
        <v>1</v>
      </c>
      <c r="K944" t="s">
        <v>13</v>
      </c>
      <c r="L944" t="s">
        <v>21</v>
      </c>
      <c r="M944" t="s">
        <v>25</v>
      </c>
    </row>
    <row r="945" spans="1:13" x14ac:dyDescent="0.25">
      <c r="A945" s="5">
        <v>44085</v>
      </c>
      <c r="B945" s="2">
        <v>0</v>
      </c>
      <c r="C945" t="s">
        <v>1805</v>
      </c>
      <c r="D945" t="s">
        <v>1742</v>
      </c>
      <c r="E945" t="s">
        <v>1743</v>
      </c>
      <c r="F945" s="3">
        <v>44015</v>
      </c>
      <c r="G945" s="2">
        <v>70</v>
      </c>
      <c r="H945" s="1">
        <v>307.47000000000003</v>
      </c>
      <c r="I945" t="s">
        <v>1772</v>
      </c>
      <c r="J945" s="2">
        <v>1</v>
      </c>
      <c r="K945" t="s">
        <v>13</v>
      </c>
      <c r="L945" t="s">
        <v>1682</v>
      </c>
      <c r="M945" t="s">
        <v>704</v>
      </c>
    </row>
    <row r="946" spans="1:13" x14ac:dyDescent="0.25">
      <c r="A946" s="5">
        <v>44089</v>
      </c>
      <c r="B946" s="2">
        <v>0</v>
      </c>
      <c r="C946" t="s">
        <v>1841</v>
      </c>
      <c r="D946" t="s">
        <v>1723</v>
      </c>
      <c r="E946" t="s">
        <v>1724</v>
      </c>
      <c r="F946" s="3">
        <v>44014</v>
      </c>
      <c r="G946" s="2">
        <v>75</v>
      </c>
      <c r="H946" s="1">
        <v>374.65</v>
      </c>
      <c r="I946" t="s">
        <v>1753</v>
      </c>
      <c r="J946" s="2">
        <v>1</v>
      </c>
      <c r="K946" t="s">
        <v>13</v>
      </c>
      <c r="L946" t="s">
        <v>1682</v>
      </c>
      <c r="M946" t="s">
        <v>704</v>
      </c>
    </row>
    <row r="947" spans="1:13" x14ac:dyDescent="0.25">
      <c r="A947" s="5">
        <v>44089</v>
      </c>
      <c r="B947" s="2">
        <v>0</v>
      </c>
      <c r="C947" t="s">
        <v>1842</v>
      </c>
      <c r="D947" t="s">
        <v>1742</v>
      </c>
      <c r="E947" t="s">
        <v>1743</v>
      </c>
      <c r="F947" s="3">
        <v>44019</v>
      </c>
      <c r="G947" s="2">
        <v>70</v>
      </c>
      <c r="H947" s="1">
        <v>284.67</v>
      </c>
      <c r="I947" t="s">
        <v>1782</v>
      </c>
      <c r="J947" s="2">
        <v>1</v>
      </c>
      <c r="K947" t="s">
        <v>13</v>
      </c>
      <c r="L947" t="s">
        <v>1682</v>
      </c>
      <c r="M947" t="s">
        <v>704</v>
      </c>
    </row>
    <row r="948" spans="1:13" x14ac:dyDescent="0.25">
      <c r="A948" s="5">
        <v>44090</v>
      </c>
      <c r="B948" s="2">
        <v>0</v>
      </c>
      <c r="C948" t="s">
        <v>1843</v>
      </c>
      <c r="D948" t="s">
        <v>1742</v>
      </c>
      <c r="E948" t="s">
        <v>1743</v>
      </c>
      <c r="F948" s="3">
        <v>44015</v>
      </c>
      <c r="G948" s="2">
        <v>75</v>
      </c>
      <c r="H948" s="1">
        <v>364.03</v>
      </c>
      <c r="I948" t="s">
        <v>1760</v>
      </c>
      <c r="J948" s="2">
        <v>1</v>
      </c>
      <c r="K948" t="s">
        <v>13</v>
      </c>
      <c r="L948" t="s">
        <v>1682</v>
      </c>
      <c r="M948" t="s">
        <v>704</v>
      </c>
    </row>
    <row r="949" spans="1:13" x14ac:dyDescent="0.25">
      <c r="A949" s="5">
        <v>44091</v>
      </c>
      <c r="B949" s="2">
        <v>0</v>
      </c>
      <c r="C949" t="s">
        <v>1845</v>
      </c>
      <c r="D949" t="s">
        <v>1723</v>
      </c>
      <c r="E949" t="s">
        <v>1724</v>
      </c>
      <c r="F949" s="3">
        <v>44021</v>
      </c>
      <c r="G949" s="2">
        <v>70</v>
      </c>
      <c r="H949" s="1">
        <v>538.1</v>
      </c>
      <c r="I949" t="s">
        <v>1794</v>
      </c>
      <c r="J949" s="2">
        <v>1</v>
      </c>
      <c r="K949" t="s">
        <v>13</v>
      </c>
      <c r="L949" t="s">
        <v>1682</v>
      </c>
      <c r="M949" t="s">
        <v>704</v>
      </c>
    </row>
    <row r="950" spans="1:13" x14ac:dyDescent="0.25">
      <c r="A950" s="5">
        <v>44091</v>
      </c>
      <c r="B950" s="2">
        <v>0</v>
      </c>
      <c r="C950" t="s">
        <v>1848</v>
      </c>
      <c r="D950" t="s">
        <v>1742</v>
      </c>
      <c r="E950" t="s">
        <v>1743</v>
      </c>
      <c r="F950" s="3">
        <v>44021</v>
      </c>
      <c r="G950" s="2">
        <v>70</v>
      </c>
      <c r="H950" s="1">
        <v>486.03</v>
      </c>
      <c r="I950" t="s">
        <v>1756</v>
      </c>
      <c r="J950" s="2">
        <v>1</v>
      </c>
      <c r="K950" t="s">
        <v>13</v>
      </c>
      <c r="L950" t="s">
        <v>1682</v>
      </c>
      <c r="M950" t="s">
        <v>704</v>
      </c>
    </row>
    <row r="951" spans="1:13" x14ac:dyDescent="0.25">
      <c r="A951" s="5">
        <v>44099</v>
      </c>
      <c r="B951" s="2">
        <v>0</v>
      </c>
      <c r="C951" t="s">
        <v>1870</v>
      </c>
      <c r="D951" t="s">
        <v>1723</v>
      </c>
      <c r="E951" t="s">
        <v>1724</v>
      </c>
      <c r="F951" s="3">
        <v>44014</v>
      </c>
      <c r="G951" s="2">
        <v>85</v>
      </c>
      <c r="H951" s="1">
        <v>374.67</v>
      </c>
      <c r="I951" t="s">
        <v>1753</v>
      </c>
      <c r="J951" s="2">
        <v>1</v>
      </c>
      <c r="K951" t="s">
        <v>13</v>
      </c>
      <c r="L951" t="s">
        <v>1682</v>
      </c>
      <c r="M951" t="s">
        <v>704</v>
      </c>
    </row>
    <row r="952" spans="1:13" x14ac:dyDescent="0.25">
      <c r="A952" s="5">
        <v>44102</v>
      </c>
      <c r="B952" s="2">
        <v>0</v>
      </c>
      <c r="C952" t="s">
        <v>1872</v>
      </c>
      <c r="D952" t="s">
        <v>1742</v>
      </c>
      <c r="E952" t="s">
        <v>1743</v>
      </c>
      <c r="F952" s="3">
        <v>44021</v>
      </c>
      <c r="G952" s="2">
        <v>81</v>
      </c>
      <c r="H952" s="1">
        <v>412.48</v>
      </c>
      <c r="I952" t="s">
        <v>1763</v>
      </c>
      <c r="J952" s="2">
        <v>1</v>
      </c>
      <c r="K952" t="s">
        <v>13</v>
      </c>
      <c r="L952" t="s">
        <v>1682</v>
      </c>
      <c r="M952" t="s">
        <v>704</v>
      </c>
    </row>
    <row r="953" spans="1:13" x14ac:dyDescent="0.25">
      <c r="A953" s="5">
        <v>44105</v>
      </c>
      <c r="B953" s="2">
        <v>0</v>
      </c>
      <c r="C953" t="s">
        <v>1873</v>
      </c>
      <c r="D953" t="s">
        <v>1723</v>
      </c>
      <c r="E953" t="s">
        <v>1724</v>
      </c>
      <c r="F953" s="3">
        <v>44015</v>
      </c>
      <c r="G953" s="2">
        <v>90</v>
      </c>
      <c r="H953" s="1">
        <v>305.44</v>
      </c>
      <c r="I953" t="s">
        <v>1752</v>
      </c>
      <c r="J953" s="2">
        <v>1</v>
      </c>
      <c r="K953" t="s">
        <v>13</v>
      </c>
      <c r="L953" t="s">
        <v>1682</v>
      </c>
      <c r="M953" t="s">
        <v>704</v>
      </c>
    </row>
    <row r="954" spans="1:13" x14ac:dyDescent="0.25">
      <c r="A954" s="5">
        <v>44105</v>
      </c>
      <c r="B954" s="2">
        <v>0</v>
      </c>
      <c r="C954" t="s">
        <v>1874</v>
      </c>
      <c r="D954" t="s">
        <v>1673</v>
      </c>
      <c r="E954" t="s">
        <v>1674</v>
      </c>
      <c r="F954" s="3">
        <v>44015</v>
      </c>
      <c r="G954" s="2">
        <v>90</v>
      </c>
      <c r="H954" s="1">
        <v>536.25</v>
      </c>
      <c r="I954" t="s">
        <v>1875</v>
      </c>
      <c r="J954" s="2">
        <v>1</v>
      </c>
      <c r="K954" t="s">
        <v>13</v>
      </c>
      <c r="L954" t="s">
        <v>554</v>
      </c>
      <c r="M954" t="s">
        <v>1675</v>
      </c>
    </row>
    <row r="955" spans="1:13" x14ac:dyDescent="0.25">
      <c r="A955" s="5">
        <v>44105</v>
      </c>
      <c r="B955" s="2">
        <v>0</v>
      </c>
      <c r="C955" t="s">
        <v>1876</v>
      </c>
      <c r="D955" t="s">
        <v>1673</v>
      </c>
      <c r="E955" t="s">
        <v>1674</v>
      </c>
      <c r="F955" s="3">
        <v>44015</v>
      </c>
      <c r="G955" s="2">
        <v>90</v>
      </c>
      <c r="H955" s="1">
        <v>465.76</v>
      </c>
      <c r="I955" t="s">
        <v>1877</v>
      </c>
      <c r="J955" s="2">
        <v>1</v>
      </c>
      <c r="K955" t="s">
        <v>13</v>
      </c>
      <c r="L955" t="s">
        <v>554</v>
      </c>
      <c r="M955" t="s">
        <v>1675</v>
      </c>
    </row>
    <row r="956" spans="1:13" x14ac:dyDescent="0.25">
      <c r="A956" s="5">
        <v>44105</v>
      </c>
      <c r="B956" s="2">
        <v>0</v>
      </c>
      <c r="C956" t="s">
        <v>1878</v>
      </c>
      <c r="D956" t="s">
        <v>1742</v>
      </c>
      <c r="E956" t="s">
        <v>1743</v>
      </c>
      <c r="F956" s="3">
        <v>44015</v>
      </c>
      <c r="G956" s="2">
        <v>90</v>
      </c>
      <c r="H956" s="1">
        <v>307.48</v>
      </c>
      <c r="I956" t="s">
        <v>1772</v>
      </c>
      <c r="J956" s="2">
        <v>1</v>
      </c>
      <c r="K956" t="s">
        <v>13</v>
      </c>
      <c r="L956" t="s">
        <v>1682</v>
      </c>
      <c r="M956" t="s">
        <v>704</v>
      </c>
    </row>
    <row r="957" spans="1:13" x14ac:dyDescent="0.25">
      <c r="A957" s="5">
        <v>44109</v>
      </c>
      <c r="B957" s="2">
        <v>0</v>
      </c>
      <c r="C957" t="s">
        <v>1879</v>
      </c>
      <c r="D957" t="s">
        <v>1673</v>
      </c>
      <c r="E957" t="s">
        <v>1674</v>
      </c>
      <c r="F957" s="3">
        <v>44018</v>
      </c>
      <c r="G957" s="2">
        <v>91</v>
      </c>
      <c r="H957" s="1">
        <v>434.73</v>
      </c>
      <c r="I957" t="s">
        <v>1880</v>
      </c>
      <c r="J957" s="2">
        <v>1</v>
      </c>
      <c r="K957" t="s">
        <v>13</v>
      </c>
      <c r="L957" t="s">
        <v>554</v>
      </c>
      <c r="M957" t="s">
        <v>1675</v>
      </c>
    </row>
    <row r="958" spans="1:13" x14ac:dyDescent="0.25">
      <c r="A958" s="5">
        <v>44109</v>
      </c>
      <c r="B958" s="2">
        <v>0</v>
      </c>
      <c r="C958" t="s">
        <v>1881</v>
      </c>
      <c r="D958" t="s">
        <v>1673</v>
      </c>
      <c r="E958" t="s">
        <v>1674</v>
      </c>
      <c r="F958" s="3">
        <v>44018</v>
      </c>
      <c r="G958" s="2">
        <v>91</v>
      </c>
      <c r="H958" s="1">
        <v>386.3</v>
      </c>
      <c r="I958" t="s">
        <v>1882</v>
      </c>
      <c r="J958" s="2">
        <v>1</v>
      </c>
      <c r="K958" t="s">
        <v>13</v>
      </c>
      <c r="L958" t="s">
        <v>554</v>
      </c>
      <c r="M958" t="s">
        <v>1675</v>
      </c>
    </row>
    <row r="959" spans="1:13" x14ac:dyDescent="0.25">
      <c r="A959" s="5">
        <v>44109</v>
      </c>
      <c r="B959" s="2">
        <v>0</v>
      </c>
      <c r="C959" t="s">
        <v>1883</v>
      </c>
      <c r="D959" t="s">
        <v>1748</v>
      </c>
      <c r="E959" t="s">
        <v>1840</v>
      </c>
      <c r="F959" s="3">
        <v>44064</v>
      </c>
      <c r="G959" s="2">
        <v>45</v>
      </c>
      <c r="H959" s="1">
        <v>448.07</v>
      </c>
      <c r="I959" t="s">
        <v>1871</v>
      </c>
      <c r="J959" s="2">
        <v>1</v>
      </c>
      <c r="K959" t="s">
        <v>13</v>
      </c>
      <c r="L959" t="s">
        <v>1682</v>
      </c>
      <c r="M959" t="s">
        <v>15</v>
      </c>
    </row>
    <row r="960" spans="1:13" x14ac:dyDescent="0.25">
      <c r="A960" s="5">
        <v>44110</v>
      </c>
      <c r="B960" s="2">
        <v>0</v>
      </c>
      <c r="C960" t="s">
        <v>1885</v>
      </c>
      <c r="D960" t="s">
        <v>1748</v>
      </c>
      <c r="E960" t="s">
        <v>1840</v>
      </c>
      <c r="F960" s="3">
        <v>44075</v>
      </c>
      <c r="G960" s="2">
        <v>35</v>
      </c>
      <c r="H960" s="1">
        <v>446.08</v>
      </c>
      <c r="I960" t="s">
        <v>1844</v>
      </c>
      <c r="J960" s="2">
        <v>1</v>
      </c>
      <c r="K960" t="s">
        <v>13</v>
      </c>
      <c r="L960" t="s">
        <v>1682</v>
      </c>
      <c r="M960" t="s">
        <v>15</v>
      </c>
    </row>
    <row r="961" spans="1:13" x14ac:dyDescent="0.25">
      <c r="A961" s="5">
        <v>44117</v>
      </c>
      <c r="B961" s="2">
        <v>0</v>
      </c>
      <c r="C961" t="s">
        <v>1886</v>
      </c>
      <c r="D961" t="s">
        <v>1748</v>
      </c>
      <c r="E961" t="s">
        <v>1840</v>
      </c>
      <c r="F961" s="3">
        <v>44057</v>
      </c>
      <c r="G961" s="2">
        <v>60</v>
      </c>
      <c r="H961" s="1">
        <v>250.56</v>
      </c>
      <c r="I961" t="s">
        <v>1765</v>
      </c>
      <c r="J961" s="2">
        <v>1</v>
      </c>
      <c r="K961" t="s">
        <v>13</v>
      </c>
      <c r="L961" t="s">
        <v>1682</v>
      </c>
      <c r="M961" t="s">
        <v>15</v>
      </c>
    </row>
    <row r="962" spans="1:13" x14ac:dyDescent="0.25">
      <c r="A962" s="5">
        <v>44117</v>
      </c>
      <c r="B962" s="2">
        <v>0</v>
      </c>
      <c r="C962" t="s">
        <v>1887</v>
      </c>
      <c r="D962" t="s">
        <v>1748</v>
      </c>
      <c r="E962" t="s">
        <v>1840</v>
      </c>
      <c r="F962" s="3">
        <v>44067</v>
      </c>
      <c r="G962" s="2">
        <v>50</v>
      </c>
      <c r="H962" s="1">
        <v>251.7</v>
      </c>
      <c r="I962" t="s">
        <v>1855</v>
      </c>
      <c r="J962" s="2">
        <v>1</v>
      </c>
      <c r="K962" t="s">
        <v>13</v>
      </c>
      <c r="L962" t="s">
        <v>1682</v>
      </c>
      <c r="M962" t="s">
        <v>15</v>
      </c>
    </row>
    <row r="963" spans="1:13" x14ac:dyDescent="0.25">
      <c r="A963" s="5">
        <v>44118</v>
      </c>
      <c r="B963" s="2">
        <v>0</v>
      </c>
      <c r="C963" t="s">
        <v>1888</v>
      </c>
      <c r="D963" t="s">
        <v>1748</v>
      </c>
      <c r="E963" t="s">
        <v>1840</v>
      </c>
      <c r="F963" s="3">
        <v>44088</v>
      </c>
      <c r="G963" s="2">
        <v>30</v>
      </c>
      <c r="H963" s="1">
        <v>297.38</v>
      </c>
      <c r="I963" t="s">
        <v>1854</v>
      </c>
      <c r="J963" s="2">
        <v>1</v>
      </c>
      <c r="K963" t="s">
        <v>13</v>
      </c>
      <c r="L963" t="s">
        <v>1682</v>
      </c>
      <c r="M963" t="s">
        <v>15</v>
      </c>
    </row>
    <row r="964" spans="1:13" x14ac:dyDescent="0.25">
      <c r="A964" s="5">
        <v>44120</v>
      </c>
      <c r="B964" s="2">
        <v>0</v>
      </c>
      <c r="C964" t="s">
        <v>1889</v>
      </c>
      <c r="D964" t="s">
        <v>1748</v>
      </c>
      <c r="E964" t="s">
        <v>1840</v>
      </c>
      <c r="F964" s="3">
        <v>44075</v>
      </c>
      <c r="G964" s="2">
        <v>45</v>
      </c>
      <c r="H964" s="1">
        <v>446.08</v>
      </c>
      <c r="I964" t="s">
        <v>1844</v>
      </c>
      <c r="J964" s="2">
        <v>1</v>
      </c>
      <c r="K964" t="s">
        <v>13</v>
      </c>
      <c r="L964" t="s">
        <v>1682</v>
      </c>
      <c r="M964" t="s">
        <v>15</v>
      </c>
    </row>
    <row r="965" spans="1:13" x14ac:dyDescent="0.25">
      <c r="A965" s="5">
        <v>44123</v>
      </c>
      <c r="B965" s="2">
        <v>0</v>
      </c>
      <c r="C965" t="s">
        <v>1894</v>
      </c>
      <c r="D965" t="s">
        <v>1748</v>
      </c>
      <c r="E965" t="s">
        <v>1840</v>
      </c>
      <c r="F965" s="3">
        <v>44057</v>
      </c>
      <c r="G965" s="2">
        <v>66</v>
      </c>
      <c r="H965" s="1">
        <v>250.56</v>
      </c>
      <c r="I965" t="s">
        <v>1765</v>
      </c>
      <c r="J965" s="2">
        <v>1</v>
      </c>
      <c r="K965" t="s">
        <v>13</v>
      </c>
      <c r="L965" t="s">
        <v>1682</v>
      </c>
      <c r="M965" t="s">
        <v>15</v>
      </c>
    </row>
    <row r="966" spans="1:13" x14ac:dyDescent="0.25">
      <c r="A966" s="5">
        <v>44123</v>
      </c>
      <c r="B966" s="2">
        <v>0</v>
      </c>
      <c r="C966" t="s">
        <v>1895</v>
      </c>
      <c r="D966" t="s">
        <v>1748</v>
      </c>
      <c r="E966" t="s">
        <v>1840</v>
      </c>
      <c r="F966" s="3">
        <v>44083</v>
      </c>
      <c r="G966" s="2">
        <v>40</v>
      </c>
      <c r="H966" s="1">
        <v>413.7</v>
      </c>
      <c r="I966" t="s">
        <v>1896</v>
      </c>
      <c r="J966" s="2">
        <v>1</v>
      </c>
      <c r="K966" t="s">
        <v>13</v>
      </c>
      <c r="L966" t="s">
        <v>1682</v>
      </c>
      <c r="M966" t="s">
        <v>15</v>
      </c>
    </row>
    <row r="967" spans="1:13" x14ac:dyDescent="0.25">
      <c r="A967" s="5">
        <v>44123</v>
      </c>
      <c r="B967" s="2">
        <v>0</v>
      </c>
      <c r="C967" t="s">
        <v>1897</v>
      </c>
      <c r="D967" t="s">
        <v>1748</v>
      </c>
      <c r="E967" t="s">
        <v>1840</v>
      </c>
      <c r="F967" s="3">
        <v>44088</v>
      </c>
      <c r="G967" s="2">
        <v>35</v>
      </c>
      <c r="H967" s="1">
        <v>297.38</v>
      </c>
      <c r="I967" t="s">
        <v>1854</v>
      </c>
      <c r="J967" s="2">
        <v>1</v>
      </c>
      <c r="K967" t="s">
        <v>13</v>
      </c>
      <c r="L967" t="s">
        <v>1682</v>
      </c>
      <c r="M967" t="s">
        <v>15</v>
      </c>
    </row>
    <row r="968" spans="1:13" x14ac:dyDescent="0.25">
      <c r="A968" s="5">
        <v>44123</v>
      </c>
      <c r="B968" s="2">
        <v>0</v>
      </c>
      <c r="C968" t="s">
        <v>1898</v>
      </c>
      <c r="D968" t="s">
        <v>1748</v>
      </c>
      <c r="E968" t="s">
        <v>1840</v>
      </c>
      <c r="F968" s="3">
        <v>44088</v>
      </c>
      <c r="G968" s="2">
        <v>35</v>
      </c>
      <c r="H968" s="1">
        <v>536.95000000000005</v>
      </c>
      <c r="I968" t="s">
        <v>1899</v>
      </c>
      <c r="J968" s="2">
        <v>1</v>
      </c>
      <c r="K968" t="s">
        <v>13</v>
      </c>
      <c r="L968" t="s">
        <v>1682</v>
      </c>
      <c r="M968" t="s">
        <v>15</v>
      </c>
    </row>
    <row r="969" spans="1:13" x14ac:dyDescent="0.25">
      <c r="A969" s="5">
        <v>44127</v>
      </c>
      <c r="B969" s="2">
        <v>0</v>
      </c>
      <c r="C969" t="s">
        <v>1903</v>
      </c>
      <c r="D969" t="s">
        <v>1748</v>
      </c>
      <c r="E969" t="s">
        <v>1840</v>
      </c>
      <c r="F969" s="3">
        <v>44057</v>
      </c>
      <c r="G969" s="2">
        <v>70</v>
      </c>
      <c r="H969" s="1">
        <v>250.56</v>
      </c>
      <c r="I969" t="s">
        <v>1765</v>
      </c>
      <c r="J969" s="2">
        <v>1</v>
      </c>
      <c r="K969" t="s">
        <v>13</v>
      </c>
      <c r="L969" t="s">
        <v>1682</v>
      </c>
      <c r="M969" t="s">
        <v>15</v>
      </c>
    </row>
    <row r="970" spans="1:13" x14ac:dyDescent="0.25">
      <c r="A970" s="5">
        <v>44130</v>
      </c>
      <c r="B970" s="2">
        <v>0</v>
      </c>
      <c r="C970" t="s">
        <v>1904</v>
      </c>
      <c r="D970" t="s">
        <v>1748</v>
      </c>
      <c r="E970" t="s">
        <v>1840</v>
      </c>
      <c r="F970" s="3">
        <v>44088</v>
      </c>
      <c r="G970" s="2">
        <v>42</v>
      </c>
      <c r="H970" s="1">
        <v>297.38</v>
      </c>
      <c r="I970" t="s">
        <v>1854</v>
      </c>
      <c r="J970" s="2">
        <v>1</v>
      </c>
      <c r="K970" t="s">
        <v>13</v>
      </c>
      <c r="L970" t="s">
        <v>1682</v>
      </c>
      <c r="M970" t="s">
        <v>15</v>
      </c>
    </row>
    <row r="971" spans="1:13" x14ac:dyDescent="0.25">
      <c r="A971" s="5">
        <v>44132</v>
      </c>
      <c r="B971" s="2">
        <v>0</v>
      </c>
      <c r="C971" t="s">
        <v>1905</v>
      </c>
      <c r="D971" t="s">
        <v>1906</v>
      </c>
      <c r="E971" t="s">
        <v>1907</v>
      </c>
      <c r="F971" s="3">
        <v>44125</v>
      </c>
      <c r="G971" s="2">
        <v>7</v>
      </c>
      <c r="H971" s="1">
        <v>889.9</v>
      </c>
      <c r="I971" t="s">
        <v>1908</v>
      </c>
      <c r="J971" s="2">
        <v>1</v>
      </c>
      <c r="K971" t="s">
        <v>13</v>
      </c>
      <c r="L971" t="s">
        <v>554</v>
      </c>
      <c r="M971" t="s">
        <v>1407</v>
      </c>
    </row>
    <row r="972" spans="1:13" x14ac:dyDescent="0.25">
      <c r="A972" s="5">
        <v>44132</v>
      </c>
      <c r="B972" s="2">
        <v>0</v>
      </c>
      <c r="C972" t="s">
        <v>1909</v>
      </c>
      <c r="D972" t="s">
        <v>1748</v>
      </c>
      <c r="E972" t="s">
        <v>1840</v>
      </c>
      <c r="F972" s="3">
        <v>44057</v>
      </c>
      <c r="G972" s="2">
        <v>75</v>
      </c>
      <c r="H972" s="1">
        <v>250.6</v>
      </c>
      <c r="I972" t="s">
        <v>1765</v>
      </c>
      <c r="J972" s="2">
        <v>1</v>
      </c>
      <c r="K972" t="s">
        <v>13</v>
      </c>
      <c r="L972" t="s">
        <v>1682</v>
      </c>
      <c r="M972" t="s">
        <v>15</v>
      </c>
    </row>
    <row r="973" spans="1:13" x14ac:dyDescent="0.25">
      <c r="A973" s="5">
        <v>44133</v>
      </c>
      <c r="B973" s="2">
        <v>0</v>
      </c>
      <c r="C973" t="s">
        <v>1912</v>
      </c>
      <c r="D973" t="s">
        <v>1748</v>
      </c>
      <c r="E973" t="s">
        <v>1840</v>
      </c>
      <c r="F973" s="3">
        <v>44088</v>
      </c>
      <c r="G973" s="2">
        <v>45</v>
      </c>
      <c r="H973" s="1">
        <v>297.38</v>
      </c>
      <c r="I973" t="s">
        <v>1854</v>
      </c>
      <c r="J973" s="2">
        <v>1</v>
      </c>
      <c r="K973" t="s">
        <v>13</v>
      </c>
      <c r="L973" t="s">
        <v>1682</v>
      </c>
      <c r="M973" t="s">
        <v>15</v>
      </c>
    </row>
    <row r="974" spans="1:13" x14ac:dyDescent="0.25">
      <c r="A974" s="5">
        <v>44133</v>
      </c>
      <c r="B974" s="2">
        <v>0</v>
      </c>
      <c r="C974" t="s">
        <v>1913</v>
      </c>
      <c r="D974" t="s">
        <v>1748</v>
      </c>
      <c r="E974" t="s">
        <v>1840</v>
      </c>
      <c r="F974" s="3">
        <v>44091</v>
      </c>
      <c r="G974" s="2">
        <v>42</v>
      </c>
      <c r="H974" s="1">
        <v>445.25</v>
      </c>
      <c r="I974" t="s">
        <v>1914</v>
      </c>
      <c r="J974" s="2">
        <v>1</v>
      </c>
      <c r="K974" t="s">
        <v>13</v>
      </c>
      <c r="L974" t="s">
        <v>1682</v>
      </c>
      <c r="M974" t="s">
        <v>15</v>
      </c>
    </row>
    <row r="975" spans="1:13" x14ac:dyDescent="0.25">
      <c r="A975" s="5">
        <v>44134</v>
      </c>
      <c r="B975" s="2">
        <v>0</v>
      </c>
      <c r="C975" t="s">
        <v>1919</v>
      </c>
      <c r="D975" t="s">
        <v>1748</v>
      </c>
      <c r="E975" t="s">
        <v>1840</v>
      </c>
      <c r="F975" s="3">
        <v>44092</v>
      </c>
      <c r="G975" s="2">
        <v>42</v>
      </c>
      <c r="H975" s="1">
        <v>517.58000000000004</v>
      </c>
      <c r="I975" t="s">
        <v>1920</v>
      </c>
      <c r="J975" s="2">
        <v>1</v>
      </c>
      <c r="K975" t="s">
        <v>13</v>
      </c>
      <c r="L975" t="s">
        <v>1682</v>
      </c>
      <c r="M975" t="s">
        <v>15</v>
      </c>
    </row>
    <row r="976" spans="1:13" x14ac:dyDescent="0.25">
      <c r="A976" s="5">
        <v>44138</v>
      </c>
      <c r="B976" s="2">
        <v>0</v>
      </c>
      <c r="C976" t="s">
        <v>1921</v>
      </c>
      <c r="D976" t="s">
        <v>1748</v>
      </c>
      <c r="E976" t="s">
        <v>1840</v>
      </c>
      <c r="F976" s="3">
        <v>44088</v>
      </c>
      <c r="G976" s="2">
        <v>50</v>
      </c>
      <c r="H976" s="1">
        <v>297.38</v>
      </c>
      <c r="I976" t="s">
        <v>1854</v>
      </c>
      <c r="J976" s="2">
        <v>1</v>
      </c>
      <c r="K976" t="s">
        <v>13</v>
      </c>
      <c r="L976" t="s">
        <v>1682</v>
      </c>
      <c r="M976" t="s">
        <v>15</v>
      </c>
    </row>
    <row r="977" spans="1:13" x14ac:dyDescent="0.25">
      <c r="A977" s="5">
        <v>44140</v>
      </c>
      <c r="B977" s="2">
        <v>0</v>
      </c>
      <c r="C977" t="s">
        <v>1922</v>
      </c>
      <c r="D977" t="s">
        <v>1846</v>
      </c>
      <c r="E977" t="s">
        <v>1847</v>
      </c>
      <c r="F977" s="3">
        <v>44070</v>
      </c>
      <c r="G977" s="2">
        <v>70</v>
      </c>
      <c r="H977" s="1">
        <v>275.29000000000002</v>
      </c>
      <c r="I977" t="s">
        <v>1884</v>
      </c>
      <c r="J977" s="2">
        <v>1</v>
      </c>
      <c r="K977" t="s">
        <v>13</v>
      </c>
      <c r="L977" t="s">
        <v>21</v>
      </c>
      <c r="M977" t="s">
        <v>15</v>
      </c>
    </row>
    <row r="978" spans="1:13" x14ac:dyDescent="0.25">
      <c r="A978" s="5">
        <v>44144</v>
      </c>
      <c r="B978" s="2">
        <v>0</v>
      </c>
      <c r="C978" t="s">
        <v>1939</v>
      </c>
      <c r="D978" t="s">
        <v>1846</v>
      </c>
      <c r="E978" t="s">
        <v>1847</v>
      </c>
      <c r="F978" s="3">
        <v>44084</v>
      </c>
      <c r="G978" s="2">
        <v>60</v>
      </c>
      <c r="H978" s="1">
        <v>207.33</v>
      </c>
      <c r="I978" t="s">
        <v>1918</v>
      </c>
      <c r="J978" s="2">
        <v>1</v>
      </c>
      <c r="K978" t="s">
        <v>13</v>
      </c>
      <c r="L978" t="s">
        <v>21</v>
      </c>
      <c r="M978" t="s">
        <v>15</v>
      </c>
    </row>
    <row r="979" spans="1:13" x14ac:dyDescent="0.25">
      <c r="A979" s="5">
        <v>44144</v>
      </c>
      <c r="B979" s="2">
        <v>0</v>
      </c>
      <c r="C979" t="s">
        <v>1941</v>
      </c>
      <c r="D979" t="s">
        <v>1748</v>
      </c>
      <c r="E979" t="s">
        <v>1840</v>
      </c>
      <c r="F979" s="3">
        <v>44083</v>
      </c>
      <c r="G979" s="2">
        <v>61</v>
      </c>
      <c r="H979" s="1">
        <v>413.69</v>
      </c>
      <c r="I979" t="s">
        <v>1896</v>
      </c>
      <c r="J979" s="2">
        <v>1</v>
      </c>
      <c r="K979" t="s">
        <v>13</v>
      </c>
      <c r="L979" t="s">
        <v>1682</v>
      </c>
      <c r="M979" t="s">
        <v>15</v>
      </c>
    </row>
    <row r="980" spans="1:13" x14ac:dyDescent="0.25">
      <c r="A980" s="5">
        <v>44144</v>
      </c>
      <c r="B980" s="2">
        <v>0</v>
      </c>
      <c r="C980" t="s">
        <v>1942</v>
      </c>
      <c r="D980" t="s">
        <v>1748</v>
      </c>
      <c r="E980" t="s">
        <v>1840</v>
      </c>
      <c r="F980" s="3">
        <v>44088</v>
      </c>
      <c r="G980" s="2">
        <v>56</v>
      </c>
      <c r="H980" s="1">
        <v>296.94</v>
      </c>
      <c r="I980" t="s">
        <v>1854</v>
      </c>
      <c r="J980" s="2">
        <v>1</v>
      </c>
      <c r="K980" t="s">
        <v>13</v>
      </c>
      <c r="L980" t="s">
        <v>1682</v>
      </c>
      <c r="M980" t="s">
        <v>15</v>
      </c>
    </row>
    <row r="981" spans="1:13" x14ac:dyDescent="0.25">
      <c r="A981" s="5">
        <v>44146</v>
      </c>
      <c r="B981" s="2">
        <v>0</v>
      </c>
      <c r="C981" t="s">
        <v>1945</v>
      </c>
      <c r="D981" t="s">
        <v>1748</v>
      </c>
      <c r="E981" t="s">
        <v>1840</v>
      </c>
      <c r="F981" s="3">
        <v>44106</v>
      </c>
      <c r="G981" s="2">
        <v>40</v>
      </c>
      <c r="H981" s="1">
        <v>397.08</v>
      </c>
      <c r="I981" t="s">
        <v>1946</v>
      </c>
      <c r="J981" s="2">
        <v>1</v>
      </c>
      <c r="K981" t="s">
        <v>13</v>
      </c>
      <c r="L981" t="s">
        <v>1682</v>
      </c>
      <c r="M981" t="s">
        <v>15</v>
      </c>
    </row>
    <row r="982" spans="1:13" x14ac:dyDescent="0.25">
      <c r="A982" s="5">
        <v>44148</v>
      </c>
      <c r="B982" s="2">
        <v>0</v>
      </c>
      <c r="C982" t="s">
        <v>1950</v>
      </c>
      <c r="D982" t="s">
        <v>1748</v>
      </c>
      <c r="E982" t="s">
        <v>1840</v>
      </c>
      <c r="F982" s="3">
        <v>44088</v>
      </c>
      <c r="G982" s="2">
        <v>60</v>
      </c>
      <c r="H982" s="1">
        <v>296.94</v>
      </c>
      <c r="I982" t="s">
        <v>1854</v>
      </c>
      <c r="J982" s="2">
        <v>1</v>
      </c>
      <c r="K982" t="s">
        <v>13</v>
      </c>
      <c r="L982" t="s">
        <v>1682</v>
      </c>
      <c r="M982" t="s">
        <v>15</v>
      </c>
    </row>
    <row r="983" spans="1:13" x14ac:dyDescent="0.25">
      <c r="A983" s="5">
        <v>44151</v>
      </c>
      <c r="B983" s="2">
        <v>0</v>
      </c>
      <c r="C983" t="s">
        <v>1951</v>
      </c>
      <c r="D983" t="s">
        <v>1952</v>
      </c>
      <c r="E983" t="s">
        <v>1953</v>
      </c>
      <c r="F983" s="3">
        <v>44099</v>
      </c>
      <c r="G983" s="2">
        <v>52</v>
      </c>
      <c r="H983" s="1">
        <v>2398.39</v>
      </c>
      <c r="I983" t="s">
        <v>1954</v>
      </c>
      <c r="J983" s="2">
        <v>1</v>
      </c>
      <c r="K983" t="s">
        <v>13</v>
      </c>
      <c r="L983" t="s">
        <v>671</v>
      </c>
      <c r="M983" t="s">
        <v>15</v>
      </c>
    </row>
    <row r="984" spans="1:13" x14ac:dyDescent="0.25">
      <c r="A984" s="5">
        <v>44151</v>
      </c>
      <c r="B984" s="2">
        <v>0</v>
      </c>
      <c r="C984" t="s">
        <v>1955</v>
      </c>
      <c r="D984" t="s">
        <v>1846</v>
      </c>
      <c r="E984" t="s">
        <v>1847</v>
      </c>
      <c r="F984" s="3">
        <v>44070</v>
      </c>
      <c r="G984" s="2">
        <v>81</v>
      </c>
      <c r="H984" s="1">
        <v>275.29000000000002</v>
      </c>
      <c r="I984" t="s">
        <v>1884</v>
      </c>
      <c r="J984" s="2">
        <v>1</v>
      </c>
      <c r="K984" t="s">
        <v>13</v>
      </c>
      <c r="L984" t="s">
        <v>21</v>
      </c>
      <c r="M984" t="s">
        <v>15</v>
      </c>
    </row>
    <row r="985" spans="1:13" x14ac:dyDescent="0.25">
      <c r="A985" s="5">
        <v>44153</v>
      </c>
      <c r="B985" s="2">
        <v>0</v>
      </c>
      <c r="C985" t="s">
        <v>1957</v>
      </c>
      <c r="D985" t="s">
        <v>1748</v>
      </c>
      <c r="E985" t="s">
        <v>1840</v>
      </c>
      <c r="F985" s="3">
        <v>44088</v>
      </c>
      <c r="G985" s="2">
        <v>65</v>
      </c>
      <c r="H985" s="1">
        <v>296.94</v>
      </c>
      <c r="I985" t="s">
        <v>1854</v>
      </c>
      <c r="J985" s="2">
        <v>1</v>
      </c>
      <c r="K985" t="s">
        <v>13</v>
      </c>
      <c r="L985" t="s">
        <v>1682</v>
      </c>
      <c r="M985" t="s">
        <v>15</v>
      </c>
    </row>
    <row r="986" spans="1:13" x14ac:dyDescent="0.25">
      <c r="A986" s="5">
        <v>44154</v>
      </c>
      <c r="B986" s="2">
        <v>0</v>
      </c>
      <c r="C986" t="s">
        <v>1958</v>
      </c>
      <c r="D986" t="s">
        <v>1846</v>
      </c>
      <c r="E986" t="s">
        <v>1847</v>
      </c>
      <c r="F986" s="3">
        <v>44084</v>
      </c>
      <c r="G986" s="2">
        <v>70</v>
      </c>
      <c r="H986" s="1">
        <v>207.34</v>
      </c>
      <c r="I986" t="s">
        <v>1918</v>
      </c>
      <c r="J986" s="2">
        <v>1</v>
      </c>
      <c r="K986" t="s">
        <v>13</v>
      </c>
      <c r="L986" t="s">
        <v>21</v>
      </c>
      <c r="M986" t="s">
        <v>15</v>
      </c>
    </row>
    <row r="987" spans="1:13" x14ac:dyDescent="0.25">
      <c r="A987" s="5">
        <v>44154</v>
      </c>
      <c r="B987" s="2">
        <v>0</v>
      </c>
      <c r="C987" t="s">
        <v>1959</v>
      </c>
      <c r="D987" t="s">
        <v>1748</v>
      </c>
      <c r="E987" t="s">
        <v>1840</v>
      </c>
      <c r="F987" s="3">
        <v>44139</v>
      </c>
      <c r="G987" s="2">
        <v>15</v>
      </c>
      <c r="H987" s="1">
        <v>317.99</v>
      </c>
      <c r="I987" t="s">
        <v>1943</v>
      </c>
      <c r="J987" s="2">
        <v>1</v>
      </c>
      <c r="K987" t="s">
        <v>13</v>
      </c>
      <c r="L987" t="s">
        <v>1682</v>
      </c>
      <c r="M987" t="s">
        <v>15</v>
      </c>
    </row>
    <row r="988" spans="1:13" x14ac:dyDescent="0.25">
      <c r="A988" s="5">
        <v>44158</v>
      </c>
      <c r="B988" s="2">
        <v>0</v>
      </c>
      <c r="C988" t="s">
        <v>1960</v>
      </c>
      <c r="D988" t="s">
        <v>1961</v>
      </c>
      <c r="E988" t="s">
        <v>1962</v>
      </c>
      <c r="F988" s="3">
        <v>44067</v>
      </c>
      <c r="G988" s="2">
        <v>91</v>
      </c>
      <c r="H988" s="1">
        <v>1034.6199999999999</v>
      </c>
      <c r="I988" t="s">
        <v>1963</v>
      </c>
      <c r="J988" s="2">
        <v>1</v>
      </c>
      <c r="K988" t="s">
        <v>13</v>
      </c>
      <c r="L988" t="s">
        <v>554</v>
      </c>
      <c r="M988" t="s">
        <v>1940</v>
      </c>
    </row>
    <row r="989" spans="1:13" x14ac:dyDescent="0.25">
      <c r="A989" s="5">
        <v>44158</v>
      </c>
      <c r="B989" s="2">
        <v>0</v>
      </c>
      <c r="C989" t="s">
        <v>1964</v>
      </c>
      <c r="D989" t="s">
        <v>1748</v>
      </c>
      <c r="E989" t="s">
        <v>1840</v>
      </c>
      <c r="F989" s="3">
        <v>44088</v>
      </c>
      <c r="G989" s="2">
        <v>70</v>
      </c>
      <c r="H989" s="1">
        <v>296.94</v>
      </c>
      <c r="I989" t="s">
        <v>1854</v>
      </c>
      <c r="J989" s="2">
        <v>1</v>
      </c>
      <c r="K989" t="s">
        <v>13</v>
      </c>
      <c r="L989" t="s">
        <v>1682</v>
      </c>
      <c r="M989" t="s">
        <v>15</v>
      </c>
    </row>
    <row r="990" spans="1:13" x14ac:dyDescent="0.25">
      <c r="A990" s="5">
        <v>44158</v>
      </c>
      <c r="B990" s="2">
        <v>0</v>
      </c>
      <c r="C990" t="s">
        <v>1965</v>
      </c>
      <c r="D990" t="s">
        <v>1748</v>
      </c>
      <c r="E990" t="s">
        <v>1840</v>
      </c>
      <c r="F990" s="3">
        <v>44123</v>
      </c>
      <c r="G990" s="2">
        <v>35</v>
      </c>
      <c r="H990" s="1">
        <v>303.26</v>
      </c>
      <c r="I990" t="s">
        <v>1966</v>
      </c>
      <c r="J990" s="2">
        <v>1</v>
      </c>
      <c r="K990" t="s">
        <v>13</v>
      </c>
      <c r="L990" t="s">
        <v>1682</v>
      </c>
      <c r="M990" t="s">
        <v>15</v>
      </c>
    </row>
    <row r="991" spans="1:13" x14ac:dyDescent="0.25">
      <c r="A991" s="5">
        <v>44160</v>
      </c>
      <c r="B991" s="2">
        <v>0</v>
      </c>
      <c r="C991" t="s">
        <v>1967</v>
      </c>
      <c r="D991" t="s">
        <v>1846</v>
      </c>
      <c r="E991" t="s">
        <v>1847</v>
      </c>
      <c r="F991" s="3">
        <v>44070</v>
      </c>
      <c r="G991" s="2">
        <v>90</v>
      </c>
      <c r="H991" s="1">
        <v>275.29000000000002</v>
      </c>
      <c r="I991" t="s">
        <v>1884</v>
      </c>
      <c r="J991" s="2">
        <v>1</v>
      </c>
      <c r="K991" t="s">
        <v>13</v>
      </c>
      <c r="L991" t="s">
        <v>21</v>
      </c>
      <c r="M991" t="s">
        <v>15</v>
      </c>
    </row>
    <row r="992" spans="1:13" x14ac:dyDescent="0.25">
      <c r="A992" s="5">
        <v>44161</v>
      </c>
      <c r="B992" s="2">
        <v>0</v>
      </c>
      <c r="C992" t="s">
        <v>1968</v>
      </c>
      <c r="D992" t="s">
        <v>1969</v>
      </c>
      <c r="E992" t="s">
        <v>1970</v>
      </c>
      <c r="F992" s="3">
        <v>44071</v>
      </c>
      <c r="G992" s="2">
        <v>90</v>
      </c>
      <c r="H992" s="1">
        <v>341.71</v>
      </c>
      <c r="I992" t="s">
        <v>1971</v>
      </c>
      <c r="J992" s="2">
        <v>1</v>
      </c>
      <c r="K992" t="s">
        <v>13</v>
      </c>
      <c r="L992" t="s">
        <v>554</v>
      </c>
      <c r="M992" t="s">
        <v>1972</v>
      </c>
    </row>
    <row r="993" spans="1:13" x14ac:dyDescent="0.25">
      <c r="A993" s="5">
        <v>44162</v>
      </c>
      <c r="B993" s="2">
        <v>0</v>
      </c>
      <c r="C993" t="s">
        <v>1973</v>
      </c>
      <c r="D993" t="s">
        <v>1748</v>
      </c>
      <c r="E993" t="s">
        <v>1840</v>
      </c>
      <c r="F993" s="3">
        <v>44127</v>
      </c>
      <c r="G993" s="2">
        <v>35</v>
      </c>
      <c r="H993" s="1">
        <v>365.56</v>
      </c>
      <c r="I993" t="s">
        <v>1974</v>
      </c>
      <c r="J993" s="2">
        <v>1</v>
      </c>
      <c r="K993" t="s">
        <v>13</v>
      </c>
      <c r="L993" t="s">
        <v>1682</v>
      </c>
      <c r="M993" t="s">
        <v>15</v>
      </c>
    </row>
    <row r="994" spans="1:13" x14ac:dyDescent="0.25">
      <c r="A994" s="5">
        <v>44166</v>
      </c>
      <c r="B994" s="2">
        <v>0</v>
      </c>
      <c r="C994" t="s">
        <v>1979</v>
      </c>
      <c r="D994" t="s">
        <v>1748</v>
      </c>
      <c r="E994" t="s">
        <v>1840</v>
      </c>
      <c r="F994" s="3">
        <v>44131</v>
      </c>
      <c r="G994" s="2">
        <v>35</v>
      </c>
      <c r="H994" s="1">
        <v>349.34</v>
      </c>
      <c r="I994" t="s">
        <v>1980</v>
      </c>
      <c r="J994" s="2">
        <v>1</v>
      </c>
      <c r="K994" t="s">
        <v>13</v>
      </c>
      <c r="L994" t="s">
        <v>1682</v>
      </c>
      <c r="M994" t="s">
        <v>15</v>
      </c>
    </row>
    <row r="995" spans="1:13" x14ac:dyDescent="0.25">
      <c r="A995" s="5">
        <v>44176</v>
      </c>
      <c r="B995" s="2">
        <v>0</v>
      </c>
      <c r="C995" t="s">
        <v>1987</v>
      </c>
      <c r="D995" t="s">
        <v>1748</v>
      </c>
      <c r="E995" t="s">
        <v>1840</v>
      </c>
      <c r="F995" s="3">
        <v>44131</v>
      </c>
      <c r="G995" s="2">
        <v>45</v>
      </c>
      <c r="H995" s="1">
        <v>302.55</v>
      </c>
      <c r="I995" t="s">
        <v>1980</v>
      </c>
      <c r="J995" s="2">
        <v>1</v>
      </c>
      <c r="K995" t="s">
        <v>13</v>
      </c>
      <c r="L995" t="s">
        <v>1682</v>
      </c>
      <c r="M995" t="s">
        <v>15</v>
      </c>
    </row>
    <row r="996" spans="1:13" x14ac:dyDescent="0.25">
      <c r="A996" s="5">
        <v>44186</v>
      </c>
      <c r="B996" s="2">
        <v>0</v>
      </c>
      <c r="C996" t="s">
        <v>1989</v>
      </c>
      <c r="D996" t="s">
        <v>1915</v>
      </c>
      <c r="E996" t="s">
        <v>1916</v>
      </c>
      <c r="F996" s="3">
        <v>44104</v>
      </c>
      <c r="G996" s="2">
        <v>82</v>
      </c>
      <c r="H996" s="1">
        <v>1027.3800000000001</v>
      </c>
      <c r="I996" t="s">
        <v>1917</v>
      </c>
      <c r="J996" s="2">
        <v>1</v>
      </c>
      <c r="K996" t="s">
        <v>13</v>
      </c>
      <c r="L996" t="s">
        <v>830</v>
      </c>
      <c r="M996" t="s">
        <v>1902</v>
      </c>
    </row>
    <row r="997" spans="1:13" x14ac:dyDescent="0.25">
      <c r="A997" s="5">
        <v>44189</v>
      </c>
      <c r="B997" s="2">
        <v>0</v>
      </c>
      <c r="C997" t="s">
        <v>1991</v>
      </c>
      <c r="D997" t="s">
        <v>1915</v>
      </c>
      <c r="E997" t="s">
        <v>1916</v>
      </c>
      <c r="F997" s="3">
        <v>44104</v>
      </c>
      <c r="G997" s="2">
        <v>85</v>
      </c>
      <c r="H997" s="1">
        <v>1027.3800000000001</v>
      </c>
      <c r="I997" t="s">
        <v>1917</v>
      </c>
      <c r="J997" s="2">
        <v>1</v>
      </c>
      <c r="K997" t="s">
        <v>13</v>
      </c>
      <c r="L997" t="s">
        <v>830</v>
      </c>
      <c r="M997" t="s">
        <v>1902</v>
      </c>
    </row>
    <row r="998" spans="1:13" x14ac:dyDescent="0.25">
      <c r="A998" s="5">
        <v>44189</v>
      </c>
      <c r="B998" s="2">
        <v>0</v>
      </c>
      <c r="C998" t="s">
        <v>1992</v>
      </c>
      <c r="D998" t="s">
        <v>1744</v>
      </c>
      <c r="E998" t="s">
        <v>1745</v>
      </c>
      <c r="F998" s="3">
        <v>44119</v>
      </c>
      <c r="G998" s="2">
        <v>70</v>
      </c>
      <c r="H998" s="1">
        <v>370.84</v>
      </c>
      <c r="I998" t="s">
        <v>1993</v>
      </c>
      <c r="J998" s="2">
        <v>1</v>
      </c>
      <c r="K998" t="s">
        <v>13</v>
      </c>
      <c r="L998" t="s">
        <v>1493</v>
      </c>
      <c r="M998" t="s">
        <v>1746</v>
      </c>
    </row>
    <row r="999" spans="1:13" x14ac:dyDescent="0.25">
      <c r="A999" s="5">
        <v>44193</v>
      </c>
      <c r="B999" s="2">
        <v>0</v>
      </c>
      <c r="C999" t="s">
        <v>1994</v>
      </c>
      <c r="D999" t="s">
        <v>1975</v>
      </c>
      <c r="E999" t="s">
        <v>1976</v>
      </c>
      <c r="F999" s="3">
        <v>44043</v>
      </c>
      <c r="G999" s="2">
        <v>150</v>
      </c>
      <c r="H999" s="1">
        <v>1799.83</v>
      </c>
      <c r="I999" t="s">
        <v>1977</v>
      </c>
      <c r="J999" s="2">
        <v>1</v>
      </c>
      <c r="K999" t="s">
        <v>13</v>
      </c>
      <c r="L999" t="s">
        <v>1493</v>
      </c>
      <c r="M999" t="s">
        <v>1978</v>
      </c>
    </row>
    <row r="1000" spans="1:13" x14ac:dyDescent="0.25">
      <c r="A1000" s="5">
        <v>44194</v>
      </c>
      <c r="B1000" s="2">
        <v>0</v>
      </c>
      <c r="C1000" t="s">
        <v>2001</v>
      </c>
      <c r="D1000" t="s">
        <v>1915</v>
      </c>
      <c r="E1000" t="s">
        <v>1916</v>
      </c>
      <c r="F1000" s="3">
        <v>44104</v>
      </c>
      <c r="G1000" s="2">
        <v>90</v>
      </c>
      <c r="H1000" s="1">
        <v>1027.3800000000001</v>
      </c>
      <c r="I1000" t="s">
        <v>1917</v>
      </c>
      <c r="J1000" s="2">
        <v>1</v>
      </c>
      <c r="K1000" t="s">
        <v>13</v>
      </c>
      <c r="L1000" t="s">
        <v>830</v>
      </c>
      <c r="M1000" t="s">
        <v>1902</v>
      </c>
    </row>
    <row r="1001" spans="1:13" x14ac:dyDescent="0.25">
      <c r="A1001" s="5">
        <v>44200</v>
      </c>
      <c r="B1001" s="2">
        <v>0</v>
      </c>
      <c r="C1001" t="s">
        <v>2006</v>
      </c>
      <c r="D1001" t="s">
        <v>1915</v>
      </c>
      <c r="E1001" t="s">
        <v>1916</v>
      </c>
      <c r="F1001" s="3">
        <v>44104</v>
      </c>
      <c r="G1001" s="2">
        <v>96</v>
      </c>
      <c r="H1001" s="1">
        <v>1027.3800000000001</v>
      </c>
      <c r="I1001" t="s">
        <v>1917</v>
      </c>
      <c r="J1001" s="2">
        <v>1</v>
      </c>
      <c r="K1001" t="s">
        <v>13</v>
      </c>
      <c r="L1001" t="s">
        <v>830</v>
      </c>
      <c r="M1001" t="s">
        <v>1902</v>
      </c>
    </row>
    <row r="1002" spans="1:13" x14ac:dyDescent="0.25">
      <c r="A1002" s="5">
        <v>44200</v>
      </c>
      <c r="B1002" s="2">
        <v>0</v>
      </c>
      <c r="C1002" t="s">
        <v>2007</v>
      </c>
      <c r="D1002" t="s">
        <v>1952</v>
      </c>
      <c r="E1002" t="s">
        <v>1953</v>
      </c>
      <c r="F1002" s="3">
        <v>44139</v>
      </c>
      <c r="G1002" s="2">
        <v>61</v>
      </c>
      <c r="H1002" s="1">
        <v>2997.35</v>
      </c>
      <c r="I1002" t="s">
        <v>2008</v>
      </c>
      <c r="J1002" s="2">
        <v>1</v>
      </c>
      <c r="K1002" t="s">
        <v>13</v>
      </c>
      <c r="L1002" t="s">
        <v>671</v>
      </c>
      <c r="M1002" t="s">
        <v>15</v>
      </c>
    </row>
    <row r="1003" spans="1:13" x14ac:dyDescent="0.25">
      <c r="A1003" s="5">
        <v>44200</v>
      </c>
      <c r="B1003" s="2">
        <v>0</v>
      </c>
      <c r="C1003" t="s">
        <v>2009</v>
      </c>
      <c r="D1003" t="s">
        <v>1748</v>
      </c>
      <c r="E1003" t="s">
        <v>1840</v>
      </c>
      <c r="F1003" s="3">
        <v>44159</v>
      </c>
      <c r="G1003" s="2">
        <v>41</v>
      </c>
      <c r="H1003" s="1">
        <v>325.27999999999997</v>
      </c>
      <c r="I1003" t="s">
        <v>2010</v>
      </c>
      <c r="J1003" s="2">
        <v>1</v>
      </c>
      <c r="K1003" t="s">
        <v>13</v>
      </c>
      <c r="L1003" t="s">
        <v>1682</v>
      </c>
      <c r="M1003" t="s">
        <v>15</v>
      </c>
    </row>
    <row r="1004" spans="1:13" x14ac:dyDescent="0.25">
      <c r="A1004" s="5">
        <v>44200</v>
      </c>
      <c r="B1004" s="2">
        <v>0</v>
      </c>
      <c r="C1004" t="s">
        <v>2011</v>
      </c>
      <c r="D1004" t="s">
        <v>1748</v>
      </c>
      <c r="E1004" t="s">
        <v>1840</v>
      </c>
      <c r="F1004" s="3">
        <v>44165</v>
      </c>
      <c r="G1004" s="2">
        <v>35</v>
      </c>
      <c r="H1004" s="1">
        <v>290.54000000000002</v>
      </c>
      <c r="I1004" t="s">
        <v>2012</v>
      </c>
      <c r="J1004" s="2">
        <v>1</v>
      </c>
      <c r="K1004" t="s">
        <v>13</v>
      </c>
      <c r="L1004" t="s">
        <v>1682</v>
      </c>
      <c r="M1004" t="s">
        <v>15</v>
      </c>
    </row>
    <row r="1005" spans="1:13" x14ac:dyDescent="0.25">
      <c r="A1005" s="5">
        <v>44200</v>
      </c>
      <c r="B1005" s="2">
        <v>0</v>
      </c>
      <c r="C1005" t="s">
        <v>2013</v>
      </c>
      <c r="D1005" t="s">
        <v>1748</v>
      </c>
      <c r="E1005" t="s">
        <v>1840</v>
      </c>
      <c r="F1005" s="3">
        <v>44193</v>
      </c>
      <c r="G1005" s="2">
        <v>7</v>
      </c>
      <c r="H1005" s="1">
        <v>638.82000000000005</v>
      </c>
      <c r="I1005" t="s">
        <v>2014</v>
      </c>
      <c r="J1005" s="2">
        <v>1</v>
      </c>
      <c r="K1005" t="s">
        <v>13</v>
      </c>
      <c r="L1005" t="s">
        <v>1682</v>
      </c>
      <c r="M1005" t="s">
        <v>15</v>
      </c>
    </row>
    <row r="1006" spans="1:13" x14ac:dyDescent="0.25">
      <c r="A1006" s="5">
        <v>44202</v>
      </c>
      <c r="B1006" s="2">
        <v>0</v>
      </c>
      <c r="C1006" t="s">
        <v>2015</v>
      </c>
      <c r="D1006" t="s">
        <v>1748</v>
      </c>
      <c r="E1006" t="s">
        <v>1840</v>
      </c>
      <c r="F1006" s="3">
        <v>44172</v>
      </c>
      <c r="G1006" s="2">
        <v>30</v>
      </c>
      <c r="H1006" s="1">
        <v>338.16</v>
      </c>
      <c r="I1006" t="s">
        <v>2016</v>
      </c>
      <c r="J1006" s="2">
        <v>1</v>
      </c>
      <c r="K1006" t="s">
        <v>13</v>
      </c>
      <c r="L1006" t="s">
        <v>1682</v>
      </c>
      <c r="M1006" t="s">
        <v>15</v>
      </c>
    </row>
    <row r="1007" spans="1:13" x14ac:dyDescent="0.25">
      <c r="A1007" s="5">
        <v>44203</v>
      </c>
      <c r="B1007" s="2">
        <v>0</v>
      </c>
      <c r="C1007" t="s">
        <v>2017</v>
      </c>
      <c r="D1007" t="s">
        <v>1975</v>
      </c>
      <c r="E1007" t="s">
        <v>1976</v>
      </c>
      <c r="F1007" s="3">
        <v>44043</v>
      </c>
      <c r="G1007" s="2">
        <v>160</v>
      </c>
      <c r="H1007" s="1">
        <v>1799.83</v>
      </c>
      <c r="I1007" t="s">
        <v>1977</v>
      </c>
      <c r="J1007" s="2">
        <v>1</v>
      </c>
      <c r="K1007" t="s">
        <v>13</v>
      </c>
      <c r="L1007" t="s">
        <v>1493</v>
      </c>
      <c r="M1007" t="s">
        <v>1978</v>
      </c>
    </row>
    <row r="1008" spans="1:13" x14ac:dyDescent="0.25">
      <c r="A1008" s="5">
        <v>44203</v>
      </c>
      <c r="B1008" s="2">
        <v>0</v>
      </c>
      <c r="C1008" t="s">
        <v>2018</v>
      </c>
      <c r="D1008" t="s">
        <v>1748</v>
      </c>
      <c r="E1008" t="s">
        <v>1840</v>
      </c>
      <c r="F1008" s="3">
        <v>44193</v>
      </c>
      <c r="G1008" s="2">
        <v>10</v>
      </c>
      <c r="H1008" s="1">
        <v>300.39</v>
      </c>
      <c r="I1008" t="s">
        <v>2014</v>
      </c>
      <c r="J1008" s="2">
        <v>1</v>
      </c>
      <c r="K1008" t="s">
        <v>13</v>
      </c>
      <c r="L1008" t="s">
        <v>1682</v>
      </c>
      <c r="M1008" t="s">
        <v>15</v>
      </c>
    </row>
    <row r="1009" spans="1:13" x14ac:dyDescent="0.25">
      <c r="A1009" s="5">
        <v>44204</v>
      </c>
      <c r="B1009" s="2">
        <v>0</v>
      </c>
      <c r="C1009" t="s">
        <v>2019</v>
      </c>
      <c r="D1009" t="s">
        <v>1915</v>
      </c>
      <c r="E1009" t="s">
        <v>1916</v>
      </c>
      <c r="F1009" s="3">
        <v>44104</v>
      </c>
      <c r="G1009" s="2">
        <v>100</v>
      </c>
      <c r="H1009" s="1">
        <v>1027.3800000000001</v>
      </c>
      <c r="I1009" t="s">
        <v>1917</v>
      </c>
      <c r="J1009" s="2">
        <v>1</v>
      </c>
      <c r="K1009" t="s">
        <v>13</v>
      </c>
      <c r="L1009" t="s">
        <v>830</v>
      </c>
      <c r="M1009" t="s">
        <v>1902</v>
      </c>
    </row>
    <row r="1010" spans="1:13" x14ac:dyDescent="0.25">
      <c r="A1010" s="5">
        <v>44204</v>
      </c>
      <c r="B1010" s="2">
        <v>0</v>
      </c>
      <c r="C1010" t="s">
        <v>2020</v>
      </c>
      <c r="D1010" t="s">
        <v>1748</v>
      </c>
      <c r="E1010" t="s">
        <v>1840</v>
      </c>
      <c r="F1010" s="3">
        <v>44139</v>
      </c>
      <c r="G1010" s="2">
        <v>65</v>
      </c>
      <c r="H1010" s="1">
        <v>317.52</v>
      </c>
      <c r="I1010" t="s">
        <v>1943</v>
      </c>
      <c r="J1010" s="2">
        <v>1</v>
      </c>
      <c r="K1010" t="s">
        <v>13</v>
      </c>
      <c r="L1010" t="s">
        <v>1682</v>
      </c>
      <c r="M1010" t="s">
        <v>15</v>
      </c>
    </row>
    <row r="1011" spans="1:13" x14ac:dyDescent="0.25">
      <c r="A1011" s="5">
        <v>44207</v>
      </c>
      <c r="B1011" s="2">
        <v>0</v>
      </c>
      <c r="C1011" t="s">
        <v>2021</v>
      </c>
      <c r="D1011" t="s">
        <v>1748</v>
      </c>
      <c r="E1011" t="s">
        <v>1840</v>
      </c>
      <c r="F1011" s="3">
        <v>44200</v>
      </c>
      <c r="G1011" s="2">
        <v>7</v>
      </c>
      <c r="H1011" s="1">
        <v>1182.54</v>
      </c>
      <c r="I1011" t="s">
        <v>2022</v>
      </c>
      <c r="J1011" s="2">
        <v>1</v>
      </c>
      <c r="K1011" t="s">
        <v>13</v>
      </c>
      <c r="L1011" t="s">
        <v>1682</v>
      </c>
      <c r="M1011" t="s">
        <v>15</v>
      </c>
    </row>
    <row r="1012" spans="1:13" x14ac:dyDescent="0.25">
      <c r="A1012" s="5">
        <v>44208</v>
      </c>
      <c r="B1012" s="2">
        <v>0</v>
      </c>
      <c r="C1012" t="s">
        <v>2024</v>
      </c>
      <c r="D1012" t="s">
        <v>1748</v>
      </c>
      <c r="E1012" t="s">
        <v>1840</v>
      </c>
      <c r="F1012" s="3">
        <v>44193</v>
      </c>
      <c r="G1012" s="2">
        <v>15</v>
      </c>
      <c r="H1012" s="1">
        <v>300.39</v>
      </c>
      <c r="I1012" t="s">
        <v>2014</v>
      </c>
      <c r="J1012" s="2">
        <v>1</v>
      </c>
      <c r="K1012" t="s">
        <v>13</v>
      </c>
      <c r="L1012" t="s">
        <v>1682</v>
      </c>
      <c r="M1012" t="s">
        <v>15</v>
      </c>
    </row>
    <row r="1013" spans="1:13" x14ac:dyDescent="0.25">
      <c r="A1013" s="5">
        <v>44209</v>
      </c>
      <c r="B1013" s="2">
        <v>0</v>
      </c>
      <c r="C1013" t="s">
        <v>2025</v>
      </c>
      <c r="D1013" t="s">
        <v>1915</v>
      </c>
      <c r="E1013" t="s">
        <v>1916</v>
      </c>
      <c r="F1013" s="3">
        <v>44104</v>
      </c>
      <c r="G1013" s="2">
        <v>105</v>
      </c>
      <c r="H1013" s="1">
        <v>1027.3800000000001</v>
      </c>
      <c r="I1013" t="s">
        <v>1917</v>
      </c>
      <c r="J1013" s="2">
        <v>1</v>
      </c>
      <c r="K1013" t="s">
        <v>13</v>
      </c>
      <c r="L1013" t="s">
        <v>830</v>
      </c>
      <c r="M1013" t="s">
        <v>1902</v>
      </c>
    </row>
    <row r="1014" spans="1:13" x14ac:dyDescent="0.25">
      <c r="A1014" s="5">
        <v>44209</v>
      </c>
      <c r="B1014" s="2">
        <v>0</v>
      </c>
      <c r="C1014" t="s">
        <v>2027</v>
      </c>
      <c r="D1014" t="s">
        <v>1981</v>
      </c>
      <c r="E1014" t="s">
        <v>1982</v>
      </c>
      <c r="F1014" s="3">
        <v>44159</v>
      </c>
      <c r="G1014" s="2">
        <v>50</v>
      </c>
      <c r="H1014" s="1">
        <v>432.46</v>
      </c>
      <c r="I1014" t="s">
        <v>2028</v>
      </c>
      <c r="J1014" s="2">
        <v>1</v>
      </c>
      <c r="K1014" t="s">
        <v>13</v>
      </c>
      <c r="L1014" t="s">
        <v>21</v>
      </c>
      <c r="M1014" t="s">
        <v>25</v>
      </c>
    </row>
    <row r="1015" spans="1:13" x14ac:dyDescent="0.25">
      <c r="A1015" s="5">
        <v>44209</v>
      </c>
      <c r="B1015" s="2">
        <v>0</v>
      </c>
      <c r="C1015" t="s">
        <v>2029</v>
      </c>
      <c r="D1015" t="s">
        <v>1748</v>
      </c>
      <c r="E1015" t="s">
        <v>1840</v>
      </c>
      <c r="F1015" s="3">
        <v>44139</v>
      </c>
      <c r="G1015" s="2">
        <v>70</v>
      </c>
      <c r="H1015" s="1">
        <v>317.52</v>
      </c>
      <c r="I1015" t="s">
        <v>1943</v>
      </c>
      <c r="J1015" s="2">
        <v>1</v>
      </c>
      <c r="K1015" t="s">
        <v>13</v>
      </c>
      <c r="L1015" t="s">
        <v>1682</v>
      </c>
      <c r="M1015" t="s">
        <v>15</v>
      </c>
    </row>
    <row r="1016" spans="1:13" x14ac:dyDescent="0.25">
      <c r="A1016" s="5">
        <v>44210</v>
      </c>
      <c r="B1016" s="2">
        <v>0</v>
      </c>
      <c r="C1016" t="s">
        <v>2030</v>
      </c>
      <c r="D1016" t="s">
        <v>1748</v>
      </c>
      <c r="E1016" t="s">
        <v>1840</v>
      </c>
      <c r="F1016" s="3">
        <v>44165</v>
      </c>
      <c r="G1016" s="2">
        <v>45</v>
      </c>
      <c r="H1016" s="1">
        <v>251.69</v>
      </c>
      <c r="I1016" t="s">
        <v>2012</v>
      </c>
      <c r="J1016" s="2">
        <v>1</v>
      </c>
      <c r="K1016" t="s">
        <v>13</v>
      </c>
      <c r="L1016" t="s">
        <v>1682</v>
      </c>
      <c r="M1016" t="s">
        <v>15</v>
      </c>
    </row>
    <row r="1017" spans="1:13" x14ac:dyDescent="0.25">
      <c r="A1017" s="5">
        <v>44210</v>
      </c>
      <c r="B1017" s="2">
        <v>0</v>
      </c>
      <c r="C1017" t="s">
        <v>2031</v>
      </c>
      <c r="D1017" t="s">
        <v>1748</v>
      </c>
      <c r="E1017" t="s">
        <v>1840</v>
      </c>
      <c r="F1017" s="3">
        <v>44200</v>
      </c>
      <c r="G1017" s="2">
        <v>10</v>
      </c>
      <c r="H1017" s="1">
        <v>564.76</v>
      </c>
      <c r="I1017" t="s">
        <v>2022</v>
      </c>
      <c r="J1017" s="2">
        <v>1</v>
      </c>
      <c r="K1017" t="s">
        <v>13</v>
      </c>
      <c r="L1017" t="s">
        <v>1682</v>
      </c>
      <c r="M1017" t="s">
        <v>15</v>
      </c>
    </row>
    <row r="1018" spans="1:13" x14ac:dyDescent="0.25">
      <c r="A1018" s="5">
        <v>44211</v>
      </c>
      <c r="B1018" s="2">
        <v>0</v>
      </c>
      <c r="C1018" t="s">
        <v>2033</v>
      </c>
      <c r="D1018" t="s">
        <v>1748</v>
      </c>
      <c r="E1018" t="s">
        <v>1840</v>
      </c>
      <c r="F1018" s="3">
        <v>44181</v>
      </c>
      <c r="G1018" s="2">
        <v>30</v>
      </c>
      <c r="H1018" s="1">
        <v>321.24</v>
      </c>
      <c r="I1018" t="s">
        <v>2034</v>
      </c>
      <c r="J1018" s="2">
        <v>1</v>
      </c>
      <c r="K1018" t="s">
        <v>13</v>
      </c>
      <c r="L1018" t="s">
        <v>1682</v>
      </c>
      <c r="M1018" t="s">
        <v>15</v>
      </c>
    </row>
    <row r="1019" spans="1:13" x14ac:dyDescent="0.25">
      <c r="A1019" s="5">
        <v>44214</v>
      </c>
      <c r="B1019" s="2">
        <v>0</v>
      </c>
      <c r="C1019" t="s">
        <v>2035</v>
      </c>
      <c r="D1019" t="s">
        <v>1915</v>
      </c>
      <c r="E1019" t="s">
        <v>1916</v>
      </c>
      <c r="F1019" s="3">
        <v>44104</v>
      </c>
      <c r="G1019" s="2">
        <v>110</v>
      </c>
      <c r="H1019" s="1">
        <v>1027.42</v>
      </c>
      <c r="I1019" t="s">
        <v>1917</v>
      </c>
      <c r="J1019" s="2">
        <v>1</v>
      </c>
      <c r="K1019" t="s">
        <v>13</v>
      </c>
      <c r="L1019" t="s">
        <v>830</v>
      </c>
      <c r="M1019" t="s">
        <v>1902</v>
      </c>
    </row>
    <row r="1020" spans="1:13" x14ac:dyDescent="0.25">
      <c r="A1020" s="5">
        <v>44214</v>
      </c>
      <c r="B1020" s="2">
        <v>0</v>
      </c>
      <c r="C1020" t="s">
        <v>2036</v>
      </c>
      <c r="D1020" t="s">
        <v>1975</v>
      </c>
      <c r="E1020" t="s">
        <v>1976</v>
      </c>
      <c r="F1020" s="3">
        <v>44043</v>
      </c>
      <c r="G1020" s="2">
        <v>171</v>
      </c>
      <c r="H1020" s="1">
        <v>1799.83</v>
      </c>
      <c r="I1020" t="s">
        <v>1977</v>
      </c>
      <c r="J1020" s="2">
        <v>1</v>
      </c>
      <c r="K1020" t="s">
        <v>13</v>
      </c>
      <c r="L1020" t="s">
        <v>1493</v>
      </c>
      <c r="M1020" t="s">
        <v>1978</v>
      </c>
    </row>
    <row r="1021" spans="1:13" x14ac:dyDescent="0.25">
      <c r="A1021" s="5">
        <v>44214</v>
      </c>
      <c r="B1021" s="2">
        <v>0</v>
      </c>
      <c r="C1021" t="s">
        <v>2037</v>
      </c>
      <c r="D1021" t="s">
        <v>1981</v>
      </c>
      <c r="E1021" t="s">
        <v>1982</v>
      </c>
      <c r="F1021" s="3">
        <v>44153</v>
      </c>
      <c r="G1021" s="2">
        <v>61</v>
      </c>
      <c r="H1021" s="1">
        <v>553.41999999999996</v>
      </c>
      <c r="I1021" t="s">
        <v>1996</v>
      </c>
      <c r="J1021" s="2">
        <v>1</v>
      </c>
      <c r="K1021" t="s">
        <v>13</v>
      </c>
      <c r="L1021" t="s">
        <v>21</v>
      </c>
      <c r="M1021" t="s">
        <v>25</v>
      </c>
    </row>
    <row r="1022" spans="1:13" x14ac:dyDescent="0.25">
      <c r="A1022" s="5">
        <v>44214</v>
      </c>
      <c r="B1022" s="2">
        <v>0</v>
      </c>
      <c r="C1022" t="s">
        <v>2039</v>
      </c>
      <c r="D1022" t="s">
        <v>1748</v>
      </c>
      <c r="E1022" t="s">
        <v>1840</v>
      </c>
      <c r="F1022" s="3">
        <v>44139</v>
      </c>
      <c r="G1022" s="2">
        <v>75</v>
      </c>
      <c r="H1022" s="1">
        <v>317.58999999999997</v>
      </c>
      <c r="I1022" t="s">
        <v>1943</v>
      </c>
      <c r="J1022" s="2">
        <v>1</v>
      </c>
      <c r="K1022" t="s">
        <v>13</v>
      </c>
      <c r="L1022" t="s">
        <v>1682</v>
      </c>
      <c r="M1022" t="s">
        <v>15</v>
      </c>
    </row>
    <row r="1023" spans="1:13" x14ac:dyDescent="0.25">
      <c r="A1023" s="5">
        <v>44214</v>
      </c>
      <c r="B1023" s="2">
        <v>0</v>
      </c>
      <c r="C1023" t="s">
        <v>2040</v>
      </c>
      <c r="D1023" t="s">
        <v>1748</v>
      </c>
      <c r="E1023" t="s">
        <v>1840</v>
      </c>
      <c r="F1023" s="3">
        <v>44179</v>
      </c>
      <c r="G1023" s="2">
        <v>35</v>
      </c>
      <c r="H1023" s="1">
        <v>345.26</v>
      </c>
      <c r="I1023" t="s">
        <v>2041</v>
      </c>
      <c r="J1023" s="2">
        <v>1</v>
      </c>
      <c r="K1023" t="s">
        <v>13</v>
      </c>
      <c r="L1023" t="s">
        <v>1682</v>
      </c>
      <c r="M1023" t="s">
        <v>15</v>
      </c>
    </row>
    <row r="1024" spans="1:13" x14ac:dyDescent="0.25">
      <c r="A1024" s="5">
        <v>44214</v>
      </c>
      <c r="B1024" s="2">
        <v>0</v>
      </c>
      <c r="C1024" t="s">
        <v>2042</v>
      </c>
      <c r="D1024" t="s">
        <v>1748</v>
      </c>
      <c r="E1024" t="s">
        <v>1840</v>
      </c>
      <c r="F1024" s="3">
        <v>44193</v>
      </c>
      <c r="G1024" s="2">
        <v>21</v>
      </c>
      <c r="H1024" s="1">
        <v>300.39</v>
      </c>
      <c r="I1024" t="s">
        <v>2014</v>
      </c>
      <c r="J1024" s="2">
        <v>1</v>
      </c>
      <c r="K1024" t="s">
        <v>13</v>
      </c>
      <c r="L1024" t="s">
        <v>1682</v>
      </c>
      <c r="M1024" t="s">
        <v>15</v>
      </c>
    </row>
    <row r="1025" spans="1:13" x14ac:dyDescent="0.25">
      <c r="A1025" s="5">
        <v>44215</v>
      </c>
      <c r="B1025" s="2">
        <v>0</v>
      </c>
      <c r="C1025" t="s">
        <v>2044</v>
      </c>
      <c r="D1025" t="s">
        <v>1748</v>
      </c>
      <c r="E1025" t="s">
        <v>1840</v>
      </c>
      <c r="F1025" s="3">
        <v>44200</v>
      </c>
      <c r="G1025" s="2">
        <v>15</v>
      </c>
      <c r="H1025" s="1">
        <v>564.76</v>
      </c>
      <c r="I1025" t="s">
        <v>2022</v>
      </c>
      <c r="J1025" s="2">
        <v>1</v>
      </c>
      <c r="K1025" t="s">
        <v>13</v>
      </c>
      <c r="L1025" t="s">
        <v>1682</v>
      </c>
      <c r="M1025" t="s">
        <v>15</v>
      </c>
    </row>
    <row r="1026" spans="1:13" x14ac:dyDescent="0.25">
      <c r="A1026" s="5">
        <v>44216</v>
      </c>
      <c r="B1026" s="2">
        <v>0</v>
      </c>
      <c r="C1026" t="s">
        <v>2045</v>
      </c>
      <c r="D1026" t="s">
        <v>1748</v>
      </c>
      <c r="E1026" t="s">
        <v>1840</v>
      </c>
      <c r="F1026" s="3">
        <v>44186</v>
      </c>
      <c r="G1026" s="2">
        <v>30</v>
      </c>
      <c r="H1026" s="1">
        <v>459.97</v>
      </c>
      <c r="I1026" t="s">
        <v>2046</v>
      </c>
      <c r="J1026" s="2">
        <v>1</v>
      </c>
      <c r="K1026" t="s">
        <v>13</v>
      </c>
      <c r="L1026" t="s">
        <v>1682</v>
      </c>
      <c r="M1026" t="s">
        <v>15</v>
      </c>
    </row>
    <row r="1027" spans="1:13" x14ac:dyDescent="0.25">
      <c r="A1027" s="5">
        <v>44218</v>
      </c>
      <c r="B1027" s="2">
        <v>0</v>
      </c>
      <c r="C1027" t="s">
        <v>2050</v>
      </c>
      <c r="D1027" t="s">
        <v>1981</v>
      </c>
      <c r="E1027" t="s">
        <v>1982</v>
      </c>
      <c r="F1027" s="3">
        <v>44148</v>
      </c>
      <c r="G1027" s="2">
        <v>70</v>
      </c>
      <c r="H1027" s="1">
        <v>379.56</v>
      </c>
      <c r="I1027" t="s">
        <v>1990</v>
      </c>
      <c r="J1027" s="2">
        <v>1</v>
      </c>
      <c r="K1027" t="s">
        <v>13</v>
      </c>
      <c r="L1027" t="s">
        <v>21</v>
      </c>
      <c r="M1027" t="s">
        <v>25</v>
      </c>
    </row>
    <row r="1028" spans="1:13" x14ac:dyDescent="0.25">
      <c r="A1028" s="5">
        <v>44218</v>
      </c>
      <c r="B1028" s="2">
        <v>0</v>
      </c>
      <c r="C1028" t="s">
        <v>2051</v>
      </c>
      <c r="D1028" t="s">
        <v>1981</v>
      </c>
      <c r="E1028" t="s">
        <v>1982</v>
      </c>
      <c r="F1028" s="3">
        <v>44158</v>
      </c>
      <c r="G1028" s="2">
        <v>60</v>
      </c>
      <c r="H1028" s="1">
        <v>540.57000000000005</v>
      </c>
      <c r="I1028" t="s">
        <v>2052</v>
      </c>
      <c r="J1028" s="2">
        <v>1</v>
      </c>
      <c r="K1028" t="s">
        <v>13</v>
      </c>
      <c r="L1028" t="s">
        <v>21</v>
      </c>
      <c r="M1028" t="s">
        <v>25</v>
      </c>
    </row>
    <row r="1029" spans="1:13" x14ac:dyDescent="0.25">
      <c r="A1029" s="5">
        <v>44218</v>
      </c>
      <c r="B1029" s="2">
        <v>0</v>
      </c>
      <c r="C1029" t="s">
        <v>2053</v>
      </c>
      <c r="D1029" t="s">
        <v>1748</v>
      </c>
      <c r="E1029" t="s">
        <v>1840</v>
      </c>
      <c r="F1029" s="3">
        <v>44188</v>
      </c>
      <c r="G1029" s="2">
        <v>30</v>
      </c>
      <c r="H1029" s="1">
        <v>401.44</v>
      </c>
      <c r="I1029" t="s">
        <v>2054</v>
      </c>
      <c r="J1029" s="2">
        <v>1</v>
      </c>
      <c r="K1029" t="s">
        <v>13</v>
      </c>
      <c r="L1029" t="s">
        <v>1682</v>
      </c>
      <c r="M1029" t="s">
        <v>15</v>
      </c>
    </row>
    <row r="1030" spans="1:13" x14ac:dyDescent="0.25">
      <c r="A1030" s="5">
        <v>44218</v>
      </c>
      <c r="B1030" s="2">
        <v>0</v>
      </c>
      <c r="C1030" t="s">
        <v>2055</v>
      </c>
      <c r="D1030" t="s">
        <v>1748</v>
      </c>
      <c r="E1030" t="s">
        <v>1840</v>
      </c>
      <c r="F1030" s="3">
        <v>44193</v>
      </c>
      <c r="G1030" s="2">
        <v>25</v>
      </c>
      <c r="H1030" s="1">
        <v>300.39</v>
      </c>
      <c r="I1030" t="s">
        <v>2014</v>
      </c>
      <c r="J1030" s="2">
        <v>1</v>
      </c>
      <c r="K1030" t="s">
        <v>13</v>
      </c>
      <c r="L1030" t="s">
        <v>1682</v>
      </c>
      <c r="M1030" t="s">
        <v>15</v>
      </c>
    </row>
    <row r="1031" spans="1:13" x14ac:dyDescent="0.25">
      <c r="A1031" s="5">
        <v>44221</v>
      </c>
      <c r="B1031" s="2">
        <v>0</v>
      </c>
      <c r="C1031" t="s">
        <v>2057</v>
      </c>
      <c r="D1031" t="s">
        <v>1952</v>
      </c>
      <c r="E1031" t="s">
        <v>1953</v>
      </c>
      <c r="F1031" s="3">
        <v>44139</v>
      </c>
      <c r="G1031" s="2">
        <v>82</v>
      </c>
      <c r="H1031" s="1">
        <v>2997.37</v>
      </c>
      <c r="I1031" t="s">
        <v>2008</v>
      </c>
      <c r="J1031" s="2">
        <v>1</v>
      </c>
      <c r="K1031" t="s">
        <v>13</v>
      </c>
      <c r="L1031" t="s">
        <v>671</v>
      </c>
      <c r="M1031" t="s">
        <v>15</v>
      </c>
    </row>
    <row r="1032" spans="1:13" x14ac:dyDescent="0.25">
      <c r="A1032" s="5">
        <v>44221</v>
      </c>
      <c r="B1032" s="2">
        <v>0</v>
      </c>
      <c r="C1032" t="s">
        <v>2058</v>
      </c>
      <c r="D1032" t="s">
        <v>1723</v>
      </c>
      <c r="E1032" t="s">
        <v>1724</v>
      </c>
      <c r="F1032" s="3">
        <v>44161</v>
      </c>
      <c r="G1032" s="2">
        <v>60</v>
      </c>
      <c r="H1032" s="1">
        <v>537.91999999999996</v>
      </c>
      <c r="I1032" t="s">
        <v>1995</v>
      </c>
      <c r="J1032" s="2">
        <v>1</v>
      </c>
      <c r="K1032" t="s">
        <v>13</v>
      </c>
      <c r="L1032" t="s">
        <v>1682</v>
      </c>
      <c r="M1032" t="s">
        <v>704</v>
      </c>
    </row>
    <row r="1033" spans="1:13" x14ac:dyDescent="0.25">
      <c r="A1033" s="5">
        <v>44221</v>
      </c>
      <c r="B1033" s="2">
        <v>0</v>
      </c>
      <c r="C1033" t="s">
        <v>2059</v>
      </c>
      <c r="D1033" t="s">
        <v>1981</v>
      </c>
      <c r="E1033" t="s">
        <v>1982</v>
      </c>
      <c r="F1033" s="3">
        <v>44144</v>
      </c>
      <c r="G1033" s="2">
        <v>77</v>
      </c>
      <c r="H1033" s="1">
        <v>476.56</v>
      </c>
      <c r="I1033" t="s">
        <v>2026</v>
      </c>
      <c r="J1033" s="2">
        <v>1</v>
      </c>
      <c r="K1033" t="s">
        <v>13</v>
      </c>
      <c r="L1033" t="s">
        <v>21</v>
      </c>
      <c r="M1033" t="s">
        <v>25</v>
      </c>
    </row>
    <row r="1034" spans="1:13" x14ac:dyDescent="0.25">
      <c r="A1034" s="5">
        <v>44221</v>
      </c>
      <c r="B1034" s="2">
        <v>0</v>
      </c>
      <c r="C1034" t="s">
        <v>2060</v>
      </c>
      <c r="D1034" t="s">
        <v>1981</v>
      </c>
      <c r="E1034" t="s">
        <v>1982</v>
      </c>
      <c r="F1034" s="3">
        <v>44159</v>
      </c>
      <c r="G1034" s="2">
        <v>62</v>
      </c>
      <c r="H1034" s="1">
        <v>432.46</v>
      </c>
      <c r="I1034" t="s">
        <v>2028</v>
      </c>
      <c r="J1034" s="2">
        <v>1</v>
      </c>
      <c r="K1034" t="s">
        <v>13</v>
      </c>
      <c r="L1034" t="s">
        <v>21</v>
      </c>
      <c r="M1034" t="s">
        <v>25</v>
      </c>
    </row>
    <row r="1035" spans="1:13" x14ac:dyDescent="0.25">
      <c r="A1035" s="5">
        <v>44221</v>
      </c>
      <c r="B1035" s="2">
        <v>0</v>
      </c>
      <c r="C1035" t="s">
        <v>2061</v>
      </c>
      <c r="D1035" t="s">
        <v>1748</v>
      </c>
      <c r="E1035" t="s">
        <v>1840</v>
      </c>
      <c r="F1035" s="3">
        <v>44200</v>
      </c>
      <c r="G1035" s="2">
        <v>21</v>
      </c>
      <c r="H1035" s="1">
        <v>564.76</v>
      </c>
      <c r="I1035" t="s">
        <v>2022</v>
      </c>
      <c r="J1035" s="2">
        <v>1</v>
      </c>
      <c r="K1035" t="s">
        <v>13</v>
      </c>
      <c r="L1035" t="s">
        <v>1682</v>
      </c>
      <c r="M1035" t="s">
        <v>15</v>
      </c>
    </row>
    <row r="1036" spans="1:13" x14ac:dyDescent="0.25">
      <c r="A1036" s="5">
        <v>44223</v>
      </c>
      <c r="B1036" s="2">
        <v>0</v>
      </c>
      <c r="C1036" t="s">
        <v>2063</v>
      </c>
      <c r="D1036" t="s">
        <v>1952</v>
      </c>
      <c r="E1036" t="s">
        <v>1953</v>
      </c>
      <c r="F1036" s="3">
        <v>44161</v>
      </c>
      <c r="G1036" s="2">
        <v>62</v>
      </c>
      <c r="H1036" s="1">
        <v>2394.66</v>
      </c>
      <c r="I1036" t="s">
        <v>2064</v>
      </c>
      <c r="J1036" s="2">
        <v>1</v>
      </c>
      <c r="K1036" t="s">
        <v>13</v>
      </c>
      <c r="L1036" t="s">
        <v>671</v>
      </c>
      <c r="M1036" t="s">
        <v>15</v>
      </c>
    </row>
    <row r="1037" spans="1:13" x14ac:dyDescent="0.25">
      <c r="A1037" s="5">
        <v>44223</v>
      </c>
      <c r="B1037" s="2">
        <v>0</v>
      </c>
      <c r="C1037" t="s">
        <v>2065</v>
      </c>
      <c r="D1037" t="s">
        <v>1975</v>
      </c>
      <c r="E1037" t="s">
        <v>1976</v>
      </c>
      <c r="F1037" s="3">
        <v>44043</v>
      </c>
      <c r="G1037" s="2">
        <v>180</v>
      </c>
      <c r="H1037" s="1">
        <v>1799.91</v>
      </c>
      <c r="I1037" t="s">
        <v>1977</v>
      </c>
      <c r="J1037" s="2">
        <v>1</v>
      </c>
      <c r="K1037" t="s">
        <v>13</v>
      </c>
      <c r="L1037" t="s">
        <v>1493</v>
      </c>
      <c r="M1037" t="s">
        <v>1978</v>
      </c>
    </row>
    <row r="1038" spans="1:13" x14ac:dyDescent="0.25">
      <c r="A1038" s="5">
        <v>44223</v>
      </c>
      <c r="B1038" s="2">
        <v>0</v>
      </c>
      <c r="C1038" t="s">
        <v>2066</v>
      </c>
      <c r="D1038" t="s">
        <v>1981</v>
      </c>
      <c r="E1038" t="s">
        <v>1982</v>
      </c>
      <c r="F1038" s="3">
        <v>44153</v>
      </c>
      <c r="G1038" s="2">
        <v>70</v>
      </c>
      <c r="H1038" s="1">
        <v>553.41999999999996</v>
      </c>
      <c r="I1038" t="s">
        <v>1996</v>
      </c>
      <c r="J1038" s="2">
        <v>1</v>
      </c>
      <c r="K1038" t="s">
        <v>13</v>
      </c>
      <c r="L1038" t="s">
        <v>21</v>
      </c>
      <c r="M1038" t="s">
        <v>25</v>
      </c>
    </row>
    <row r="1039" spans="1:13" x14ac:dyDescent="0.25">
      <c r="A1039" s="5">
        <v>44223</v>
      </c>
      <c r="B1039" s="2">
        <v>0</v>
      </c>
      <c r="C1039" t="s">
        <v>2067</v>
      </c>
      <c r="D1039" t="s">
        <v>1748</v>
      </c>
      <c r="E1039" t="s">
        <v>1840</v>
      </c>
      <c r="F1039" s="3">
        <v>44193</v>
      </c>
      <c r="G1039" s="2">
        <v>30</v>
      </c>
      <c r="H1039" s="1">
        <v>300.39</v>
      </c>
      <c r="I1039" t="s">
        <v>2014</v>
      </c>
      <c r="J1039" s="2">
        <v>1</v>
      </c>
      <c r="K1039" t="s">
        <v>13</v>
      </c>
      <c r="L1039" t="s">
        <v>1682</v>
      </c>
      <c r="M1039" t="s">
        <v>15</v>
      </c>
    </row>
    <row r="1040" spans="1:13" x14ac:dyDescent="0.25">
      <c r="A1040" s="5">
        <v>44224</v>
      </c>
      <c r="B1040" s="2">
        <v>0</v>
      </c>
      <c r="C1040" t="s">
        <v>2069</v>
      </c>
      <c r="D1040" t="s">
        <v>1748</v>
      </c>
      <c r="E1040" t="s">
        <v>1840</v>
      </c>
      <c r="F1040" s="3">
        <v>44179</v>
      </c>
      <c r="G1040" s="2">
        <v>45</v>
      </c>
      <c r="H1040" s="1">
        <v>305.01</v>
      </c>
      <c r="I1040" t="s">
        <v>2041</v>
      </c>
      <c r="J1040" s="2">
        <v>1</v>
      </c>
      <c r="K1040" t="s">
        <v>13</v>
      </c>
      <c r="L1040" t="s">
        <v>1682</v>
      </c>
      <c r="M1040" t="s">
        <v>15</v>
      </c>
    </row>
    <row r="1041" spans="1:13" x14ac:dyDescent="0.25">
      <c r="A1041" s="5">
        <v>44225</v>
      </c>
      <c r="B1041" s="2">
        <v>0</v>
      </c>
      <c r="C1041" t="s">
        <v>2074</v>
      </c>
      <c r="D1041" t="s">
        <v>1748</v>
      </c>
      <c r="E1041" t="s">
        <v>1840</v>
      </c>
      <c r="F1041" s="3">
        <v>44200</v>
      </c>
      <c r="G1041" s="2">
        <v>25</v>
      </c>
      <c r="H1041" s="1">
        <v>564.76</v>
      </c>
      <c r="I1041" t="s">
        <v>2022</v>
      </c>
      <c r="J1041" s="2">
        <v>1</v>
      </c>
      <c r="K1041" t="s">
        <v>13</v>
      </c>
      <c r="L1041" t="s">
        <v>1682</v>
      </c>
      <c r="M1041" t="s">
        <v>15</v>
      </c>
    </row>
    <row r="1042" spans="1:13" x14ac:dyDescent="0.25">
      <c r="A1042" s="5">
        <v>44228</v>
      </c>
      <c r="B1042" s="2">
        <v>0</v>
      </c>
      <c r="C1042" t="s">
        <v>2075</v>
      </c>
      <c r="D1042" t="s">
        <v>1981</v>
      </c>
      <c r="E1042" t="s">
        <v>1982</v>
      </c>
      <c r="F1042" s="3">
        <v>44148</v>
      </c>
      <c r="G1042" s="2">
        <v>80</v>
      </c>
      <c r="H1042" s="1">
        <v>379.58</v>
      </c>
      <c r="I1042" t="s">
        <v>1990</v>
      </c>
      <c r="J1042" s="2">
        <v>1</v>
      </c>
      <c r="K1042" t="s">
        <v>13</v>
      </c>
      <c r="L1042" t="s">
        <v>21</v>
      </c>
      <c r="M1042" t="s">
        <v>25</v>
      </c>
    </row>
    <row r="1043" spans="1:13" x14ac:dyDescent="0.25">
      <c r="A1043" s="5">
        <v>44228</v>
      </c>
      <c r="B1043" s="2">
        <v>0</v>
      </c>
      <c r="C1043" t="s">
        <v>2076</v>
      </c>
      <c r="D1043" t="s">
        <v>1748</v>
      </c>
      <c r="E1043" t="s">
        <v>1840</v>
      </c>
      <c r="F1043" s="3">
        <v>44193</v>
      </c>
      <c r="G1043" s="2">
        <v>35</v>
      </c>
      <c r="H1043" s="1">
        <v>300.39</v>
      </c>
      <c r="I1043" t="s">
        <v>2014</v>
      </c>
      <c r="J1043" s="2">
        <v>1</v>
      </c>
      <c r="K1043" t="s">
        <v>13</v>
      </c>
      <c r="L1043" t="s">
        <v>1682</v>
      </c>
      <c r="M1043" t="s">
        <v>15</v>
      </c>
    </row>
    <row r="1044" spans="1:13" x14ac:dyDescent="0.25">
      <c r="A1044" s="5">
        <v>44229</v>
      </c>
      <c r="B1044" s="2">
        <v>0</v>
      </c>
      <c r="C1044" t="s">
        <v>2078</v>
      </c>
      <c r="D1044" t="s">
        <v>1981</v>
      </c>
      <c r="E1044" t="s">
        <v>1982</v>
      </c>
      <c r="F1044" s="3">
        <v>44159</v>
      </c>
      <c r="G1044" s="2">
        <v>70</v>
      </c>
      <c r="H1044" s="1">
        <v>432.46</v>
      </c>
      <c r="I1044" t="s">
        <v>2028</v>
      </c>
      <c r="J1044" s="2">
        <v>1</v>
      </c>
      <c r="K1044" t="s">
        <v>13</v>
      </c>
      <c r="L1044" t="s">
        <v>21</v>
      </c>
      <c r="M1044" t="s">
        <v>25</v>
      </c>
    </row>
    <row r="1045" spans="1:13" x14ac:dyDescent="0.25">
      <c r="A1045" s="5">
        <v>44230</v>
      </c>
      <c r="B1045" s="2">
        <v>0</v>
      </c>
      <c r="C1045" t="s">
        <v>2083</v>
      </c>
      <c r="D1045" t="s">
        <v>1748</v>
      </c>
      <c r="E1045" t="s">
        <v>1840</v>
      </c>
      <c r="F1045" s="3">
        <v>44200</v>
      </c>
      <c r="G1045" s="2">
        <v>30</v>
      </c>
      <c r="H1045" s="1">
        <v>564.76</v>
      </c>
      <c r="I1045" t="s">
        <v>2022</v>
      </c>
      <c r="J1045" s="2">
        <v>1</v>
      </c>
      <c r="K1045" t="s">
        <v>13</v>
      </c>
      <c r="L1045" t="s">
        <v>1682</v>
      </c>
      <c r="M1045" t="s">
        <v>15</v>
      </c>
    </row>
    <row r="1046" spans="1:13" x14ac:dyDescent="0.25">
      <c r="A1046" s="5">
        <v>44231</v>
      </c>
      <c r="B1046" s="2">
        <v>0</v>
      </c>
      <c r="C1046" t="s">
        <v>2084</v>
      </c>
      <c r="D1046" t="s">
        <v>1723</v>
      </c>
      <c r="E1046" t="s">
        <v>1724</v>
      </c>
      <c r="F1046" s="3">
        <v>44161</v>
      </c>
      <c r="G1046" s="2">
        <v>70</v>
      </c>
      <c r="H1046" s="1">
        <v>537.91999999999996</v>
      </c>
      <c r="I1046" t="s">
        <v>1995</v>
      </c>
      <c r="J1046" s="2">
        <v>1</v>
      </c>
      <c r="K1046" t="s">
        <v>13</v>
      </c>
      <c r="L1046" t="s">
        <v>1682</v>
      </c>
      <c r="M1046" t="s">
        <v>704</v>
      </c>
    </row>
    <row r="1047" spans="1:13" x14ac:dyDescent="0.25">
      <c r="A1047" s="5">
        <v>44231</v>
      </c>
      <c r="B1047" s="2">
        <v>0</v>
      </c>
      <c r="C1047" t="s">
        <v>2085</v>
      </c>
      <c r="D1047" t="s">
        <v>1742</v>
      </c>
      <c r="E1047" t="s">
        <v>1743</v>
      </c>
      <c r="F1047" s="3">
        <v>44201</v>
      </c>
      <c r="G1047" s="2">
        <v>30</v>
      </c>
      <c r="H1047" s="1">
        <v>898.42</v>
      </c>
      <c r="I1047" t="s">
        <v>2086</v>
      </c>
      <c r="J1047" s="2">
        <v>1</v>
      </c>
      <c r="K1047" t="s">
        <v>13</v>
      </c>
      <c r="L1047" t="s">
        <v>1682</v>
      </c>
      <c r="M1047" t="s">
        <v>704</v>
      </c>
    </row>
    <row r="1048" spans="1:13" x14ac:dyDescent="0.25">
      <c r="A1048" s="5">
        <v>44231</v>
      </c>
      <c r="B1048" s="2">
        <v>0</v>
      </c>
      <c r="C1048" t="s">
        <v>2087</v>
      </c>
      <c r="D1048" t="s">
        <v>1748</v>
      </c>
      <c r="E1048" t="s">
        <v>1840</v>
      </c>
      <c r="F1048" s="3">
        <v>44181</v>
      </c>
      <c r="G1048" s="2">
        <v>50</v>
      </c>
      <c r="H1048" s="1">
        <v>278.24</v>
      </c>
      <c r="I1048" t="s">
        <v>2034</v>
      </c>
      <c r="J1048" s="2">
        <v>1</v>
      </c>
      <c r="K1048" t="s">
        <v>13</v>
      </c>
      <c r="L1048" t="s">
        <v>1682</v>
      </c>
      <c r="M1048" t="s">
        <v>15</v>
      </c>
    </row>
    <row r="1049" spans="1:13" x14ac:dyDescent="0.25">
      <c r="A1049" s="5">
        <v>44232</v>
      </c>
      <c r="B1049" s="2">
        <v>0</v>
      </c>
      <c r="C1049" t="s">
        <v>2088</v>
      </c>
      <c r="D1049" t="s">
        <v>1998</v>
      </c>
      <c r="E1049" t="s">
        <v>1999</v>
      </c>
      <c r="F1049" s="3">
        <v>44162</v>
      </c>
      <c r="G1049" s="2">
        <v>70</v>
      </c>
      <c r="H1049" s="1">
        <v>388.9</v>
      </c>
      <c r="I1049" t="s">
        <v>2000</v>
      </c>
      <c r="J1049" s="2">
        <v>1</v>
      </c>
      <c r="K1049" t="s">
        <v>13</v>
      </c>
      <c r="L1049" t="s">
        <v>695</v>
      </c>
      <c r="M1049" t="s">
        <v>15</v>
      </c>
    </row>
    <row r="1050" spans="1:13" x14ac:dyDescent="0.25">
      <c r="A1050" s="5">
        <v>44232</v>
      </c>
      <c r="B1050" s="2">
        <v>0</v>
      </c>
      <c r="C1050" t="s">
        <v>2089</v>
      </c>
      <c r="D1050" t="s">
        <v>1998</v>
      </c>
      <c r="E1050" t="s">
        <v>1999</v>
      </c>
      <c r="F1050" s="3">
        <v>44182</v>
      </c>
      <c r="G1050" s="2">
        <v>50</v>
      </c>
      <c r="H1050" s="1">
        <v>303.8</v>
      </c>
      <c r="I1050" t="s">
        <v>2043</v>
      </c>
      <c r="J1050" s="2">
        <v>1</v>
      </c>
      <c r="K1050" t="s">
        <v>13</v>
      </c>
      <c r="L1050" t="s">
        <v>695</v>
      </c>
      <c r="M1050" t="s">
        <v>15</v>
      </c>
    </row>
    <row r="1051" spans="1:13" x14ac:dyDescent="0.25">
      <c r="A1051" s="5">
        <v>44235</v>
      </c>
      <c r="B1051" s="2">
        <v>0</v>
      </c>
      <c r="C1051" t="s">
        <v>2091</v>
      </c>
      <c r="D1051" t="s">
        <v>1981</v>
      </c>
      <c r="E1051" t="s">
        <v>1982</v>
      </c>
      <c r="F1051" s="3">
        <v>44153</v>
      </c>
      <c r="G1051" s="2">
        <v>82</v>
      </c>
      <c r="H1051" s="1">
        <v>553.44000000000005</v>
      </c>
      <c r="I1051" t="s">
        <v>1996</v>
      </c>
      <c r="J1051" s="2">
        <v>1</v>
      </c>
      <c r="K1051" t="s">
        <v>13</v>
      </c>
      <c r="L1051" t="s">
        <v>21</v>
      </c>
      <c r="M1051" t="s">
        <v>25</v>
      </c>
    </row>
    <row r="1052" spans="1:13" x14ac:dyDescent="0.25">
      <c r="A1052" s="5">
        <v>44235</v>
      </c>
      <c r="B1052" s="2">
        <v>0</v>
      </c>
      <c r="C1052" t="s">
        <v>2092</v>
      </c>
      <c r="D1052" t="s">
        <v>1748</v>
      </c>
      <c r="E1052" t="s">
        <v>1840</v>
      </c>
      <c r="F1052" s="3">
        <v>44193</v>
      </c>
      <c r="G1052" s="2">
        <v>42</v>
      </c>
      <c r="H1052" s="1">
        <v>300.39</v>
      </c>
      <c r="I1052" t="s">
        <v>2014</v>
      </c>
      <c r="J1052" s="2">
        <v>1</v>
      </c>
      <c r="K1052" t="s">
        <v>13</v>
      </c>
      <c r="L1052" t="s">
        <v>1682</v>
      </c>
      <c r="M1052" t="s">
        <v>15</v>
      </c>
    </row>
    <row r="1053" spans="1:13" x14ac:dyDescent="0.25">
      <c r="A1053" s="5">
        <v>44235</v>
      </c>
      <c r="B1053" s="2">
        <v>0</v>
      </c>
      <c r="C1053" t="s">
        <v>2093</v>
      </c>
      <c r="D1053" t="s">
        <v>1748</v>
      </c>
      <c r="E1053" t="s">
        <v>1840</v>
      </c>
      <c r="F1053" s="3">
        <v>44200</v>
      </c>
      <c r="G1053" s="2">
        <v>35</v>
      </c>
      <c r="H1053" s="1">
        <v>564.76</v>
      </c>
      <c r="I1053" t="s">
        <v>2022</v>
      </c>
      <c r="J1053" s="2">
        <v>1</v>
      </c>
      <c r="K1053" t="s">
        <v>13</v>
      </c>
      <c r="L1053" t="s">
        <v>1682</v>
      </c>
      <c r="M1053" t="s">
        <v>15</v>
      </c>
    </row>
    <row r="1054" spans="1:13" x14ac:dyDescent="0.25">
      <c r="A1054" s="5">
        <v>44235</v>
      </c>
      <c r="B1054" s="2">
        <v>0</v>
      </c>
      <c r="C1054" t="s">
        <v>2094</v>
      </c>
      <c r="D1054" t="s">
        <v>1998</v>
      </c>
      <c r="E1054" t="s">
        <v>1999</v>
      </c>
      <c r="F1054" s="3">
        <v>44175</v>
      </c>
      <c r="G1054" s="2">
        <v>60</v>
      </c>
      <c r="H1054" s="1">
        <v>202.78</v>
      </c>
      <c r="I1054" t="s">
        <v>2023</v>
      </c>
      <c r="J1054" s="2">
        <v>1</v>
      </c>
      <c r="K1054" t="s">
        <v>13</v>
      </c>
      <c r="L1054" t="s">
        <v>695</v>
      </c>
      <c r="M1054" t="s">
        <v>15</v>
      </c>
    </row>
    <row r="1055" spans="1:13" x14ac:dyDescent="0.25">
      <c r="A1055" s="5">
        <v>44236</v>
      </c>
      <c r="B1055" s="2">
        <v>0</v>
      </c>
      <c r="C1055" t="s">
        <v>2097</v>
      </c>
      <c r="D1055" t="s">
        <v>1748</v>
      </c>
      <c r="E1055" t="s">
        <v>1840</v>
      </c>
      <c r="F1055" s="3">
        <v>44186</v>
      </c>
      <c r="G1055" s="2">
        <v>50</v>
      </c>
      <c r="H1055" s="1">
        <v>398.25</v>
      </c>
      <c r="I1055" t="s">
        <v>2046</v>
      </c>
      <c r="J1055" s="2">
        <v>1</v>
      </c>
      <c r="K1055" t="s">
        <v>13</v>
      </c>
      <c r="L1055" t="s">
        <v>1682</v>
      </c>
      <c r="M1055" t="s">
        <v>15</v>
      </c>
    </row>
    <row r="1056" spans="1:13" x14ac:dyDescent="0.25">
      <c r="A1056" s="5">
        <v>44237</v>
      </c>
      <c r="B1056" s="2">
        <v>0</v>
      </c>
      <c r="C1056" t="s">
        <v>2098</v>
      </c>
      <c r="D1056" t="s">
        <v>1952</v>
      </c>
      <c r="E1056" t="s">
        <v>1953</v>
      </c>
      <c r="F1056" s="3">
        <v>44161</v>
      </c>
      <c r="G1056" s="2">
        <v>76</v>
      </c>
      <c r="H1056" s="1">
        <v>2095.64</v>
      </c>
      <c r="I1056" t="s">
        <v>2064</v>
      </c>
      <c r="J1056" s="2">
        <v>1</v>
      </c>
      <c r="K1056" t="s">
        <v>13</v>
      </c>
      <c r="L1056" t="s">
        <v>671</v>
      </c>
      <c r="M1056" t="s">
        <v>15</v>
      </c>
    </row>
    <row r="1057" spans="1:13" x14ac:dyDescent="0.25">
      <c r="A1057" s="5">
        <v>44237</v>
      </c>
      <c r="B1057" s="2">
        <v>0</v>
      </c>
      <c r="C1057" t="s">
        <v>2099</v>
      </c>
      <c r="D1057" t="s">
        <v>1998</v>
      </c>
      <c r="E1057" t="s">
        <v>1999</v>
      </c>
      <c r="F1057" s="3">
        <v>44167</v>
      </c>
      <c r="G1057" s="2">
        <v>70</v>
      </c>
      <c r="H1057" s="1">
        <v>314.87</v>
      </c>
      <c r="I1057" t="s">
        <v>2049</v>
      </c>
      <c r="J1057" s="2">
        <v>1</v>
      </c>
      <c r="K1057" t="s">
        <v>13</v>
      </c>
      <c r="L1057" t="s">
        <v>695</v>
      </c>
      <c r="M1057" t="s">
        <v>15</v>
      </c>
    </row>
    <row r="1058" spans="1:13" x14ac:dyDescent="0.25">
      <c r="A1058" s="5">
        <v>44237</v>
      </c>
      <c r="B1058" s="2">
        <v>0</v>
      </c>
      <c r="C1058" t="s">
        <v>2100</v>
      </c>
      <c r="D1058" t="s">
        <v>1998</v>
      </c>
      <c r="E1058" t="s">
        <v>1999</v>
      </c>
      <c r="F1058" s="3">
        <v>44187</v>
      </c>
      <c r="G1058" s="2">
        <v>50</v>
      </c>
      <c r="H1058" s="1">
        <v>221.08</v>
      </c>
      <c r="I1058" t="s">
        <v>2077</v>
      </c>
      <c r="J1058" s="2">
        <v>1</v>
      </c>
      <c r="K1058" t="s">
        <v>13</v>
      </c>
      <c r="L1058" t="s">
        <v>695</v>
      </c>
      <c r="M1058" t="s">
        <v>15</v>
      </c>
    </row>
    <row r="1059" spans="1:13" x14ac:dyDescent="0.25">
      <c r="A1059" s="5">
        <v>44238</v>
      </c>
      <c r="B1059" s="2">
        <v>0</v>
      </c>
      <c r="C1059" t="s">
        <v>2101</v>
      </c>
      <c r="D1059" t="s">
        <v>1748</v>
      </c>
      <c r="E1059" t="s">
        <v>1840</v>
      </c>
      <c r="F1059" s="3">
        <v>44188</v>
      </c>
      <c r="G1059" s="2">
        <v>50</v>
      </c>
      <c r="H1059" s="1">
        <v>347.63</v>
      </c>
      <c r="I1059" t="s">
        <v>2054</v>
      </c>
      <c r="J1059" s="2">
        <v>1</v>
      </c>
      <c r="K1059" t="s">
        <v>13</v>
      </c>
      <c r="L1059" t="s">
        <v>1682</v>
      </c>
      <c r="M1059" t="s">
        <v>15</v>
      </c>
    </row>
    <row r="1060" spans="1:13" x14ac:dyDescent="0.25">
      <c r="A1060" s="5">
        <v>44238</v>
      </c>
      <c r="B1060" s="2">
        <v>0</v>
      </c>
      <c r="C1060" t="s">
        <v>2102</v>
      </c>
      <c r="D1060" t="s">
        <v>1748</v>
      </c>
      <c r="E1060" t="s">
        <v>1840</v>
      </c>
      <c r="F1060" s="3">
        <v>44193</v>
      </c>
      <c r="G1060" s="2">
        <v>45</v>
      </c>
      <c r="H1060" s="1">
        <v>300.39</v>
      </c>
      <c r="I1060" t="s">
        <v>2014</v>
      </c>
      <c r="J1060" s="2">
        <v>1</v>
      </c>
      <c r="K1060" t="s">
        <v>13</v>
      </c>
      <c r="L1060" t="s">
        <v>1682</v>
      </c>
      <c r="M1060" t="s">
        <v>15</v>
      </c>
    </row>
    <row r="1061" spans="1:13" x14ac:dyDescent="0.25">
      <c r="A1061" s="5">
        <v>44239</v>
      </c>
      <c r="B1061" s="2">
        <v>0</v>
      </c>
      <c r="C1061" t="s">
        <v>2103</v>
      </c>
      <c r="D1061" t="s">
        <v>1981</v>
      </c>
      <c r="E1061" t="s">
        <v>1982</v>
      </c>
      <c r="F1061" s="3">
        <v>44159</v>
      </c>
      <c r="G1061" s="2">
        <v>80</v>
      </c>
      <c r="H1061" s="1">
        <v>432.48</v>
      </c>
      <c r="I1061" t="s">
        <v>2028</v>
      </c>
      <c r="J1061" s="2">
        <v>1</v>
      </c>
      <c r="K1061" t="s">
        <v>13</v>
      </c>
      <c r="L1061" t="s">
        <v>21</v>
      </c>
      <c r="M1061" t="s">
        <v>25</v>
      </c>
    </row>
    <row r="1062" spans="1:13" x14ac:dyDescent="0.25">
      <c r="A1062" s="5">
        <v>44239</v>
      </c>
      <c r="B1062" s="2">
        <v>0</v>
      </c>
      <c r="C1062" t="s">
        <v>2104</v>
      </c>
      <c r="D1062" t="s">
        <v>1985</v>
      </c>
      <c r="E1062" t="s">
        <v>1986</v>
      </c>
      <c r="F1062" s="3">
        <v>44204</v>
      </c>
      <c r="G1062" s="2">
        <v>35</v>
      </c>
      <c r="H1062" s="1">
        <v>363.91</v>
      </c>
      <c r="I1062" t="s">
        <v>2056</v>
      </c>
      <c r="J1062" s="2">
        <v>1</v>
      </c>
      <c r="K1062" t="s">
        <v>13</v>
      </c>
      <c r="L1062" t="s">
        <v>830</v>
      </c>
      <c r="M1062" t="s">
        <v>1902</v>
      </c>
    </row>
    <row r="1063" spans="1:13" x14ac:dyDescent="0.25">
      <c r="A1063" s="5">
        <v>44242</v>
      </c>
      <c r="B1063" s="2">
        <v>0</v>
      </c>
      <c r="C1063" t="s">
        <v>2108</v>
      </c>
      <c r="D1063" t="s">
        <v>1723</v>
      </c>
      <c r="E1063" t="s">
        <v>1724</v>
      </c>
      <c r="F1063" s="3">
        <v>44161</v>
      </c>
      <c r="G1063" s="2">
        <v>81</v>
      </c>
      <c r="H1063" s="1">
        <v>537.91999999999996</v>
      </c>
      <c r="I1063" t="s">
        <v>1995</v>
      </c>
      <c r="J1063" s="2">
        <v>1</v>
      </c>
      <c r="K1063" t="s">
        <v>13</v>
      </c>
      <c r="L1063" t="s">
        <v>1682</v>
      </c>
      <c r="M1063" t="s">
        <v>704</v>
      </c>
    </row>
    <row r="1064" spans="1:13" x14ac:dyDescent="0.25">
      <c r="A1064" s="5">
        <v>44242</v>
      </c>
      <c r="B1064" s="2">
        <v>0</v>
      </c>
      <c r="C1064" t="s">
        <v>2109</v>
      </c>
      <c r="D1064" t="s">
        <v>1723</v>
      </c>
      <c r="E1064" t="s">
        <v>1724</v>
      </c>
      <c r="F1064" s="3">
        <v>44211</v>
      </c>
      <c r="G1064" s="2">
        <v>31</v>
      </c>
      <c r="H1064" s="1">
        <v>435.47</v>
      </c>
      <c r="I1064" t="s">
        <v>2110</v>
      </c>
      <c r="J1064" s="2">
        <v>1</v>
      </c>
      <c r="K1064" t="s">
        <v>13</v>
      </c>
      <c r="L1064" t="s">
        <v>1682</v>
      </c>
      <c r="M1064" t="s">
        <v>704</v>
      </c>
    </row>
    <row r="1065" spans="1:13" x14ac:dyDescent="0.25">
      <c r="A1065" s="5">
        <v>44242</v>
      </c>
      <c r="B1065" s="2">
        <v>0</v>
      </c>
      <c r="C1065" t="s">
        <v>2111</v>
      </c>
      <c r="D1065" t="s">
        <v>1742</v>
      </c>
      <c r="E1065" t="s">
        <v>1743</v>
      </c>
      <c r="F1065" s="3">
        <v>44201</v>
      </c>
      <c r="G1065" s="2">
        <v>41</v>
      </c>
      <c r="H1065" s="1">
        <v>586.4</v>
      </c>
      <c r="I1065" t="s">
        <v>2086</v>
      </c>
      <c r="J1065" s="2">
        <v>1</v>
      </c>
      <c r="K1065" t="s">
        <v>13</v>
      </c>
      <c r="L1065" t="s">
        <v>1682</v>
      </c>
      <c r="M1065" t="s">
        <v>704</v>
      </c>
    </row>
    <row r="1066" spans="1:13" x14ac:dyDescent="0.25">
      <c r="A1066" s="5">
        <v>44242</v>
      </c>
      <c r="B1066" s="2">
        <v>0</v>
      </c>
      <c r="C1066" t="s">
        <v>2113</v>
      </c>
      <c r="D1066" t="s">
        <v>1748</v>
      </c>
      <c r="E1066" t="s">
        <v>1840</v>
      </c>
      <c r="F1066" s="3">
        <v>44200</v>
      </c>
      <c r="G1066" s="2">
        <v>42</v>
      </c>
      <c r="H1066" s="1">
        <v>564.76</v>
      </c>
      <c r="I1066" t="s">
        <v>2022</v>
      </c>
      <c r="J1066" s="2">
        <v>1</v>
      </c>
      <c r="K1066" t="s">
        <v>13</v>
      </c>
      <c r="L1066" t="s">
        <v>1682</v>
      </c>
      <c r="M1066" t="s">
        <v>15</v>
      </c>
    </row>
    <row r="1067" spans="1:13" x14ac:dyDescent="0.25">
      <c r="A1067" s="5">
        <v>44242</v>
      </c>
      <c r="B1067" s="2">
        <v>0</v>
      </c>
      <c r="C1067" t="s">
        <v>2114</v>
      </c>
      <c r="D1067" t="s">
        <v>1998</v>
      </c>
      <c r="E1067" t="s">
        <v>1999</v>
      </c>
      <c r="F1067" s="3">
        <v>44160</v>
      </c>
      <c r="G1067" s="2">
        <v>82</v>
      </c>
      <c r="H1067" s="1">
        <v>283.17</v>
      </c>
      <c r="I1067" t="s">
        <v>2032</v>
      </c>
      <c r="J1067" s="2">
        <v>1</v>
      </c>
      <c r="K1067" t="s">
        <v>13</v>
      </c>
      <c r="L1067" t="s">
        <v>695</v>
      </c>
      <c r="M1067" t="s">
        <v>15</v>
      </c>
    </row>
    <row r="1068" spans="1:13" x14ac:dyDescent="0.25">
      <c r="A1068" s="5">
        <v>44242</v>
      </c>
      <c r="B1068" s="2">
        <v>0</v>
      </c>
      <c r="C1068" t="s">
        <v>2115</v>
      </c>
      <c r="D1068" t="s">
        <v>1998</v>
      </c>
      <c r="E1068" t="s">
        <v>1999</v>
      </c>
      <c r="F1068" s="3">
        <v>44211</v>
      </c>
      <c r="G1068" s="2">
        <v>31</v>
      </c>
      <c r="H1068" s="1">
        <v>325.14</v>
      </c>
      <c r="I1068" t="s">
        <v>2116</v>
      </c>
      <c r="J1068" s="2">
        <v>1</v>
      </c>
      <c r="K1068" t="s">
        <v>13</v>
      </c>
      <c r="L1068" t="s">
        <v>695</v>
      </c>
      <c r="M1068" t="s">
        <v>15</v>
      </c>
    </row>
    <row r="1069" spans="1:13" x14ac:dyDescent="0.25">
      <c r="A1069" s="5">
        <v>44243</v>
      </c>
      <c r="B1069" s="2">
        <v>0</v>
      </c>
      <c r="C1069" t="s">
        <v>2117</v>
      </c>
      <c r="D1069" t="s">
        <v>1748</v>
      </c>
      <c r="E1069" t="s">
        <v>1840</v>
      </c>
      <c r="F1069" s="3">
        <v>44193</v>
      </c>
      <c r="G1069" s="2">
        <v>50</v>
      </c>
      <c r="H1069" s="1">
        <v>300.39</v>
      </c>
      <c r="I1069" t="s">
        <v>2014</v>
      </c>
      <c r="J1069" s="2">
        <v>1</v>
      </c>
      <c r="K1069" t="s">
        <v>13</v>
      </c>
      <c r="L1069" t="s">
        <v>1682</v>
      </c>
      <c r="M1069" t="s">
        <v>15</v>
      </c>
    </row>
    <row r="1070" spans="1:13" x14ac:dyDescent="0.25">
      <c r="A1070" s="5">
        <v>44244</v>
      </c>
      <c r="B1070" s="2">
        <v>0</v>
      </c>
      <c r="C1070" t="s">
        <v>2118</v>
      </c>
      <c r="D1070" t="s">
        <v>1985</v>
      </c>
      <c r="E1070" t="s">
        <v>1986</v>
      </c>
      <c r="F1070" s="3">
        <v>44209</v>
      </c>
      <c r="G1070" s="2">
        <v>35</v>
      </c>
      <c r="H1070" s="1">
        <v>266.37</v>
      </c>
      <c r="I1070" t="s">
        <v>2068</v>
      </c>
      <c r="J1070" s="2">
        <v>1</v>
      </c>
      <c r="K1070" t="s">
        <v>13</v>
      </c>
      <c r="L1070" t="s">
        <v>830</v>
      </c>
      <c r="M1070" t="s">
        <v>1902</v>
      </c>
    </row>
    <row r="1071" spans="1:13" x14ac:dyDescent="0.25">
      <c r="A1071" s="5">
        <v>44245</v>
      </c>
      <c r="B1071" s="2">
        <v>0</v>
      </c>
      <c r="C1071" t="s">
        <v>2119</v>
      </c>
      <c r="D1071" t="s">
        <v>1723</v>
      </c>
      <c r="E1071" t="s">
        <v>1724</v>
      </c>
      <c r="F1071" s="3">
        <v>44210</v>
      </c>
      <c r="G1071" s="2">
        <v>35</v>
      </c>
      <c r="H1071" s="1">
        <v>1295.1199999999999</v>
      </c>
      <c r="I1071" t="s">
        <v>2120</v>
      </c>
      <c r="J1071" s="2">
        <v>1</v>
      </c>
      <c r="K1071" t="s">
        <v>13</v>
      </c>
      <c r="L1071" t="s">
        <v>1682</v>
      </c>
      <c r="M1071" t="s">
        <v>704</v>
      </c>
    </row>
    <row r="1072" spans="1:13" x14ac:dyDescent="0.25">
      <c r="A1072" s="5">
        <v>44245</v>
      </c>
      <c r="B1072" s="2">
        <v>0</v>
      </c>
      <c r="C1072" t="s">
        <v>2121</v>
      </c>
      <c r="D1072" t="s">
        <v>1748</v>
      </c>
      <c r="E1072" t="s">
        <v>1840</v>
      </c>
      <c r="F1072" s="3">
        <v>44200</v>
      </c>
      <c r="G1072" s="2">
        <v>45</v>
      </c>
      <c r="H1072" s="1">
        <v>564.76</v>
      </c>
      <c r="I1072" t="s">
        <v>2022</v>
      </c>
      <c r="J1072" s="2">
        <v>1</v>
      </c>
      <c r="K1072" t="s">
        <v>13</v>
      </c>
      <c r="L1072" t="s">
        <v>1682</v>
      </c>
      <c r="M1072" t="s">
        <v>15</v>
      </c>
    </row>
    <row r="1073" spans="1:13" x14ac:dyDescent="0.25">
      <c r="A1073" s="5">
        <v>44246</v>
      </c>
      <c r="B1073" s="2">
        <v>0</v>
      </c>
      <c r="C1073" t="s">
        <v>2123</v>
      </c>
      <c r="D1073" t="s">
        <v>1748</v>
      </c>
      <c r="E1073" t="s">
        <v>1840</v>
      </c>
      <c r="F1073" s="3">
        <v>44239</v>
      </c>
      <c r="G1073" s="2">
        <v>7</v>
      </c>
      <c r="H1073" s="1">
        <v>393.72</v>
      </c>
      <c r="I1073" t="s">
        <v>2124</v>
      </c>
      <c r="J1073" s="2">
        <v>1</v>
      </c>
      <c r="K1073" t="s">
        <v>13</v>
      </c>
      <c r="L1073" t="s">
        <v>1682</v>
      </c>
      <c r="M1073" t="s">
        <v>15</v>
      </c>
    </row>
    <row r="1074" spans="1:13" x14ac:dyDescent="0.25">
      <c r="A1074" s="5">
        <v>44246</v>
      </c>
      <c r="B1074" s="2">
        <v>0</v>
      </c>
      <c r="C1074" t="s">
        <v>2125</v>
      </c>
      <c r="D1074" t="s">
        <v>1985</v>
      </c>
      <c r="E1074" t="s">
        <v>1986</v>
      </c>
      <c r="F1074" s="3">
        <v>44204</v>
      </c>
      <c r="G1074" s="2">
        <v>42</v>
      </c>
      <c r="H1074" s="1">
        <v>342.66</v>
      </c>
      <c r="I1074" t="s">
        <v>2056</v>
      </c>
      <c r="J1074" s="2">
        <v>1</v>
      </c>
      <c r="K1074" t="s">
        <v>13</v>
      </c>
      <c r="L1074" t="s">
        <v>830</v>
      </c>
      <c r="M1074" t="s">
        <v>1902</v>
      </c>
    </row>
    <row r="1075" spans="1:13" x14ac:dyDescent="0.25">
      <c r="A1075" s="5">
        <v>44249</v>
      </c>
      <c r="B1075" s="2">
        <v>0</v>
      </c>
      <c r="C1075" t="s">
        <v>2127</v>
      </c>
      <c r="D1075" t="s">
        <v>1748</v>
      </c>
      <c r="E1075" t="s">
        <v>1840</v>
      </c>
      <c r="F1075" s="3">
        <v>44193</v>
      </c>
      <c r="G1075" s="2">
        <v>56</v>
      </c>
      <c r="H1075" s="1">
        <v>299.95</v>
      </c>
      <c r="I1075" t="s">
        <v>2014</v>
      </c>
      <c r="J1075" s="2">
        <v>1</v>
      </c>
      <c r="K1075" t="s">
        <v>13</v>
      </c>
      <c r="L1075" t="s">
        <v>1682</v>
      </c>
      <c r="M1075" t="s">
        <v>15</v>
      </c>
    </row>
    <row r="1076" spans="1:13" x14ac:dyDescent="0.25">
      <c r="A1076" s="5">
        <v>44249</v>
      </c>
      <c r="B1076" s="2">
        <v>0</v>
      </c>
      <c r="C1076" t="s">
        <v>2128</v>
      </c>
      <c r="D1076" t="s">
        <v>1998</v>
      </c>
      <c r="E1076" t="s">
        <v>1999</v>
      </c>
      <c r="F1076" s="3">
        <v>44167</v>
      </c>
      <c r="G1076" s="2">
        <v>82</v>
      </c>
      <c r="H1076" s="1">
        <v>314.89</v>
      </c>
      <c r="I1076" t="s">
        <v>2049</v>
      </c>
      <c r="J1076" s="2">
        <v>1</v>
      </c>
      <c r="K1076" t="s">
        <v>13</v>
      </c>
      <c r="L1076" t="s">
        <v>695</v>
      </c>
      <c r="M1076" t="s">
        <v>15</v>
      </c>
    </row>
    <row r="1077" spans="1:13" x14ac:dyDescent="0.25">
      <c r="A1077" s="5">
        <v>44249</v>
      </c>
      <c r="B1077" s="2">
        <v>0</v>
      </c>
      <c r="C1077" t="s">
        <v>2129</v>
      </c>
      <c r="D1077" t="s">
        <v>1998</v>
      </c>
      <c r="E1077" t="s">
        <v>1999</v>
      </c>
      <c r="F1077" s="3">
        <v>44187</v>
      </c>
      <c r="G1077" s="2">
        <v>62</v>
      </c>
      <c r="H1077" s="1">
        <v>221.09</v>
      </c>
      <c r="I1077" t="s">
        <v>2077</v>
      </c>
      <c r="J1077" s="2">
        <v>1</v>
      </c>
      <c r="K1077" t="s">
        <v>13</v>
      </c>
      <c r="L1077" t="s">
        <v>695</v>
      </c>
      <c r="M1077" t="s">
        <v>15</v>
      </c>
    </row>
    <row r="1078" spans="1:13" x14ac:dyDescent="0.25">
      <c r="A1078" s="5">
        <v>44249</v>
      </c>
      <c r="B1078" s="2">
        <v>0</v>
      </c>
      <c r="C1078" t="s">
        <v>2130</v>
      </c>
      <c r="D1078" t="s">
        <v>2131</v>
      </c>
      <c r="E1078" t="s">
        <v>2132</v>
      </c>
      <c r="F1078" s="3">
        <v>44153</v>
      </c>
      <c r="G1078" s="2">
        <v>96</v>
      </c>
      <c r="H1078" s="1">
        <v>367.38</v>
      </c>
      <c r="I1078" t="s">
        <v>2133</v>
      </c>
      <c r="J1078" s="2">
        <v>1</v>
      </c>
      <c r="K1078" t="s">
        <v>13</v>
      </c>
      <c r="L1078" t="s">
        <v>671</v>
      </c>
      <c r="M1078" t="s">
        <v>15</v>
      </c>
    </row>
    <row r="1079" spans="1:13" x14ac:dyDescent="0.25">
      <c r="A1079" s="5">
        <v>44250</v>
      </c>
      <c r="B1079" s="2">
        <v>0</v>
      </c>
      <c r="C1079" t="s">
        <v>2134</v>
      </c>
      <c r="D1079" t="s">
        <v>1723</v>
      </c>
      <c r="E1079" t="s">
        <v>1724</v>
      </c>
      <c r="F1079" s="3">
        <v>44210</v>
      </c>
      <c r="G1079" s="2">
        <v>40</v>
      </c>
      <c r="H1079" s="1">
        <v>713</v>
      </c>
      <c r="I1079" t="s">
        <v>2120</v>
      </c>
      <c r="J1079" s="2">
        <v>1</v>
      </c>
      <c r="K1079" t="s">
        <v>13</v>
      </c>
      <c r="L1079" t="s">
        <v>1682</v>
      </c>
      <c r="M1079" t="s">
        <v>704</v>
      </c>
    </row>
    <row r="1080" spans="1:13" x14ac:dyDescent="0.25">
      <c r="A1080" s="5">
        <v>44250</v>
      </c>
      <c r="B1080" s="2">
        <v>0</v>
      </c>
      <c r="C1080" t="s">
        <v>2135</v>
      </c>
      <c r="D1080" t="s">
        <v>1748</v>
      </c>
      <c r="E1080" t="s">
        <v>1840</v>
      </c>
      <c r="F1080" s="3">
        <v>44200</v>
      </c>
      <c r="G1080" s="2">
        <v>50</v>
      </c>
      <c r="H1080" s="1">
        <v>564.76</v>
      </c>
      <c r="I1080" t="s">
        <v>2022</v>
      </c>
      <c r="J1080" s="2">
        <v>1</v>
      </c>
      <c r="K1080" t="s">
        <v>13</v>
      </c>
      <c r="L1080" t="s">
        <v>1682</v>
      </c>
      <c r="M1080" t="s">
        <v>15</v>
      </c>
    </row>
    <row r="1081" spans="1:13" x14ac:dyDescent="0.25">
      <c r="A1081" s="5">
        <v>44250</v>
      </c>
      <c r="B1081" s="2">
        <v>0</v>
      </c>
      <c r="C1081" t="s">
        <v>2136</v>
      </c>
      <c r="D1081" t="s">
        <v>1998</v>
      </c>
      <c r="E1081" t="s">
        <v>1999</v>
      </c>
      <c r="F1081" s="3">
        <v>44160</v>
      </c>
      <c r="G1081" s="2">
        <v>90</v>
      </c>
      <c r="H1081" s="1">
        <v>283.2</v>
      </c>
      <c r="I1081" t="s">
        <v>2032</v>
      </c>
      <c r="J1081" s="2">
        <v>1</v>
      </c>
      <c r="K1081" t="s">
        <v>13</v>
      </c>
      <c r="L1081" t="s">
        <v>695</v>
      </c>
      <c r="M1081" t="s">
        <v>15</v>
      </c>
    </row>
    <row r="1082" spans="1:13" x14ac:dyDescent="0.25">
      <c r="A1082" s="5">
        <v>44251</v>
      </c>
      <c r="B1082" s="2">
        <v>0</v>
      </c>
      <c r="C1082" t="s">
        <v>2137</v>
      </c>
      <c r="D1082" t="s">
        <v>1723</v>
      </c>
      <c r="E1082" t="s">
        <v>1724</v>
      </c>
      <c r="F1082" s="3">
        <v>44161</v>
      </c>
      <c r="G1082" s="2">
        <v>90</v>
      </c>
      <c r="H1082" s="1">
        <v>537.95000000000005</v>
      </c>
      <c r="I1082" t="s">
        <v>1995</v>
      </c>
      <c r="J1082" s="2">
        <v>1</v>
      </c>
      <c r="K1082" t="s">
        <v>13</v>
      </c>
      <c r="L1082" t="s">
        <v>1682</v>
      </c>
      <c r="M1082" t="s">
        <v>704</v>
      </c>
    </row>
    <row r="1083" spans="1:13" x14ac:dyDescent="0.25">
      <c r="A1083" s="5">
        <v>44251</v>
      </c>
      <c r="B1083" s="2">
        <v>0</v>
      </c>
      <c r="C1083" t="s">
        <v>2138</v>
      </c>
      <c r="D1083" t="s">
        <v>1742</v>
      </c>
      <c r="E1083" t="s">
        <v>1743</v>
      </c>
      <c r="F1083" s="3">
        <v>44201</v>
      </c>
      <c r="G1083" s="2">
        <v>50</v>
      </c>
      <c r="H1083" s="1">
        <v>585.58000000000004</v>
      </c>
      <c r="I1083" t="s">
        <v>2086</v>
      </c>
      <c r="J1083" s="2">
        <v>1</v>
      </c>
      <c r="K1083" t="s">
        <v>13</v>
      </c>
      <c r="L1083" t="s">
        <v>1682</v>
      </c>
      <c r="M1083" t="s">
        <v>704</v>
      </c>
    </row>
    <row r="1084" spans="1:13" x14ac:dyDescent="0.25">
      <c r="A1084" s="5">
        <v>44251</v>
      </c>
      <c r="B1084" s="2">
        <v>0</v>
      </c>
      <c r="C1084" t="s">
        <v>2139</v>
      </c>
      <c r="D1084" t="s">
        <v>1998</v>
      </c>
      <c r="E1084" t="s">
        <v>1999</v>
      </c>
      <c r="F1084" s="3">
        <v>44211</v>
      </c>
      <c r="G1084" s="2">
        <v>40</v>
      </c>
      <c r="H1084" s="1">
        <v>268.16000000000003</v>
      </c>
      <c r="I1084" t="s">
        <v>2116</v>
      </c>
      <c r="J1084" s="2">
        <v>1</v>
      </c>
      <c r="K1084" t="s">
        <v>13</v>
      </c>
      <c r="L1084" t="s">
        <v>695</v>
      </c>
      <c r="M1084" t="s">
        <v>15</v>
      </c>
    </row>
    <row r="1085" spans="1:13" x14ac:dyDescent="0.25">
      <c r="A1085" s="5">
        <v>44251</v>
      </c>
      <c r="B1085" s="2">
        <v>0</v>
      </c>
      <c r="C1085" t="s">
        <v>2140</v>
      </c>
      <c r="D1085" t="s">
        <v>1985</v>
      </c>
      <c r="E1085" t="s">
        <v>1986</v>
      </c>
      <c r="F1085" s="3">
        <v>44209</v>
      </c>
      <c r="G1085" s="2">
        <v>42</v>
      </c>
      <c r="H1085" s="1">
        <v>266.39</v>
      </c>
      <c r="I1085" t="s">
        <v>2068</v>
      </c>
      <c r="J1085" s="2">
        <v>1</v>
      </c>
      <c r="K1085" t="s">
        <v>13</v>
      </c>
      <c r="L1085" t="s">
        <v>830</v>
      </c>
      <c r="M1085" t="s">
        <v>1902</v>
      </c>
    </row>
    <row r="1086" spans="1:13" x14ac:dyDescent="0.25">
      <c r="A1086" s="5">
        <v>44252</v>
      </c>
      <c r="B1086" s="2">
        <v>0</v>
      </c>
      <c r="C1086" t="s">
        <v>2141</v>
      </c>
      <c r="D1086" t="s">
        <v>1723</v>
      </c>
      <c r="E1086" t="s">
        <v>1724</v>
      </c>
      <c r="F1086" s="3">
        <v>44202</v>
      </c>
      <c r="G1086" s="2">
        <v>50</v>
      </c>
      <c r="H1086" s="1">
        <v>451.22</v>
      </c>
      <c r="I1086" t="s">
        <v>2142</v>
      </c>
      <c r="J1086" s="2">
        <v>1</v>
      </c>
      <c r="K1086" t="s">
        <v>13</v>
      </c>
      <c r="L1086" t="s">
        <v>1682</v>
      </c>
      <c r="M1086" t="s">
        <v>704</v>
      </c>
    </row>
    <row r="1087" spans="1:13" x14ac:dyDescent="0.25">
      <c r="A1087" s="5">
        <v>44253</v>
      </c>
      <c r="B1087" s="2">
        <v>0</v>
      </c>
      <c r="C1087" t="s">
        <v>2143</v>
      </c>
      <c r="D1087" t="s">
        <v>1744</v>
      </c>
      <c r="E1087" t="s">
        <v>1745</v>
      </c>
      <c r="F1087" s="3">
        <v>44188</v>
      </c>
      <c r="G1087" s="2">
        <v>65</v>
      </c>
      <c r="H1087" s="1">
        <v>666.2</v>
      </c>
      <c r="I1087" t="s">
        <v>2144</v>
      </c>
      <c r="J1087" s="2">
        <v>1</v>
      </c>
      <c r="K1087" t="s">
        <v>13</v>
      </c>
      <c r="L1087" t="s">
        <v>1493</v>
      </c>
      <c r="M1087" t="s">
        <v>1746</v>
      </c>
    </row>
    <row r="1088" spans="1:13" x14ac:dyDescent="0.25">
      <c r="A1088" s="5">
        <v>44253</v>
      </c>
      <c r="B1088" s="2">
        <v>0</v>
      </c>
      <c r="C1088" t="s">
        <v>2145</v>
      </c>
      <c r="D1088" t="s">
        <v>1748</v>
      </c>
      <c r="E1088" t="s">
        <v>1840</v>
      </c>
      <c r="F1088" s="3">
        <v>44193</v>
      </c>
      <c r="G1088" s="2">
        <v>60</v>
      </c>
      <c r="H1088" s="1">
        <v>299.95</v>
      </c>
      <c r="I1088" t="s">
        <v>2014</v>
      </c>
      <c r="J1088" s="2">
        <v>1</v>
      </c>
      <c r="K1088" t="s">
        <v>13</v>
      </c>
      <c r="L1088" t="s">
        <v>1682</v>
      </c>
      <c r="M1088" t="s">
        <v>15</v>
      </c>
    </row>
    <row r="1089" spans="1:13" x14ac:dyDescent="0.25">
      <c r="A1089" s="5">
        <v>44253</v>
      </c>
      <c r="B1089" s="2">
        <v>0</v>
      </c>
      <c r="C1089" t="s">
        <v>2146</v>
      </c>
      <c r="D1089" t="s">
        <v>1985</v>
      </c>
      <c r="E1089" t="s">
        <v>1986</v>
      </c>
      <c r="F1089" s="3">
        <v>44204</v>
      </c>
      <c r="G1089" s="2">
        <v>49</v>
      </c>
      <c r="H1089" s="1">
        <v>342.66</v>
      </c>
      <c r="I1089" t="s">
        <v>2056</v>
      </c>
      <c r="J1089" s="2">
        <v>1</v>
      </c>
      <c r="K1089" t="s">
        <v>13</v>
      </c>
      <c r="L1089" t="s">
        <v>830</v>
      </c>
      <c r="M1089" t="s">
        <v>1902</v>
      </c>
    </row>
    <row r="1090" spans="1:13" x14ac:dyDescent="0.25">
      <c r="A1090" s="5">
        <v>44256</v>
      </c>
      <c r="B1090" s="2">
        <v>0</v>
      </c>
      <c r="C1090" t="s">
        <v>2147</v>
      </c>
      <c r="D1090" t="s">
        <v>1723</v>
      </c>
      <c r="E1090" t="s">
        <v>1724</v>
      </c>
      <c r="F1090" s="3">
        <v>44210</v>
      </c>
      <c r="G1090" s="2">
        <v>46</v>
      </c>
      <c r="H1090" s="1">
        <v>649.86</v>
      </c>
      <c r="I1090" t="s">
        <v>2120</v>
      </c>
      <c r="J1090" s="2">
        <v>1</v>
      </c>
      <c r="K1090" t="s">
        <v>13</v>
      </c>
      <c r="L1090" t="s">
        <v>1682</v>
      </c>
      <c r="M1090" t="s">
        <v>704</v>
      </c>
    </row>
    <row r="1091" spans="1:13" x14ac:dyDescent="0.25">
      <c r="A1091" s="5">
        <v>44256</v>
      </c>
      <c r="B1091" s="2">
        <v>0</v>
      </c>
      <c r="C1091" t="s">
        <v>2148</v>
      </c>
      <c r="D1091" t="s">
        <v>1748</v>
      </c>
      <c r="E1091" t="s">
        <v>1840</v>
      </c>
      <c r="F1091" s="3">
        <v>44200</v>
      </c>
      <c r="G1091" s="2">
        <v>56</v>
      </c>
      <c r="H1091" s="1">
        <v>563.91999999999996</v>
      </c>
      <c r="I1091" t="s">
        <v>2022</v>
      </c>
      <c r="J1091" s="2">
        <v>1</v>
      </c>
      <c r="K1091" t="s">
        <v>13</v>
      </c>
      <c r="L1091" t="s">
        <v>1682</v>
      </c>
      <c r="M1091" t="s">
        <v>15</v>
      </c>
    </row>
    <row r="1092" spans="1:13" x14ac:dyDescent="0.25">
      <c r="A1092" s="5">
        <v>44256</v>
      </c>
      <c r="B1092" s="2">
        <v>0</v>
      </c>
      <c r="C1092" t="s">
        <v>2149</v>
      </c>
      <c r="D1092" t="s">
        <v>1998</v>
      </c>
      <c r="E1092" t="s">
        <v>1999</v>
      </c>
      <c r="F1092" s="3">
        <v>44224</v>
      </c>
      <c r="G1092" s="2">
        <v>32</v>
      </c>
      <c r="H1092" s="1">
        <v>337.89</v>
      </c>
      <c r="I1092" t="s">
        <v>2150</v>
      </c>
      <c r="J1092" s="2">
        <v>1</v>
      </c>
      <c r="K1092" t="s">
        <v>13</v>
      </c>
      <c r="L1092" t="s">
        <v>695</v>
      </c>
      <c r="M1092" t="s">
        <v>15</v>
      </c>
    </row>
    <row r="1093" spans="1:13" x14ac:dyDescent="0.25">
      <c r="A1093" s="5">
        <v>44256</v>
      </c>
      <c r="B1093" s="2">
        <v>0</v>
      </c>
      <c r="C1093" t="s">
        <v>2151</v>
      </c>
      <c r="D1093" t="s">
        <v>1998</v>
      </c>
      <c r="E1093" t="s">
        <v>1999</v>
      </c>
      <c r="F1093" s="3">
        <v>44226</v>
      </c>
      <c r="G1093" s="2">
        <v>30</v>
      </c>
      <c r="H1093" s="1">
        <v>309.08</v>
      </c>
      <c r="I1093" t="s">
        <v>2152</v>
      </c>
      <c r="J1093" s="2">
        <v>1</v>
      </c>
      <c r="K1093" t="s">
        <v>13</v>
      </c>
      <c r="L1093" t="s">
        <v>695</v>
      </c>
      <c r="M1093" t="s">
        <v>15</v>
      </c>
    </row>
    <row r="1094" spans="1:13" x14ac:dyDescent="0.25">
      <c r="A1094" s="5">
        <v>44258</v>
      </c>
      <c r="B1094" s="2">
        <v>0</v>
      </c>
      <c r="C1094" t="s">
        <v>2153</v>
      </c>
      <c r="D1094" t="s">
        <v>1748</v>
      </c>
      <c r="E1094" t="s">
        <v>1840</v>
      </c>
      <c r="F1094" s="3">
        <v>44193</v>
      </c>
      <c r="G1094" s="2">
        <v>65</v>
      </c>
      <c r="H1094" s="1">
        <v>299.95</v>
      </c>
      <c r="I1094" t="s">
        <v>2014</v>
      </c>
      <c r="J1094" s="2">
        <v>1</v>
      </c>
      <c r="K1094" t="s">
        <v>13</v>
      </c>
      <c r="L1094" t="s">
        <v>1682</v>
      </c>
      <c r="M1094" t="s">
        <v>15</v>
      </c>
    </row>
    <row r="1095" spans="1:13" x14ac:dyDescent="0.25">
      <c r="A1095" s="5">
        <v>44258</v>
      </c>
      <c r="B1095" s="2">
        <v>0</v>
      </c>
      <c r="C1095" t="s">
        <v>2154</v>
      </c>
      <c r="D1095" t="s">
        <v>1748</v>
      </c>
      <c r="E1095" t="s">
        <v>1840</v>
      </c>
      <c r="F1095" s="3">
        <v>44228</v>
      </c>
      <c r="G1095" s="2">
        <v>30</v>
      </c>
      <c r="H1095" s="1">
        <v>291.99</v>
      </c>
      <c r="I1095" t="s">
        <v>2155</v>
      </c>
      <c r="J1095" s="2">
        <v>1</v>
      </c>
      <c r="K1095" t="s">
        <v>13</v>
      </c>
      <c r="L1095" t="s">
        <v>1682</v>
      </c>
      <c r="M1095" t="s">
        <v>15</v>
      </c>
    </row>
    <row r="1096" spans="1:13" x14ac:dyDescent="0.25">
      <c r="A1096" s="5">
        <v>44260</v>
      </c>
      <c r="B1096" s="2">
        <v>0</v>
      </c>
      <c r="C1096" t="s">
        <v>2156</v>
      </c>
      <c r="D1096" t="s">
        <v>1723</v>
      </c>
      <c r="E1096" t="s">
        <v>1724</v>
      </c>
      <c r="F1096" s="3">
        <v>44210</v>
      </c>
      <c r="G1096" s="2">
        <v>50</v>
      </c>
      <c r="H1096" s="1">
        <v>649.86</v>
      </c>
      <c r="I1096" t="s">
        <v>2120</v>
      </c>
      <c r="J1096" s="2">
        <v>1</v>
      </c>
      <c r="K1096" t="s">
        <v>13</v>
      </c>
      <c r="L1096" t="s">
        <v>1682</v>
      </c>
      <c r="M1096" t="s">
        <v>704</v>
      </c>
    </row>
    <row r="1097" spans="1:13" x14ac:dyDescent="0.25">
      <c r="A1097" s="5">
        <v>44260</v>
      </c>
      <c r="B1097" s="2">
        <v>0</v>
      </c>
      <c r="C1097" t="s">
        <v>2157</v>
      </c>
      <c r="D1097" t="s">
        <v>2072</v>
      </c>
      <c r="E1097" t="s">
        <v>2073</v>
      </c>
      <c r="F1097" s="3">
        <v>44200</v>
      </c>
      <c r="G1097" s="2">
        <v>60</v>
      </c>
      <c r="H1097" s="1">
        <v>353.77</v>
      </c>
      <c r="I1097" t="s">
        <v>2082</v>
      </c>
      <c r="J1097" s="2">
        <v>1</v>
      </c>
      <c r="K1097" t="s">
        <v>13</v>
      </c>
      <c r="L1097" t="s">
        <v>554</v>
      </c>
      <c r="M1097" t="s">
        <v>81</v>
      </c>
    </row>
    <row r="1098" spans="1:13" x14ac:dyDescent="0.25">
      <c r="A1098" s="5">
        <v>44260</v>
      </c>
      <c r="B1098" s="2">
        <v>0</v>
      </c>
      <c r="C1098" t="s">
        <v>2158</v>
      </c>
      <c r="D1098" t="s">
        <v>1748</v>
      </c>
      <c r="E1098" t="s">
        <v>1840</v>
      </c>
      <c r="F1098" s="3">
        <v>44200</v>
      </c>
      <c r="G1098" s="2">
        <v>60</v>
      </c>
      <c r="H1098" s="1">
        <v>563.91999999999996</v>
      </c>
      <c r="I1098" t="s">
        <v>2022</v>
      </c>
      <c r="J1098" s="2">
        <v>1</v>
      </c>
      <c r="K1098" t="s">
        <v>13</v>
      </c>
      <c r="L1098" t="s">
        <v>1682</v>
      </c>
      <c r="M1098" t="s">
        <v>15</v>
      </c>
    </row>
    <row r="1099" spans="1:13" x14ac:dyDescent="0.25">
      <c r="A1099" s="5">
        <v>44263</v>
      </c>
      <c r="B1099" s="2">
        <v>0</v>
      </c>
      <c r="C1099" t="s">
        <v>2159</v>
      </c>
      <c r="D1099" t="s">
        <v>1723</v>
      </c>
      <c r="E1099" t="s">
        <v>1724</v>
      </c>
      <c r="F1099" s="3">
        <v>44211</v>
      </c>
      <c r="G1099" s="2">
        <v>52</v>
      </c>
      <c r="H1099" s="1">
        <v>372.51</v>
      </c>
      <c r="I1099" t="s">
        <v>2160</v>
      </c>
      <c r="J1099" s="2">
        <v>1</v>
      </c>
      <c r="K1099" t="s">
        <v>13</v>
      </c>
      <c r="L1099" t="s">
        <v>1682</v>
      </c>
      <c r="M1099" t="s">
        <v>704</v>
      </c>
    </row>
    <row r="1100" spans="1:13" x14ac:dyDescent="0.25">
      <c r="A1100" s="5">
        <v>44263</v>
      </c>
      <c r="B1100" s="2">
        <v>0</v>
      </c>
      <c r="C1100" t="s">
        <v>2161</v>
      </c>
      <c r="D1100" t="s">
        <v>1742</v>
      </c>
      <c r="E1100" t="s">
        <v>1743</v>
      </c>
      <c r="F1100" s="3">
        <v>44201</v>
      </c>
      <c r="G1100" s="2">
        <v>62</v>
      </c>
      <c r="H1100" s="1">
        <v>585.58000000000004</v>
      </c>
      <c r="I1100" t="s">
        <v>2086</v>
      </c>
      <c r="J1100" s="2">
        <v>1</v>
      </c>
      <c r="K1100" t="s">
        <v>13</v>
      </c>
      <c r="L1100" t="s">
        <v>1682</v>
      </c>
      <c r="M1100" t="s">
        <v>704</v>
      </c>
    </row>
    <row r="1101" spans="1:13" x14ac:dyDescent="0.25">
      <c r="A1101" s="5">
        <v>44263</v>
      </c>
      <c r="B1101" s="2">
        <v>0</v>
      </c>
      <c r="C1101" t="s">
        <v>2162</v>
      </c>
      <c r="D1101" t="s">
        <v>2072</v>
      </c>
      <c r="E1101" t="s">
        <v>2073</v>
      </c>
      <c r="F1101" s="3">
        <v>44222</v>
      </c>
      <c r="G1101" s="2">
        <v>41</v>
      </c>
      <c r="H1101" s="1">
        <v>341.19</v>
      </c>
      <c r="I1101" t="s">
        <v>2163</v>
      </c>
      <c r="J1101" s="2">
        <v>1</v>
      </c>
      <c r="K1101" t="s">
        <v>13</v>
      </c>
      <c r="L1101" t="s">
        <v>554</v>
      </c>
      <c r="M1101" t="s">
        <v>81</v>
      </c>
    </row>
    <row r="1102" spans="1:13" x14ac:dyDescent="0.25">
      <c r="A1102" s="5">
        <v>44263</v>
      </c>
      <c r="B1102" s="2">
        <v>0</v>
      </c>
      <c r="C1102" t="s">
        <v>2164</v>
      </c>
      <c r="D1102" t="s">
        <v>1748</v>
      </c>
      <c r="E1102" t="s">
        <v>1840</v>
      </c>
      <c r="F1102" s="3">
        <v>44193</v>
      </c>
      <c r="G1102" s="2">
        <v>70</v>
      </c>
      <c r="H1102" s="1">
        <v>299.95</v>
      </c>
      <c r="I1102" t="s">
        <v>2014</v>
      </c>
      <c r="J1102" s="2">
        <v>1</v>
      </c>
      <c r="K1102" t="s">
        <v>13</v>
      </c>
      <c r="L1102" t="s">
        <v>1682</v>
      </c>
      <c r="M1102" t="s">
        <v>15</v>
      </c>
    </row>
    <row r="1103" spans="1:13" x14ac:dyDescent="0.25">
      <c r="A1103" s="5">
        <v>44263</v>
      </c>
      <c r="B1103" s="2">
        <v>0</v>
      </c>
      <c r="C1103" t="s">
        <v>2165</v>
      </c>
      <c r="D1103" t="s">
        <v>1998</v>
      </c>
      <c r="E1103" t="s">
        <v>1999</v>
      </c>
      <c r="F1103" s="3">
        <v>44211</v>
      </c>
      <c r="G1103" s="2">
        <v>52</v>
      </c>
      <c r="H1103" s="1">
        <v>267.79000000000002</v>
      </c>
      <c r="I1103" t="s">
        <v>2116</v>
      </c>
      <c r="J1103" s="2">
        <v>1</v>
      </c>
      <c r="K1103" t="s">
        <v>13</v>
      </c>
      <c r="L1103" t="s">
        <v>695</v>
      </c>
      <c r="M1103" t="s">
        <v>15</v>
      </c>
    </row>
    <row r="1104" spans="1:13" x14ac:dyDescent="0.25">
      <c r="A1104" s="5">
        <v>44264</v>
      </c>
      <c r="B1104" s="2">
        <v>0</v>
      </c>
      <c r="C1104" t="s">
        <v>2166</v>
      </c>
      <c r="D1104" t="s">
        <v>1998</v>
      </c>
      <c r="E1104" t="s">
        <v>1999</v>
      </c>
      <c r="F1104" s="3">
        <v>44224</v>
      </c>
      <c r="G1104" s="2">
        <v>40</v>
      </c>
      <c r="H1104" s="1">
        <v>243.84</v>
      </c>
      <c r="I1104" t="s">
        <v>2150</v>
      </c>
      <c r="J1104" s="2">
        <v>1</v>
      </c>
      <c r="K1104" t="s">
        <v>13</v>
      </c>
      <c r="L1104" t="s">
        <v>695</v>
      </c>
      <c r="M1104" t="s">
        <v>15</v>
      </c>
    </row>
    <row r="1105" spans="1:13" x14ac:dyDescent="0.25">
      <c r="A1105" s="5">
        <v>44265</v>
      </c>
      <c r="B1105" s="2">
        <v>0</v>
      </c>
      <c r="C1105" t="s">
        <v>2167</v>
      </c>
      <c r="D1105" t="s">
        <v>1723</v>
      </c>
      <c r="E1105" t="s">
        <v>1724</v>
      </c>
      <c r="F1105" s="3">
        <v>44210</v>
      </c>
      <c r="G1105" s="2">
        <v>55</v>
      </c>
      <c r="H1105" s="1">
        <v>649.86</v>
      </c>
      <c r="I1105" t="s">
        <v>2120</v>
      </c>
      <c r="J1105" s="2">
        <v>1</v>
      </c>
      <c r="K1105" t="s">
        <v>13</v>
      </c>
      <c r="L1105" t="s">
        <v>1682</v>
      </c>
      <c r="M1105" t="s">
        <v>704</v>
      </c>
    </row>
    <row r="1106" spans="1:13" x14ac:dyDescent="0.25">
      <c r="A1106" s="5">
        <v>44265</v>
      </c>
      <c r="B1106" s="2">
        <v>0</v>
      </c>
      <c r="C1106" t="s">
        <v>2168</v>
      </c>
      <c r="D1106" t="s">
        <v>1748</v>
      </c>
      <c r="E1106" t="s">
        <v>1840</v>
      </c>
      <c r="F1106" s="3">
        <v>44200</v>
      </c>
      <c r="G1106" s="2">
        <v>65</v>
      </c>
      <c r="H1106" s="1">
        <v>563.91999999999996</v>
      </c>
      <c r="I1106" t="s">
        <v>2022</v>
      </c>
      <c r="J1106" s="2">
        <v>1</v>
      </c>
      <c r="K1106" t="s">
        <v>13</v>
      </c>
      <c r="L1106" t="s">
        <v>1682</v>
      </c>
      <c r="M1106" t="s">
        <v>15</v>
      </c>
    </row>
    <row r="1107" spans="1:13" x14ac:dyDescent="0.25">
      <c r="A1107" s="5">
        <v>44266</v>
      </c>
      <c r="B1107" s="2">
        <v>0</v>
      </c>
      <c r="C1107" t="s">
        <v>2169</v>
      </c>
      <c r="D1107" t="s">
        <v>1998</v>
      </c>
      <c r="E1107" t="s">
        <v>1999</v>
      </c>
      <c r="F1107" s="3">
        <v>44226</v>
      </c>
      <c r="G1107" s="2">
        <v>40</v>
      </c>
      <c r="H1107" s="1">
        <v>254.81</v>
      </c>
      <c r="I1107" t="s">
        <v>2152</v>
      </c>
      <c r="J1107" s="2">
        <v>1</v>
      </c>
      <c r="K1107" t="s">
        <v>13</v>
      </c>
      <c r="L1107" t="s">
        <v>695</v>
      </c>
      <c r="M1107" t="s">
        <v>15</v>
      </c>
    </row>
    <row r="1108" spans="1:13" x14ac:dyDescent="0.25">
      <c r="A1108" s="5">
        <v>44270</v>
      </c>
      <c r="B1108" s="2">
        <v>0</v>
      </c>
      <c r="C1108" t="s">
        <v>2171</v>
      </c>
      <c r="D1108" t="s">
        <v>1723</v>
      </c>
      <c r="E1108" t="s">
        <v>1724</v>
      </c>
      <c r="F1108" s="3">
        <v>44210</v>
      </c>
      <c r="G1108" s="2">
        <v>60</v>
      </c>
      <c r="H1108" s="1">
        <v>649.86</v>
      </c>
      <c r="I1108" t="s">
        <v>2120</v>
      </c>
      <c r="J1108" s="2">
        <v>1</v>
      </c>
      <c r="K1108" t="s">
        <v>13</v>
      </c>
      <c r="L1108" t="s">
        <v>1682</v>
      </c>
      <c r="M1108" t="s">
        <v>704</v>
      </c>
    </row>
    <row r="1109" spans="1:13" x14ac:dyDescent="0.25">
      <c r="A1109" s="5">
        <v>44270</v>
      </c>
      <c r="B1109" s="2">
        <v>0</v>
      </c>
      <c r="C1109" t="s">
        <v>2172</v>
      </c>
      <c r="D1109" t="s">
        <v>1748</v>
      </c>
      <c r="E1109" t="s">
        <v>1840</v>
      </c>
      <c r="F1109" s="3">
        <v>44193</v>
      </c>
      <c r="G1109" s="2">
        <v>77</v>
      </c>
      <c r="H1109" s="1">
        <v>299.93</v>
      </c>
      <c r="I1109" t="s">
        <v>2014</v>
      </c>
      <c r="J1109" s="2">
        <v>1</v>
      </c>
      <c r="K1109" t="s">
        <v>13</v>
      </c>
      <c r="L1109" t="s">
        <v>1682</v>
      </c>
      <c r="M1109" t="s">
        <v>15</v>
      </c>
    </row>
    <row r="1110" spans="1:13" x14ac:dyDescent="0.25">
      <c r="A1110" s="5">
        <v>44270</v>
      </c>
      <c r="B1110" s="2">
        <v>0</v>
      </c>
      <c r="C1110" t="s">
        <v>2173</v>
      </c>
      <c r="D1110" t="s">
        <v>1748</v>
      </c>
      <c r="E1110" t="s">
        <v>1840</v>
      </c>
      <c r="F1110" s="3">
        <v>44200</v>
      </c>
      <c r="G1110" s="2">
        <v>70</v>
      </c>
      <c r="H1110" s="1">
        <v>563.91999999999996</v>
      </c>
      <c r="I1110" t="s">
        <v>2022</v>
      </c>
      <c r="J1110" s="2">
        <v>1</v>
      </c>
      <c r="K1110" t="s">
        <v>13</v>
      </c>
      <c r="L1110" t="s">
        <v>1682</v>
      </c>
      <c r="M1110" t="s">
        <v>15</v>
      </c>
    </row>
    <row r="1111" spans="1:13" x14ac:dyDescent="0.25">
      <c r="A1111" s="5">
        <v>44271</v>
      </c>
      <c r="B1111" s="2">
        <v>0</v>
      </c>
      <c r="C1111" t="s">
        <v>2174</v>
      </c>
      <c r="D1111" t="s">
        <v>1723</v>
      </c>
      <c r="E1111" t="s">
        <v>1724</v>
      </c>
      <c r="F1111" s="3">
        <v>44211</v>
      </c>
      <c r="G1111" s="2">
        <v>60</v>
      </c>
      <c r="H1111" s="1">
        <v>356.87</v>
      </c>
      <c r="I1111" t="s">
        <v>2110</v>
      </c>
      <c r="J1111" s="2">
        <v>1</v>
      </c>
      <c r="K1111" t="s">
        <v>13</v>
      </c>
      <c r="L1111" t="s">
        <v>1682</v>
      </c>
      <c r="M1111" t="s">
        <v>704</v>
      </c>
    </row>
    <row r="1112" spans="1:13" x14ac:dyDescent="0.25">
      <c r="A1112" s="5">
        <v>44271</v>
      </c>
      <c r="B1112" s="2">
        <v>0</v>
      </c>
      <c r="C1112" t="s">
        <v>2175</v>
      </c>
      <c r="D1112" t="s">
        <v>1742</v>
      </c>
      <c r="E1112" t="s">
        <v>1743</v>
      </c>
      <c r="F1112" s="3">
        <v>44201</v>
      </c>
      <c r="G1112" s="2">
        <v>70</v>
      </c>
      <c r="H1112" s="1">
        <v>585.58000000000004</v>
      </c>
      <c r="I1112" t="s">
        <v>2086</v>
      </c>
      <c r="J1112" s="2">
        <v>1</v>
      </c>
      <c r="K1112" t="s">
        <v>13</v>
      </c>
      <c r="L1112" t="s">
        <v>1682</v>
      </c>
      <c r="M1112" t="s">
        <v>704</v>
      </c>
    </row>
    <row r="1113" spans="1:13" x14ac:dyDescent="0.25">
      <c r="A1113" s="5">
        <v>44271</v>
      </c>
      <c r="B1113" s="2">
        <v>0</v>
      </c>
      <c r="C1113" t="s">
        <v>2176</v>
      </c>
      <c r="D1113" t="s">
        <v>1998</v>
      </c>
      <c r="E1113" t="s">
        <v>1999</v>
      </c>
      <c r="F1113" s="3">
        <v>44211</v>
      </c>
      <c r="G1113" s="2">
        <v>60</v>
      </c>
      <c r="H1113" s="1">
        <v>267.79000000000002</v>
      </c>
      <c r="I1113" t="s">
        <v>2116</v>
      </c>
      <c r="J1113" s="2">
        <v>1</v>
      </c>
      <c r="K1113" t="s">
        <v>13</v>
      </c>
      <c r="L1113" t="s">
        <v>695</v>
      </c>
      <c r="M1113" t="s">
        <v>15</v>
      </c>
    </row>
    <row r="1114" spans="1:13" x14ac:dyDescent="0.25">
      <c r="A1114" s="5">
        <v>44272</v>
      </c>
      <c r="B1114" s="2">
        <v>0</v>
      </c>
      <c r="C1114" t="s">
        <v>2177</v>
      </c>
      <c r="D1114" t="s">
        <v>1723</v>
      </c>
      <c r="E1114" t="s">
        <v>1724</v>
      </c>
      <c r="F1114" s="3">
        <v>44202</v>
      </c>
      <c r="G1114" s="2">
        <v>70</v>
      </c>
      <c r="H1114" s="1">
        <v>390.68</v>
      </c>
      <c r="I1114" t="s">
        <v>2142</v>
      </c>
      <c r="J1114" s="2">
        <v>1</v>
      </c>
      <c r="K1114" t="s">
        <v>13</v>
      </c>
      <c r="L1114" t="s">
        <v>1682</v>
      </c>
      <c r="M1114" t="s">
        <v>704</v>
      </c>
    </row>
    <row r="1115" spans="1:13" x14ac:dyDescent="0.25">
      <c r="A1115" s="5">
        <v>44272</v>
      </c>
      <c r="B1115" s="2">
        <v>0</v>
      </c>
      <c r="C1115" t="s">
        <v>2178</v>
      </c>
      <c r="D1115" t="s">
        <v>2072</v>
      </c>
      <c r="E1115" t="s">
        <v>2073</v>
      </c>
      <c r="F1115" s="3">
        <v>44222</v>
      </c>
      <c r="G1115" s="2">
        <v>50</v>
      </c>
      <c r="H1115" s="1">
        <v>341.19</v>
      </c>
      <c r="I1115" t="s">
        <v>2163</v>
      </c>
      <c r="J1115" s="2">
        <v>1</v>
      </c>
      <c r="K1115" t="s">
        <v>13</v>
      </c>
      <c r="L1115" t="s">
        <v>554</v>
      </c>
      <c r="M1115" t="s">
        <v>81</v>
      </c>
    </row>
    <row r="1116" spans="1:13" x14ac:dyDescent="0.25">
      <c r="A1116" s="5">
        <v>44273</v>
      </c>
      <c r="B1116" s="2">
        <v>0</v>
      </c>
      <c r="C1116" t="s">
        <v>2179</v>
      </c>
      <c r="D1116" t="s">
        <v>2070</v>
      </c>
      <c r="E1116" t="s">
        <v>2071</v>
      </c>
      <c r="F1116" s="3">
        <v>44203</v>
      </c>
      <c r="G1116" s="2">
        <v>70</v>
      </c>
      <c r="H1116" s="1">
        <v>918.98</v>
      </c>
      <c r="I1116" t="s">
        <v>2180</v>
      </c>
      <c r="J1116" s="2">
        <v>1</v>
      </c>
      <c r="K1116" t="s">
        <v>13</v>
      </c>
      <c r="L1116" t="s">
        <v>830</v>
      </c>
      <c r="M1116" t="s">
        <v>1944</v>
      </c>
    </row>
    <row r="1117" spans="1:13" x14ac:dyDescent="0.25">
      <c r="A1117" s="5">
        <v>44273</v>
      </c>
      <c r="B1117" s="2">
        <v>0</v>
      </c>
      <c r="C1117" t="s">
        <v>2181</v>
      </c>
      <c r="D1117" t="s">
        <v>2072</v>
      </c>
      <c r="E1117" t="s">
        <v>2073</v>
      </c>
      <c r="F1117" s="3">
        <v>44253</v>
      </c>
      <c r="G1117" s="2">
        <v>20</v>
      </c>
      <c r="H1117" s="1">
        <v>531.05999999999995</v>
      </c>
      <c r="I1117" t="s">
        <v>2182</v>
      </c>
      <c r="J1117" s="2">
        <v>1</v>
      </c>
      <c r="K1117" t="s">
        <v>13</v>
      </c>
      <c r="L1117" t="s">
        <v>554</v>
      </c>
      <c r="M1117" t="s">
        <v>81</v>
      </c>
    </row>
    <row r="1118" spans="1:13" x14ac:dyDescent="0.25">
      <c r="A1118" s="5">
        <v>44274</v>
      </c>
      <c r="B1118" s="2">
        <v>0</v>
      </c>
      <c r="C1118" t="s">
        <v>2183</v>
      </c>
      <c r="D1118" t="s">
        <v>1998</v>
      </c>
      <c r="E1118" t="s">
        <v>1999</v>
      </c>
      <c r="F1118" s="3">
        <v>44224</v>
      </c>
      <c r="G1118" s="2">
        <v>50</v>
      </c>
      <c r="H1118" s="1">
        <v>243.84</v>
      </c>
      <c r="I1118" t="s">
        <v>2150</v>
      </c>
      <c r="J1118" s="2">
        <v>1</v>
      </c>
      <c r="K1118" t="s">
        <v>13</v>
      </c>
      <c r="L1118" t="s">
        <v>695</v>
      </c>
      <c r="M1118" t="s">
        <v>15</v>
      </c>
    </row>
    <row r="1119" spans="1:13" x14ac:dyDescent="0.25">
      <c r="A1119" s="5">
        <v>44274</v>
      </c>
      <c r="B1119" s="2">
        <v>0</v>
      </c>
      <c r="C1119" t="s">
        <v>2184</v>
      </c>
      <c r="D1119" t="s">
        <v>2185</v>
      </c>
      <c r="E1119" t="s">
        <v>2186</v>
      </c>
      <c r="F1119" s="3">
        <v>44224</v>
      </c>
      <c r="G1119" s="2">
        <v>50</v>
      </c>
      <c r="H1119" s="1">
        <v>323.73</v>
      </c>
      <c r="I1119" t="s">
        <v>2187</v>
      </c>
      <c r="J1119" s="2">
        <v>1</v>
      </c>
      <c r="K1119" t="s">
        <v>13</v>
      </c>
      <c r="L1119" t="s">
        <v>1493</v>
      </c>
      <c r="M1119" t="s">
        <v>2107</v>
      </c>
    </row>
    <row r="1120" spans="1:13" x14ac:dyDescent="0.25">
      <c r="A1120" s="5">
        <v>44277</v>
      </c>
      <c r="B1120" s="2">
        <v>0</v>
      </c>
      <c r="C1120" t="s">
        <v>2188</v>
      </c>
      <c r="D1120" t="s">
        <v>1723</v>
      </c>
      <c r="E1120" t="s">
        <v>1724</v>
      </c>
      <c r="F1120" s="3">
        <v>44210</v>
      </c>
      <c r="G1120" s="2">
        <v>67</v>
      </c>
      <c r="H1120" s="1">
        <v>649.86</v>
      </c>
      <c r="I1120" t="s">
        <v>2120</v>
      </c>
      <c r="J1120" s="2">
        <v>1</v>
      </c>
      <c r="K1120" t="s">
        <v>13</v>
      </c>
      <c r="L1120" t="s">
        <v>1682</v>
      </c>
      <c r="M1120" t="s">
        <v>704</v>
      </c>
    </row>
    <row r="1121" spans="1:13" x14ac:dyDescent="0.25">
      <c r="A1121" s="5">
        <v>44277</v>
      </c>
      <c r="B1121" s="2">
        <v>0</v>
      </c>
      <c r="C1121" t="s">
        <v>2190</v>
      </c>
      <c r="D1121" t="s">
        <v>718</v>
      </c>
      <c r="E1121" t="s">
        <v>719</v>
      </c>
      <c r="F1121" s="3">
        <v>44217</v>
      </c>
      <c r="G1121" s="2">
        <v>60</v>
      </c>
      <c r="H1121" s="1">
        <v>485.6</v>
      </c>
      <c r="I1121" t="s">
        <v>2191</v>
      </c>
      <c r="J1121" s="2">
        <v>1</v>
      </c>
      <c r="K1121" t="s">
        <v>13</v>
      </c>
      <c r="L1121" t="s">
        <v>1682</v>
      </c>
      <c r="M1121" t="s">
        <v>15</v>
      </c>
    </row>
    <row r="1122" spans="1:13" x14ac:dyDescent="0.25">
      <c r="A1122" s="5">
        <v>44277</v>
      </c>
      <c r="B1122" s="2">
        <v>0</v>
      </c>
      <c r="C1122" t="s">
        <v>2194</v>
      </c>
      <c r="D1122" t="s">
        <v>2195</v>
      </c>
      <c r="E1122" t="s">
        <v>2196</v>
      </c>
      <c r="F1122" s="3">
        <v>44217</v>
      </c>
      <c r="G1122" s="2">
        <v>60</v>
      </c>
      <c r="H1122" s="1">
        <v>382.59</v>
      </c>
      <c r="I1122" t="s">
        <v>2197</v>
      </c>
      <c r="J1122" s="2">
        <v>1</v>
      </c>
      <c r="K1122" t="s">
        <v>13</v>
      </c>
      <c r="L1122" t="s">
        <v>1493</v>
      </c>
      <c r="M1122" t="s">
        <v>2560</v>
      </c>
    </row>
    <row r="1123" spans="1:13" x14ac:dyDescent="0.25">
      <c r="A1123" s="5">
        <v>44277</v>
      </c>
      <c r="B1123" s="2">
        <v>0</v>
      </c>
      <c r="C1123" t="s">
        <v>2199</v>
      </c>
      <c r="D1123" t="s">
        <v>1748</v>
      </c>
      <c r="E1123" t="s">
        <v>1840</v>
      </c>
      <c r="F1123" s="3">
        <v>44200</v>
      </c>
      <c r="G1123" s="2">
        <v>77</v>
      </c>
      <c r="H1123" s="1">
        <v>563.9</v>
      </c>
      <c r="I1123" t="s">
        <v>2022</v>
      </c>
      <c r="J1123" s="2">
        <v>1</v>
      </c>
      <c r="K1123" t="s">
        <v>13</v>
      </c>
      <c r="L1123" t="s">
        <v>1682</v>
      </c>
      <c r="M1123" t="s">
        <v>15</v>
      </c>
    </row>
    <row r="1124" spans="1:13" x14ac:dyDescent="0.25">
      <c r="A1124" s="5">
        <v>44277</v>
      </c>
      <c r="B1124" s="2">
        <v>0</v>
      </c>
      <c r="C1124" t="s">
        <v>2200</v>
      </c>
      <c r="D1124" t="s">
        <v>1748</v>
      </c>
      <c r="E1124" t="s">
        <v>1840</v>
      </c>
      <c r="F1124" s="3">
        <v>44236</v>
      </c>
      <c r="G1124" s="2">
        <v>41</v>
      </c>
      <c r="H1124" s="1">
        <v>528.72</v>
      </c>
      <c r="I1124" t="s">
        <v>2201</v>
      </c>
      <c r="J1124" s="2">
        <v>1</v>
      </c>
      <c r="K1124" t="s">
        <v>13</v>
      </c>
      <c r="L1124" t="s">
        <v>1682</v>
      </c>
      <c r="M1124" t="s">
        <v>15</v>
      </c>
    </row>
    <row r="1125" spans="1:13" x14ac:dyDescent="0.25">
      <c r="A1125" s="5">
        <v>44277</v>
      </c>
      <c r="B1125" s="2">
        <v>0</v>
      </c>
      <c r="C1125" t="s">
        <v>2202</v>
      </c>
      <c r="D1125" t="s">
        <v>1998</v>
      </c>
      <c r="E1125" t="s">
        <v>1999</v>
      </c>
      <c r="F1125" s="3">
        <v>44226</v>
      </c>
      <c r="G1125" s="2">
        <v>51</v>
      </c>
      <c r="H1125" s="1">
        <v>254.81</v>
      </c>
      <c r="I1125" t="s">
        <v>2152</v>
      </c>
      <c r="J1125" s="2">
        <v>1</v>
      </c>
      <c r="K1125" t="s">
        <v>13</v>
      </c>
      <c r="L1125" t="s">
        <v>695</v>
      </c>
      <c r="M1125" t="s">
        <v>15</v>
      </c>
    </row>
    <row r="1126" spans="1:13" x14ac:dyDescent="0.25">
      <c r="A1126" s="5">
        <v>44280</v>
      </c>
      <c r="B1126" s="2">
        <v>0</v>
      </c>
      <c r="C1126" t="s">
        <v>2205</v>
      </c>
      <c r="D1126" t="s">
        <v>1723</v>
      </c>
      <c r="E1126" t="s">
        <v>1724</v>
      </c>
      <c r="F1126" s="3">
        <v>44210</v>
      </c>
      <c r="G1126" s="2">
        <v>70</v>
      </c>
      <c r="H1126" s="1">
        <v>649.86</v>
      </c>
      <c r="I1126" t="s">
        <v>2120</v>
      </c>
      <c r="J1126" s="2">
        <v>1</v>
      </c>
      <c r="K1126" t="s">
        <v>13</v>
      </c>
      <c r="L1126" t="s">
        <v>1682</v>
      </c>
      <c r="M1126" t="s">
        <v>704</v>
      </c>
    </row>
    <row r="1127" spans="1:13" x14ac:dyDescent="0.25">
      <c r="A1127" s="5">
        <v>44281</v>
      </c>
      <c r="B1127" s="2">
        <v>0</v>
      </c>
      <c r="C1127" t="s">
        <v>2206</v>
      </c>
      <c r="D1127" t="s">
        <v>1723</v>
      </c>
      <c r="E1127" t="s">
        <v>1724</v>
      </c>
      <c r="F1127" s="3">
        <v>44211</v>
      </c>
      <c r="G1127" s="2">
        <v>70</v>
      </c>
      <c r="H1127" s="1">
        <v>322.60000000000002</v>
      </c>
      <c r="I1127" t="s">
        <v>2160</v>
      </c>
      <c r="J1127" s="2">
        <v>1</v>
      </c>
      <c r="K1127" t="s">
        <v>13</v>
      </c>
      <c r="L1127" t="s">
        <v>1682</v>
      </c>
      <c r="M1127" t="s">
        <v>704</v>
      </c>
    </row>
    <row r="1128" spans="1:13" x14ac:dyDescent="0.25">
      <c r="A1128" s="5">
        <v>44281</v>
      </c>
      <c r="B1128" s="2">
        <v>0</v>
      </c>
      <c r="C1128" t="s">
        <v>2207</v>
      </c>
      <c r="D1128" t="s">
        <v>1742</v>
      </c>
      <c r="E1128" t="s">
        <v>1743</v>
      </c>
      <c r="F1128" s="3">
        <v>44201</v>
      </c>
      <c r="G1128" s="2">
        <v>80</v>
      </c>
      <c r="H1128" s="1">
        <v>585.58000000000004</v>
      </c>
      <c r="I1128" t="s">
        <v>2086</v>
      </c>
      <c r="J1128" s="2">
        <v>1</v>
      </c>
      <c r="K1128" t="s">
        <v>13</v>
      </c>
      <c r="L1128" t="s">
        <v>1682</v>
      </c>
      <c r="M1128" t="s">
        <v>704</v>
      </c>
    </row>
    <row r="1129" spans="1:13" x14ac:dyDescent="0.25">
      <c r="A1129" s="5">
        <v>44281</v>
      </c>
      <c r="B1129" s="2">
        <v>0</v>
      </c>
      <c r="C1129" t="s">
        <v>2208</v>
      </c>
      <c r="D1129" t="s">
        <v>1998</v>
      </c>
      <c r="E1129" t="s">
        <v>1999</v>
      </c>
      <c r="F1129" s="3">
        <v>44211</v>
      </c>
      <c r="G1129" s="2">
        <v>70</v>
      </c>
      <c r="H1129" s="1">
        <v>267.79000000000002</v>
      </c>
      <c r="I1129" t="s">
        <v>2116</v>
      </c>
      <c r="J1129" s="2">
        <v>1</v>
      </c>
      <c r="K1129" t="s">
        <v>13</v>
      </c>
      <c r="L1129" t="s">
        <v>695</v>
      </c>
      <c r="M1129" t="s">
        <v>15</v>
      </c>
    </row>
    <row r="1130" spans="1:13" x14ac:dyDescent="0.25">
      <c r="A1130" s="5">
        <v>44283</v>
      </c>
      <c r="B1130" s="2">
        <v>0</v>
      </c>
      <c r="C1130" t="s">
        <v>2209</v>
      </c>
      <c r="D1130" t="s">
        <v>2072</v>
      </c>
      <c r="E1130" t="s">
        <v>2073</v>
      </c>
      <c r="F1130" s="3">
        <v>44253</v>
      </c>
      <c r="G1130" s="2">
        <v>30</v>
      </c>
      <c r="H1130" s="1">
        <v>382.81</v>
      </c>
      <c r="I1130" t="s">
        <v>2182</v>
      </c>
      <c r="J1130" s="2">
        <v>1</v>
      </c>
      <c r="K1130" t="s">
        <v>13</v>
      </c>
      <c r="L1130" t="s">
        <v>554</v>
      </c>
      <c r="M1130" t="s">
        <v>81</v>
      </c>
    </row>
    <row r="1131" spans="1:13" x14ac:dyDescent="0.25">
      <c r="A1131" s="5">
        <v>44284</v>
      </c>
      <c r="B1131" s="2">
        <v>0</v>
      </c>
      <c r="C1131" t="s">
        <v>2213</v>
      </c>
      <c r="D1131" t="s">
        <v>2072</v>
      </c>
      <c r="E1131" t="s">
        <v>2073</v>
      </c>
      <c r="F1131" s="3">
        <v>44222</v>
      </c>
      <c r="G1131" s="2">
        <v>62</v>
      </c>
      <c r="H1131" s="1">
        <v>341.2</v>
      </c>
      <c r="I1131" t="s">
        <v>2163</v>
      </c>
      <c r="J1131" s="2">
        <v>1</v>
      </c>
      <c r="K1131" t="s">
        <v>13</v>
      </c>
      <c r="L1131" t="s">
        <v>554</v>
      </c>
      <c r="M1131" t="s">
        <v>81</v>
      </c>
    </row>
    <row r="1132" spans="1:13" x14ac:dyDescent="0.25">
      <c r="A1132" s="5">
        <v>44284</v>
      </c>
      <c r="B1132" s="2">
        <v>0</v>
      </c>
      <c r="C1132" t="s">
        <v>2214</v>
      </c>
      <c r="D1132" t="s">
        <v>1998</v>
      </c>
      <c r="E1132" t="s">
        <v>1999</v>
      </c>
      <c r="F1132" s="3">
        <v>44224</v>
      </c>
      <c r="G1132" s="2">
        <v>60</v>
      </c>
      <c r="H1132" s="1">
        <v>243.84</v>
      </c>
      <c r="I1132" t="s">
        <v>2150</v>
      </c>
      <c r="J1132" s="2">
        <v>1</v>
      </c>
      <c r="K1132" t="s">
        <v>13</v>
      </c>
      <c r="L1132" t="s">
        <v>695</v>
      </c>
      <c r="M1132" t="s">
        <v>15</v>
      </c>
    </row>
    <row r="1133" spans="1:13" x14ac:dyDescent="0.25">
      <c r="A1133" s="5">
        <v>44284</v>
      </c>
      <c r="B1133" s="2">
        <v>0</v>
      </c>
      <c r="C1133" t="s">
        <v>2218</v>
      </c>
      <c r="D1133" t="s">
        <v>2219</v>
      </c>
      <c r="E1133" t="s">
        <v>2220</v>
      </c>
      <c r="F1133" s="3">
        <v>44222</v>
      </c>
      <c r="G1133" s="2">
        <v>62</v>
      </c>
      <c r="H1133" s="1">
        <v>5325.05</v>
      </c>
      <c r="I1133" t="s">
        <v>2221</v>
      </c>
      <c r="J1133" s="2">
        <v>1</v>
      </c>
      <c r="K1133" t="s">
        <v>13</v>
      </c>
      <c r="L1133" t="s">
        <v>671</v>
      </c>
      <c r="M1133" t="s">
        <v>15</v>
      </c>
    </row>
    <row r="1134" spans="1:13" x14ac:dyDescent="0.25">
      <c r="A1134" s="5">
        <v>44285</v>
      </c>
      <c r="B1134" s="2">
        <v>0</v>
      </c>
      <c r="C1134" t="s">
        <v>2222</v>
      </c>
      <c r="D1134" t="s">
        <v>1723</v>
      </c>
      <c r="E1134" t="s">
        <v>1724</v>
      </c>
      <c r="F1134" s="3">
        <v>44210</v>
      </c>
      <c r="G1134" s="2">
        <v>75</v>
      </c>
      <c r="H1134" s="1">
        <v>649.86</v>
      </c>
      <c r="I1134" t="s">
        <v>2120</v>
      </c>
      <c r="J1134" s="2">
        <v>1</v>
      </c>
      <c r="K1134" t="s">
        <v>13</v>
      </c>
      <c r="L1134" t="s">
        <v>1682</v>
      </c>
      <c r="M1134" t="s">
        <v>704</v>
      </c>
    </row>
    <row r="1135" spans="1:13" x14ac:dyDescent="0.25">
      <c r="A1135" s="5">
        <v>44285</v>
      </c>
      <c r="B1135" s="2">
        <v>0</v>
      </c>
      <c r="C1135" t="s">
        <v>2224</v>
      </c>
      <c r="D1135" t="s">
        <v>2225</v>
      </c>
      <c r="E1135" t="s">
        <v>2226</v>
      </c>
      <c r="F1135" s="3">
        <v>44235</v>
      </c>
      <c r="G1135" s="2">
        <v>50</v>
      </c>
      <c r="H1135" s="1">
        <v>241.07</v>
      </c>
      <c r="I1135" t="s">
        <v>2227</v>
      </c>
      <c r="J1135" s="2">
        <v>1</v>
      </c>
      <c r="K1135" t="s">
        <v>13</v>
      </c>
      <c r="L1135" t="s">
        <v>1493</v>
      </c>
      <c r="M1135" t="s">
        <v>2198</v>
      </c>
    </row>
    <row r="1136" spans="1:13" x14ac:dyDescent="0.25">
      <c r="A1136" s="5">
        <v>44286</v>
      </c>
      <c r="B1136" s="2">
        <v>0</v>
      </c>
      <c r="C1136" t="s">
        <v>2230</v>
      </c>
      <c r="D1136" t="s">
        <v>1998</v>
      </c>
      <c r="E1136" t="s">
        <v>1999</v>
      </c>
      <c r="F1136" s="3">
        <v>44226</v>
      </c>
      <c r="G1136" s="2">
        <v>60</v>
      </c>
      <c r="H1136" s="1">
        <v>254.79</v>
      </c>
      <c r="I1136" t="s">
        <v>2152</v>
      </c>
      <c r="J1136" s="2">
        <v>1</v>
      </c>
      <c r="K1136" t="s">
        <v>13</v>
      </c>
      <c r="L1136" t="s">
        <v>695</v>
      </c>
      <c r="M1136" t="s">
        <v>15</v>
      </c>
    </row>
    <row r="1137" spans="1:13" x14ac:dyDescent="0.25">
      <c r="A1137" s="5">
        <v>44286</v>
      </c>
      <c r="B1137" s="2">
        <v>0</v>
      </c>
      <c r="C1137" t="s">
        <v>2231</v>
      </c>
      <c r="D1137" t="s">
        <v>2232</v>
      </c>
      <c r="E1137" t="s">
        <v>2233</v>
      </c>
      <c r="F1137" s="3">
        <v>44226</v>
      </c>
      <c r="G1137" s="2">
        <v>60</v>
      </c>
      <c r="H1137" s="1">
        <v>285.26</v>
      </c>
      <c r="I1137" t="s">
        <v>2234</v>
      </c>
      <c r="J1137" s="2">
        <v>1</v>
      </c>
      <c r="K1137" t="s">
        <v>13</v>
      </c>
      <c r="L1137" t="s">
        <v>2126</v>
      </c>
      <c r="M1137" t="s">
        <v>27</v>
      </c>
    </row>
    <row r="1138" spans="1:13" x14ac:dyDescent="0.25">
      <c r="A1138" s="5">
        <v>44286</v>
      </c>
      <c r="B1138" s="2">
        <v>0</v>
      </c>
      <c r="C1138" t="s">
        <v>2235</v>
      </c>
      <c r="D1138" t="s">
        <v>2219</v>
      </c>
      <c r="E1138" t="s">
        <v>2220</v>
      </c>
      <c r="F1138" s="3">
        <v>44226</v>
      </c>
      <c r="G1138" s="2">
        <v>60</v>
      </c>
      <c r="H1138" s="1">
        <v>4904.58</v>
      </c>
      <c r="I1138" t="s">
        <v>2236</v>
      </c>
      <c r="J1138" s="2">
        <v>1</v>
      </c>
      <c r="K1138" t="s">
        <v>13</v>
      </c>
      <c r="L1138" t="s">
        <v>671</v>
      </c>
      <c r="M1138" t="s">
        <v>15</v>
      </c>
    </row>
    <row r="1139" spans="1:13" x14ac:dyDescent="0.25">
      <c r="A1139" s="5">
        <v>44288</v>
      </c>
      <c r="B1139" s="2">
        <v>0</v>
      </c>
      <c r="C1139" t="s">
        <v>2237</v>
      </c>
      <c r="D1139" t="s">
        <v>2070</v>
      </c>
      <c r="E1139" t="s">
        <v>2071</v>
      </c>
      <c r="F1139" s="3">
        <v>44218</v>
      </c>
      <c r="G1139" s="2">
        <v>70</v>
      </c>
      <c r="H1139" s="1">
        <v>575.91</v>
      </c>
      <c r="I1139" t="s">
        <v>2203</v>
      </c>
      <c r="J1139" s="2">
        <v>1</v>
      </c>
      <c r="K1139" t="s">
        <v>13</v>
      </c>
      <c r="L1139" t="s">
        <v>830</v>
      </c>
      <c r="M1139" t="s">
        <v>1944</v>
      </c>
    </row>
    <row r="1140" spans="1:13" x14ac:dyDescent="0.25">
      <c r="A1140" s="5">
        <v>44291</v>
      </c>
      <c r="B1140" s="2">
        <v>0</v>
      </c>
      <c r="C1140" t="s">
        <v>2240</v>
      </c>
      <c r="D1140" t="s">
        <v>1723</v>
      </c>
      <c r="E1140" t="s">
        <v>1724</v>
      </c>
      <c r="F1140" s="3">
        <v>44210</v>
      </c>
      <c r="G1140" s="2">
        <v>81</v>
      </c>
      <c r="H1140" s="1">
        <v>649.86</v>
      </c>
      <c r="I1140" t="s">
        <v>2120</v>
      </c>
      <c r="J1140" s="2">
        <v>1</v>
      </c>
      <c r="K1140" t="s">
        <v>13</v>
      </c>
      <c r="L1140" t="s">
        <v>1682</v>
      </c>
      <c r="M1140" t="s">
        <v>704</v>
      </c>
    </row>
    <row r="1141" spans="1:13" x14ac:dyDescent="0.25">
      <c r="A1141" s="5">
        <v>44291</v>
      </c>
      <c r="B1141" s="2">
        <v>0</v>
      </c>
      <c r="C1141" t="s">
        <v>2241</v>
      </c>
      <c r="D1141" t="s">
        <v>1723</v>
      </c>
      <c r="E1141" t="s">
        <v>1724</v>
      </c>
      <c r="F1141" s="3">
        <v>44231</v>
      </c>
      <c r="G1141" s="2">
        <v>60</v>
      </c>
      <c r="H1141" s="1">
        <v>358.94</v>
      </c>
      <c r="I1141" t="s">
        <v>2242</v>
      </c>
      <c r="J1141" s="2">
        <v>1</v>
      </c>
      <c r="K1141" t="s">
        <v>13</v>
      </c>
      <c r="L1141" t="s">
        <v>1682</v>
      </c>
      <c r="M1141" t="s">
        <v>704</v>
      </c>
    </row>
    <row r="1142" spans="1:13" x14ac:dyDescent="0.25">
      <c r="A1142" s="5">
        <v>44291</v>
      </c>
      <c r="B1142" s="2">
        <v>0</v>
      </c>
      <c r="C1142" t="s">
        <v>2243</v>
      </c>
      <c r="D1142" t="s">
        <v>1742</v>
      </c>
      <c r="E1142" t="s">
        <v>1743</v>
      </c>
      <c r="F1142" s="3">
        <v>44201</v>
      </c>
      <c r="G1142" s="2">
        <v>90</v>
      </c>
      <c r="H1142" s="1">
        <v>585.58000000000004</v>
      </c>
      <c r="I1142" t="s">
        <v>2086</v>
      </c>
      <c r="J1142" s="2">
        <v>1</v>
      </c>
      <c r="K1142" t="s">
        <v>13</v>
      </c>
      <c r="L1142" t="s">
        <v>1682</v>
      </c>
      <c r="M1142" t="s">
        <v>704</v>
      </c>
    </row>
    <row r="1143" spans="1:13" x14ac:dyDescent="0.25">
      <c r="A1143" s="5">
        <v>44291</v>
      </c>
      <c r="B1143" s="2">
        <v>0</v>
      </c>
      <c r="C1143" t="s">
        <v>2244</v>
      </c>
      <c r="D1143" t="s">
        <v>1742</v>
      </c>
      <c r="E1143" t="s">
        <v>1743</v>
      </c>
      <c r="F1143" s="3">
        <v>44231</v>
      </c>
      <c r="G1143" s="2">
        <v>60</v>
      </c>
      <c r="H1143" s="1">
        <v>358.94</v>
      </c>
      <c r="I1143" t="s">
        <v>2245</v>
      </c>
      <c r="J1143" s="2">
        <v>1</v>
      </c>
      <c r="K1143" t="s">
        <v>13</v>
      </c>
      <c r="L1143" t="s">
        <v>1682</v>
      </c>
      <c r="M1143" t="s">
        <v>704</v>
      </c>
    </row>
    <row r="1144" spans="1:13" x14ac:dyDescent="0.25">
      <c r="A1144" s="5">
        <v>44291</v>
      </c>
      <c r="B1144" s="2">
        <v>0</v>
      </c>
      <c r="C1144" t="s">
        <v>2246</v>
      </c>
      <c r="D1144" t="s">
        <v>1742</v>
      </c>
      <c r="E1144" t="s">
        <v>1743</v>
      </c>
      <c r="F1144" s="3">
        <v>44231</v>
      </c>
      <c r="G1144" s="2">
        <v>60</v>
      </c>
      <c r="H1144" s="1">
        <v>358.94</v>
      </c>
      <c r="I1144" t="s">
        <v>2247</v>
      </c>
      <c r="J1144" s="2">
        <v>1</v>
      </c>
      <c r="K1144" t="s">
        <v>13</v>
      </c>
      <c r="L1144" t="s">
        <v>1682</v>
      </c>
      <c r="M1144" t="s">
        <v>704</v>
      </c>
    </row>
    <row r="1145" spans="1:13" x14ac:dyDescent="0.25">
      <c r="A1145" s="5">
        <v>44291</v>
      </c>
      <c r="B1145" s="2">
        <v>0</v>
      </c>
      <c r="C1145" t="s">
        <v>2249</v>
      </c>
      <c r="D1145" t="s">
        <v>1998</v>
      </c>
      <c r="E1145" t="s">
        <v>1999</v>
      </c>
      <c r="F1145" s="3">
        <v>44211</v>
      </c>
      <c r="G1145" s="2">
        <v>80</v>
      </c>
      <c r="H1145" s="1">
        <v>267.79000000000002</v>
      </c>
      <c r="I1145" t="s">
        <v>2116</v>
      </c>
      <c r="J1145" s="2">
        <v>1</v>
      </c>
      <c r="K1145" t="s">
        <v>13</v>
      </c>
      <c r="L1145" t="s">
        <v>695</v>
      </c>
      <c r="M1145" t="s">
        <v>15</v>
      </c>
    </row>
    <row r="1146" spans="1:13" x14ac:dyDescent="0.25">
      <c r="A1146" s="5">
        <v>44293</v>
      </c>
      <c r="B1146" s="2">
        <v>0</v>
      </c>
      <c r="C1146" t="s">
        <v>2250</v>
      </c>
      <c r="D1146" t="s">
        <v>2070</v>
      </c>
      <c r="E1146" t="s">
        <v>2071</v>
      </c>
      <c r="F1146" s="3">
        <v>44188</v>
      </c>
      <c r="G1146" s="2">
        <v>105</v>
      </c>
      <c r="H1146" s="1">
        <v>532.46</v>
      </c>
      <c r="I1146" t="s">
        <v>2090</v>
      </c>
      <c r="J1146" s="2">
        <v>1</v>
      </c>
      <c r="K1146" t="s">
        <v>13</v>
      </c>
      <c r="L1146" t="s">
        <v>830</v>
      </c>
      <c r="M1146" t="s">
        <v>1944</v>
      </c>
    </row>
    <row r="1147" spans="1:13" x14ac:dyDescent="0.25">
      <c r="A1147" s="5">
        <v>44293</v>
      </c>
      <c r="B1147" s="2">
        <v>0</v>
      </c>
      <c r="C1147" t="s">
        <v>2251</v>
      </c>
      <c r="D1147" t="s">
        <v>2072</v>
      </c>
      <c r="E1147" t="s">
        <v>2073</v>
      </c>
      <c r="F1147" s="3">
        <v>44253</v>
      </c>
      <c r="G1147" s="2">
        <v>40</v>
      </c>
      <c r="H1147" s="1">
        <v>382.81</v>
      </c>
      <c r="I1147" t="s">
        <v>2182</v>
      </c>
      <c r="J1147" s="2">
        <v>1</v>
      </c>
      <c r="K1147" t="s">
        <v>13</v>
      </c>
      <c r="L1147" t="s">
        <v>554</v>
      </c>
      <c r="M1147" t="s">
        <v>81</v>
      </c>
    </row>
    <row r="1148" spans="1:13" x14ac:dyDescent="0.25">
      <c r="A1148" s="5">
        <v>44294</v>
      </c>
      <c r="B1148" s="2">
        <v>0</v>
      </c>
      <c r="C1148" t="s">
        <v>2255</v>
      </c>
      <c r="D1148" t="s">
        <v>1998</v>
      </c>
      <c r="E1148" t="s">
        <v>1999</v>
      </c>
      <c r="F1148" s="3">
        <v>44224</v>
      </c>
      <c r="G1148" s="2">
        <v>70</v>
      </c>
      <c r="H1148" s="1">
        <v>243.86</v>
      </c>
      <c r="I1148" t="s">
        <v>2150</v>
      </c>
      <c r="J1148" s="2">
        <v>1</v>
      </c>
      <c r="K1148" t="s">
        <v>13</v>
      </c>
      <c r="L1148" t="s">
        <v>695</v>
      </c>
      <c r="M1148" t="s">
        <v>15</v>
      </c>
    </row>
    <row r="1149" spans="1:13" x14ac:dyDescent="0.25">
      <c r="A1149" s="5">
        <v>44294</v>
      </c>
      <c r="B1149" s="2">
        <v>0</v>
      </c>
      <c r="C1149" t="s">
        <v>2256</v>
      </c>
      <c r="D1149" t="s">
        <v>2185</v>
      </c>
      <c r="E1149" t="s">
        <v>2186</v>
      </c>
      <c r="F1149" s="3">
        <v>44224</v>
      </c>
      <c r="G1149" s="2">
        <v>70</v>
      </c>
      <c r="H1149" s="1">
        <v>280.41000000000003</v>
      </c>
      <c r="I1149" t="s">
        <v>2187</v>
      </c>
      <c r="J1149" s="2">
        <v>1</v>
      </c>
      <c r="K1149" t="s">
        <v>13</v>
      </c>
      <c r="L1149" t="s">
        <v>1493</v>
      </c>
      <c r="M1149" t="s">
        <v>2107</v>
      </c>
    </row>
    <row r="1150" spans="1:13" x14ac:dyDescent="0.25">
      <c r="A1150" s="5">
        <v>44295</v>
      </c>
      <c r="B1150" s="2">
        <v>0</v>
      </c>
      <c r="C1150" t="s">
        <v>2257</v>
      </c>
      <c r="D1150" t="s">
        <v>1723</v>
      </c>
      <c r="E1150" t="s">
        <v>1724</v>
      </c>
      <c r="F1150" s="3">
        <v>44210</v>
      </c>
      <c r="G1150" s="2">
        <v>85</v>
      </c>
      <c r="H1150" s="1">
        <v>649.86</v>
      </c>
      <c r="I1150" t="s">
        <v>2120</v>
      </c>
      <c r="J1150" s="2">
        <v>1</v>
      </c>
      <c r="K1150" t="s">
        <v>13</v>
      </c>
      <c r="L1150" t="s">
        <v>1682</v>
      </c>
      <c r="M1150" t="s">
        <v>704</v>
      </c>
    </row>
    <row r="1151" spans="1:13" x14ac:dyDescent="0.25">
      <c r="A1151" s="5">
        <v>44298</v>
      </c>
      <c r="B1151" s="2">
        <v>0</v>
      </c>
      <c r="C1151" t="s">
        <v>2262</v>
      </c>
      <c r="D1151" t="s">
        <v>2070</v>
      </c>
      <c r="E1151" t="s">
        <v>2071</v>
      </c>
      <c r="F1151" s="3">
        <v>44218</v>
      </c>
      <c r="G1151" s="2">
        <v>80</v>
      </c>
      <c r="H1151" s="1">
        <v>575.91</v>
      </c>
      <c r="I1151" t="s">
        <v>2203</v>
      </c>
      <c r="J1151" s="2">
        <v>1</v>
      </c>
      <c r="K1151" t="s">
        <v>13</v>
      </c>
      <c r="L1151" t="s">
        <v>830</v>
      </c>
      <c r="M1151" t="s">
        <v>1944</v>
      </c>
    </row>
    <row r="1152" spans="1:13" x14ac:dyDescent="0.25">
      <c r="A1152" s="5">
        <v>44298</v>
      </c>
      <c r="B1152" s="2">
        <v>0</v>
      </c>
      <c r="C1152" t="s">
        <v>2269</v>
      </c>
      <c r="D1152" t="s">
        <v>1748</v>
      </c>
      <c r="E1152" t="s">
        <v>1840</v>
      </c>
      <c r="F1152" s="3">
        <v>44258</v>
      </c>
      <c r="G1152" s="2">
        <v>40</v>
      </c>
      <c r="H1152" s="1">
        <v>344.09</v>
      </c>
      <c r="I1152" t="s">
        <v>2270</v>
      </c>
      <c r="J1152" s="2">
        <v>1</v>
      </c>
      <c r="K1152" t="s">
        <v>13</v>
      </c>
      <c r="L1152" t="s">
        <v>1682</v>
      </c>
      <c r="M1152" t="s">
        <v>15</v>
      </c>
    </row>
    <row r="1153" spans="1:13" x14ac:dyDescent="0.25">
      <c r="A1153" s="5">
        <v>44298</v>
      </c>
      <c r="B1153" s="2">
        <v>0</v>
      </c>
      <c r="C1153" t="s">
        <v>2271</v>
      </c>
      <c r="D1153" t="s">
        <v>2232</v>
      </c>
      <c r="E1153" t="s">
        <v>2233</v>
      </c>
      <c r="F1153" s="3">
        <v>44223</v>
      </c>
      <c r="G1153" s="2">
        <v>75</v>
      </c>
      <c r="H1153" s="1">
        <v>568.63</v>
      </c>
      <c r="I1153" t="s">
        <v>2272</v>
      </c>
      <c r="J1153" s="2">
        <v>1</v>
      </c>
      <c r="K1153" t="s">
        <v>13</v>
      </c>
      <c r="L1153" t="s">
        <v>2126</v>
      </c>
      <c r="M1153" t="s">
        <v>27</v>
      </c>
    </row>
    <row r="1154" spans="1:13" x14ac:dyDescent="0.25">
      <c r="A1154" s="5">
        <v>44298</v>
      </c>
      <c r="B1154" s="2">
        <v>0</v>
      </c>
      <c r="C1154" t="s">
        <v>2273</v>
      </c>
      <c r="D1154" t="s">
        <v>2232</v>
      </c>
      <c r="E1154" t="s">
        <v>2233</v>
      </c>
      <c r="F1154" s="3">
        <v>44226</v>
      </c>
      <c r="G1154" s="2">
        <v>72</v>
      </c>
      <c r="H1154" s="1">
        <v>732.69</v>
      </c>
      <c r="I1154" t="s">
        <v>2274</v>
      </c>
      <c r="J1154" s="2">
        <v>1</v>
      </c>
      <c r="K1154" t="s">
        <v>13</v>
      </c>
      <c r="L1154" t="s">
        <v>2126</v>
      </c>
      <c r="M1154" t="s">
        <v>27</v>
      </c>
    </row>
    <row r="1155" spans="1:13" x14ac:dyDescent="0.25">
      <c r="A1155" s="5">
        <v>44299</v>
      </c>
      <c r="B1155" s="2">
        <v>0</v>
      </c>
      <c r="C1155" t="s">
        <v>2275</v>
      </c>
      <c r="D1155" t="s">
        <v>2232</v>
      </c>
      <c r="E1155" t="s">
        <v>2233</v>
      </c>
      <c r="F1155" s="3">
        <v>44264</v>
      </c>
      <c r="G1155" s="2">
        <v>35</v>
      </c>
      <c r="H1155" s="1">
        <v>1240.47</v>
      </c>
      <c r="I1155" t="s">
        <v>2276</v>
      </c>
      <c r="J1155" s="2">
        <v>1</v>
      </c>
      <c r="K1155" t="s">
        <v>13</v>
      </c>
      <c r="L1155" t="s">
        <v>2126</v>
      </c>
      <c r="M1155" t="s">
        <v>27</v>
      </c>
    </row>
    <row r="1156" spans="1:13" x14ac:dyDescent="0.25">
      <c r="A1156" s="5">
        <v>44300</v>
      </c>
      <c r="B1156" s="2">
        <v>0</v>
      </c>
      <c r="C1156" t="s">
        <v>2277</v>
      </c>
      <c r="D1156" t="s">
        <v>1723</v>
      </c>
      <c r="E1156" t="s">
        <v>1724</v>
      </c>
      <c r="F1156" s="3">
        <v>44210</v>
      </c>
      <c r="G1156" s="2">
        <v>90</v>
      </c>
      <c r="H1156" s="1">
        <v>649.91</v>
      </c>
      <c r="I1156" t="s">
        <v>2120</v>
      </c>
      <c r="J1156" s="2">
        <v>1</v>
      </c>
      <c r="K1156" t="s">
        <v>13</v>
      </c>
      <c r="L1156" t="s">
        <v>1682</v>
      </c>
      <c r="M1156" t="s">
        <v>704</v>
      </c>
    </row>
    <row r="1157" spans="1:13" x14ac:dyDescent="0.25">
      <c r="A1157" s="5">
        <v>44300</v>
      </c>
      <c r="B1157" s="2">
        <v>0</v>
      </c>
      <c r="C1157" t="s">
        <v>2278</v>
      </c>
      <c r="D1157" t="s">
        <v>2279</v>
      </c>
      <c r="E1157" t="s">
        <v>2280</v>
      </c>
      <c r="F1157" s="3">
        <v>44210</v>
      </c>
      <c r="G1157" s="2">
        <v>90</v>
      </c>
      <c r="H1157" s="1">
        <v>2820.92</v>
      </c>
      <c r="I1157" t="s">
        <v>2281</v>
      </c>
      <c r="J1157" s="2">
        <v>1</v>
      </c>
      <c r="K1157" t="s">
        <v>13</v>
      </c>
      <c r="L1157" t="s">
        <v>554</v>
      </c>
      <c r="M1157" t="s">
        <v>81</v>
      </c>
    </row>
    <row r="1158" spans="1:13" x14ac:dyDescent="0.25">
      <c r="A1158" s="5">
        <v>44301</v>
      </c>
      <c r="B1158" s="2">
        <v>0</v>
      </c>
      <c r="C1158" t="s">
        <v>2282</v>
      </c>
      <c r="D1158" t="s">
        <v>1998</v>
      </c>
      <c r="E1158" t="s">
        <v>1999</v>
      </c>
      <c r="F1158" s="3">
        <v>44211</v>
      </c>
      <c r="G1158" s="2">
        <v>90</v>
      </c>
      <c r="H1158" s="1">
        <v>267.77</v>
      </c>
      <c r="I1158" t="s">
        <v>2116</v>
      </c>
      <c r="J1158" s="2">
        <v>1</v>
      </c>
      <c r="K1158" t="s">
        <v>13</v>
      </c>
      <c r="L1158" t="s">
        <v>695</v>
      </c>
      <c r="M1158" t="s">
        <v>15</v>
      </c>
    </row>
    <row r="1159" spans="1:13" x14ac:dyDescent="0.25">
      <c r="A1159" s="5">
        <v>44303</v>
      </c>
      <c r="B1159" s="2">
        <v>0</v>
      </c>
      <c r="C1159" t="s">
        <v>2283</v>
      </c>
      <c r="D1159" t="s">
        <v>2072</v>
      </c>
      <c r="E1159" t="s">
        <v>2073</v>
      </c>
      <c r="F1159" s="3">
        <v>44253</v>
      </c>
      <c r="G1159" s="2">
        <v>50</v>
      </c>
      <c r="H1159" s="1">
        <v>382.81</v>
      </c>
      <c r="I1159" t="s">
        <v>2182</v>
      </c>
      <c r="J1159" s="2">
        <v>1</v>
      </c>
      <c r="K1159" t="s">
        <v>13</v>
      </c>
      <c r="L1159" t="s">
        <v>554</v>
      </c>
      <c r="M1159" t="s">
        <v>81</v>
      </c>
    </row>
    <row r="1160" spans="1:13" x14ac:dyDescent="0.25">
      <c r="A1160" s="5">
        <v>44305</v>
      </c>
      <c r="B1160" s="2">
        <v>0</v>
      </c>
      <c r="C1160" t="s">
        <v>2285</v>
      </c>
      <c r="D1160" t="s">
        <v>2070</v>
      </c>
      <c r="E1160" t="s">
        <v>2071</v>
      </c>
      <c r="F1160" s="3">
        <v>44188</v>
      </c>
      <c r="G1160" s="2">
        <v>117</v>
      </c>
      <c r="H1160" s="1">
        <v>532.46</v>
      </c>
      <c r="I1160" t="s">
        <v>2090</v>
      </c>
      <c r="J1160" s="2">
        <v>1</v>
      </c>
      <c r="K1160" t="s">
        <v>13</v>
      </c>
      <c r="L1160" t="s">
        <v>830</v>
      </c>
      <c r="M1160" t="s">
        <v>1944</v>
      </c>
    </row>
    <row r="1161" spans="1:13" x14ac:dyDescent="0.25">
      <c r="A1161" s="5">
        <v>44305</v>
      </c>
      <c r="B1161" s="2">
        <v>0</v>
      </c>
      <c r="C1161" t="s">
        <v>2290</v>
      </c>
      <c r="D1161" t="s">
        <v>2291</v>
      </c>
      <c r="E1161" t="s">
        <v>2292</v>
      </c>
      <c r="F1161" s="3">
        <v>44225</v>
      </c>
      <c r="G1161" s="2">
        <v>80</v>
      </c>
      <c r="H1161" s="1">
        <v>115.12</v>
      </c>
      <c r="I1161" t="s">
        <v>2293</v>
      </c>
      <c r="J1161" s="2">
        <v>1</v>
      </c>
      <c r="K1161" t="s">
        <v>13</v>
      </c>
      <c r="L1161" t="s">
        <v>671</v>
      </c>
      <c r="M1161" t="s">
        <v>15</v>
      </c>
    </row>
    <row r="1162" spans="1:13" x14ac:dyDescent="0.25">
      <c r="A1162" s="5">
        <v>44305</v>
      </c>
      <c r="B1162" s="2">
        <v>0</v>
      </c>
      <c r="C1162" t="s">
        <v>2295</v>
      </c>
      <c r="D1162" t="s">
        <v>2225</v>
      </c>
      <c r="E1162" t="s">
        <v>2226</v>
      </c>
      <c r="F1162" s="3">
        <v>44235</v>
      </c>
      <c r="G1162" s="2">
        <v>70</v>
      </c>
      <c r="H1162" s="1">
        <v>208.9</v>
      </c>
      <c r="I1162" t="s">
        <v>2227</v>
      </c>
      <c r="J1162" s="2">
        <v>1</v>
      </c>
      <c r="K1162" t="s">
        <v>13</v>
      </c>
      <c r="L1162" t="s">
        <v>1493</v>
      </c>
      <c r="M1162" t="s">
        <v>2198</v>
      </c>
    </row>
    <row r="1163" spans="1:13" x14ac:dyDescent="0.25">
      <c r="A1163" s="5">
        <v>44306</v>
      </c>
      <c r="B1163" s="2">
        <v>0</v>
      </c>
      <c r="C1163" t="s">
        <v>2303</v>
      </c>
      <c r="D1163" t="s">
        <v>1998</v>
      </c>
      <c r="E1163" t="s">
        <v>1999</v>
      </c>
      <c r="F1163" s="3">
        <v>44286</v>
      </c>
      <c r="G1163" s="2">
        <v>20</v>
      </c>
      <c r="H1163" s="1">
        <v>812.06</v>
      </c>
      <c r="I1163" t="s">
        <v>2304</v>
      </c>
      <c r="J1163" s="2">
        <v>1</v>
      </c>
      <c r="K1163" t="s">
        <v>13</v>
      </c>
      <c r="L1163" t="s">
        <v>695</v>
      </c>
      <c r="M1163" t="s">
        <v>15</v>
      </c>
    </row>
    <row r="1164" spans="1:13" x14ac:dyDescent="0.25">
      <c r="A1164" s="5">
        <v>44306</v>
      </c>
      <c r="B1164" s="2">
        <v>0</v>
      </c>
      <c r="C1164" t="s">
        <v>2305</v>
      </c>
      <c r="D1164" t="s">
        <v>2232</v>
      </c>
      <c r="E1164" t="s">
        <v>2233</v>
      </c>
      <c r="F1164" s="3">
        <v>44226</v>
      </c>
      <c r="G1164" s="2">
        <v>80</v>
      </c>
      <c r="H1164" s="1">
        <v>732.71</v>
      </c>
      <c r="I1164" t="s">
        <v>2274</v>
      </c>
      <c r="J1164" s="2">
        <v>1</v>
      </c>
      <c r="K1164" t="s">
        <v>13</v>
      </c>
      <c r="L1164" t="s">
        <v>2126</v>
      </c>
      <c r="M1164" t="s">
        <v>27</v>
      </c>
    </row>
    <row r="1165" spans="1:13" x14ac:dyDescent="0.25">
      <c r="A1165" s="5">
        <v>44307</v>
      </c>
      <c r="B1165" s="2">
        <v>0</v>
      </c>
      <c r="C1165" t="s">
        <v>2308</v>
      </c>
      <c r="D1165" t="s">
        <v>1748</v>
      </c>
      <c r="E1165" t="s">
        <v>1840</v>
      </c>
      <c r="F1165" s="3">
        <v>44277</v>
      </c>
      <c r="G1165" s="2">
        <v>30</v>
      </c>
      <c r="H1165" s="1">
        <v>349.19</v>
      </c>
      <c r="I1165" t="s">
        <v>2309</v>
      </c>
      <c r="J1165" s="2">
        <v>1</v>
      </c>
      <c r="K1165" t="s">
        <v>13</v>
      </c>
      <c r="L1165" t="s">
        <v>1682</v>
      </c>
      <c r="M1165" t="s">
        <v>15</v>
      </c>
    </row>
    <row r="1166" spans="1:13" x14ac:dyDescent="0.25">
      <c r="A1166" s="5">
        <v>44308</v>
      </c>
      <c r="B1166" s="2">
        <v>0</v>
      </c>
      <c r="C1166" t="s">
        <v>2312</v>
      </c>
      <c r="D1166" t="s">
        <v>2070</v>
      </c>
      <c r="E1166" t="s">
        <v>2071</v>
      </c>
      <c r="F1166" s="3">
        <v>44218</v>
      </c>
      <c r="G1166" s="2">
        <v>90</v>
      </c>
      <c r="H1166" s="1">
        <v>575.92999999999995</v>
      </c>
      <c r="I1166" t="s">
        <v>2203</v>
      </c>
      <c r="J1166" s="2">
        <v>1</v>
      </c>
      <c r="K1166" t="s">
        <v>13</v>
      </c>
      <c r="L1166" t="s">
        <v>830</v>
      </c>
      <c r="M1166" t="s">
        <v>1944</v>
      </c>
    </row>
    <row r="1167" spans="1:13" x14ac:dyDescent="0.25">
      <c r="A1167" s="5">
        <v>44309</v>
      </c>
      <c r="B1167" s="2">
        <v>0</v>
      </c>
      <c r="C1167" t="s">
        <v>2314</v>
      </c>
      <c r="D1167" t="s">
        <v>2232</v>
      </c>
      <c r="E1167" t="s">
        <v>2233</v>
      </c>
      <c r="F1167" s="3">
        <v>44264</v>
      </c>
      <c r="G1167" s="2">
        <v>45</v>
      </c>
      <c r="H1167" s="1">
        <v>851.17</v>
      </c>
      <c r="I1167" t="s">
        <v>2276</v>
      </c>
      <c r="J1167" s="2">
        <v>1</v>
      </c>
      <c r="K1167" t="s">
        <v>13</v>
      </c>
      <c r="L1167" t="s">
        <v>2126</v>
      </c>
      <c r="M1167" t="s">
        <v>27</v>
      </c>
    </row>
    <row r="1168" spans="1:13" x14ac:dyDescent="0.25">
      <c r="A1168" s="5">
        <v>44309</v>
      </c>
      <c r="B1168" s="2">
        <v>0</v>
      </c>
      <c r="C1168" t="s">
        <v>2315</v>
      </c>
      <c r="D1168" t="s">
        <v>2316</v>
      </c>
      <c r="E1168" t="s">
        <v>2317</v>
      </c>
      <c r="F1168" s="3">
        <v>44239</v>
      </c>
      <c r="G1168" s="2">
        <v>70</v>
      </c>
      <c r="H1168" s="1">
        <v>904.13</v>
      </c>
      <c r="I1168" t="s">
        <v>2318</v>
      </c>
      <c r="J1168" s="2">
        <v>1</v>
      </c>
      <c r="K1168" t="s">
        <v>13</v>
      </c>
      <c r="L1168" t="s">
        <v>671</v>
      </c>
      <c r="M1168" t="s">
        <v>2296</v>
      </c>
    </row>
    <row r="1169" spans="1:13" x14ac:dyDescent="0.25">
      <c r="A1169" s="5">
        <v>44313</v>
      </c>
      <c r="B1169" s="2">
        <v>0</v>
      </c>
      <c r="C1169" t="s">
        <v>2321</v>
      </c>
      <c r="D1169" t="s">
        <v>2072</v>
      </c>
      <c r="E1169" t="s">
        <v>2073</v>
      </c>
      <c r="F1169" s="3">
        <v>44253</v>
      </c>
      <c r="G1169" s="2">
        <v>60</v>
      </c>
      <c r="H1169" s="1">
        <v>382.82</v>
      </c>
      <c r="I1169" t="s">
        <v>2182</v>
      </c>
      <c r="J1169" s="2">
        <v>1</v>
      </c>
      <c r="K1169" t="s">
        <v>13</v>
      </c>
      <c r="L1169" t="s">
        <v>554</v>
      </c>
      <c r="M1169" t="s">
        <v>81</v>
      </c>
    </row>
    <row r="1170" spans="1:13" x14ac:dyDescent="0.25">
      <c r="A1170" s="5">
        <v>44316</v>
      </c>
      <c r="B1170" s="2">
        <v>0</v>
      </c>
      <c r="C1170" t="s">
        <v>2324</v>
      </c>
      <c r="D1170" t="s">
        <v>1998</v>
      </c>
      <c r="E1170" t="s">
        <v>1999</v>
      </c>
      <c r="F1170" s="3">
        <v>44286</v>
      </c>
      <c r="G1170" s="2">
        <v>30</v>
      </c>
      <c r="H1170" s="1">
        <v>584.97</v>
      </c>
      <c r="I1170" t="s">
        <v>2304</v>
      </c>
      <c r="J1170" s="2">
        <v>1</v>
      </c>
      <c r="K1170" t="s">
        <v>13</v>
      </c>
      <c r="L1170" t="s">
        <v>695</v>
      </c>
      <c r="M1170" t="s">
        <v>15</v>
      </c>
    </row>
    <row r="1171" spans="1:13" x14ac:dyDescent="0.25">
      <c r="A1171" s="5">
        <v>44317</v>
      </c>
      <c r="B1171" s="2">
        <v>0</v>
      </c>
      <c r="C1171" t="s">
        <v>2326</v>
      </c>
      <c r="D1171" t="s">
        <v>2105</v>
      </c>
      <c r="E1171" t="s">
        <v>2106</v>
      </c>
      <c r="F1171" s="3">
        <v>44257</v>
      </c>
      <c r="G1171" s="2">
        <v>60</v>
      </c>
      <c r="H1171" s="1">
        <v>390.37</v>
      </c>
      <c r="I1171" t="s">
        <v>2327</v>
      </c>
      <c r="J1171" s="2">
        <v>1</v>
      </c>
      <c r="K1171" t="s">
        <v>13</v>
      </c>
      <c r="L1171" t="s">
        <v>1493</v>
      </c>
      <c r="M1171" t="s">
        <v>2107</v>
      </c>
    </row>
    <row r="1172" spans="1:13" x14ac:dyDescent="0.25">
      <c r="A1172" s="5">
        <v>44317</v>
      </c>
      <c r="B1172" s="2">
        <v>0</v>
      </c>
      <c r="C1172" t="s">
        <v>2328</v>
      </c>
      <c r="D1172" t="s">
        <v>1757</v>
      </c>
      <c r="E1172" t="s">
        <v>1758</v>
      </c>
      <c r="F1172" s="3">
        <v>44257</v>
      </c>
      <c r="G1172" s="2">
        <v>60</v>
      </c>
      <c r="H1172" s="1">
        <v>658.73</v>
      </c>
      <c r="I1172" t="s">
        <v>2329</v>
      </c>
      <c r="J1172" s="2">
        <v>1</v>
      </c>
      <c r="K1172" t="s">
        <v>13</v>
      </c>
      <c r="L1172" t="s">
        <v>21</v>
      </c>
      <c r="M1172" t="s">
        <v>1165</v>
      </c>
    </row>
    <row r="1173" spans="1:13" x14ac:dyDescent="0.25">
      <c r="A1173" s="5">
        <v>44317</v>
      </c>
      <c r="B1173" s="2">
        <v>0</v>
      </c>
      <c r="C1173" t="s">
        <v>2330</v>
      </c>
      <c r="D1173" t="s">
        <v>1757</v>
      </c>
      <c r="E1173" t="s">
        <v>1758</v>
      </c>
      <c r="F1173" s="3">
        <v>44257</v>
      </c>
      <c r="G1173" s="2">
        <v>60</v>
      </c>
      <c r="H1173" s="1">
        <v>2166.9899999999998</v>
      </c>
      <c r="I1173" t="s">
        <v>2331</v>
      </c>
      <c r="J1173" s="2">
        <v>1</v>
      </c>
      <c r="K1173" t="s">
        <v>13</v>
      </c>
      <c r="L1173" t="s">
        <v>21</v>
      </c>
      <c r="M1173" t="s">
        <v>1165</v>
      </c>
    </row>
    <row r="1174" spans="1:13" x14ac:dyDescent="0.25">
      <c r="A1174" s="5">
        <v>44317</v>
      </c>
      <c r="B1174" s="2">
        <v>0</v>
      </c>
      <c r="C1174" t="s">
        <v>2332</v>
      </c>
      <c r="D1174" t="s">
        <v>2260</v>
      </c>
      <c r="E1174" t="s">
        <v>2261</v>
      </c>
      <c r="F1174" s="3">
        <v>44277</v>
      </c>
      <c r="G1174" s="2">
        <v>40</v>
      </c>
      <c r="H1174" s="1">
        <v>257.82</v>
      </c>
      <c r="I1174" t="s">
        <v>2333</v>
      </c>
      <c r="J1174" s="2">
        <v>1</v>
      </c>
      <c r="K1174" t="s">
        <v>13</v>
      </c>
      <c r="L1174" t="s">
        <v>1682</v>
      </c>
      <c r="M1174" t="s">
        <v>22</v>
      </c>
    </row>
    <row r="1175" spans="1:13" x14ac:dyDescent="0.25">
      <c r="A1175" s="5">
        <v>44318</v>
      </c>
      <c r="B1175" s="2">
        <v>0</v>
      </c>
      <c r="C1175" t="s">
        <v>2335</v>
      </c>
      <c r="D1175" t="s">
        <v>2260</v>
      </c>
      <c r="E1175" t="s">
        <v>2261</v>
      </c>
      <c r="F1175" s="3">
        <v>44293</v>
      </c>
      <c r="G1175" s="2">
        <v>25</v>
      </c>
      <c r="H1175" s="1">
        <v>302.95999999999998</v>
      </c>
      <c r="I1175" t="s">
        <v>2336</v>
      </c>
      <c r="J1175" s="2">
        <v>1</v>
      </c>
      <c r="K1175" t="s">
        <v>13</v>
      </c>
      <c r="L1175" t="s">
        <v>1682</v>
      </c>
      <c r="M1175" t="s">
        <v>22</v>
      </c>
    </row>
    <row r="1176" spans="1:13" x14ac:dyDescent="0.25">
      <c r="A1176" s="5">
        <v>44319</v>
      </c>
      <c r="B1176" s="2">
        <v>0</v>
      </c>
      <c r="C1176" t="s">
        <v>2338</v>
      </c>
      <c r="D1176" t="s">
        <v>1761</v>
      </c>
      <c r="E1176" t="s">
        <v>1762</v>
      </c>
      <c r="F1176" s="3">
        <v>44207</v>
      </c>
      <c r="G1176" s="2">
        <v>112</v>
      </c>
      <c r="H1176" s="1">
        <v>1019.38</v>
      </c>
      <c r="I1176" t="s">
        <v>2170</v>
      </c>
      <c r="J1176" s="2">
        <v>1</v>
      </c>
      <c r="K1176" t="s">
        <v>13</v>
      </c>
      <c r="L1176" t="s">
        <v>21</v>
      </c>
      <c r="M1176" t="s">
        <v>1165</v>
      </c>
    </row>
    <row r="1177" spans="1:13" x14ac:dyDescent="0.25">
      <c r="A1177" s="5">
        <v>44319</v>
      </c>
      <c r="B1177" s="2">
        <v>0</v>
      </c>
      <c r="C1177" t="s">
        <v>2339</v>
      </c>
      <c r="D1177" t="s">
        <v>1761</v>
      </c>
      <c r="E1177" t="s">
        <v>1762</v>
      </c>
      <c r="F1177" s="3">
        <v>44228</v>
      </c>
      <c r="G1177" s="2">
        <v>91</v>
      </c>
      <c r="H1177" s="1">
        <v>1778.34</v>
      </c>
      <c r="I1177" t="s">
        <v>2238</v>
      </c>
      <c r="J1177" s="2">
        <v>1</v>
      </c>
      <c r="K1177" t="s">
        <v>13</v>
      </c>
      <c r="L1177" t="s">
        <v>21</v>
      </c>
      <c r="M1177" t="s">
        <v>1165</v>
      </c>
    </row>
    <row r="1178" spans="1:13" x14ac:dyDescent="0.25">
      <c r="A1178" s="5">
        <v>44319</v>
      </c>
      <c r="B1178" s="2">
        <v>0</v>
      </c>
      <c r="C1178" t="s">
        <v>2340</v>
      </c>
      <c r="D1178" t="s">
        <v>1761</v>
      </c>
      <c r="E1178" t="s">
        <v>1762</v>
      </c>
      <c r="F1178" s="3">
        <v>44249</v>
      </c>
      <c r="G1178" s="2">
        <v>70</v>
      </c>
      <c r="H1178" s="1">
        <v>1012.71</v>
      </c>
      <c r="I1178" t="s">
        <v>2313</v>
      </c>
      <c r="J1178" s="2">
        <v>1</v>
      </c>
      <c r="K1178" t="s">
        <v>13</v>
      </c>
      <c r="L1178" t="s">
        <v>21</v>
      </c>
      <c r="M1178" t="s">
        <v>1165</v>
      </c>
    </row>
    <row r="1179" spans="1:13" x14ac:dyDescent="0.25">
      <c r="A1179" s="5">
        <v>44319</v>
      </c>
      <c r="B1179" s="2">
        <v>0</v>
      </c>
      <c r="C1179" t="s">
        <v>2341</v>
      </c>
      <c r="D1179" t="s">
        <v>1773</v>
      </c>
      <c r="E1179" t="s">
        <v>1938</v>
      </c>
      <c r="F1179" s="3">
        <v>44217</v>
      </c>
      <c r="G1179" s="2">
        <v>102</v>
      </c>
      <c r="H1179" s="1">
        <v>897.85</v>
      </c>
      <c r="I1179" t="s">
        <v>2192</v>
      </c>
      <c r="J1179" s="2">
        <v>1</v>
      </c>
      <c r="K1179" t="s">
        <v>13</v>
      </c>
      <c r="L1179" t="s">
        <v>21</v>
      </c>
      <c r="M1179" t="s">
        <v>1774</v>
      </c>
    </row>
    <row r="1180" spans="1:13" x14ac:dyDescent="0.25">
      <c r="A1180" s="5">
        <v>44319</v>
      </c>
      <c r="B1180" s="2">
        <v>0</v>
      </c>
      <c r="C1180" t="s">
        <v>2342</v>
      </c>
      <c r="D1180" t="s">
        <v>1773</v>
      </c>
      <c r="E1180" t="s">
        <v>1938</v>
      </c>
      <c r="F1180" s="3">
        <v>44238</v>
      </c>
      <c r="G1180" s="2">
        <v>81</v>
      </c>
      <c r="H1180" s="1">
        <v>679.63</v>
      </c>
      <c r="I1180" t="s">
        <v>2268</v>
      </c>
      <c r="J1180" s="2">
        <v>1</v>
      </c>
      <c r="K1180" t="s">
        <v>13</v>
      </c>
      <c r="L1180" t="s">
        <v>21</v>
      </c>
      <c r="M1180" t="s">
        <v>1774</v>
      </c>
    </row>
    <row r="1181" spans="1:13" x14ac:dyDescent="0.25">
      <c r="A1181" s="5">
        <v>44319</v>
      </c>
      <c r="B1181" s="2">
        <v>0</v>
      </c>
      <c r="C1181" t="s">
        <v>2343</v>
      </c>
      <c r="D1181" t="s">
        <v>1773</v>
      </c>
      <c r="E1181" t="s">
        <v>1938</v>
      </c>
      <c r="F1181" s="3">
        <v>44249</v>
      </c>
      <c r="G1181" s="2">
        <v>70</v>
      </c>
      <c r="H1181" s="1">
        <v>865.27</v>
      </c>
      <c r="I1181" t="s">
        <v>2344</v>
      </c>
      <c r="J1181" s="2">
        <v>1</v>
      </c>
      <c r="K1181" t="s">
        <v>13</v>
      </c>
      <c r="L1181" t="s">
        <v>21</v>
      </c>
      <c r="M1181" t="s">
        <v>1774</v>
      </c>
    </row>
    <row r="1182" spans="1:13" x14ac:dyDescent="0.25">
      <c r="A1182" s="5">
        <v>44319</v>
      </c>
      <c r="B1182" s="2">
        <v>0</v>
      </c>
      <c r="C1182" t="s">
        <v>2345</v>
      </c>
      <c r="D1182" t="s">
        <v>1757</v>
      </c>
      <c r="E1182" t="s">
        <v>1758</v>
      </c>
      <c r="F1182" s="3">
        <v>44228</v>
      </c>
      <c r="G1182" s="2">
        <v>91</v>
      </c>
      <c r="H1182" s="1">
        <v>1060.49</v>
      </c>
      <c r="I1182" t="s">
        <v>2239</v>
      </c>
      <c r="J1182" s="2">
        <v>1</v>
      </c>
      <c r="K1182" t="s">
        <v>13</v>
      </c>
      <c r="L1182" t="s">
        <v>21</v>
      </c>
      <c r="M1182" t="s">
        <v>1165</v>
      </c>
    </row>
    <row r="1183" spans="1:13" x14ac:dyDescent="0.25">
      <c r="A1183" s="5">
        <v>44319</v>
      </c>
      <c r="B1183" s="2">
        <v>0</v>
      </c>
      <c r="C1183" t="s">
        <v>2346</v>
      </c>
      <c r="D1183" t="s">
        <v>1757</v>
      </c>
      <c r="E1183" t="s">
        <v>1758</v>
      </c>
      <c r="F1183" s="3">
        <v>44249</v>
      </c>
      <c r="G1183" s="2">
        <v>70</v>
      </c>
      <c r="H1183" s="1">
        <v>865.27</v>
      </c>
      <c r="I1183" t="s">
        <v>2347</v>
      </c>
      <c r="J1183" s="2">
        <v>1</v>
      </c>
      <c r="K1183" t="s">
        <v>13</v>
      </c>
      <c r="L1183" t="s">
        <v>21</v>
      </c>
      <c r="M1183" t="s">
        <v>1165</v>
      </c>
    </row>
    <row r="1184" spans="1:13" x14ac:dyDescent="0.25">
      <c r="A1184" s="5">
        <v>44319</v>
      </c>
      <c r="B1184" s="2">
        <v>0</v>
      </c>
      <c r="C1184" t="s">
        <v>2348</v>
      </c>
      <c r="D1184" t="s">
        <v>2232</v>
      </c>
      <c r="E1184" t="s">
        <v>2233</v>
      </c>
      <c r="F1184" s="3">
        <v>44264</v>
      </c>
      <c r="G1184" s="2">
        <v>55</v>
      </c>
      <c r="H1184" s="1">
        <v>851.17</v>
      </c>
      <c r="I1184" t="s">
        <v>2276</v>
      </c>
      <c r="J1184" s="2">
        <v>1</v>
      </c>
      <c r="K1184" t="s">
        <v>13</v>
      </c>
      <c r="L1184" t="s">
        <v>2126</v>
      </c>
      <c r="M1184" t="s">
        <v>27</v>
      </c>
    </row>
    <row r="1185" spans="1:13" x14ac:dyDescent="0.25">
      <c r="A1185" s="5">
        <v>44320</v>
      </c>
      <c r="B1185" s="2">
        <v>0</v>
      </c>
      <c r="C1185" t="s">
        <v>2349</v>
      </c>
      <c r="D1185" t="s">
        <v>2350</v>
      </c>
      <c r="E1185" t="s">
        <v>2351</v>
      </c>
      <c r="F1185" s="3">
        <v>44270</v>
      </c>
      <c r="G1185" s="2">
        <v>50</v>
      </c>
      <c r="H1185" s="1">
        <v>364.17</v>
      </c>
      <c r="I1185" t="s">
        <v>2352</v>
      </c>
      <c r="J1185" s="2">
        <v>1</v>
      </c>
      <c r="K1185" t="s">
        <v>13</v>
      </c>
      <c r="L1185" t="s">
        <v>695</v>
      </c>
      <c r="M1185" t="s">
        <v>15</v>
      </c>
    </row>
    <row r="1186" spans="1:13" x14ac:dyDescent="0.25">
      <c r="A1186" s="5">
        <v>44320</v>
      </c>
      <c r="B1186" s="2">
        <v>0</v>
      </c>
      <c r="C1186" t="s">
        <v>2353</v>
      </c>
      <c r="D1186" t="s">
        <v>1761</v>
      </c>
      <c r="E1186" t="s">
        <v>1762</v>
      </c>
      <c r="F1186" s="3">
        <v>44250</v>
      </c>
      <c r="G1186" s="2">
        <v>70</v>
      </c>
      <c r="H1186" s="1">
        <v>592.78</v>
      </c>
      <c r="I1186" t="s">
        <v>2354</v>
      </c>
      <c r="J1186" s="2">
        <v>1</v>
      </c>
      <c r="K1186" t="s">
        <v>13</v>
      </c>
      <c r="L1186" t="s">
        <v>21</v>
      </c>
      <c r="M1186" t="s">
        <v>1165</v>
      </c>
    </row>
    <row r="1187" spans="1:13" x14ac:dyDescent="0.25">
      <c r="A1187" s="5">
        <v>44320</v>
      </c>
      <c r="B1187" s="2">
        <v>0</v>
      </c>
      <c r="C1187" t="s">
        <v>2355</v>
      </c>
      <c r="D1187" t="s">
        <v>1773</v>
      </c>
      <c r="E1187" t="s">
        <v>1938</v>
      </c>
      <c r="F1187" s="3">
        <v>44230</v>
      </c>
      <c r="G1187" s="2">
        <v>90</v>
      </c>
      <c r="H1187" s="1">
        <v>1140.3499999999999</v>
      </c>
      <c r="I1187" t="s">
        <v>2248</v>
      </c>
      <c r="J1187" s="2">
        <v>1</v>
      </c>
      <c r="K1187" t="s">
        <v>13</v>
      </c>
      <c r="L1187" t="s">
        <v>21</v>
      </c>
      <c r="M1187" t="s">
        <v>1774</v>
      </c>
    </row>
    <row r="1188" spans="1:13" x14ac:dyDescent="0.25">
      <c r="A1188" s="5">
        <v>44320</v>
      </c>
      <c r="B1188" s="2">
        <v>0</v>
      </c>
      <c r="C1188" t="s">
        <v>2356</v>
      </c>
      <c r="D1188" t="s">
        <v>1773</v>
      </c>
      <c r="E1188" t="s">
        <v>1938</v>
      </c>
      <c r="F1188" s="3">
        <v>44250</v>
      </c>
      <c r="G1188" s="2">
        <v>70</v>
      </c>
      <c r="H1188" s="1">
        <v>592.78</v>
      </c>
      <c r="I1188" t="s">
        <v>2357</v>
      </c>
      <c r="J1188" s="2">
        <v>1</v>
      </c>
      <c r="K1188" t="s">
        <v>13</v>
      </c>
      <c r="L1188" t="s">
        <v>21</v>
      </c>
      <c r="M1188" t="s">
        <v>1774</v>
      </c>
    </row>
    <row r="1189" spans="1:13" x14ac:dyDescent="0.25">
      <c r="A1189" s="5">
        <v>44320</v>
      </c>
      <c r="B1189" s="2">
        <v>0</v>
      </c>
      <c r="C1189" t="s">
        <v>2358</v>
      </c>
      <c r="D1189" t="s">
        <v>1773</v>
      </c>
      <c r="E1189" t="s">
        <v>1938</v>
      </c>
      <c r="F1189" s="3">
        <v>44285</v>
      </c>
      <c r="G1189" s="2">
        <v>35</v>
      </c>
      <c r="H1189" s="1">
        <v>774.64</v>
      </c>
      <c r="I1189" t="s">
        <v>2359</v>
      </c>
      <c r="J1189" s="2">
        <v>1</v>
      </c>
      <c r="K1189" t="s">
        <v>13</v>
      </c>
      <c r="L1189" t="s">
        <v>21</v>
      </c>
      <c r="M1189" t="s">
        <v>1774</v>
      </c>
    </row>
    <row r="1190" spans="1:13" x14ac:dyDescent="0.25">
      <c r="A1190" s="5">
        <v>44320</v>
      </c>
      <c r="B1190" s="2">
        <v>0</v>
      </c>
      <c r="C1190" t="s">
        <v>2360</v>
      </c>
      <c r="D1190" t="s">
        <v>2260</v>
      </c>
      <c r="E1190" t="s">
        <v>2261</v>
      </c>
      <c r="F1190" s="3">
        <v>44285</v>
      </c>
      <c r="G1190" s="2">
        <v>35</v>
      </c>
      <c r="H1190" s="1">
        <v>226.78</v>
      </c>
      <c r="I1190" t="s">
        <v>2361</v>
      </c>
      <c r="J1190" s="2">
        <v>1</v>
      </c>
      <c r="K1190" t="s">
        <v>13</v>
      </c>
      <c r="L1190" t="s">
        <v>1682</v>
      </c>
      <c r="M1190" t="s">
        <v>22</v>
      </c>
    </row>
    <row r="1191" spans="1:13" x14ac:dyDescent="0.25">
      <c r="A1191" s="5">
        <v>44321</v>
      </c>
      <c r="B1191" s="2">
        <v>0</v>
      </c>
      <c r="C1191" t="s">
        <v>2363</v>
      </c>
      <c r="D1191" t="s">
        <v>1761</v>
      </c>
      <c r="E1191" t="s">
        <v>1762</v>
      </c>
      <c r="F1191" s="3">
        <v>44251</v>
      </c>
      <c r="G1191" s="2">
        <v>70</v>
      </c>
      <c r="H1191" s="1">
        <v>592.48</v>
      </c>
      <c r="I1191" t="s">
        <v>2364</v>
      </c>
      <c r="J1191" s="2">
        <v>1</v>
      </c>
      <c r="K1191" t="s">
        <v>13</v>
      </c>
      <c r="L1191" t="s">
        <v>21</v>
      </c>
      <c r="M1191" t="s">
        <v>1165</v>
      </c>
    </row>
    <row r="1192" spans="1:13" x14ac:dyDescent="0.25">
      <c r="A1192" s="5">
        <v>44321</v>
      </c>
      <c r="B1192" s="2">
        <v>0</v>
      </c>
      <c r="C1192" t="s">
        <v>2365</v>
      </c>
      <c r="D1192" t="s">
        <v>1757</v>
      </c>
      <c r="E1192" t="s">
        <v>1758</v>
      </c>
      <c r="F1192" s="3">
        <v>44223</v>
      </c>
      <c r="G1192" s="2">
        <v>98</v>
      </c>
      <c r="H1192" s="1">
        <v>973.09</v>
      </c>
      <c r="I1192" t="s">
        <v>2252</v>
      </c>
      <c r="J1192" s="2">
        <v>1</v>
      </c>
      <c r="K1192" t="s">
        <v>13</v>
      </c>
      <c r="L1192" t="s">
        <v>21</v>
      </c>
      <c r="M1192" t="s">
        <v>1165</v>
      </c>
    </row>
    <row r="1193" spans="1:13" x14ac:dyDescent="0.25">
      <c r="A1193" s="5">
        <v>44321</v>
      </c>
      <c r="B1193" s="2">
        <v>0</v>
      </c>
      <c r="C1193" t="s">
        <v>2366</v>
      </c>
      <c r="D1193" t="s">
        <v>1757</v>
      </c>
      <c r="E1193" t="s">
        <v>1758</v>
      </c>
      <c r="F1193" s="3">
        <v>44251</v>
      </c>
      <c r="G1193" s="2">
        <v>70</v>
      </c>
      <c r="H1193" s="1">
        <v>887.37</v>
      </c>
      <c r="I1193" t="s">
        <v>2367</v>
      </c>
      <c r="J1193" s="2">
        <v>1</v>
      </c>
      <c r="K1193" t="s">
        <v>13</v>
      </c>
      <c r="L1193" t="s">
        <v>21</v>
      </c>
      <c r="M1193" t="s">
        <v>1165</v>
      </c>
    </row>
    <row r="1194" spans="1:13" x14ac:dyDescent="0.25">
      <c r="A1194" s="5">
        <v>44321</v>
      </c>
      <c r="B1194" s="2">
        <v>0</v>
      </c>
      <c r="C1194" t="s">
        <v>2368</v>
      </c>
      <c r="D1194" t="s">
        <v>1757</v>
      </c>
      <c r="E1194" t="s">
        <v>1758</v>
      </c>
      <c r="F1194" s="3">
        <v>44286</v>
      </c>
      <c r="G1194" s="2">
        <v>35</v>
      </c>
      <c r="H1194" s="1">
        <v>872.26</v>
      </c>
      <c r="I1194" t="s">
        <v>2369</v>
      </c>
      <c r="J1194" s="2">
        <v>1</v>
      </c>
      <c r="K1194" t="s">
        <v>13</v>
      </c>
      <c r="L1194" t="s">
        <v>21</v>
      </c>
      <c r="M1194" t="s">
        <v>1165</v>
      </c>
    </row>
    <row r="1195" spans="1:13" x14ac:dyDescent="0.25">
      <c r="A1195" s="5">
        <v>44322</v>
      </c>
      <c r="B1195" s="2">
        <v>0</v>
      </c>
      <c r="C1195" t="s">
        <v>2373</v>
      </c>
      <c r="D1195" t="s">
        <v>1761</v>
      </c>
      <c r="E1195" t="s">
        <v>1762</v>
      </c>
      <c r="F1195" s="3">
        <v>44222</v>
      </c>
      <c r="G1195" s="2">
        <v>100</v>
      </c>
      <c r="H1195" s="1">
        <v>1849.94</v>
      </c>
      <c r="I1195" t="s">
        <v>2210</v>
      </c>
      <c r="J1195" s="2">
        <v>1</v>
      </c>
      <c r="K1195" t="s">
        <v>13</v>
      </c>
      <c r="L1195" t="s">
        <v>21</v>
      </c>
      <c r="M1195" t="s">
        <v>1165</v>
      </c>
    </row>
    <row r="1196" spans="1:13" x14ac:dyDescent="0.25">
      <c r="A1196" s="5">
        <v>44322</v>
      </c>
      <c r="B1196" s="2">
        <v>0</v>
      </c>
      <c r="C1196" t="s">
        <v>2374</v>
      </c>
      <c r="D1196" t="s">
        <v>1761</v>
      </c>
      <c r="E1196" t="s">
        <v>1762</v>
      </c>
      <c r="F1196" s="3">
        <v>44252</v>
      </c>
      <c r="G1196" s="2">
        <v>70</v>
      </c>
      <c r="H1196" s="1">
        <v>592.78</v>
      </c>
      <c r="I1196" t="s">
        <v>2375</v>
      </c>
      <c r="J1196" s="2">
        <v>1</v>
      </c>
      <c r="K1196" t="s">
        <v>13</v>
      </c>
      <c r="L1196" t="s">
        <v>21</v>
      </c>
      <c r="M1196" t="s">
        <v>1165</v>
      </c>
    </row>
    <row r="1197" spans="1:13" x14ac:dyDescent="0.25">
      <c r="A1197" s="5">
        <v>44322</v>
      </c>
      <c r="B1197" s="2">
        <v>0</v>
      </c>
      <c r="C1197" t="s">
        <v>2376</v>
      </c>
      <c r="D1197" t="s">
        <v>1761</v>
      </c>
      <c r="E1197" t="s">
        <v>1762</v>
      </c>
      <c r="F1197" s="3">
        <v>44257</v>
      </c>
      <c r="G1197" s="2">
        <v>65</v>
      </c>
      <c r="H1197" s="1">
        <v>658.73</v>
      </c>
      <c r="I1197" t="s">
        <v>2377</v>
      </c>
      <c r="J1197" s="2">
        <v>1</v>
      </c>
      <c r="K1197" t="s">
        <v>13</v>
      </c>
      <c r="L1197" t="s">
        <v>21</v>
      </c>
      <c r="M1197" t="s">
        <v>1165</v>
      </c>
    </row>
    <row r="1198" spans="1:13" x14ac:dyDescent="0.25">
      <c r="A1198" s="5">
        <v>44322</v>
      </c>
      <c r="B1198" s="2">
        <v>0</v>
      </c>
      <c r="C1198" t="s">
        <v>2378</v>
      </c>
      <c r="D1198" t="s">
        <v>1773</v>
      </c>
      <c r="E1198" t="s">
        <v>1938</v>
      </c>
      <c r="F1198" s="3">
        <v>44252</v>
      </c>
      <c r="G1198" s="2">
        <v>70</v>
      </c>
      <c r="H1198" s="1">
        <v>592.78</v>
      </c>
      <c r="I1198" t="s">
        <v>2379</v>
      </c>
      <c r="J1198" s="2">
        <v>1</v>
      </c>
      <c r="K1198" t="s">
        <v>13</v>
      </c>
      <c r="L1198" t="s">
        <v>21</v>
      </c>
      <c r="M1198" t="s">
        <v>1774</v>
      </c>
    </row>
    <row r="1199" spans="1:13" x14ac:dyDescent="0.25">
      <c r="A1199" s="5">
        <v>44322</v>
      </c>
      <c r="B1199" s="2">
        <v>0</v>
      </c>
      <c r="C1199" t="s">
        <v>2380</v>
      </c>
      <c r="D1199" t="s">
        <v>1773</v>
      </c>
      <c r="E1199" t="s">
        <v>1938</v>
      </c>
      <c r="F1199" s="3">
        <v>44257</v>
      </c>
      <c r="G1199" s="2">
        <v>65</v>
      </c>
      <c r="H1199" s="1">
        <v>924.39</v>
      </c>
      <c r="I1199" t="s">
        <v>2381</v>
      </c>
      <c r="J1199" s="2">
        <v>1</v>
      </c>
      <c r="K1199" t="s">
        <v>13</v>
      </c>
      <c r="L1199" t="s">
        <v>21</v>
      </c>
      <c r="M1199" t="s">
        <v>1774</v>
      </c>
    </row>
    <row r="1200" spans="1:13" x14ac:dyDescent="0.25">
      <c r="A1200" s="5">
        <v>44322</v>
      </c>
      <c r="B1200" s="2">
        <v>0</v>
      </c>
      <c r="C1200" t="s">
        <v>2382</v>
      </c>
      <c r="D1200" t="s">
        <v>1757</v>
      </c>
      <c r="E1200" t="s">
        <v>1758</v>
      </c>
      <c r="F1200" s="3">
        <v>44252</v>
      </c>
      <c r="G1200" s="2">
        <v>70</v>
      </c>
      <c r="H1200" s="1">
        <v>1019.84</v>
      </c>
      <c r="I1200" t="s">
        <v>2319</v>
      </c>
      <c r="J1200" s="2">
        <v>1</v>
      </c>
      <c r="K1200" t="s">
        <v>13</v>
      </c>
      <c r="L1200" t="s">
        <v>21</v>
      </c>
      <c r="M1200" t="s">
        <v>1165</v>
      </c>
    </row>
    <row r="1201" spans="1:13" x14ac:dyDescent="0.25">
      <c r="A1201" s="5">
        <v>44322</v>
      </c>
      <c r="B1201" s="2">
        <v>0</v>
      </c>
      <c r="C1201" t="s">
        <v>2383</v>
      </c>
      <c r="D1201" t="s">
        <v>1757</v>
      </c>
      <c r="E1201" t="s">
        <v>1758</v>
      </c>
      <c r="F1201" s="3">
        <v>44252</v>
      </c>
      <c r="G1201" s="2">
        <v>70</v>
      </c>
      <c r="H1201" s="1">
        <v>592.78</v>
      </c>
      <c r="I1201" t="s">
        <v>2384</v>
      </c>
      <c r="J1201" s="2">
        <v>1</v>
      </c>
      <c r="K1201" t="s">
        <v>13</v>
      </c>
      <c r="L1201" t="s">
        <v>21</v>
      </c>
      <c r="M1201" t="s">
        <v>1165</v>
      </c>
    </row>
    <row r="1202" spans="1:13" x14ac:dyDescent="0.25">
      <c r="A1202" s="5">
        <v>44322</v>
      </c>
      <c r="B1202" s="2">
        <v>0</v>
      </c>
      <c r="C1202" t="s">
        <v>2385</v>
      </c>
      <c r="D1202" t="s">
        <v>2260</v>
      </c>
      <c r="E1202" t="s">
        <v>2261</v>
      </c>
      <c r="F1202" s="3">
        <v>44277</v>
      </c>
      <c r="G1202" s="2">
        <v>45</v>
      </c>
      <c r="H1202" s="1">
        <v>217.42</v>
      </c>
      <c r="I1202" t="s">
        <v>2320</v>
      </c>
      <c r="J1202" s="2">
        <v>1</v>
      </c>
      <c r="K1202" t="s">
        <v>13</v>
      </c>
      <c r="L1202" t="s">
        <v>1682</v>
      </c>
      <c r="M1202" t="s">
        <v>22</v>
      </c>
    </row>
    <row r="1203" spans="1:13" x14ac:dyDescent="0.25">
      <c r="A1203" s="5">
        <v>44322</v>
      </c>
      <c r="B1203" s="2">
        <v>0</v>
      </c>
      <c r="C1203" t="s">
        <v>2386</v>
      </c>
      <c r="D1203" t="s">
        <v>1998</v>
      </c>
      <c r="E1203" t="s">
        <v>1999</v>
      </c>
      <c r="F1203" s="3">
        <v>44287</v>
      </c>
      <c r="G1203" s="2">
        <v>35</v>
      </c>
      <c r="H1203" s="1">
        <v>362.45</v>
      </c>
      <c r="I1203" t="s">
        <v>2387</v>
      </c>
      <c r="J1203" s="2">
        <v>1</v>
      </c>
      <c r="K1203" t="s">
        <v>13</v>
      </c>
      <c r="L1203" t="s">
        <v>695</v>
      </c>
      <c r="M1203" t="s">
        <v>15</v>
      </c>
    </row>
    <row r="1204" spans="1:13" x14ac:dyDescent="0.25">
      <c r="A1204" s="5">
        <v>44323</v>
      </c>
      <c r="B1204" s="2">
        <v>0</v>
      </c>
      <c r="C1204" t="s">
        <v>2388</v>
      </c>
      <c r="D1204" t="s">
        <v>1761</v>
      </c>
      <c r="E1204" t="s">
        <v>1762</v>
      </c>
      <c r="F1204" s="3">
        <v>44253</v>
      </c>
      <c r="G1204" s="2">
        <v>70</v>
      </c>
      <c r="H1204" s="1">
        <v>926.96</v>
      </c>
      <c r="I1204" t="s">
        <v>2389</v>
      </c>
      <c r="J1204" s="2">
        <v>1</v>
      </c>
      <c r="K1204" t="s">
        <v>13</v>
      </c>
      <c r="L1204" t="s">
        <v>21</v>
      </c>
      <c r="M1204" t="s">
        <v>1165</v>
      </c>
    </row>
    <row r="1205" spans="1:13" x14ac:dyDescent="0.25">
      <c r="A1205" s="5">
        <v>44323</v>
      </c>
      <c r="B1205" s="2">
        <v>0</v>
      </c>
      <c r="C1205" t="s">
        <v>2390</v>
      </c>
      <c r="D1205" t="s">
        <v>1761</v>
      </c>
      <c r="E1205" t="s">
        <v>1762</v>
      </c>
      <c r="F1205" s="3">
        <v>44253</v>
      </c>
      <c r="G1205" s="2">
        <v>70</v>
      </c>
      <c r="H1205" s="1">
        <v>829.82</v>
      </c>
      <c r="I1205" t="s">
        <v>2391</v>
      </c>
      <c r="J1205" s="2">
        <v>1</v>
      </c>
      <c r="K1205" t="s">
        <v>13</v>
      </c>
      <c r="L1205" t="s">
        <v>21</v>
      </c>
      <c r="M1205" t="s">
        <v>1165</v>
      </c>
    </row>
    <row r="1206" spans="1:13" x14ac:dyDescent="0.25">
      <c r="A1206" s="5">
        <v>44323</v>
      </c>
      <c r="B1206" s="2">
        <v>0</v>
      </c>
      <c r="C1206" t="s">
        <v>2392</v>
      </c>
      <c r="D1206" t="s">
        <v>1761</v>
      </c>
      <c r="E1206" t="s">
        <v>1762</v>
      </c>
      <c r="F1206" s="3">
        <v>44258</v>
      </c>
      <c r="G1206" s="2">
        <v>65</v>
      </c>
      <c r="H1206" s="1">
        <v>490.65</v>
      </c>
      <c r="I1206" t="s">
        <v>2393</v>
      </c>
      <c r="J1206" s="2">
        <v>1</v>
      </c>
      <c r="K1206" t="s">
        <v>13</v>
      </c>
      <c r="L1206" t="s">
        <v>21</v>
      </c>
      <c r="M1206" t="s">
        <v>1165</v>
      </c>
    </row>
    <row r="1207" spans="1:13" x14ac:dyDescent="0.25">
      <c r="A1207" s="5">
        <v>44323</v>
      </c>
      <c r="B1207" s="2">
        <v>0</v>
      </c>
      <c r="C1207" t="s">
        <v>2394</v>
      </c>
      <c r="D1207" t="s">
        <v>1761</v>
      </c>
      <c r="E1207" t="s">
        <v>1762</v>
      </c>
      <c r="F1207" s="3">
        <v>44263</v>
      </c>
      <c r="G1207" s="2">
        <v>60</v>
      </c>
      <c r="H1207" s="1">
        <v>2445.62</v>
      </c>
      <c r="I1207" t="s">
        <v>2395</v>
      </c>
      <c r="J1207" s="2">
        <v>1</v>
      </c>
      <c r="K1207" t="s">
        <v>13</v>
      </c>
      <c r="L1207" t="s">
        <v>21</v>
      </c>
      <c r="M1207" t="s">
        <v>1165</v>
      </c>
    </row>
    <row r="1208" spans="1:13" x14ac:dyDescent="0.25">
      <c r="A1208" s="5">
        <v>44323</v>
      </c>
      <c r="B1208" s="2">
        <v>0</v>
      </c>
      <c r="C1208" t="s">
        <v>2396</v>
      </c>
      <c r="D1208" t="s">
        <v>1773</v>
      </c>
      <c r="E1208" t="s">
        <v>1938</v>
      </c>
      <c r="F1208" s="3">
        <v>44253</v>
      </c>
      <c r="G1208" s="2">
        <v>70</v>
      </c>
      <c r="H1208" s="1">
        <v>1589.45</v>
      </c>
      <c r="I1208" t="s">
        <v>2397</v>
      </c>
      <c r="J1208" s="2">
        <v>1</v>
      </c>
      <c r="K1208" t="s">
        <v>13</v>
      </c>
      <c r="L1208" t="s">
        <v>21</v>
      </c>
      <c r="M1208" t="s">
        <v>1774</v>
      </c>
    </row>
    <row r="1209" spans="1:13" x14ac:dyDescent="0.25">
      <c r="A1209" s="5">
        <v>44323</v>
      </c>
      <c r="B1209" s="2">
        <v>0</v>
      </c>
      <c r="C1209" t="s">
        <v>2398</v>
      </c>
      <c r="D1209" t="s">
        <v>1757</v>
      </c>
      <c r="E1209" t="s">
        <v>1758</v>
      </c>
      <c r="F1209" s="3">
        <v>44263</v>
      </c>
      <c r="G1209" s="2">
        <v>60</v>
      </c>
      <c r="H1209" s="1">
        <v>2565.1799999999998</v>
      </c>
      <c r="I1209" t="s">
        <v>2399</v>
      </c>
      <c r="J1209" s="2">
        <v>1</v>
      </c>
      <c r="K1209" t="s">
        <v>13</v>
      </c>
      <c r="L1209" t="s">
        <v>21</v>
      </c>
      <c r="M1209" t="s">
        <v>1165</v>
      </c>
    </row>
    <row r="1210" spans="1:13" x14ac:dyDescent="0.25">
      <c r="A1210" s="5">
        <v>44323</v>
      </c>
      <c r="B1210" s="2">
        <v>0</v>
      </c>
      <c r="C1210" t="s">
        <v>2400</v>
      </c>
      <c r="D1210" t="s">
        <v>2232</v>
      </c>
      <c r="E1210" t="s">
        <v>2233</v>
      </c>
      <c r="F1210" s="3">
        <v>44273</v>
      </c>
      <c r="G1210" s="2">
        <v>50</v>
      </c>
      <c r="H1210" s="1">
        <v>508.29</v>
      </c>
      <c r="I1210" t="s">
        <v>2401</v>
      </c>
      <c r="J1210" s="2">
        <v>1</v>
      </c>
      <c r="K1210" t="s">
        <v>13</v>
      </c>
      <c r="L1210" t="s">
        <v>2126</v>
      </c>
      <c r="M1210" t="s">
        <v>27</v>
      </c>
    </row>
    <row r="1211" spans="1:13" x14ac:dyDescent="0.25">
      <c r="A1211" s="5">
        <v>44324</v>
      </c>
      <c r="B1211" s="2">
        <v>0</v>
      </c>
      <c r="C1211" t="s">
        <v>2404</v>
      </c>
      <c r="D1211" t="s">
        <v>1761</v>
      </c>
      <c r="E1211" t="s">
        <v>1762</v>
      </c>
      <c r="F1211" s="3">
        <v>44244</v>
      </c>
      <c r="G1211" s="2">
        <v>80</v>
      </c>
      <c r="H1211" s="1">
        <v>1713.83</v>
      </c>
      <c r="I1211" t="s">
        <v>2322</v>
      </c>
      <c r="J1211" s="2">
        <v>1</v>
      </c>
      <c r="K1211" t="s">
        <v>13</v>
      </c>
      <c r="L1211" t="s">
        <v>21</v>
      </c>
      <c r="M1211" t="s">
        <v>1165</v>
      </c>
    </row>
    <row r="1212" spans="1:13" x14ac:dyDescent="0.25">
      <c r="A1212" s="5">
        <v>44324</v>
      </c>
      <c r="B1212" s="2">
        <v>0</v>
      </c>
      <c r="C1212" t="s">
        <v>2405</v>
      </c>
      <c r="D1212" t="s">
        <v>1761</v>
      </c>
      <c r="E1212" t="s">
        <v>1762</v>
      </c>
      <c r="F1212" s="3">
        <v>44254</v>
      </c>
      <c r="G1212" s="2">
        <v>70</v>
      </c>
      <c r="H1212" s="1">
        <v>712.25</v>
      </c>
      <c r="I1212" t="s">
        <v>2406</v>
      </c>
      <c r="J1212" s="2">
        <v>1</v>
      </c>
      <c r="K1212" t="s">
        <v>13</v>
      </c>
      <c r="L1212" t="s">
        <v>21</v>
      </c>
      <c r="M1212" t="s">
        <v>1165</v>
      </c>
    </row>
    <row r="1213" spans="1:13" x14ac:dyDescent="0.25">
      <c r="A1213" s="5">
        <v>44324</v>
      </c>
      <c r="B1213" s="2">
        <v>0</v>
      </c>
      <c r="C1213" t="s">
        <v>2407</v>
      </c>
      <c r="D1213" t="s">
        <v>1761</v>
      </c>
      <c r="E1213" t="s">
        <v>1762</v>
      </c>
      <c r="F1213" s="3">
        <v>44264</v>
      </c>
      <c r="G1213" s="2">
        <v>60</v>
      </c>
      <c r="H1213" s="1">
        <v>778.99</v>
      </c>
      <c r="I1213" t="s">
        <v>2408</v>
      </c>
      <c r="J1213" s="2">
        <v>1</v>
      </c>
      <c r="K1213" t="s">
        <v>13</v>
      </c>
      <c r="L1213" t="s">
        <v>21</v>
      </c>
      <c r="M1213" t="s">
        <v>1165</v>
      </c>
    </row>
    <row r="1214" spans="1:13" x14ac:dyDescent="0.25">
      <c r="A1214" s="5">
        <v>44324</v>
      </c>
      <c r="B1214" s="2">
        <v>0</v>
      </c>
      <c r="C1214" t="s">
        <v>2409</v>
      </c>
      <c r="D1214" t="s">
        <v>718</v>
      </c>
      <c r="E1214" t="s">
        <v>719</v>
      </c>
      <c r="F1214" s="3">
        <v>44264</v>
      </c>
      <c r="G1214" s="2">
        <v>60</v>
      </c>
      <c r="H1214" s="1">
        <v>289.20999999999998</v>
      </c>
      <c r="I1214" t="s">
        <v>2410</v>
      </c>
      <c r="J1214" s="2">
        <v>1</v>
      </c>
      <c r="K1214" t="s">
        <v>13</v>
      </c>
      <c r="L1214" t="s">
        <v>1682</v>
      </c>
      <c r="M1214" t="s">
        <v>15</v>
      </c>
    </row>
    <row r="1215" spans="1:13" x14ac:dyDescent="0.25">
      <c r="A1215" s="5">
        <v>44324</v>
      </c>
      <c r="B1215" s="2">
        <v>0</v>
      </c>
      <c r="C1215" t="s">
        <v>2411</v>
      </c>
      <c r="D1215" t="s">
        <v>1757</v>
      </c>
      <c r="E1215" t="s">
        <v>1758</v>
      </c>
      <c r="F1215" s="3">
        <v>44244</v>
      </c>
      <c r="G1215" s="2">
        <v>80</v>
      </c>
      <c r="H1215" s="1">
        <v>324.79000000000002</v>
      </c>
      <c r="I1215" t="s">
        <v>2412</v>
      </c>
      <c r="J1215" s="2">
        <v>1</v>
      </c>
      <c r="K1215" t="s">
        <v>13</v>
      </c>
      <c r="L1215" t="s">
        <v>21</v>
      </c>
      <c r="M1215" t="s">
        <v>1165</v>
      </c>
    </row>
    <row r="1216" spans="1:13" x14ac:dyDescent="0.25">
      <c r="A1216" s="5">
        <v>44324</v>
      </c>
      <c r="B1216" s="2">
        <v>0</v>
      </c>
      <c r="C1216" t="s">
        <v>2413</v>
      </c>
      <c r="D1216" t="s">
        <v>1757</v>
      </c>
      <c r="E1216" t="s">
        <v>1758</v>
      </c>
      <c r="F1216" s="3">
        <v>44244</v>
      </c>
      <c r="G1216" s="2">
        <v>80</v>
      </c>
      <c r="H1216" s="1">
        <v>1069.2</v>
      </c>
      <c r="I1216" t="s">
        <v>2323</v>
      </c>
      <c r="J1216" s="2">
        <v>1</v>
      </c>
      <c r="K1216" t="s">
        <v>13</v>
      </c>
      <c r="L1216" t="s">
        <v>21</v>
      </c>
      <c r="M1216" t="s">
        <v>1165</v>
      </c>
    </row>
    <row r="1217" spans="1:13" x14ac:dyDescent="0.25">
      <c r="A1217" s="5">
        <v>44324</v>
      </c>
      <c r="B1217" s="2">
        <v>0</v>
      </c>
      <c r="C1217" t="s">
        <v>2414</v>
      </c>
      <c r="D1217" t="s">
        <v>1757</v>
      </c>
      <c r="E1217" t="s">
        <v>1758</v>
      </c>
      <c r="F1217" s="3">
        <v>44254</v>
      </c>
      <c r="G1217" s="2">
        <v>70</v>
      </c>
      <c r="H1217" s="1">
        <v>469.87</v>
      </c>
      <c r="I1217" t="s">
        <v>2415</v>
      </c>
      <c r="J1217" s="2">
        <v>1</v>
      </c>
      <c r="K1217" t="s">
        <v>13</v>
      </c>
      <c r="L1217" t="s">
        <v>21</v>
      </c>
      <c r="M1217" t="s">
        <v>1165</v>
      </c>
    </row>
    <row r="1218" spans="1:13" x14ac:dyDescent="0.25">
      <c r="A1218" s="5">
        <v>44325</v>
      </c>
      <c r="B1218" s="2">
        <v>0</v>
      </c>
      <c r="C1218" t="s">
        <v>2417</v>
      </c>
      <c r="D1218" t="s">
        <v>1773</v>
      </c>
      <c r="E1218" t="s">
        <v>1938</v>
      </c>
      <c r="F1218" s="3">
        <v>44245</v>
      </c>
      <c r="G1218" s="2">
        <v>80</v>
      </c>
      <c r="H1218" s="1">
        <v>560.76</v>
      </c>
      <c r="I1218" t="s">
        <v>2294</v>
      </c>
      <c r="J1218" s="2">
        <v>1</v>
      </c>
      <c r="K1218" t="s">
        <v>13</v>
      </c>
      <c r="L1218" t="s">
        <v>21</v>
      </c>
      <c r="M1218" t="s">
        <v>1774</v>
      </c>
    </row>
    <row r="1219" spans="1:13" x14ac:dyDescent="0.25">
      <c r="A1219" s="5">
        <v>44325</v>
      </c>
      <c r="B1219" s="2">
        <v>0</v>
      </c>
      <c r="C1219" t="s">
        <v>2418</v>
      </c>
      <c r="D1219" t="s">
        <v>1773</v>
      </c>
      <c r="E1219" t="s">
        <v>1938</v>
      </c>
      <c r="F1219" s="3">
        <v>44265</v>
      </c>
      <c r="G1219" s="2">
        <v>60</v>
      </c>
      <c r="H1219" s="1">
        <v>1491</v>
      </c>
      <c r="I1219" t="s">
        <v>2419</v>
      </c>
      <c r="J1219" s="2">
        <v>1</v>
      </c>
      <c r="K1219" t="s">
        <v>13</v>
      </c>
      <c r="L1219" t="s">
        <v>21</v>
      </c>
      <c r="M1219" t="s">
        <v>1774</v>
      </c>
    </row>
    <row r="1220" spans="1:13" x14ac:dyDescent="0.25">
      <c r="A1220" s="5">
        <v>44325</v>
      </c>
      <c r="B1220" s="2">
        <v>0</v>
      </c>
      <c r="C1220" t="s">
        <v>2420</v>
      </c>
      <c r="D1220" t="s">
        <v>1748</v>
      </c>
      <c r="E1220" t="s">
        <v>1840</v>
      </c>
      <c r="F1220" s="3">
        <v>44285</v>
      </c>
      <c r="G1220" s="2">
        <v>40</v>
      </c>
      <c r="H1220" s="1">
        <v>522.73</v>
      </c>
      <c r="I1220" t="s">
        <v>2421</v>
      </c>
      <c r="J1220" s="2">
        <v>1</v>
      </c>
      <c r="K1220" t="s">
        <v>13</v>
      </c>
      <c r="L1220" t="s">
        <v>1682</v>
      </c>
      <c r="M1220" t="s">
        <v>15</v>
      </c>
    </row>
    <row r="1221" spans="1:13" x14ac:dyDescent="0.25">
      <c r="A1221" s="5">
        <v>44325</v>
      </c>
      <c r="B1221" s="2">
        <v>0</v>
      </c>
      <c r="C1221" t="s">
        <v>2422</v>
      </c>
      <c r="D1221" t="s">
        <v>2260</v>
      </c>
      <c r="E1221" t="s">
        <v>2261</v>
      </c>
      <c r="F1221" s="3">
        <v>44295</v>
      </c>
      <c r="G1221" s="2">
        <v>30</v>
      </c>
      <c r="H1221" s="1">
        <v>330</v>
      </c>
      <c r="I1221" t="s">
        <v>2423</v>
      </c>
      <c r="J1221" s="2">
        <v>1</v>
      </c>
      <c r="K1221" t="s">
        <v>13</v>
      </c>
      <c r="L1221" t="s">
        <v>1682</v>
      </c>
      <c r="M1221" t="s">
        <v>22</v>
      </c>
    </row>
    <row r="1222" spans="1:13" x14ac:dyDescent="0.25">
      <c r="A1222" s="5">
        <v>44326</v>
      </c>
      <c r="B1222" s="2">
        <v>0</v>
      </c>
      <c r="C1222" t="s">
        <v>2424</v>
      </c>
      <c r="D1222" t="s">
        <v>1761</v>
      </c>
      <c r="E1222" t="s">
        <v>1762</v>
      </c>
      <c r="F1222" s="3">
        <v>44215</v>
      </c>
      <c r="G1222" s="2">
        <v>111</v>
      </c>
      <c r="H1222" s="1">
        <v>1224.97</v>
      </c>
      <c r="I1222" t="s">
        <v>2189</v>
      </c>
      <c r="J1222" s="2">
        <v>1</v>
      </c>
      <c r="K1222" t="s">
        <v>13</v>
      </c>
      <c r="L1222" t="s">
        <v>21</v>
      </c>
      <c r="M1222" t="s">
        <v>1165</v>
      </c>
    </row>
    <row r="1223" spans="1:13" x14ac:dyDescent="0.25">
      <c r="A1223" s="5">
        <v>44326</v>
      </c>
      <c r="B1223" s="2">
        <v>0</v>
      </c>
      <c r="C1223" t="s">
        <v>2425</v>
      </c>
      <c r="D1223" t="s">
        <v>1761</v>
      </c>
      <c r="E1223" t="s">
        <v>1762</v>
      </c>
      <c r="F1223" s="3">
        <v>44236</v>
      </c>
      <c r="G1223" s="2">
        <v>90</v>
      </c>
      <c r="H1223" s="1">
        <v>597.67999999999995</v>
      </c>
      <c r="I1223" t="s">
        <v>2300</v>
      </c>
      <c r="J1223" s="2">
        <v>1</v>
      </c>
      <c r="K1223" t="s">
        <v>13</v>
      </c>
      <c r="L1223" t="s">
        <v>21</v>
      </c>
      <c r="M1223" t="s">
        <v>1165</v>
      </c>
    </row>
    <row r="1224" spans="1:13" x14ac:dyDescent="0.25">
      <c r="A1224" s="5">
        <v>44326</v>
      </c>
      <c r="B1224" s="2">
        <v>0</v>
      </c>
      <c r="C1224" t="s">
        <v>2426</v>
      </c>
      <c r="D1224" t="s">
        <v>1761</v>
      </c>
      <c r="E1224" t="s">
        <v>1762</v>
      </c>
      <c r="F1224" s="3">
        <v>44236</v>
      </c>
      <c r="G1224" s="2">
        <v>90</v>
      </c>
      <c r="H1224" s="1">
        <v>1565.32</v>
      </c>
      <c r="I1224" t="s">
        <v>2266</v>
      </c>
      <c r="J1224" s="2">
        <v>1</v>
      </c>
      <c r="K1224" t="s">
        <v>13</v>
      </c>
      <c r="L1224" t="s">
        <v>21</v>
      </c>
      <c r="M1224" t="s">
        <v>1165</v>
      </c>
    </row>
    <row r="1225" spans="1:13" x14ac:dyDescent="0.25">
      <c r="A1225" s="5">
        <v>44326</v>
      </c>
      <c r="B1225" s="2">
        <v>0</v>
      </c>
      <c r="C1225" t="s">
        <v>2427</v>
      </c>
      <c r="D1225" t="s">
        <v>1761</v>
      </c>
      <c r="E1225" t="s">
        <v>1762</v>
      </c>
      <c r="F1225" s="3">
        <v>44266</v>
      </c>
      <c r="G1225" s="2">
        <v>60</v>
      </c>
      <c r="H1225" s="1">
        <v>1332.6</v>
      </c>
      <c r="I1225" t="s">
        <v>2428</v>
      </c>
      <c r="J1225" s="2">
        <v>1</v>
      </c>
      <c r="K1225" t="s">
        <v>13</v>
      </c>
      <c r="L1225" t="s">
        <v>21</v>
      </c>
      <c r="M1225" t="s">
        <v>1165</v>
      </c>
    </row>
    <row r="1226" spans="1:13" x14ac:dyDescent="0.25">
      <c r="A1226" s="5">
        <v>44326</v>
      </c>
      <c r="B1226" s="2">
        <v>0</v>
      </c>
      <c r="C1226" t="s">
        <v>2431</v>
      </c>
      <c r="D1226" t="s">
        <v>1773</v>
      </c>
      <c r="E1226" t="s">
        <v>1938</v>
      </c>
      <c r="F1226" s="3">
        <v>44246</v>
      </c>
      <c r="G1226" s="2">
        <v>80</v>
      </c>
      <c r="H1226" s="1">
        <v>762.8</v>
      </c>
      <c r="I1226" t="s">
        <v>2302</v>
      </c>
      <c r="J1226" s="2">
        <v>1</v>
      </c>
      <c r="K1226" t="s">
        <v>13</v>
      </c>
      <c r="L1226" t="s">
        <v>21</v>
      </c>
      <c r="M1226" t="s">
        <v>1774</v>
      </c>
    </row>
    <row r="1227" spans="1:13" x14ac:dyDescent="0.25">
      <c r="A1227" s="5">
        <v>44326</v>
      </c>
      <c r="B1227" s="2">
        <v>0</v>
      </c>
      <c r="C1227" t="s">
        <v>2432</v>
      </c>
      <c r="D1227" t="s">
        <v>1773</v>
      </c>
      <c r="E1227" t="s">
        <v>1938</v>
      </c>
      <c r="F1227" s="3">
        <v>44266</v>
      </c>
      <c r="G1227" s="2">
        <v>60</v>
      </c>
      <c r="H1227" s="1">
        <v>1332.6</v>
      </c>
      <c r="I1227" t="s">
        <v>2433</v>
      </c>
      <c r="J1227" s="2">
        <v>1</v>
      </c>
      <c r="K1227" t="s">
        <v>13</v>
      </c>
      <c r="L1227" t="s">
        <v>21</v>
      </c>
      <c r="M1227" t="s">
        <v>1774</v>
      </c>
    </row>
    <row r="1228" spans="1:13" x14ac:dyDescent="0.25">
      <c r="A1228" s="5">
        <v>44326</v>
      </c>
      <c r="B1228" s="2">
        <v>0</v>
      </c>
      <c r="C1228" t="s">
        <v>2434</v>
      </c>
      <c r="D1228" t="s">
        <v>1757</v>
      </c>
      <c r="E1228" t="s">
        <v>1758</v>
      </c>
      <c r="F1228" s="3">
        <v>44215</v>
      </c>
      <c r="G1228" s="2">
        <v>111</v>
      </c>
      <c r="H1228" s="1">
        <v>1074.48</v>
      </c>
      <c r="I1228" t="s">
        <v>2193</v>
      </c>
      <c r="J1228" s="2">
        <v>1</v>
      </c>
      <c r="K1228" t="s">
        <v>13</v>
      </c>
      <c r="L1228" t="s">
        <v>21</v>
      </c>
      <c r="M1228" t="s">
        <v>1165</v>
      </c>
    </row>
    <row r="1229" spans="1:13" x14ac:dyDescent="0.25">
      <c r="A1229" s="5">
        <v>44326</v>
      </c>
      <c r="B1229" s="2">
        <v>0</v>
      </c>
      <c r="C1229" t="s">
        <v>2435</v>
      </c>
      <c r="D1229" t="s">
        <v>1757</v>
      </c>
      <c r="E1229" t="s">
        <v>1758</v>
      </c>
      <c r="F1229" s="3">
        <v>44225</v>
      </c>
      <c r="G1229" s="2">
        <v>101</v>
      </c>
      <c r="H1229" s="1">
        <v>879.84</v>
      </c>
      <c r="I1229" t="s">
        <v>2258</v>
      </c>
      <c r="J1229" s="2">
        <v>1</v>
      </c>
      <c r="K1229" t="s">
        <v>13</v>
      </c>
      <c r="L1229" t="s">
        <v>21</v>
      </c>
      <c r="M1229" t="s">
        <v>1165</v>
      </c>
    </row>
    <row r="1230" spans="1:13" x14ac:dyDescent="0.25">
      <c r="A1230" s="5">
        <v>44326</v>
      </c>
      <c r="B1230" s="2">
        <v>0</v>
      </c>
      <c r="C1230" t="s">
        <v>2436</v>
      </c>
      <c r="D1230" t="s">
        <v>1757</v>
      </c>
      <c r="E1230" t="s">
        <v>1758</v>
      </c>
      <c r="F1230" s="3">
        <v>44235</v>
      </c>
      <c r="G1230" s="2">
        <v>91</v>
      </c>
      <c r="H1230" s="1">
        <v>1741.75</v>
      </c>
      <c r="I1230" t="s">
        <v>2223</v>
      </c>
      <c r="J1230" s="2">
        <v>1</v>
      </c>
      <c r="K1230" t="s">
        <v>13</v>
      </c>
      <c r="L1230" t="s">
        <v>21</v>
      </c>
      <c r="M1230" t="s">
        <v>1165</v>
      </c>
    </row>
    <row r="1231" spans="1:13" x14ac:dyDescent="0.25">
      <c r="A1231" s="5">
        <v>44326</v>
      </c>
      <c r="B1231" s="2">
        <v>0</v>
      </c>
      <c r="C1231" t="s">
        <v>2437</v>
      </c>
      <c r="D1231" t="s">
        <v>2438</v>
      </c>
      <c r="E1231" t="s">
        <v>2439</v>
      </c>
      <c r="F1231" s="3">
        <v>44266</v>
      </c>
      <c r="G1231" s="2">
        <v>60</v>
      </c>
      <c r="H1231" s="1">
        <v>1070.3800000000001</v>
      </c>
      <c r="I1231" t="s">
        <v>2440</v>
      </c>
      <c r="J1231" s="2">
        <v>1</v>
      </c>
      <c r="K1231" t="s">
        <v>13</v>
      </c>
      <c r="L1231" t="s">
        <v>1682</v>
      </c>
      <c r="M1231" t="s">
        <v>704</v>
      </c>
    </row>
    <row r="1232" spans="1:13" x14ac:dyDescent="0.25">
      <c r="A1232" s="5">
        <v>44326</v>
      </c>
      <c r="B1232" s="2">
        <v>0</v>
      </c>
      <c r="C1232" t="s">
        <v>2442</v>
      </c>
      <c r="D1232" t="s">
        <v>2443</v>
      </c>
      <c r="E1232" t="s">
        <v>2444</v>
      </c>
      <c r="F1232" s="3">
        <v>44266</v>
      </c>
      <c r="G1232" s="2">
        <v>60</v>
      </c>
      <c r="H1232" s="1">
        <v>12.36</v>
      </c>
      <c r="I1232" t="s">
        <v>2445</v>
      </c>
      <c r="J1232" s="2">
        <v>1</v>
      </c>
      <c r="K1232" t="s">
        <v>13</v>
      </c>
      <c r="L1232" t="s">
        <v>14</v>
      </c>
      <c r="M1232" t="s">
        <v>15</v>
      </c>
    </row>
    <row r="1233" spans="1:13" x14ac:dyDescent="0.25">
      <c r="A1233" s="5">
        <v>44326</v>
      </c>
      <c r="B1233" s="2">
        <v>0</v>
      </c>
      <c r="C1233" t="s">
        <v>2446</v>
      </c>
      <c r="D1233" t="s">
        <v>1998</v>
      </c>
      <c r="E1233" t="s">
        <v>1999</v>
      </c>
      <c r="F1233" s="3">
        <v>44286</v>
      </c>
      <c r="G1233" s="2">
        <v>40</v>
      </c>
      <c r="H1233" s="1">
        <v>584.97</v>
      </c>
      <c r="I1233" t="s">
        <v>2304</v>
      </c>
      <c r="J1233" s="2">
        <v>1</v>
      </c>
      <c r="K1233" t="s">
        <v>13</v>
      </c>
      <c r="L1233" t="s">
        <v>695</v>
      </c>
      <c r="M1233" t="s">
        <v>15</v>
      </c>
    </row>
    <row r="1234" spans="1:13" x14ac:dyDescent="0.25">
      <c r="A1234" s="5">
        <v>44327</v>
      </c>
      <c r="B1234" s="2">
        <v>0</v>
      </c>
      <c r="C1234" t="s">
        <v>2447</v>
      </c>
      <c r="D1234" t="s">
        <v>1761</v>
      </c>
      <c r="E1234" t="s">
        <v>1762</v>
      </c>
      <c r="F1234" s="3">
        <v>44207</v>
      </c>
      <c r="G1234" s="2">
        <v>120</v>
      </c>
      <c r="H1234" s="1">
        <v>1019.39</v>
      </c>
      <c r="I1234" t="s">
        <v>2170</v>
      </c>
      <c r="J1234" s="2">
        <v>1</v>
      </c>
      <c r="K1234" t="s">
        <v>13</v>
      </c>
      <c r="L1234" t="s">
        <v>21</v>
      </c>
      <c r="M1234" t="s">
        <v>1165</v>
      </c>
    </row>
    <row r="1235" spans="1:13" x14ac:dyDescent="0.25">
      <c r="A1235" s="5">
        <v>44327</v>
      </c>
      <c r="B1235" s="2">
        <v>0</v>
      </c>
      <c r="C1235" t="s">
        <v>2448</v>
      </c>
      <c r="D1235" t="s">
        <v>1761</v>
      </c>
      <c r="E1235" t="s">
        <v>1762</v>
      </c>
      <c r="F1235" s="3">
        <v>44257</v>
      </c>
      <c r="G1235" s="2">
        <v>70</v>
      </c>
      <c r="H1235" s="1">
        <v>720.46</v>
      </c>
      <c r="I1235" t="s">
        <v>2449</v>
      </c>
      <c r="J1235" s="2">
        <v>1</v>
      </c>
      <c r="K1235" t="s">
        <v>13</v>
      </c>
      <c r="L1235" t="s">
        <v>21</v>
      </c>
      <c r="M1235" t="s">
        <v>1165</v>
      </c>
    </row>
    <row r="1236" spans="1:13" x14ac:dyDescent="0.25">
      <c r="A1236" s="5">
        <v>44327</v>
      </c>
      <c r="B1236" s="2">
        <v>0</v>
      </c>
      <c r="C1236" t="s">
        <v>2450</v>
      </c>
      <c r="D1236" t="s">
        <v>1761</v>
      </c>
      <c r="E1236" t="s">
        <v>1762</v>
      </c>
      <c r="F1236" s="3">
        <v>44257</v>
      </c>
      <c r="G1236" s="2">
        <v>70</v>
      </c>
      <c r="H1236" s="1">
        <v>2410.56</v>
      </c>
      <c r="I1236" t="s">
        <v>2451</v>
      </c>
      <c r="J1236" s="2">
        <v>1</v>
      </c>
      <c r="K1236" t="s">
        <v>13</v>
      </c>
      <c r="L1236" t="s">
        <v>21</v>
      </c>
      <c r="M1236" t="s">
        <v>1165</v>
      </c>
    </row>
    <row r="1237" spans="1:13" x14ac:dyDescent="0.25">
      <c r="A1237" s="5">
        <v>44327</v>
      </c>
      <c r="B1237" s="2">
        <v>0</v>
      </c>
      <c r="C1237" t="s">
        <v>2452</v>
      </c>
      <c r="D1237" t="s">
        <v>1773</v>
      </c>
      <c r="E1237" t="s">
        <v>1938</v>
      </c>
      <c r="F1237" s="3">
        <v>44217</v>
      </c>
      <c r="G1237" s="2">
        <v>110</v>
      </c>
      <c r="H1237" s="1">
        <v>897.85</v>
      </c>
      <c r="I1237" t="s">
        <v>2192</v>
      </c>
      <c r="J1237" s="2">
        <v>1</v>
      </c>
      <c r="K1237" t="s">
        <v>13</v>
      </c>
      <c r="L1237" t="s">
        <v>21</v>
      </c>
      <c r="M1237" t="s">
        <v>1774</v>
      </c>
    </row>
    <row r="1238" spans="1:13" x14ac:dyDescent="0.25">
      <c r="A1238" s="5">
        <v>44327</v>
      </c>
      <c r="B1238" s="2">
        <v>0</v>
      </c>
      <c r="C1238" t="s">
        <v>2453</v>
      </c>
      <c r="D1238" t="s">
        <v>1773</v>
      </c>
      <c r="E1238" t="s">
        <v>1938</v>
      </c>
      <c r="F1238" s="3">
        <v>44257</v>
      </c>
      <c r="G1238" s="2">
        <v>70</v>
      </c>
      <c r="H1238" s="1">
        <v>720.46</v>
      </c>
      <c r="I1238" t="s">
        <v>2454</v>
      </c>
      <c r="J1238" s="2">
        <v>1</v>
      </c>
      <c r="K1238" t="s">
        <v>13</v>
      </c>
      <c r="L1238" t="s">
        <v>21</v>
      </c>
      <c r="M1238" t="s">
        <v>1774</v>
      </c>
    </row>
    <row r="1239" spans="1:13" x14ac:dyDescent="0.25">
      <c r="A1239" s="5">
        <v>44327</v>
      </c>
      <c r="B1239" s="2">
        <v>0</v>
      </c>
      <c r="C1239" t="s">
        <v>2455</v>
      </c>
      <c r="D1239" t="s">
        <v>1773</v>
      </c>
      <c r="E1239" t="s">
        <v>1938</v>
      </c>
      <c r="F1239" s="3">
        <v>44257</v>
      </c>
      <c r="G1239" s="2">
        <v>70</v>
      </c>
      <c r="H1239" s="1">
        <v>2191.29</v>
      </c>
      <c r="I1239" t="s">
        <v>2456</v>
      </c>
      <c r="J1239" s="2">
        <v>1</v>
      </c>
      <c r="K1239" t="s">
        <v>13</v>
      </c>
      <c r="L1239" t="s">
        <v>21</v>
      </c>
      <c r="M1239" t="s">
        <v>1774</v>
      </c>
    </row>
    <row r="1240" spans="1:13" x14ac:dyDescent="0.25">
      <c r="A1240" s="5">
        <v>44327</v>
      </c>
      <c r="B1240" s="2">
        <v>0</v>
      </c>
      <c r="C1240" t="s">
        <v>2457</v>
      </c>
      <c r="D1240" t="s">
        <v>1757</v>
      </c>
      <c r="E1240" t="s">
        <v>1758</v>
      </c>
      <c r="F1240" s="3">
        <v>44257</v>
      </c>
      <c r="G1240" s="2">
        <v>70</v>
      </c>
      <c r="H1240" s="1">
        <v>720.46</v>
      </c>
      <c r="I1240" t="s">
        <v>2458</v>
      </c>
      <c r="J1240" s="2">
        <v>1</v>
      </c>
      <c r="K1240" t="s">
        <v>13</v>
      </c>
      <c r="L1240" t="s">
        <v>21</v>
      </c>
      <c r="M1240" t="s">
        <v>1165</v>
      </c>
    </row>
    <row r="1241" spans="1:13" x14ac:dyDescent="0.25">
      <c r="A1241" s="5">
        <v>44327</v>
      </c>
      <c r="B1241" s="2">
        <v>0</v>
      </c>
      <c r="C1241" t="s">
        <v>2459</v>
      </c>
      <c r="D1241" t="s">
        <v>1757</v>
      </c>
      <c r="E1241" t="s">
        <v>1758</v>
      </c>
      <c r="F1241" s="3">
        <v>44257</v>
      </c>
      <c r="G1241" s="2">
        <v>70</v>
      </c>
      <c r="H1241" s="1">
        <v>534.16999999999996</v>
      </c>
      <c r="I1241" t="s">
        <v>2329</v>
      </c>
      <c r="J1241" s="2">
        <v>1</v>
      </c>
      <c r="K1241" t="s">
        <v>13</v>
      </c>
      <c r="L1241" t="s">
        <v>21</v>
      </c>
      <c r="M1241" t="s">
        <v>1165</v>
      </c>
    </row>
    <row r="1242" spans="1:13" x14ac:dyDescent="0.25">
      <c r="A1242" s="5">
        <v>44327</v>
      </c>
      <c r="B1242" s="2">
        <v>0</v>
      </c>
      <c r="C1242" t="s">
        <v>2460</v>
      </c>
      <c r="D1242" t="s">
        <v>1757</v>
      </c>
      <c r="E1242" t="s">
        <v>1758</v>
      </c>
      <c r="F1242" s="3">
        <v>44257</v>
      </c>
      <c r="G1242" s="2">
        <v>70</v>
      </c>
      <c r="H1242" s="1">
        <v>1565.97</v>
      </c>
      <c r="I1242" t="s">
        <v>2331</v>
      </c>
      <c r="J1242" s="2">
        <v>1</v>
      </c>
      <c r="K1242" t="s">
        <v>13</v>
      </c>
      <c r="L1242" t="s">
        <v>21</v>
      </c>
      <c r="M1242" t="s">
        <v>1165</v>
      </c>
    </row>
    <row r="1243" spans="1:13" x14ac:dyDescent="0.25">
      <c r="A1243" s="5">
        <v>44327</v>
      </c>
      <c r="B1243" s="2">
        <v>0</v>
      </c>
      <c r="C1243" t="s">
        <v>2461</v>
      </c>
      <c r="D1243" t="s">
        <v>1748</v>
      </c>
      <c r="E1243" t="s">
        <v>1840</v>
      </c>
      <c r="F1243" s="3">
        <v>44277</v>
      </c>
      <c r="G1243" s="2">
        <v>50</v>
      </c>
      <c r="H1243" s="1">
        <v>302.42</v>
      </c>
      <c r="I1243" t="s">
        <v>2309</v>
      </c>
      <c r="J1243" s="2">
        <v>1</v>
      </c>
      <c r="K1243" t="s">
        <v>13</v>
      </c>
      <c r="L1243" t="s">
        <v>1682</v>
      </c>
      <c r="M1243" t="s">
        <v>15</v>
      </c>
    </row>
    <row r="1244" spans="1:13" x14ac:dyDescent="0.25">
      <c r="A1244" s="5">
        <v>44327</v>
      </c>
      <c r="B1244" s="2">
        <v>0</v>
      </c>
      <c r="C1244" t="s">
        <v>2462</v>
      </c>
      <c r="D1244" t="s">
        <v>2232</v>
      </c>
      <c r="E1244" t="s">
        <v>2233</v>
      </c>
      <c r="F1244" s="3">
        <v>44267</v>
      </c>
      <c r="G1244" s="2">
        <v>60</v>
      </c>
      <c r="H1244" s="1">
        <v>309.52999999999997</v>
      </c>
      <c r="I1244" t="s">
        <v>2463</v>
      </c>
      <c r="J1244" s="2">
        <v>1</v>
      </c>
      <c r="K1244" t="s">
        <v>13</v>
      </c>
      <c r="L1244" t="s">
        <v>2126</v>
      </c>
      <c r="M1244" t="s">
        <v>27</v>
      </c>
    </row>
    <row r="1245" spans="1:13" x14ac:dyDescent="0.25">
      <c r="A1245" s="5">
        <v>44328</v>
      </c>
      <c r="B1245" s="2">
        <v>0</v>
      </c>
      <c r="C1245" t="s">
        <v>2466</v>
      </c>
      <c r="D1245" t="s">
        <v>1761</v>
      </c>
      <c r="E1245" t="s">
        <v>1762</v>
      </c>
      <c r="F1245" s="3">
        <v>44228</v>
      </c>
      <c r="G1245" s="2">
        <v>100</v>
      </c>
      <c r="H1245" s="1">
        <v>1778.34</v>
      </c>
      <c r="I1245" t="s">
        <v>2238</v>
      </c>
      <c r="J1245" s="2">
        <v>1</v>
      </c>
      <c r="K1245" t="s">
        <v>13</v>
      </c>
      <c r="L1245" t="s">
        <v>21</v>
      </c>
      <c r="M1245" t="s">
        <v>1165</v>
      </c>
    </row>
    <row r="1246" spans="1:13" x14ac:dyDescent="0.25">
      <c r="A1246" s="5">
        <v>44328</v>
      </c>
      <c r="B1246" s="2">
        <v>0</v>
      </c>
      <c r="C1246" t="s">
        <v>2467</v>
      </c>
      <c r="D1246" t="s">
        <v>1761</v>
      </c>
      <c r="E1246" t="s">
        <v>1762</v>
      </c>
      <c r="F1246" s="3">
        <v>44258</v>
      </c>
      <c r="G1246" s="2">
        <v>70</v>
      </c>
      <c r="H1246" s="1">
        <v>701.9</v>
      </c>
      <c r="I1246" t="s">
        <v>2468</v>
      </c>
      <c r="J1246" s="2">
        <v>1</v>
      </c>
      <c r="K1246" t="s">
        <v>13</v>
      </c>
      <c r="L1246" t="s">
        <v>21</v>
      </c>
      <c r="M1246" t="s">
        <v>1165</v>
      </c>
    </row>
    <row r="1247" spans="1:13" x14ac:dyDescent="0.25">
      <c r="A1247" s="5">
        <v>44328</v>
      </c>
      <c r="B1247" s="2">
        <v>0</v>
      </c>
      <c r="C1247" t="s">
        <v>2469</v>
      </c>
      <c r="D1247" t="s">
        <v>1773</v>
      </c>
      <c r="E1247" t="s">
        <v>1938</v>
      </c>
      <c r="F1247" s="3">
        <v>44238</v>
      </c>
      <c r="G1247" s="2">
        <v>90</v>
      </c>
      <c r="H1247" s="1">
        <v>679.63</v>
      </c>
      <c r="I1247" t="s">
        <v>2268</v>
      </c>
      <c r="J1247" s="2">
        <v>1</v>
      </c>
      <c r="K1247" t="s">
        <v>13</v>
      </c>
      <c r="L1247" t="s">
        <v>21</v>
      </c>
      <c r="M1247" t="s">
        <v>1774</v>
      </c>
    </row>
    <row r="1248" spans="1:13" x14ac:dyDescent="0.25">
      <c r="A1248" s="5">
        <v>44328</v>
      </c>
      <c r="B1248" s="2">
        <v>0</v>
      </c>
      <c r="C1248" t="s">
        <v>2470</v>
      </c>
      <c r="D1248" t="s">
        <v>1757</v>
      </c>
      <c r="E1248" t="s">
        <v>1758</v>
      </c>
      <c r="F1248" s="3">
        <v>44223</v>
      </c>
      <c r="G1248" s="2">
        <v>105</v>
      </c>
      <c r="H1248" s="1">
        <v>973.09</v>
      </c>
      <c r="I1248" t="s">
        <v>2252</v>
      </c>
      <c r="J1248" s="2">
        <v>1</v>
      </c>
      <c r="K1248" t="s">
        <v>13</v>
      </c>
      <c r="L1248" t="s">
        <v>21</v>
      </c>
      <c r="M1248" t="s">
        <v>1165</v>
      </c>
    </row>
    <row r="1249" spans="1:13" x14ac:dyDescent="0.25">
      <c r="A1249" s="5">
        <v>44328</v>
      </c>
      <c r="B1249" s="2">
        <v>0</v>
      </c>
      <c r="C1249" t="s">
        <v>2471</v>
      </c>
      <c r="D1249" t="s">
        <v>1757</v>
      </c>
      <c r="E1249" t="s">
        <v>1758</v>
      </c>
      <c r="F1249" s="3">
        <v>44228</v>
      </c>
      <c r="G1249" s="2">
        <v>100</v>
      </c>
      <c r="H1249" s="1">
        <v>1060.49</v>
      </c>
      <c r="I1249" t="s">
        <v>2239</v>
      </c>
      <c r="J1249" s="2">
        <v>1</v>
      </c>
      <c r="K1249" t="s">
        <v>13</v>
      </c>
      <c r="L1249" t="s">
        <v>21</v>
      </c>
      <c r="M1249" t="s">
        <v>1165</v>
      </c>
    </row>
    <row r="1250" spans="1:13" x14ac:dyDescent="0.25">
      <c r="A1250" s="5">
        <v>44328</v>
      </c>
      <c r="B1250" s="2">
        <v>0</v>
      </c>
      <c r="C1250" t="s">
        <v>2472</v>
      </c>
      <c r="D1250" t="s">
        <v>1757</v>
      </c>
      <c r="E1250" t="s">
        <v>1758</v>
      </c>
      <c r="F1250" s="3">
        <v>44253</v>
      </c>
      <c r="G1250" s="2">
        <v>75</v>
      </c>
      <c r="H1250" s="1">
        <v>727.94</v>
      </c>
      <c r="I1250" t="s">
        <v>2473</v>
      </c>
      <c r="J1250" s="2">
        <v>1</v>
      </c>
      <c r="K1250" t="s">
        <v>13</v>
      </c>
      <c r="L1250" t="s">
        <v>21</v>
      </c>
      <c r="M1250" t="s">
        <v>1165</v>
      </c>
    </row>
    <row r="1251" spans="1:13" x14ac:dyDescent="0.25">
      <c r="A1251" s="5">
        <v>44328</v>
      </c>
      <c r="B1251" s="2">
        <v>0</v>
      </c>
      <c r="C1251" t="s">
        <v>2474</v>
      </c>
      <c r="D1251" t="s">
        <v>1757</v>
      </c>
      <c r="E1251" t="s">
        <v>1758</v>
      </c>
      <c r="F1251" s="3">
        <v>44258</v>
      </c>
      <c r="G1251" s="2">
        <v>70</v>
      </c>
      <c r="H1251" s="1">
        <v>490.15</v>
      </c>
      <c r="I1251" t="s">
        <v>2475</v>
      </c>
      <c r="J1251" s="2">
        <v>1</v>
      </c>
      <c r="K1251" t="s">
        <v>13</v>
      </c>
      <c r="L1251" t="s">
        <v>21</v>
      </c>
      <c r="M1251" t="s">
        <v>1165</v>
      </c>
    </row>
    <row r="1252" spans="1:13" x14ac:dyDescent="0.25">
      <c r="A1252" s="5">
        <v>44328</v>
      </c>
      <c r="B1252" s="2">
        <v>0</v>
      </c>
      <c r="C1252" t="s">
        <v>2476</v>
      </c>
      <c r="D1252" t="s">
        <v>2260</v>
      </c>
      <c r="E1252" t="s">
        <v>2261</v>
      </c>
      <c r="F1252" s="3">
        <v>44293</v>
      </c>
      <c r="G1252" s="2">
        <v>35</v>
      </c>
      <c r="H1252" s="1">
        <v>262.43</v>
      </c>
      <c r="I1252" t="s">
        <v>2336</v>
      </c>
      <c r="J1252" s="2">
        <v>1</v>
      </c>
      <c r="K1252" t="s">
        <v>13</v>
      </c>
      <c r="L1252" t="s">
        <v>1682</v>
      </c>
      <c r="M1252" t="s">
        <v>22</v>
      </c>
    </row>
    <row r="1253" spans="1:13" x14ac:dyDescent="0.25">
      <c r="A1253" s="5">
        <v>44329</v>
      </c>
      <c r="B1253" s="2">
        <v>0</v>
      </c>
      <c r="C1253" t="s">
        <v>2477</v>
      </c>
      <c r="D1253" t="s">
        <v>2478</v>
      </c>
      <c r="E1253" t="s">
        <v>2479</v>
      </c>
      <c r="F1253" s="3">
        <v>44299</v>
      </c>
      <c r="G1253" s="2">
        <v>30</v>
      </c>
      <c r="H1253" s="1">
        <v>347.72</v>
      </c>
      <c r="I1253" t="s">
        <v>2480</v>
      </c>
      <c r="J1253" s="2">
        <v>1</v>
      </c>
      <c r="K1253" t="s">
        <v>13</v>
      </c>
      <c r="L1253" t="s">
        <v>671</v>
      </c>
      <c r="M1253" t="s">
        <v>15</v>
      </c>
    </row>
    <row r="1254" spans="1:13" x14ac:dyDescent="0.25">
      <c r="A1254" s="5">
        <v>44329</v>
      </c>
      <c r="B1254" s="2">
        <v>0</v>
      </c>
      <c r="C1254" t="s">
        <v>2481</v>
      </c>
      <c r="D1254" t="s">
        <v>1761</v>
      </c>
      <c r="E1254" t="s">
        <v>1762</v>
      </c>
      <c r="F1254" s="3">
        <v>44249</v>
      </c>
      <c r="G1254" s="2">
        <v>80</v>
      </c>
      <c r="H1254" s="1">
        <v>1011.3</v>
      </c>
      <c r="I1254" t="s">
        <v>2313</v>
      </c>
      <c r="J1254" s="2">
        <v>1</v>
      </c>
      <c r="K1254" t="s">
        <v>13</v>
      </c>
      <c r="L1254" t="s">
        <v>21</v>
      </c>
      <c r="M1254" t="s">
        <v>1165</v>
      </c>
    </row>
    <row r="1255" spans="1:13" x14ac:dyDescent="0.25">
      <c r="A1255" s="5">
        <v>44329</v>
      </c>
      <c r="B1255" s="2">
        <v>0</v>
      </c>
      <c r="C1255" t="s">
        <v>2482</v>
      </c>
      <c r="D1255" t="s">
        <v>1761</v>
      </c>
      <c r="E1255" t="s">
        <v>1762</v>
      </c>
      <c r="F1255" s="3">
        <v>44254</v>
      </c>
      <c r="G1255" s="2">
        <v>75</v>
      </c>
      <c r="H1255" s="1">
        <v>513.6</v>
      </c>
      <c r="I1255" t="s">
        <v>2483</v>
      </c>
      <c r="J1255" s="2">
        <v>1</v>
      </c>
      <c r="K1255" t="s">
        <v>13</v>
      </c>
      <c r="L1255" t="s">
        <v>21</v>
      </c>
      <c r="M1255" t="s">
        <v>1165</v>
      </c>
    </row>
    <row r="1256" spans="1:13" x14ac:dyDescent="0.25">
      <c r="A1256" s="5">
        <v>44329</v>
      </c>
      <c r="B1256" s="2">
        <v>0</v>
      </c>
      <c r="C1256" t="s">
        <v>2484</v>
      </c>
      <c r="D1256" t="s">
        <v>2112</v>
      </c>
      <c r="E1256" t="s">
        <v>2204</v>
      </c>
      <c r="F1256" s="3">
        <v>44254</v>
      </c>
      <c r="G1256" s="2">
        <v>75</v>
      </c>
      <c r="H1256" s="1">
        <v>3538.53</v>
      </c>
      <c r="I1256" t="s">
        <v>2485</v>
      </c>
      <c r="J1256" s="2">
        <v>1</v>
      </c>
      <c r="K1256" t="s">
        <v>13</v>
      </c>
      <c r="L1256" t="s">
        <v>830</v>
      </c>
      <c r="M1256" t="s">
        <v>1213</v>
      </c>
    </row>
    <row r="1257" spans="1:13" x14ac:dyDescent="0.25">
      <c r="A1257" s="5">
        <v>44329</v>
      </c>
      <c r="B1257" s="2">
        <v>0</v>
      </c>
      <c r="C1257" t="s">
        <v>2486</v>
      </c>
      <c r="D1257" t="s">
        <v>1773</v>
      </c>
      <c r="E1257" t="s">
        <v>1938</v>
      </c>
      <c r="F1257" s="3">
        <v>44254</v>
      </c>
      <c r="G1257" s="2">
        <v>75</v>
      </c>
      <c r="H1257" s="1">
        <v>469.87</v>
      </c>
      <c r="I1257" t="s">
        <v>2487</v>
      </c>
      <c r="J1257" s="2">
        <v>1</v>
      </c>
      <c r="K1257" t="s">
        <v>13</v>
      </c>
      <c r="L1257" t="s">
        <v>21</v>
      </c>
      <c r="M1257" t="s">
        <v>1774</v>
      </c>
    </row>
    <row r="1258" spans="1:13" x14ac:dyDescent="0.25">
      <c r="A1258" s="5">
        <v>44329</v>
      </c>
      <c r="B1258" s="2">
        <v>0</v>
      </c>
      <c r="C1258" t="s">
        <v>2488</v>
      </c>
      <c r="D1258" t="s">
        <v>1757</v>
      </c>
      <c r="E1258" t="s">
        <v>1758</v>
      </c>
      <c r="F1258" s="3">
        <v>44259</v>
      </c>
      <c r="G1258" s="2">
        <v>70</v>
      </c>
      <c r="H1258" s="1">
        <v>1244.33</v>
      </c>
      <c r="I1258" t="s">
        <v>2489</v>
      </c>
      <c r="J1258" s="2">
        <v>1</v>
      </c>
      <c r="K1258" t="s">
        <v>13</v>
      </c>
      <c r="L1258" t="s">
        <v>21</v>
      </c>
      <c r="M1258" t="s">
        <v>1165</v>
      </c>
    </row>
    <row r="1259" spans="1:13" x14ac:dyDescent="0.25">
      <c r="A1259" s="5">
        <v>44329</v>
      </c>
      <c r="B1259" s="2">
        <v>0</v>
      </c>
      <c r="C1259" t="s">
        <v>2490</v>
      </c>
      <c r="D1259" t="s">
        <v>2232</v>
      </c>
      <c r="E1259" t="s">
        <v>2233</v>
      </c>
      <c r="F1259" s="3">
        <v>44264</v>
      </c>
      <c r="G1259" s="2">
        <v>65</v>
      </c>
      <c r="H1259" s="1">
        <v>851.17</v>
      </c>
      <c r="I1259" t="s">
        <v>2276</v>
      </c>
      <c r="J1259" s="2">
        <v>1</v>
      </c>
      <c r="K1259" t="s">
        <v>13</v>
      </c>
      <c r="L1259" t="s">
        <v>2126</v>
      </c>
      <c r="M1259" t="s">
        <v>27</v>
      </c>
    </row>
    <row r="1260" spans="1:13" x14ac:dyDescent="0.25">
      <c r="A1260" s="5">
        <v>44329</v>
      </c>
      <c r="B1260" s="2">
        <v>0</v>
      </c>
      <c r="C1260" t="s">
        <v>2491</v>
      </c>
      <c r="D1260" t="s">
        <v>2228</v>
      </c>
      <c r="E1260" t="s">
        <v>2229</v>
      </c>
      <c r="F1260" s="3">
        <v>44279</v>
      </c>
      <c r="G1260" s="2">
        <v>50</v>
      </c>
      <c r="H1260" s="1">
        <v>546.45000000000005</v>
      </c>
      <c r="I1260" t="s">
        <v>2492</v>
      </c>
      <c r="J1260" s="2">
        <v>1</v>
      </c>
      <c r="K1260" t="s">
        <v>13</v>
      </c>
      <c r="L1260" t="s">
        <v>21</v>
      </c>
      <c r="M1260" t="s">
        <v>308</v>
      </c>
    </row>
    <row r="1261" spans="1:13" x14ac:dyDescent="0.25">
      <c r="A1261" s="5">
        <v>44330</v>
      </c>
      <c r="B1261" s="2">
        <v>0</v>
      </c>
      <c r="C1261" t="s">
        <v>2494</v>
      </c>
      <c r="D1261" t="s">
        <v>1761</v>
      </c>
      <c r="E1261" t="s">
        <v>1762</v>
      </c>
      <c r="F1261" s="3">
        <v>44260</v>
      </c>
      <c r="G1261" s="2">
        <v>70</v>
      </c>
      <c r="H1261" s="1">
        <v>438.35</v>
      </c>
      <c r="I1261" t="s">
        <v>2495</v>
      </c>
      <c r="J1261" s="2">
        <v>1</v>
      </c>
      <c r="K1261" t="s">
        <v>13</v>
      </c>
      <c r="L1261" t="s">
        <v>21</v>
      </c>
      <c r="M1261" t="s">
        <v>1165</v>
      </c>
    </row>
    <row r="1262" spans="1:13" x14ac:dyDescent="0.25">
      <c r="A1262" s="5">
        <v>44330</v>
      </c>
      <c r="B1262" s="2">
        <v>0</v>
      </c>
      <c r="C1262" t="s">
        <v>2498</v>
      </c>
      <c r="D1262" t="s">
        <v>1773</v>
      </c>
      <c r="E1262" t="s">
        <v>1938</v>
      </c>
      <c r="F1262" s="3">
        <v>44230</v>
      </c>
      <c r="G1262" s="2">
        <v>100</v>
      </c>
      <c r="H1262" s="1">
        <v>1140.3499999999999</v>
      </c>
      <c r="I1262" t="s">
        <v>2248</v>
      </c>
      <c r="J1262" s="2">
        <v>1</v>
      </c>
      <c r="K1262" t="s">
        <v>13</v>
      </c>
      <c r="L1262" t="s">
        <v>21</v>
      </c>
      <c r="M1262" t="s">
        <v>1774</v>
      </c>
    </row>
    <row r="1263" spans="1:13" x14ac:dyDescent="0.25">
      <c r="A1263" s="5">
        <v>44330</v>
      </c>
      <c r="B1263" s="2">
        <v>0</v>
      </c>
      <c r="C1263" t="s">
        <v>2499</v>
      </c>
      <c r="D1263" t="s">
        <v>1773</v>
      </c>
      <c r="E1263" t="s">
        <v>1938</v>
      </c>
      <c r="F1263" s="3">
        <v>44260</v>
      </c>
      <c r="G1263" s="2">
        <v>70</v>
      </c>
      <c r="H1263" s="1">
        <v>438.35</v>
      </c>
      <c r="I1263" t="s">
        <v>2500</v>
      </c>
      <c r="J1263" s="2">
        <v>1</v>
      </c>
      <c r="K1263" t="s">
        <v>13</v>
      </c>
      <c r="L1263" t="s">
        <v>21</v>
      </c>
      <c r="M1263" t="s">
        <v>1774</v>
      </c>
    </row>
    <row r="1264" spans="1:13" x14ac:dyDescent="0.25">
      <c r="A1264" s="5">
        <v>44330</v>
      </c>
      <c r="B1264" s="2">
        <v>0</v>
      </c>
      <c r="C1264" t="s">
        <v>2501</v>
      </c>
      <c r="D1264" t="s">
        <v>1757</v>
      </c>
      <c r="E1264" t="s">
        <v>1758</v>
      </c>
      <c r="F1264" s="3">
        <v>44260</v>
      </c>
      <c r="G1264" s="2">
        <v>70</v>
      </c>
      <c r="H1264" s="1">
        <v>438.35</v>
      </c>
      <c r="I1264" t="s">
        <v>2502</v>
      </c>
      <c r="J1264" s="2">
        <v>1</v>
      </c>
      <c r="K1264" t="s">
        <v>13</v>
      </c>
      <c r="L1264" t="s">
        <v>21</v>
      </c>
      <c r="M1264" t="s">
        <v>1165</v>
      </c>
    </row>
    <row r="1265" spans="1:13" x14ac:dyDescent="0.25">
      <c r="A1265" s="5">
        <v>44330</v>
      </c>
      <c r="B1265" s="2">
        <v>0</v>
      </c>
      <c r="C1265" t="s">
        <v>2503</v>
      </c>
      <c r="D1265" t="s">
        <v>2306</v>
      </c>
      <c r="E1265" t="s">
        <v>2307</v>
      </c>
      <c r="F1265" s="3">
        <v>44319</v>
      </c>
      <c r="G1265" s="2">
        <v>11</v>
      </c>
      <c r="H1265" s="1">
        <v>462.63</v>
      </c>
      <c r="I1265" t="s">
        <v>2504</v>
      </c>
      <c r="J1265" s="2">
        <v>1</v>
      </c>
      <c r="K1265" t="s">
        <v>13</v>
      </c>
      <c r="L1265" t="s">
        <v>1682</v>
      </c>
      <c r="M1265" t="s">
        <v>15</v>
      </c>
    </row>
    <row r="1266" spans="1:13" x14ac:dyDescent="0.25">
      <c r="A1266" s="5">
        <v>44331</v>
      </c>
      <c r="B1266" s="2">
        <v>0</v>
      </c>
      <c r="C1266" t="s">
        <v>2508</v>
      </c>
      <c r="D1266" t="s">
        <v>1773</v>
      </c>
      <c r="E1266" t="s">
        <v>1938</v>
      </c>
      <c r="F1266" s="3">
        <v>44271</v>
      </c>
      <c r="G1266" s="2">
        <v>60</v>
      </c>
      <c r="H1266" s="1">
        <v>328.4</v>
      </c>
      <c r="I1266" t="s">
        <v>2509</v>
      </c>
      <c r="J1266" s="2">
        <v>1</v>
      </c>
      <c r="K1266" t="s">
        <v>13</v>
      </c>
      <c r="L1266" t="s">
        <v>21</v>
      </c>
      <c r="M1266" t="s">
        <v>1774</v>
      </c>
    </row>
    <row r="1267" spans="1:13" x14ac:dyDescent="0.25">
      <c r="A1267" s="5">
        <v>44331</v>
      </c>
      <c r="B1267" s="2">
        <v>0</v>
      </c>
      <c r="C1267" t="s">
        <v>2510</v>
      </c>
      <c r="D1267" t="s">
        <v>1757</v>
      </c>
      <c r="E1267" t="s">
        <v>1758</v>
      </c>
      <c r="F1267" s="3">
        <v>44266</v>
      </c>
      <c r="G1267" s="2">
        <v>65</v>
      </c>
      <c r="H1267" s="1">
        <v>1332.6</v>
      </c>
      <c r="I1267" t="s">
        <v>2511</v>
      </c>
      <c r="J1267" s="2">
        <v>1</v>
      </c>
      <c r="K1267" t="s">
        <v>13</v>
      </c>
      <c r="L1267" t="s">
        <v>21</v>
      </c>
      <c r="M1267" t="s">
        <v>1165</v>
      </c>
    </row>
    <row r="1268" spans="1:13" x14ac:dyDescent="0.25">
      <c r="A1268" s="5">
        <v>44331</v>
      </c>
      <c r="B1268" s="2">
        <v>0</v>
      </c>
      <c r="C1268" t="s">
        <v>2512</v>
      </c>
      <c r="D1268" t="s">
        <v>2306</v>
      </c>
      <c r="E1268" t="s">
        <v>2307</v>
      </c>
      <c r="F1268" s="3">
        <v>44313</v>
      </c>
      <c r="G1268" s="2">
        <v>18</v>
      </c>
      <c r="H1268" s="1">
        <v>299.82</v>
      </c>
      <c r="I1268" t="s">
        <v>2513</v>
      </c>
      <c r="J1268" s="2">
        <v>1</v>
      </c>
      <c r="K1268" t="s">
        <v>13</v>
      </c>
      <c r="L1268" t="s">
        <v>1682</v>
      </c>
      <c r="M1268" t="s">
        <v>15</v>
      </c>
    </row>
    <row r="1269" spans="1:13" x14ac:dyDescent="0.25">
      <c r="A1269" s="5">
        <v>44332</v>
      </c>
      <c r="B1269" s="2">
        <v>0</v>
      </c>
      <c r="C1269" t="s">
        <v>2523</v>
      </c>
      <c r="D1269" t="s">
        <v>1761</v>
      </c>
      <c r="E1269" t="s">
        <v>1762</v>
      </c>
      <c r="F1269" s="3">
        <v>44257</v>
      </c>
      <c r="G1269" s="2">
        <v>75</v>
      </c>
      <c r="H1269" s="1">
        <v>534.16999999999996</v>
      </c>
      <c r="I1269" t="s">
        <v>2377</v>
      </c>
      <c r="J1269" s="2">
        <v>1</v>
      </c>
      <c r="K1269" t="s">
        <v>13</v>
      </c>
      <c r="L1269" t="s">
        <v>21</v>
      </c>
      <c r="M1269" t="s">
        <v>1165</v>
      </c>
    </row>
    <row r="1270" spans="1:13" x14ac:dyDescent="0.25">
      <c r="A1270" s="5">
        <v>44332</v>
      </c>
      <c r="B1270" s="2">
        <v>0</v>
      </c>
      <c r="C1270" t="s">
        <v>2524</v>
      </c>
      <c r="D1270" t="s">
        <v>1773</v>
      </c>
      <c r="E1270" t="s">
        <v>1938</v>
      </c>
      <c r="F1270" s="3">
        <v>44257</v>
      </c>
      <c r="G1270" s="2">
        <v>75</v>
      </c>
      <c r="H1270" s="1">
        <v>800</v>
      </c>
      <c r="I1270" t="s">
        <v>2381</v>
      </c>
      <c r="J1270" s="2">
        <v>1</v>
      </c>
      <c r="K1270" t="s">
        <v>13</v>
      </c>
      <c r="L1270" t="s">
        <v>21</v>
      </c>
      <c r="M1270" t="s">
        <v>1774</v>
      </c>
    </row>
    <row r="1271" spans="1:13" x14ac:dyDescent="0.25">
      <c r="A1271" s="5">
        <v>44332</v>
      </c>
      <c r="B1271" s="2">
        <v>0</v>
      </c>
      <c r="C1271" t="s">
        <v>2525</v>
      </c>
      <c r="D1271" t="s">
        <v>1757</v>
      </c>
      <c r="E1271" t="s">
        <v>1758</v>
      </c>
      <c r="F1271" s="3">
        <v>44252</v>
      </c>
      <c r="G1271" s="2">
        <v>80</v>
      </c>
      <c r="H1271" s="1">
        <v>1018.42</v>
      </c>
      <c r="I1271" t="s">
        <v>2319</v>
      </c>
      <c r="J1271" s="2">
        <v>1</v>
      </c>
      <c r="K1271" t="s">
        <v>13</v>
      </c>
      <c r="L1271" t="s">
        <v>21</v>
      </c>
      <c r="M1271" t="s">
        <v>1165</v>
      </c>
    </row>
    <row r="1272" spans="1:13" x14ac:dyDescent="0.25">
      <c r="A1272" s="5">
        <v>44332</v>
      </c>
      <c r="B1272" s="2">
        <v>0</v>
      </c>
      <c r="C1272" t="s">
        <v>2526</v>
      </c>
      <c r="D1272" t="s">
        <v>1757</v>
      </c>
      <c r="E1272" t="s">
        <v>1758</v>
      </c>
      <c r="F1272" s="3">
        <v>44272</v>
      </c>
      <c r="G1272" s="2">
        <v>60</v>
      </c>
      <c r="H1272" s="1">
        <v>989.18</v>
      </c>
      <c r="I1272" t="s">
        <v>2527</v>
      </c>
      <c r="J1272" s="2">
        <v>1</v>
      </c>
      <c r="K1272" t="s">
        <v>13</v>
      </c>
      <c r="L1272" t="s">
        <v>21</v>
      </c>
      <c r="M1272" t="s">
        <v>1165</v>
      </c>
    </row>
    <row r="1273" spans="1:13" x14ac:dyDescent="0.25">
      <c r="A1273" s="5">
        <v>44332</v>
      </c>
      <c r="B1273" s="2">
        <v>0</v>
      </c>
      <c r="C1273" t="s">
        <v>2528</v>
      </c>
      <c r="D1273" t="s">
        <v>1998</v>
      </c>
      <c r="E1273" t="s">
        <v>1999</v>
      </c>
      <c r="F1273" s="3">
        <v>44287</v>
      </c>
      <c r="G1273" s="2">
        <v>45</v>
      </c>
      <c r="H1273" s="1">
        <v>362.33</v>
      </c>
      <c r="I1273" t="s">
        <v>2387</v>
      </c>
      <c r="J1273" s="2">
        <v>1</v>
      </c>
      <c r="K1273" t="s">
        <v>13</v>
      </c>
      <c r="L1273" t="s">
        <v>695</v>
      </c>
      <c r="M1273" t="s">
        <v>15</v>
      </c>
    </row>
    <row r="1274" spans="1:13" x14ac:dyDescent="0.25">
      <c r="A1274" s="5">
        <v>44333</v>
      </c>
      <c r="B1274" s="2">
        <v>0</v>
      </c>
      <c r="C1274" t="s">
        <v>2534</v>
      </c>
      <c r="D1274" t="s">
        <v>2478</v>
      </c>
      <c r="E1274" t="s">
        <v>2479</v>
      </c>
      <c r="F1274" s="3">
        <v>44322</v>
      </c>
      <c r="G1274" s="2">
        <v>11</v>
      </c>
      <c r="H1274" s="1">
        <v>435.03</v>
      </c>
      <c r="I1274" t="s">
        <v>2535</v>
      </c>
      <c r="J1274" s="2">
        <v>1</v>
      </c>
      <c r="K1274" t="s">
        <v>13</v>
      </c>
      <c r="L1274" t="s">
        <v>671</v>
      </c>
      <c r="M1274" t="s">
        <v>15</v>
      </c>
    </row>
    <row r="1275" spans="1:13" x14ac:dyDescent="0.25">
      <c r="A1275" s="5">
        <v>44333</v>
      </c>
      <c r="B1275" s="2">
        <v>0</v>
      </c>
      <c r="C1275" t="s">
        <v>2536</v>
      </c>
      <c r="D1275" t="s">
        <v>1761</v>
      </c>
      <c r="E1275" t="s">
        <v>1762</v>
      </c>
      <c r="F1275" s="3">
        <v>44222</v>
      </c>
      <c r="G1275" s="2">
        <v>111</v>
      </c>
      <c r="H1275" s="1">
        <v>1849.94</v>
      </c>
      <c r="I1275" t="s">
        <v>2210</v>
      </c>
      <c r="J1275" s="2">
        <v>1</v>
      </c>
      <c r="K1275" t="s">
        <v>13</v>
      </c>
      <c r="L1275" t="s">
        <v>21</v>
      </c>
      <c r="M1275" t="s">
        <v>1165</v>
      </c>
    </row>
    <row r="1276" spans="1:13" x14ac:dyDescent="0.25">
      <c r="A1276" s="5">
        <v>44333</v>
      </c>
      <c r="B1276" s="2">
        <v>0</v>
      </c>
      <c r="C1276" t="s">
        <v>2537</v>
      </c>
      <c r="D1276" t="s">
        <v>1761</v>
      </c>
      <c r="E1276" t="s">
        <v>1762</v>
      </c>
      <c r="F1276" s="3">
        <v>44253</v>
      </c>
      <c r="G1276" s="2">
        <v>80</v>
      </c>
      <c r="H1276" s="1">
        <v>732.37</v>
      </c>
      <c r="I1276" t="s">
        <v>2389</v>
      </c>
      <c r="J1276" s="2">
        <v>1</v>
      </c>
      <c r="K1276" t="s">
        <v>13</v>
      </c>
      <c r="L1276" t="s">
        <v>21</v>
      </c>
      <c r="M1276" t="s">
        <v>1165</v>
      </c>
    </row>
    <row r="1277" spans="1:13" x14ac:dyDescent="0.25">
      <c r="A1277" s="5">
        <v>44333</v>
      </c>
      <c r="B1277" s="2">
        <v>0</v>
      </c>
      <c r="C1277" t="s">
        <v>2538</v>
      </c>
      <c r="D1277" t="s">
        <v>1761</v>
      </c>
      <c r="E1277" t="s">
        <v>1762</v>
      </c>
      <c r="F1277" s="3">
        <v>44253</v>
      </c>
      <c r="G1277" s="2">
        <v>80</v>
      </c>
      <c r="H1277" s="1">
        <v>643.71</v>
      </c>
      <c r="I1277" t="s">
        <v>2391</v>
      </c>
      <c r="J1277" s="2">
        <v>1</v>
      </c>
      <c r="K1277" t="s">
        <v>13</v>
      </c>
      <c r="L1277" t="s">
        <v>21</v>
      </c>
      <c r="M1277" t="s">
        <v>1165</v>
      </c>
    </row>
    <row r="1278" spans="1:13" x14ac:dyDescent="0.25">
      <c r="A1278" s="5">
        <v>44333</v>
      </c>
      <c r="B1278" s="2">
        <v>0</v>
      </c>
      <c r="C1278" t="s">
        <v>2539</v>
      </c>
      <c r="D1278" t="s">
        <v>1761</v>
      </c>
      <c r="E1278" t="s">
        <v>1762</v>
      </c>
      <c r="F1278" s="3">
        <v>44258</v>
      </c>
      <c r="G1278" s="2">
        <v>75</v>
      </c>
      <c r="H1278" s="1">
        <v>424.79</v>
      </c>
      <c r="I1278" t="s">
        <v>2393</v>
      </c>
      <c r="J1278" s="2">
        <v>1</v>
      </c>
      <c r="K1278" t="s">
        <v>13</v>
      </c>
      <c r="L1278" t="s">
        <v>21</v>
      </c>
      <c r="M1278" t="s">
        <v>1165</v>
      </c>
    </row>
    <row r="1279" spans="1:13" x14ac:dyDescent="0.25">
      <c r="A1279" s="5">
        <v>44333</v>
      </c>
      <c r="B1279" s="2">
        <v>0</v>
      </c>
      <c r="C1279" t="s">
        <v>2540</v>
      </c>
      <c r="D1279" t="s">
        <v>1761</v>
      </c>
      <c r="E1279" t="s">
        <v>1762</v>
      </c>
      <c r="F1279" s="3">
        <v>44263</v>
      </c>
      <c r="G1279" s="2">
        <v>70</v>
      </c>
      <c r="H1279" s="1">
        <v>1243.05</v>
      </c>
      <c r="I1279" t="s">
        <v>2541</v>
      </c>
      <c r="J1279" s="2">
        <v>1</v>
      </c>
      <c r="K1279" t="s">
        <v>13</v>
      </c>
      <c r="L1279" t="s">
        <v>21</v>
      </c>
      <c r="M1279" t="s">
        <v>1165</v>
      </c>
    </row>
    <row r="1280" spans="1:13" x14ac:dyDescent="0.25">
      <c r="A1280" s="5">
        <v>44333</v>
      </c>
      <c r="B1280" s="2">
        <v>0</v>
      </c>
      <c r="C1280" t="s">
        <v>2542</v>
      </c>
      <c r="D1280" t="s">
        <v>1761</v>
      </c>
      <c r="E1280" t="s">
        <v>1762</v>
      </c>
      <c r="F1280" s="3">
        <v>44263</v>
      </c>
      <c r="G1280" s="2">
        <v>70</v>
      </c>
      <c r="H1280" s="1">
        <v>1598.84</v>
      </c>
      <c r="I1280" t="s">
        <v>2395</v>
      </c>
      <c r="J1280" s="2">
        <v>1</v>
      </c>
      <c r="K1280" t="s">
        <v>13</v>
      </c>
      <c r="L1280" t="s">
        <v>21</v>
      </c>
      <c r="M1280" t="s">
        <v>1165</v>
      </c>
    </row>
    <row r="1281" spans="1:13" x14ac:dyDescent="0.25">
      <c r="A1281" s="5">
        <v>44333</v>
      </c>
      <c r="B1281" s="2">
        <v>0</v>
      </c>
      <c r="C1281" t="s">
        <v>2545</v>
      </c>
      <c r="D1281" t="s">
        <v>1773</v>
      </c>
      <c r="E1281" t="s">
        <v>1938</v>
      </c>
      <c r="F1281" s="3">
        <v>44253</v>
      </c>
      <c r="G1281" s="2">
        <v>80</v>
      </c>
      <c r="H1281" s="1">
        <v>912.36</v>
      </c>
      <c r="I1281" t="s">
        <v>2546</v>
      </c>
      <c r="J1281" s="2">
        <v>1</v>
      </c>
      <c r="K1281" t="s">
        <v>13</v>
      </c>
      <c r="L1281" t="s">
        <v>21</v>
      </c>
      <c r="M1281" t="s">
        <v>1774</v>
      </c>
    </row>
    <row r="1282" spans="1:13" x14ac:dyDescent="0.25">
      <c r="A1282" s="5">
        <v>44333</v>
      </c>
      <c r="B1282" s="2">
        <v>0</v>
      </c>
      <c r="C1282" t="s">
        <v>2547</v>
      </c>
      <c r="D1282" t="s">
        <v>1773</v>
      </c>
      <c r="E1282" t="s">
        <v>1938</v>
      </c>
      <c r="F1282" s="3">
        <v>44253</v>
      </c>
      <c r="G1282" s="2">
        <v>80</v>
      </c>
      <c r="H1282" s="1">
        <v>1276.0999999999999</v>
      </c>
      <c r="I1282" t="s">
        <v>2397</v>
      </c>
      <c r="J1282" s="2">
        <v>1</v>
      </c>
      <c r="K1282" t="s">
        <v>13</v>
      </c>
      <c r="L1282" t="s">
        <v>21</v>
      </c>
      <c r="M1282" t="s">
        <v>1774</v>
      </c>
    </row>
    <row r="1283" spans="1:13" x14ac:dyDescent="0.25">
      <c r="A1283" s="5">
        <v>44333</v>
      </c>
      <c r="B1283" s="2">
        <v>0</v>
      </c>
      <c r="C1283" t="s">
        <v>2548</v>
      </c>
      <c r="D1283" t="s">
        <v>1773</v>
      </c>
      <c r="E1283" t="s">
        <v>1938</v>
      </c>
      <c r="F1283" s="3">
        <v>44258</v>
      </c>
      <c r="G1283" s="2">
        <v>75</v>
      </c>
      <c r="H1283" s="1">
        <v>560.55999999999995</v>
      </c>
      <c r="I1283" t="s">
        <v>2549</v>
      </c>
      <c r="J1283" s="2">
        <v>1</v>
      </c>
      <c r="K1283" t="s">
        <v>13</v>
      </c>
      <c r="L1283" t="s">
        <v>21</v>
      </c>
      <c r="M1283" t="s">
        <v>1774</v>
      </c>
    </row>
    <row r="1284" spans="1:13" x14ac:dyDescent="0.25">
      <c r="A1284" s="5">
        <v>44333</v>
      </c>
      <c r="B1284" s="2">
        <v>0</v>
      </c>
      <c r="C1284" t="s">
        <v>2550</v>
      </c>
      <c r="D1284" t="s">
        <v>1773</v>
      </c>
      <c r="E1284" t="s">
        <v>1938</v>
      </c>
      <c r="F1284" s="3">
        <v>44263</v>
      </c>
      <c r="G1284" s="2">
        <v>70</v>
      </c>
      <c r="H1284" s="1">
        <v>732.91</v>
      </c>
      <c r="I1284" t="s">
        <v>2551</v>
      </c>
      <c r="J1284" s="2">
        <v>1</v>
      </c>
      <c r="K1284" t="s">
        <v>13</v>
      </c>
      <c r="L1284" t="s">
        <v>21</v>
      </c>
      <c r="M1284" t="s">
        <v>1774</v>
      </c>
    </row>
    <row r="1285" spans="1:13" x14ac:dyDescent="0.25">
      <c r="A1285" s="5">
        <v>44333</v>
      </c>
      <c r="B1285" s="2">
        <v>0</v>
      </c>
      <c r="C1285" t="s">
        <v>2552</v>
      </c>
      <c r="D1285" t="s">
        <v>1773</v>
      </c>
      <c r="E1285" t="s">
        <v>1938</v>
      </c>
      <c r="F1285" s="3">
        <v>44273</v>
      </c>
      <c r="G1285" s="2">
        <v>60</v>
      </c>
      <c r="H1285" s="1">
        <v>1651.54</v>
      </c>
      <c r="I1285" t="s">
        <v>2553</v>
      </c>
      <c r="J1285" s="2">
        <v>1</v>
      </c>
      <c r="K1285" t="s">
        <v>13</v>
      </c>
      <c r="L1285" t="s">
        <v>21</v>
      </c>
      <c r="M1285" t="s">
        <v>1774</v>
      </c>
    </row>
    <row r="1286" spans="1:13" x14ac:dyDescent="0.25">
      <c r="A1286" s="5">
        <v>44333</v>
      </c>
      <c r="B1286" s="2">
        <v>0</v>
      </c>
      <c r="C1286" t="s">
        <v>2554</v>
      </c>
      <c r="D1286" t="s">
        <v>1757</v>
      </c>
      <c r="E1286" t="s">
        <v>1758</v>
      </c>
      <c r="F1286" s="3">
        <v>44263</v>
      </c>
      <c r="G1286" s="2">
        <v>70</v>
      </c>
      <c r="H1286" s="1">
        <v>1690.2</v>
      </c>
      <c r="I1286" t="s">
        <v>2399</v>
      </c>
      <c r="J1286" s="2">
        <v>1</v>
      </c>
      <c r="K1286" t="s">
        <v>13</v>
      </c>
      <c r="L1286" t="s">
        <v>21</v>
      </c>
      <c r="M1286" t="s">
        <v>1165</v>
      </c>
    </row>
    <row r="1287" spans="1:13" x14ac:dyDescent="0.25">
      <c r="A1287" s="5">
        <v>44333</v>
      </c>
      <c r="B1287" s="2">
        <v>0</v>
      </c>
      <c r="C1287" t="s">
        <v>2557</v>
      </c>
      <c r="D1287" t="s">
        <v>2306</v>
      </c>
      <c r="E1287" t="s">
        <v>2307</v>
      </c>
      <c r="F1287" s="3">
        <v>44308</v>
      </c>
      <c r="G1287" s="2">
        <v>25</v>
      </c>
      <c r="H1287" s="1">
        <v>265</v>
      </c>
      <c r="I1287" t="s">
        <v>2441</v>
      </c>
      <c r="J1287" s="2">
        <v>1</v>
      </c>
      <c r="K1287" t="s">
        <v>13</v>
      </c>
      <c r="L1287" t="s">
        <v>1682</v>
      </c>
      <c r="M1287" t="s">
        <v>15</v>
      </c>
    </row>
    <row r="1288" spans="1:13" x14ac:dyDescent="0.25">
      <c r="A1288" s="5">
        <v>44333</v>
      </c>
      <c r="B1288" s="2">
        <v>0</v>
      </c>
      <c r="C1288" t="s">
        <v>2558</v>
      </c>
      <c r="D1288" t="s">
        <v>2306</v>
      </c>
      <c r="E1288" t="s">
        <v>2307</v>
      </c>
      <c r="F1288" s="3">
        <v>44322</v>
      </c>
      <c r="G1288" s="2">
        <v>11</v>
      </c>
      <c r="H1288" s="1">
        <v>570.20000000000005</v>
      </c>
      <c r="I1288" t="s">
        <v>2559</v>
      </c>
      <c r="J1288" s="2">
        <v>1</v>
      </c>
      <c r="K1288" t="s">
        <v>13</v>
      </c>
      <c r="L1288" t="s">
        <v>1682</v>
      </c>
      <c r="M1288" t="s">
        <v>15</v>
      </c>
    </row>
    <row r="1289" spans="1:13" x14ac:dyDescent="0.25">
      <c r="A1289" s="5">
        <v>44334</v>
      </c>
      <c r="B1289" s="2">
        <v>0</v>
      </c>
      <c r="C1289" t="s">
        <v>2561</v>
      </c>
      <c r="D1289" t="s">
        <v>1761</v>
      </c>
      <c r="E1289" t="s">
        <v>1762</v>
      </c>
      <c r="F1289" s="3">
        <v>44244</v>
      </c>
      <c r="G1289" s="2">
        <v>90</v>
      </c>
      <c r="H1289" s="1">
        <v>1713.83</v>
      </c>
      <c r="I1289" t="s">
        <v>2322</v>
      </c>
      <c r="J1289" s="2">
        <v>1</v>
      </c>
      <c r="K1289" t="s">
        <v>13</v>
      </c>
      <c r="L1289" t="s">
        <v>21</v>
      </c>
      <c r="M1289" t="s">
        <v>1165</v>
      </c>
    </row>
    <row r="1290" spans="1:13" x14ac:dyDescent="0.25">
      <c r="A1290" s="5">
        <v>44334</v>
      </c>
      <c r="B1290" s="2">
        <v>0</v>
      </c>
      <c r="C1290" t="s">
        <v>2562</v>
      </c>
      <c r="D1290" t="s">
        <v>1761</v>
      </c>
      <c r="E1290" t="s">
        <v>1762</v>
      </c>
      <c r="F1290" s="3">
        <v>44254</v>
      </c>
      <c r="G1290" s="2">
        <v>80</v>
      </c>
      <c r="H1290" s="1">
        <v>562.87</v>
      </c>
      <c r="I1290" t="s">
        <v>2406</v>
      </c>
      <c r="J1290" s="2">
        <v>1</v>
      </c>
      <c r="K1290" t="s">
        <v>13</v>
      </c>
      <c r="L1290" t="s">
        <v>21</v>
      </c>
      <c r="M1290" t="s">
        <v>1165</v>
      </c>
    </row>
    <row r="1291" spans="1:13" x14ac:dyDescent="0.25">
      <c r="A1291" s="5">
        <v>44334</v>
      </c>
      <c r="B1291" s="2">
        <v>0</v>
      </c>
      <c r="C1291" t="s">
        <v>2563</v>
      </c>
      <c r="D1291" t="s">
        <v>1761</v>
      </c>
      <c r="E1291" t="s">
        <v>1762</v>
      </c>
      <c r="F1291" s="3">
        <v>44264</v>
      </c>
      <c r="G1291" s="2">
        <v>70</v>
      </c>
      <c r="H1291" s="1">
        <v>631.62</v>
      </c>
      <c r="I1291" t="s">
        <v>2408</v>
      </c>
      <c r="J1291" s="2">
        <v>1</v>
      </c>
      <c r="K1291" t="s">
        <v>13</v>
      </c>
      <c r="L1291" t="s">
        <v>21</v>
      </c>
      <c r="M1291" t="s">
        <v>1165</v>
      </c>
    </row>
    <row r="1292" spans="1:13" x14ac:dyDescent="0.25">
      <c r="A1292" s="5">
        <v>44334</v>
      </c>
      <c r="B1292" s="2">
        <v>0</v>
      </c>
      <c r="C1292" t="s">
        <v>2564</v>
      </c>
      <c r="D1292" t="s">
        <v>1773</v>
      </c>
      <c r="E1292" t="s">
        <v>1938</v>
      </c>
      <c r="F1292" s="3">
        <v>44264</v>
      </c>
      <c r="G1292" s="2">
        <v>70</v>
      </c>
      <c r="H1292" s="1">
        <v>791.45</v>
      </c>
      <c r="I1292" t="s">
        <v>2565</v>
      </c>
      <c r="J1292" s="2">
        <v>1</v>
      </c>
      <c r="K1292" t="s">
        <v>13</v>
      </c>
      <c r="L1292" t="s">
        <v>21</v>
      </c>
      <c r="M1292" t="s">
        <v>1774</v>
      </c>
    </row>
    <row r="1293" spans="1:13" x14ac:dyDescent="0.25">
      <c r="A1293" s="5">
        <v>44334</v>
      </c>
      <c r="B1293" s="2">
        <v>0</v>
      </c>
      <c r="C1293" t="s">
        <v>2566</v>
      </c>
      <c r="D1293" t="s">
        <v>1773</v>
      </c>
      <c r="E1293" t="s">
        <v>1938</v>
      </c>
      <c r="F1293" s="3">
        <v>44264</v>
      </c>
      <c r="G1293" s="2">
        <v>70</v>
      </c>
      <c r="H1293" s="1">
        <v>734.49</v>
      </c>
      <c r="I1293" t="s">
        <v>2567</v>
      </c>
      <c r="J1293" s="2">
        <v>1</v>
      </c>
      <c r="K1293" t="s">
        <v>13</v>
      </c>
      <c r="L1293" t="s">
        <v>21</v>
      </c>
      <c r="M1293" t="s">
        <v>1774</v>
      </c>
    </row>
    <row r="1294" spans="1:13" x14ac:dyDescent="0.25">
      <c r="A1294" s="5">
        <v>44334</v>
      </c>
      <c r="B1294" s="2">
        <v>0</v>
      </c>
      <c r="C1294" t="s">
        <v>2568</v>
      </c>
      <c r="D1294" t="s">
        <v>1757</v>
      </c>
      <c r="E1294" t="s">
        <v>1758</v>
      </c>
      <c r="F1294" s="3">
        <v>44244</v>
      </c>
      <c r="G1294" s="2">
        <v>90</v>
      </c>
      <c r="H1294" s="1">
        <v>998.1</v>
      </c>
      <c r="I1294" t="s">
        <v>2323</v>
      </c>
      <c r="J1294" s="2">
        <v>1</v>
      </c>
      <c r="K1294" t="s">
        <v>13</v>
      </c>
      <c r="L1294" t="s">
        <v>21</v>
      </c>
      <c r="M1294" t="s">
        <v>1165</v>
      </c>
    </row>
    <row r="1295" spans="1:13" x14ac:dyDescent="0.25">
      <c r="A1295" s="5">
        <v>44334</v>
      </c>
      <c r="B1295" s="2">
        <v>0</v>
      </c>
      <c r="C1295" t="s">
        <v>2569</v>
      </c>
      <c r="D1295" t="s">
        <v>1757</v>
      </c>
      <c r="E1295" t="s">
        <v>1758</v>
      </c>
      <c r="F1295" s="3">
        <v>44264</v>
      </c>
      <c r="G1295" s="2">
        <v>70</v>
      </c>
      <c r="H1295" s="1">
        <v>791.45</v>
      </c>
      <c r="I1295" t="s">
        <v>2570</v>
      </c>
      <c r="J1295" s="2">
        <v>1</v>
      </c>
      <c r="K1295" t="s">
        <v>13</v>
      </c>
      <c r="L1295" t="s">
        <v>21</v>
      </c>
      <c r="M1295" t="s">
        <v>1165</v>
      </c>
    </row>
    <row r="1296" spans="1:13" x14ac:dyDescent="0.25">
      <c r="A1296" s="5">
        <v>44335</v>
      </c>
      <c r="B1296" s="2">
        <v>0</v>
      </c>
      <c r="C1296" t="s">
        <v>2572</v>
      </c>
      <c r="D1296" t="s">
        <v>1761</v>
      </c>
      <c r="E1296" t="s">
        <v>1762</v>
      </c>
      <c r="F1296" s="3">
        <v>44215</v>
      </c>
      <c r="G1296" s="2">
        <v>120</v>
      </c>
      <c r="H1296" s="1">
        <v>1224.95</v>
      </c>
      <c r="I1296" t="s">
        <v>2189</v>
      </c>
      <c r="J1296" s="2">
        <v>1</v>
      </c>
      <c r="K1296" t="s">
        <v>13</v>
      </c>
      <c r="L1296" t="s">
        <v>21</v>
      </c>
      <c r="M1296" t="s">
        <v>1165</v>
      </c>
    </row>
    <row r="1297" spans="1:13" x14ac:dyDescent="0.25">
      <c r="A1297" s="5">
        <v>44335</v>
      </c>
      <c r="B1297" s="2">
        <v>0</v>
      </c>
      <c r="C1297" t="s">
        <v>2573</v>
      </c>
      <c r="D1297" t="s">
        <v>1773</v>
      </c>
      <c r="E1297" t="s">
        <v>1938</v>
      </c>
      <c r="F1297" s="3">
        <v>44245</v>
      </c>
      <c r="G1297" s="2">
        <v>90</v>
      </c>
      <c r="H1297" s="1">
        <v>560.76</v>
      </c>
      <c r="I1297" t="s">
        <v>2294</v>
      </c>
      <c r="J1297" s="2">
        <v>1</v>
      </c>
      <c r="K1297" t="s">
        <v>13</v>
      </c>
      <c r="L1297" t="s">
        <v>21</v>
      </c>
      <c r="M1297" t="s">
        <v>1774</v>
      </c>
    </row>
    <row r="1298" spans="1:13" x14ac:dyDescent="0.25">
      <c r="A1298" s="5">
        <v>44335</v>
      </c>
      <c r="B1298" s="2">
        <v>0</v>
      </c>
      <c r="C1298" t="s">
        <v>2574</v>
      </c>
      <c r="D1298" t="s">
        <v>1773</v>
      </c>
      <c r="E1298" t="s">
        <v>1938</v>
      </c>
      <c r="F1298" s="3">
        <v>44265</v>
      </c>
      <c r="G1298" s="2">
        <v>70</v>
      </c>
      <c r="H1298" s="1">
        <v>998.42</v>
      </c>
      <c r="I1298" t="s">
        <v>2419</v>
      </c>
      <c r="J1298" s="2">
        <v>1</v>
      </c>
      <c r="K1298" t="s">
        <v>13</v>
      </c>
      <c r="L1298" t="s">
        <v>21</v>
      </c>
      <c r="M1298" t="s">
        <v>1774</v>
      </c>
    </row>
    <row r="1299" spans="1:13" x14ac:dyDescent="0.25">
      <c r="A1299" s="5">
        <v>44335</v>
      </c>
      <c r="B1299" s="2">
        <v>0</v>
      </c>
      <c r="C1299" t="s">
        <v>2575</v>
      </c>
      <c r="D1299" t="s">
        <v>1757</v>
      </c>
      <c r="E1299" t="s">
        <v>1758</v>
      </c>
      <c r="F1299" s="3">
        <v>44215</v>
      </c>
      <c r="G1299" s="2">
        <v>120</v>
      </c>
      <c r="H1299" s="1">
        <v>1074.46</v>
      </c>
      <c r="I1299" t="s">
        <v>2193</v>
      </c>
      <c r="J1299" s="2">
        <v>1</v>
      </c>
      <c r="K1299" t="s">
        <v>13</v>
      </c>
      <c r="L1299" t="s">
        <v>21</v>
      </c>
      <c r="M1299" t="s">
        <v>1165</v>
      </c>
    </row>
    <row r="1300" spans="1:13" x14ac:dyDescent="0.25">
      <c r="A1300" s="5">
        <v>44335</v>
      </c>
      <c r="B1300" s="2">
        <v>0</v>
      </c>
      <c r="C1300" t="s">
        <v>2576</v>
      </c>
      <c r="D1300" t="s">
        <v>1757</v>
      </c>
      <c r="E1300" t="s">
        <v>1758</v>
      </c>
      <c r="F1300" s="3">
        <v>44223</v>
      </c>
      <c r="G1300" s="2">
        <v>112</v>
      </c>
      <c r="H1300" s="1">
        <v>973.09</v>
      </c>
      <c r="I1300" t="s">
        <v>2252</v>
      </c>
      <c r="J1300" s="2">
        <v>1</v>
      </c>
      <c r="K1300" t="s">
        <v>13</v>
      </c>
      <c r="L1300" t="s">
        <v>21</v>
      </c>
      <c r="M1300" t="s">
        <v>1165</v>
      </c>
    </row>
    <row r="1301" spans="1:13" x14ac:dyDescent="0.25">
      <c r="A1301" s="5">
        <v>44335</v>
      </c>
      <c r="B1301" s="2">
        <v>0</v>
      </c>
      <c r="C1301" t="s">
        <v>2577</v>
      </c>
      <c r="D1301" t="s">
        <v>1757</v>
      </c>
      <c r="E1301" t="s">
        <v>1758</v>
      </c>
      <c r="F1301" s="3">
        <v>44225</v>
      </c>
      <c r="G1301" s="2">
        <v>110</v>
      </c>
      <c r="H1301" s="1">
        <v>879.84</v>
      </c>
      <c r="I1301" t="s">
        <v>2258</v>
      </c>
      <c r="J1301" s="2">
        <v>1</v>
      </c>
      <c r="K1301" t="s">
        <v>13</v>
      </c>
      <c r="L1301" t="s">
        <v>21</v>
      </c>
      <c r="M1301" t="s">
        <v>1165</v>
      </c>
    </row>
    <row r="1302" spans="1:13" x14ac:dyDescent="0.25">
      <c r="A1302" s="5">
        <v>44335</v>
      </c>
      <c r="B1302" s="2">
        <v>0</v>
      </c>
      <c r="C1302" t="s">
        <v>2578</v>
      </c>
      <c r="D1302" t="s">
        <v>1757</v>
      </c>
      <c r="E1302" t="s">
        <v>1758</v>
      </c>
      <c r="F1302" s="3">
        <v>44235</v>
      </c>
      <c r="G1302" s="2">
        <v>100</v>
      </c>
      <c r="H1302" s="1">
        <v>1741.75</v>
      </c>
      <c r="I1302" t="s">
        <v>2223</v>
      </c>
      <c r="J1302" s="2">
        <v>1</v>
      </c>
      <c r="K1302" t="s">
        <v>13</v>
      </c>
      <c r="L1302" t="s">
        <v>21</v>
      </c>
      <c r="M1302" t="s">
        <v>1165</v>
      </c>
    </row>
    <row r="1303" spans="1:13" x14ac:dyDescent="0.25">
      <c r="A1303" s="5">
        <v>44335</v>
      </c>
      <c r="B1303" s="2">
        <v>0</v>
      </c>
      <c r="C1303" t="s">
        <v>2579</v>
      </c>
      <c r="D1303" t="s">
        <v>1757</v>
      </c>
      <c r="E1303" t="s">
        <v>1758</v>
      </c>
      <c r="F1303" s="3">
        <v>44265</v>
      </c>
      <c r="G1303" s="2">
        <v>70</v>
      </c>
      <c r="H1303" s="1">
        <v>896.54</v>
      </c>
      <c r="I1303" t="s">
        <v>2580</v>
      </c>
      <c r="J1303" s="2">
        <v>1</v>
      </c>
      <c r="K1303" t="s">
        <v>13</v>
      </c>
      <c r="L1303" t="s">
        <v>21</v>
      </c>
      <c r="M1303" t="s">
        <v>1165</v>
      </c>
    </row>
    <row r="1304" spans="1:13" x14ac:dyDescent="0.25">
      <c r="A1304" s="5">
        <v>44335</v>
      </c>
      <c r="B1304" s="2">
        <v>0</v>
      </c>
      <c r="C1304" t="s">
        <v>2581</v>
      </c>
      <c r="D1304" t="s">
        <v>1748</v>
      </c>
      <c r="E1304" t="s">
        <v>1840</v>
      </c>
      <c r="F1304" s="3">
        <v>44305</v>
      </c>
      <c r="G1304" s="2">
        <v>30</v>
      </c>
      <c r="H1304" s="1">
        <v>346.47</v>
      </c>
      <c r="I1304" t="s">
        <v>2582</v>
      </c>
      <c r="J1304" s="2">
        <v>1</v>
      </c>
      <c r="K1304" t="s">
        <v>13</v>
      </c>
      <c r="L1304" t="s">
        <v>1682</v>
      </c>
      <c r="M1304" t="s">
        <v>15</v>
      </c>
    </row>
    <row r="1305" spans="1:13" x14ac:dyDescent="0.25">
      <c r="A1305" s="5">
        <v>44336</v>
      </c>
      <c r="B1305" s="2">
        <v>0</v>
      </c>
      <c r="C1305" t="s">
        <v>2583</v>
      </c>
      <c r="D1305" t="s">
        <v>1761</v>
      </c>
      <c r="E1305" t="s">
        <v>1762</v>
      </c>
      <c r="F1305" s="3">
        <v>44236</v>
      </c>
      <c r="G1305" s="2">
        <v>100</v>
      </c>
      <c r="H1305" s="1">
        <v>1565.32</v>
      </c>
      <c r="I1305" t="s">
        <v>2266</v>
      </c>
      <c r="J1305" s="2">
        <v>1</v>
      </c>
      <c r="K1305" t="s">
        <v>13</v>
      </c>
      <c r="L1305" t="s">
        <v>21</v>
      </c>
      <c r="M1305" t="s">
        <v>1165</v>
      </c>
    </row>
    <row r="1306" spans="1:13" x14ac:dyDescent="0.25">
      <c r="A1306" s="5">
        <v>44336</v>
      </c>
      <c r="B1306" s="2">
        <v>0</v>
      </c>
      <c r="C1306" t="s">
        <v>2584</v>
      </c>
      <c r="D1306" t="s">
        <v>1761</v>
      </c>
      <c r="E1306" t="s">
        <v>1762</v>
      </c>
      <c r="F1306" s="3">
        <v>44266</v>
      </c>
      <c r="G1306" s="2">
        <v>70</v>
      </c>
      <c r="H1306" s="1">
        <v>1093.75</v>
      </c>
      <c r="I1306" t="s">
        <v>2428</v>
      </c>
      <c r="J1306" s="2">
        <v>1</v>
      </c>
      <c r="K1306" t="s">
        <v>13</v>
      </c>
      <c r="L1306" t="s">
        <v>21</v>
      </c>
      <c r="M1306" t="s">
        <v>1165</v>
      </c>
    </row>
    <row r="1307" spans="1:13" x14ac:dyDescent="0.25">
      <c r="A1307" s="5">
        <v>44336</v>
      </c>
      <c r="B1307" s="2">
        <v>0</v>
      </c>
      <c r="C1307" t="s">
        <v>2585</v>
      </c>
      <c r="D1307" t="s">
        <v>1773</v>
      </c>
      <c r="E1307" t="s">
        <v>1938</v>
      </c>
      <c r="F1307" s="3">
        <v>44246</v>
      </c>
      <c r="G1307" s="2">
        <v>90</v>
      </c>
      <c r="H1307" s="1">
        <v>762.8</v>
      </c>
      <c r="I1307" t="s">
        <v>2302</v>
      </c>
      <c r="J1307" s="2">
        <v>1</v>
      </c>
      <c r="K1307" t="s">
        <v>13</v>
      </c>
      <c r="L1307" t="s">
        <v>21</v>
      </c>
      <c r="M1307" t="s">
        <v>1774</v>
      </c>
    </row>
    <row r="1308" spans="1:13" x14ac:dyDescent="0.25">
      <c r="A1308" s="5">
        <v>44336</v>
      </c>
      <c r="B1308" s="2">
        <v>0</v>
      </c>
      <c r="C1308" t="s">
        <v>2586</v>
      </c>
      <c r="D1308" t="s">
        <v>1773</v>
      </c>
      <c r="E1308" t="s">
        <v>1938</v>
      </c>
      <c r="F1308" s="3">
        <v>44266</v>
      </c>
      <c r="G1308" s="2">
        <v>70</v>
      </c>
      <c r="H1308" s="1">
        <v>355.56</v>
      </c>
      <c r="I1308" t="s">
        <v>2587</v>
      </c>
      <c r="J1308" s="2">
        <v>1</v>
      </c>
      <c r="K1308" t="s">
        <v>13</v>
      </c>
      <c r="L1308" t="s">
        <v>21</v>
      </c>
      <c r="M1308" t="s">
        <v>1774</v>
      </c>
    </row>
    <row r="1309" spans="1:13" x14ac:dyDescent="0.25">
      <c r="A1309" s="5">
        <v>44336</v>
      </c>
      <c r="B1309" s="2">
        <v>0</v>
      </c>
      <c r="C1309" t="s">
        <v>2588</v>
      </c>
      <c r="D1309" t="s">
        <v>1773</v>
      </c>
      <c r="E1309" t="s">
        <v>1938</v>
      </c>
      <c r="F1309" s="3">
        <v>44266</v>
      </c>
      <c r="G1309" s="2">
        <v>70</v>
      </c>
      <c r="H1309" s="1">
        <v>1093.75</v>
      </c>
      <c r="I1309" t="s">
        <v>2433</v>
      </c>
      <c r="J1309" s="2">
        <v>1</v>
      </c>
      <c r="K1309" t="s">
        <v>13</v>
      </c>
      <c r="L1309" t="s">
        <v>21</v>
      </c>
      <c r="M1309" t="s">
        <v>1774</v>
      </c>
    </row>
    <row r="1310" spans="1:13" x14ac:dyDescent="0.25">
      <c r="A1310" s="5">
        <v>44336</v>
      </c>
      <c r="B1310" s="2">
        <v>0</v>
      </c>
      <c r="C1310" t="s">
        <v>2589</v>
      </c>
      <c r="D1310" t="s">
        <v>1998</v>
      </c>
      <c r="E1310" t="s">
        <v>1999</v>
      </c>
      <c r="F1310" s="3">
        <v>44286</v>
      </c>
      <c r="G1310" s="2">
        <v>50</v>
      </c>
      <c r="H1310" s="1">
        <v>584.97</v>
      </c>
      <c r="I1310" t="s">
        <v>2304</v>
      </c>
      <c r="J1310" s="2">
        <v>1</v>
      </c>
      <c r="K1310" t="s">
        <v>13</v>
      </c>
      <c r="L1310" t="s">
        <v>695</v>
      </c>
      <c r="M1310" t="s">
        <v>15</v>
      </c>
    </row>
    <row r="1311" spans="1:13" x14ac:dyDescent="0.25">
      <c r="A1311" s="5">
        <v>44336</v>
      </c>
      <c r="B1311" s="2">
        <v>0</v>
      </c>
      <c r="C1311" t="s">
        <v>2590</v>
      </c>
      <c r="D1311" t="s">
        <v>2228</v>
      </c>
      <c r="E1311" t="s">
        <v>2229</v>
      </c>
      <c r="F1311" s="3">
        <v>44271</v>
      </c>
      <c r="G1311" s="2">
        <v>65</v>
      </c>
      <c r="H1311" s="1">
        <v>761.1</v>
      </c>
      <c r="I1311" t="s">
        <v>2325</v>
      </c>
      <c r="J1311" s="2">
        <v>1</v>
      </c>
      <c r="K1311" t="s">
        <v>13</v>
      </c>
      <c r="L1311" t="s">
        <v>21</v>
      </c>
      <c r="M1311" t="s">
        <v>308</v>
      </c>
    </row>
    <row r="1312" spans="1:13" x14ac:dyDescent="0.25">
      <c r="A1312" s="5">
        <v>44337</v>
      </c>
      <c r="B1312" s="2">
        <v>0</v>
      </c>
      <c r="C1312" t="s">
        <v>2591</v>
      </c>
      <c r="D1312" t="s">
        <v>1761</v>
      </c>
      <c r="E1312" t="s">
        <v>1762</v>
      </c>
      <c r="F1312" s="3">
        <v>44257</v>
      </c>
      <c r="G1312" s="2">
        <v>80</v>
      </c>
      <c r="H1312" s="1">
        <v>1592.31</v>
      </c>
      <c r="I1312" t="s">
        <v>2451</v>
      </c>
      <c r="J1312" s="2">
        <v>1</v>
      </c>
      <c r="K1312" t="s">
        <v>13</v>
      </c>
      <c r="L1312" t="s">
        <v>21</v>
      </c>
      <c r="M1312" t="s">
        <v>1165</v>
      </c>
    </row>
    <row r="1313" spans="1:13" x14ac:dyDescent="0.25">
      <c r="A1313" s="5">
        <v>44337</v>
      </c>
      <c r="B1313" s="2">
        <v>0</v>
      </c>
      <c r="C1313" t="s">
        <v>2592</v>
      </c>
      <c r="D1313" t="s">
        <v>1773</v>
      </c>
      <c r="E1313" t="s">
        <v>1938</v>
      </c>
      <c r="F1313" s="3">
        <v>44217</v>
      </c>
      <c r="G1313" s="2">
        <v>120</v>
      </c>
      <c r="H1313" s="1">
        <v>897.87</v>
      </c>
      <c r="I1313" t="s">
        <v>2192</v>
      </c>
      <c r="J1313" s="2">
        <v>1</v>
      </c>
      <c r="K1313" t="s">
        <v>13</v>
      </c>
      <c r="L1313" t="s">
        <v>21</v>
      </c>
      <c r="M1313" t="s">
        <v>1774</v>
      </c>
    </row>
    <row r="1314" spans="1:13" x14ac:dyDescent="0.25">
      <c r="A1314" s="5">
        <v>44337</v>
      </c>
      <c r="B1314" s="2">
        <v>0</v>
      </c>
      <c r="C1314" t="s">
        <v>2593</v>
      </c>
      <c r="D1314" t="s">
        <v>1773</v>
      </c>
      <c r="E1314" t="s">
        <v>1938</v>
      </c>
      <c r="F1314" s="3">
        <v>44257</v>
      </c>
      <c r="G1314" s="2">
        <v>80</v>
      </c>
      <c r="H1314" s="1">
        <v>1716.93</v>
      </c>
      <c r="I1314" t="s">
        <v>2456</v>
      </c>
      <c r="J1314" s="2">
        <v>1</v>
      </c>
      <c r="K1314" t="s">
        <v>13</v>
      </c>
      <c r="L1314" t="s">
        <v>21</v>
      </c>
      <c r="M1314" t="s">
        <v>1774</v>
      </c>
    </row>
    <row r="1315" spans="1:13" x14ac:dyDescent="0.25">
      <c r="A1315" s="5">
        <v>44337</v>
      </c>
      <c r="B1315" s="2">
        <v>0</v>
      </c>
      <c r="C1315" t="s">
        <v>2594</v>
      </c>
      <c r="D1315" t="s">
        <v>1773</v>
      </c>
      <c r="E1315" t="s">
        <v>1938</v>
      </c>
      <c r="F1315" s="3">
        <v>44267</v>
      </c>
      <c r="G1315" s="2">
        <v>70</v>
      </c>
      <c r="H1315" s="1">
        <v>464.91</v>
      </c>
      <c r="I1315" t="s">
        <v>2595</v>
      </c>
      <c r="J1315" s="2">
        <v>1</v>
      </c>
      <c r="K1315" t="s">
        <v>13</v>
      </c>
      <c r="L1315" t="s">
        <v>21</v>
      </c>
      <c r="M1315" t="s">
        <v>1774</v>
      </c>
    </row>
    <row r="1316" spans="1:13" x14ac:dyDescent="0.25">
      <c r="A1316" s="5">
        <v>44337</v>
      </c>
      <c r="B1316" s="2">
        <v>0</v>
      </c>
      <c r="C1316" t="s">
        <v>2596</v>
      </c>
      <c r="D1316" t="s">
        <v>1773</v>
      </c>
      <c r="E1316" t="s">
        <v>1938</v>
      </c>
      <c r="F1316" s="3">
        <v>44272</v>
      </c>
      <c r="G1316" s="2">
        <v>65</v>
      </c>
      <c r="H1316" s="1">
        <v>989.18</v>
      </c>
      <c r="I1316" t="s">
        <v>2597</v>
      </c>
      <c r="J1316" s="2">
        <v>1</v>
      </c>
      <c r="K1316" t="s">
        <v>13</v>
      </c>
      <c r="L1316" t="s">
        <v>21</v>
      </c>
      <c r="M1316" t="s">
        <v>1774</v>
      </c>
    </row>
    <row r="1317" spans="1:13" x14ac:dyDescent="0.25">
      <c r="A1317" s="5">
        <v>44337</v>
      </c>
      <c r="B1317" s="2">
        <v>0</v>
      </c>
      <c r="C1317" t="s">
        <v>2598</v>
      </c>
      <c r="D1317" t="s">
        <v>1757</v>
      </c>
      <c r="E1317" t="s">
        <v>1758</v>
      </c>
      <c r="F1317" s="3">
        <v>44257</v>
      </c>
      <c r="G1317" s="2">
        <v>80</v>
      </c>
      <c r="H1317" s="1">
        <v>534.17999999999995</v>
      </c>
      <c r="I1317" t="s">
        <v>2329</v>
      </c>
      <c r="J1317" s="2">
        <v>1</v>
      </c>
      <c r="K1317" t="s">
        <v>13</v>
      </c>
      <c r="L1317" t="s">
        <v>21</v>
      </c>
      <c r="M1317" t="s">
        <v>1165</v>
      </c>
    </row>
    <row r="1318" spans="1:13" x14ac:dyDescent="0.25">
      <c r="A1318" s="5">
        <v>44337</v>
      </c>
      <c r="B1318" s="2">
        <v>0</v>
      </c>
      <c r="C1318" t="s">
        <v>2599</v>
      </c>
      <c r="D1318" t="s">
        <v>1757</v>
      </c>
      <c r="E1318" t="s">
        <v>1758</v>
      </c>
      <c r="F1318" s="3">
        <v>44257</v>
      </c>
      <c r="G1318" s="2">
        <v>80</v>
      </c>
      <c r="H1318" s="1">
        <v>1565.97</v>
      </c>
      <c r="I1318" t="s">
        <v>2331</v>
      </c>
      <c r="J1318" s="2">
        <v>1</v>
      </c>
      <c r="K1318" t="s">
        <v>13</v>
      </c>
      <c r="L1318" t="s">
        <v>21</v>
      </c>
      <c r="M1318" t="s">
        <v>1165</v>
      </c>
    </row>
    <row r="1319" spans="1:13" x14ac:dyDescent="0.25">
      <c r="A1319" s="5">
        <v>44337</v>
      </c>
      <c r="B1319" s="2">
        <v>0</v>
      </c>
      <c r="C1319" t="s">
        <v>2600</v>
      </c>
      <c r="D1319" t="s">
        <v>1757</v>
      </c>
      <c r="E1319" t="s">
        <v>1758</v>
      </c>
      <c r="F1319" s="3">
        <v>44267</v>
      </c>
      <c r="G1319" s="2">
        <v>70</v>
      </c>
      <c r="H1319" s="1">
        <v>438.76</v>
      </c>
      <c r="I1319" t="s">
        <v>2601</v>
      </c>
      <c r="J1319" s="2">
        <v>1</v>
      </c>
      <c r="K1319" t="s">
        <v>13</v>
      </c>
      <c r="L1319" t="s">
        <v>21</v>
      </c>
      <c r="M1319" t="s">
        <v>1165</v>
      </c>
    </row>
    <row r="1320" spans="1:13" x14ac:dyDescent="0.25">
      <c r="A1320" s="5">
        <v>44337</v>
      </c>
      <c r="B1320" s="2">
        <v>0</v>
      </c>
      <c r="C1320" t="s">
        <v>2602</v>
      </c>
      <c r="D1320" t="s">
        <v>2306</v>
      </c>
      <c r="E1320" t="s">
        <v>2307</v>
      </c>
      <c r="F1320" s="3">
        <v>44319</v>
      </c>
      <c r="G1320" s="2">
        <v>18</v>
      </c>
      <c r="H1320" s="1">
        <v>375.31</v>
      </c>
      <c r="I1320" t="s">
        <v>2504</v>
      </c>
      <c r="J1320" s="2">
        <v>1</v>
      </c>
      <c r="K1320" t="s">
        <v>13</v>
      </c>
      <c r="L1320" t="s">
        <v>1682</v>
      </c>
      <c r="M1320" t="s">
        <v>15</v>
      </c>
    </row>
    <row r="1321" spans="1:13" x14ac:dyDescent="0.25">
      <c r="A1321" s="5">
        <v>44337</v>
      </c>
      <c r="B1321" s="2">
        <v>0</v>
      </c>
      <c r="C1321" t="s">
        <v>2603</v>
      </c>
      <c r="D1321" t="s">
        <v>2306</v>
      </c>
      <c r="E1321" t="s">
        <v>2307</v>
      </c>
      <c r="F1321" s="3">
        <v>44323</v>
      </c>
      <c r="G1321" s="2">
        <v>14</v>
      </c>
      <c r="H1321" s="1">
        <v>328.96</v>
      </c>
      <c r="I1321" t="s">
        <v>2604</v>
      </c>
      <c r="J1321" s="2">
        <v>1</v>
      </c>
      <c r="K1321" t="s">
        <v>13</v>
      </c>
      <c r="L1321" t="s">
        <v>1682</v>
      </c>
      <c r="M1321" t="s">
        <v>15</v>
      </c>
    </row>
    <row r="1322" spans="1:13" x14ac:dyDescent="0.25">
      <c r="A1322" s="5">
        <v>44337</v>
      </c>
      <c r="B1322" s="2">
        <v>0</v>
      </c>
      <c r="C1322" t="s">
        <v>2605</v>
      </c>
      <c r="D1322" t="s">
        <v>2232</v>
      </c>
      <c r="E1322" t="s">
        <v>2233</v>
      </c>
      <c r="F1322" s="3">
        <v>44267</v>
      </c>
      <c r="G1322" s="2">
        <v>70</v>
      </c>
      <c r="H1322" s="1">
        <v>309.52</v>
      </c>
      <c r="I1322" t="s">
        <v>2463</v>
      </c>
      <c r="J1322" s="2">
        <v>1</v>
      </c>
      <c r="K1322" t="s">
        <v>13</v>
      </c>
      <c r="L1322" t="s">
        <v>2126</v>
      </c>
      <c r="M1322" t="s">
        <v>27</v>
      </c>
    </row>
    <row r="1323" spans="1:13" x14ac:dyDescent="0.25">
      <c r="A1323" s="5">
        <v>44338</v>
      </c>
      <c r="B1323" s="2">
        <v>0</v>
      </c>
      <c r="C1323" t="s">
        <v>2606</v>
      </c>
      <c r="D1323" t="s">
        <v>1757</v>
      </c>
      <c r="E1323" t="s">
        <v>1758</v>
      </c>
      <c r="F1323" s="3">
        <v>44253</v>
      </c>
      <c r="G1323" s="2">
        <v>85</v>
      </c>
      <c r="H1323" s="1">
        <v>555.48</v>
      </c>
      <c r="I1323" t="s">
        <v>2473</v>
      </c>
      <c r="J1323" s="2">
        <v>1</v>
      </c>
      <c r="K1323" t="s">
        <v>13</v>
      </c>
      <c r="L1323" t="s">
        <v>21</v>
      </c>
      <c r="M1323" t="s">
        <v>1165</v>
      </c>
    </row>
    <row r="1324" spans="1:13" x14ac:dyDescent="0.25">
      <c r="A1324" s="5">
        <v>44338</v>
      </c>
      <c r="B1324" s="2">
        <v>0</v>
      </c>
      <c r="C1324" t="s">
        <v>2607</v>
      </c>
      <c r="D1324" t="s">
        <v>1757</v>
      </c>
      <c r="E1324" t="s">
        <v>1758</v>
      </c>
      <c r="F1324" s="3">
        <v>44258</v>
      </c>
      <c r="G1324" s="2">
        <v>80</v>
      </c>
      <c r="H1324" s="1">
        <v>424.37</v>
      </c>
      <c r="I1324" t="s">
        <v>2475</v>
      </c>
      <c r="J1324" s="2">
        <v>1</v>
      </c>
      <c r="K1324" t="s">
        <v>13</v>
      </c>
      <c r="L1324" t="s">
        <v>21</v>
      </c>
      <c r="M1324" t="s">
        <v>1165</v>
      </c>
    </row>
    <row r="1325" spans="1:13" x14ac:dyDescent="0.25">
      <c r="A1325" s="5">
        <v>44338</v>
      </c>
      <c r="B1325" s="2">
        <v>0</v>
      </c>
      <c r="C1325" t="s">
        <v>2608</v>
      </c>
      <c r="D1325" t="s">
        <v>1757</v>
      </c>
      <c r="E1325" t="s">
        <v>1758</v>
      </c>
      <c r="F1325" s="3">
        <v>44263</v>
      </c>
      <c r="G1325" s="2">
        <v>75</v>
      </c>
      <c r="H1325" s="1">
        <v>1012.43</v>
      </c>
      <c r="I1325" t="s">
        <v>2609</v>
      </c>
      <c r="J1325" s="2">
        <v>1</v>
      </c>
      <c r="K1325" t="s">
        <v>13</v>
      </c>
      <c r="L1325" t="s">
        <v>21</v>
      </c>
      <c r="M1325" t="s">
        <v>1165</v>
      </c>
    </row>
    <row r="1326" spans="1:13" x14ac:dyDescent="0.25">
      <c r="A1326" s="5">
        <v>44338</v>
      </c>
      <c r="B1326" s="2">
        <v>0</v>
      </c>
      <c r="C1326" t="s">
        <v>2610</v>
      </c>
      <c r="D1326" t="s">
        <v>2306</v>
      </c>
      <c r="E1326" t="s">
        <v>2307</v>
      </c>
      <c r="F1326" s="3">
        <v>44313</v>
      </c>
      <c r="G1326" s="2">
        <v>25</v>
      </c>
      <c r="H1326" s="1">
        <v>299.81</v>
      </c>
      <c r="I1326" t="s">
        <v>2513</v>
      </c>
      <c r="J1326" s="2">
        <v>1</v>
      </c>
      <c r="K1326" t="s">
        <v>13</v>
      </c>
      <c r="L1326" t="s">
        <v>1682</v>
      </c>
      <c r="M1326" t="s">
        <v>15</v>
      </c>
    </row>
    <row r="1327" spans="1:13" x14ac:dyDescent="0.25">
      <c r="A1327" s="5">
        <v>44338</v>
      </c>
      <c r="B1327" s="2">
        <v>0</v>
      </c>
      <c r="C1327" t="s">
        <v>2611</v>
      </c>
      <c r="D1327" t="s">
        <v>2047</v>
      </c>
      <c r="E1327" t="s">
        <v>2005</v>
      </c>
      <c r="F1327" s="3">
        <v>44273</v>
      </c>
      <c r="G1327" s="2">
        <v>65</v>
      </c>
      <c r="H1327" s="1">
        <v>354.17</v>
      </c>
      <c r="I1327" t="s">
        <v>2337</v>
      </c>
      <c r="J1327" s="2">
        <v>1</v>
      </c>
      <c r="K1327" t="s">
        <v>13</v>
      </c>
      <c r="L1327" t="s">
        <v>1682</v>
      </c>
      <c r="M1327" t="s">
        <v>15</v>
      </c>
    </row>
    <row r="1328" spans="1:13" x14ac:dyDescent="0.25">
      <c r="A1328" s="5">
        <v>44339</v>
      </c>
      <c r="B1328" s="2">
        <v>0</v>
      </c>
      <c r="C1328" t="s">
        <v>2612</v>
      </c>
      <c r="D1328" t="s">
        <v>1761</v>
      </c>
      <c r="E1328" t="s">
        <v>1762</v>
      </c>
      <c r="F1328" s="3">
        <v>44249</v>
      </c>
      <c r="G1328" s="2">
        <v>90</v>
      </c>
      <c r="H1328" s="1">
        <v>1011.3</v>
      </c>
      <c r="I1328" t="s">
        <v>2313</v>
      </c>
      <c r="J1328" s="2">
        <v>1</v>
      </c>
      <c r="K1328" t="s">
        <v>13</v>
      </c>
      <c r="L1328" t="s">
        <v>21</v>
      </c>
      <c r="M1328" t="s">
        <v>1165</v>
      </c>
    </row>
    <row r="1329" spans="1:13" x14ac:dyDescent="0.25">
      <c r="A1329" s="5">
        <v>44339</v>
      </c>
      <c r="B1329" s="2">
        <v>0</v>
      </c>
      <c r="C1329" t="s">
        <v>2613</v>
      </c>
      <c r="D1329" t="s">
        <v>1761</v>
      </c>
      <c r="E1329" t="s">
        <v>1762</v>
      </c>
      <c r="F1329" s="3">
        <v>44254</v>
      </c>
      <c r="G1329" s="2">
        <v>85</v>
      </c>
      <c r="H1329" s="1">
        <v>444.66</v>
      </c>
      <c r="I1329" t="s">
        <v>2483</v>
      </c>
      <c r="J1329" s="2">
        <v>1</v>
      </c>
      <c r="K1329" t="s">
        <v>13</v>
      </c>
      <c r="L1329" t="s">
        <v>21</v>
      </c>
      <c r="M1329" t="s">
        <v>1165</v>
      </c>
    </row>
    <row r="1330" spans="1:13" x14ac:dyDescent="0.25">
      <c r="A1330" s="5">
        <v>44339</v>
      </c>
      <c r="B1330" s="2">
        <v>0</v>
      </c>
      <c r="C1330" t="s">
        <v>2614</v>
      </c>
      <c r="D1330" t="s">
        <v>2112</v>
      </c>
      <c r="E1330" t="s">
        <v>2204</v>
      </c>
      <c r="F1330" s="3">
        <v>44254</v>
      </c>
      <c r="G1330" s="2">
        <v>85</v>
      </c>
      <c r="H1330" s="1">
        <v>2697.69</v>
      </c>
      <c r="I1330" t="s">
        <v>2485</v>
      </c>
      <c r="J1330" s="2">
        <v>1</v>
      </c>
      <c r="K1330" t="s">
        <v>13</v>
      </c>
      <c r="L1330" t="s">
        <v>830</v>
      </c>
      <c r="M1330" t="s">
        <v>1213</v>
      </c>
    </row>
    <row r="1331" spans="1:13" x14ac:dyDescent="0.25">
      <c r="A1331" s="5">
        <v>44339</v>
      </c>
      <c r="B1331" s="2">
        <v>0</v>
      </c>
      <c r="C1331" t="s">
        <v>2615</v>
      </c>
      <c r="D1331" t="s">
        <v>1773</v>
      </c>
      <c r="E1331" t="s">
        <v>1938</v>
      </c>
      <c r="F1331" s="3">
        <v>44254</v>
      </c>
      <c r="G1331" s="2">
        <v>85</v>
      </c>
      <c r="H1331" s="1">
        <v>406.81</v>
      </c>
      <c r="I1331" t="s">
        <v>2487</v>
      </c>
      <c r="J1331" s="2">
        <v>1</v>
      </c>
      <c r="K1331" t="s">
        <v>13</v>
      </c>
      <c r="L1331" t="s">
        <v>21</v>
      </c>
      <c r="M1331" t="s">
        <v>1774</v>
      </c>
    </row>
    <row r="1332" spans="1:13" x14ac:dyDescent="0.25">
      <c r="A1332" s="5">
        <v>44339</v>
      </c>
      <c r="B1332" s="2">
        <v>0</v>
      </c>
      <c r="C1332" t="s">
        <v>2616</v>
      </c>
      <c r="D1332" t="s">
        <v>1757</v>
      </c>
      <c r="E1332" t="s">
        <v>1758</v>
      </c>
      <c r="F1332" s="3">
        <v>44259</v>
      </c>
      <c r="G1332" s="2">
        <v>80</v>
      </c>
      <c r="H1332" s="1">
        <v>986.28</v>
      </c>
      <c r="I1332" t="s">
        <v>2489</v>
      </c>
      <c r="J1332" s="2">
        <v>1</v>
      </c>
      <c r="K1332" t="s">
        <v>13</v>
      </c>
      <c r="L1332" t="s">
        <v>21</v>
      </c>
      <c r="M1332" t="s">
        <v>1165</v>
      </c>
    </row>
    <row r="1333" spans="1:13" x14ac:dyDescent="0.25">
      <c r="A1333" s="5">
        <v>44339</v>
      </c>
      <c r="B1333" s="2">
        <v>0</v>
      </c>
      <c r="C1333" t="s">
        <v>2617</v>
      </c>
      <c r="D1333" t="s">
        <v>2232</v>
      </c>
      <c r="E1333" t="s">
        <v>2233</v>
      </c>
      <c r="F1333" s="3">
        <v>44264</v>
      </c>
      <c r="G1333" s="2">
        <v>75</v>
      </c>
      <c r="H1333" s="1">
        <v>801.26</v>
      </c>
      <c r="I1333" t="s">
        <v>2276</v>
      </c>
      <c r="J1333" s="2">
        <v>1</v>
      </c>
      <c r="K1333" t="s">
        <v>13</v>
      </c>
      <c r="L1333" t="s">
        <v>2126</v>
      </c>
      <c r="M1333" t="s">
        <v>27</v>
      </c>
    </row>
    <row r="1334" spans="1:13" x14ac:dyDescent="0.25">
      <c r="A1334" s="5">
        <v>44340</v>
      </c>
      <c r="B1334" s="2">
        <v>0</v>
      </c>
      <c r="C1334" t="s">
        <v>2618</v>
      </c>
      <c r="D1334" t="s">
        <v>2478</v>
      </c>
      <c r="E1334" t="s">
        <v>2479</v>
      </c>
      <c r="F1334" s="3">
        <v>44322</v>
      </c>
      <c r="G1334" s="2">
        <v>18</v>
      </c>
      <c r="H1334" s="1">
        <v>401.85</v>
      </c>
      <c r="I1334" t="s">
        <v>2535</v>
      </c>
      <c r="J1334" s="2">
        <v>1</v>
      </c>
      <c r="K1334" t="s">
        <v>13</v>
      </c>
      <c r="L1334" t="s">
        <v>671</v>
      </c>
      <c r="M1334" t="s">
        <v>15</v>
      </c>
    </row>
    <row r="1335" spans="1:13" x14ac:dyDescent="0.25">
      <c r="A1335" s="5">
        <v>44340</v>
      </c>
      <c r="B1335" s="2">
        <v>0</v>
      </c>
      <c r="C1335" t="s">
        <v>2619</v>
      </c>
      <c r="D1335" t="s">
        <v>1761</v>
      </c>
      <c r="E1335" t="s">
        <v>1762</v>
      </c>
      <c r="F1335" s="3">
        <v>44228</v>
      </c>
      <c r="G1335" s="2">
        <v>112</v>
      </c>
      <c r="H1335" s="1">
        <v>1778.34</v>
      </c>
      <c r="I1335" t="s">
        <v>2238</v>
      </c>
      <c r="J1335" s="2">
        <v>1</v>
      </c>
      <c r="K1335" t="s">
        <v>13</v>
      </c>
      <c r="L1335" t="s">
        <v>21</v>
      </c>
      <c r="M1335" t="s">
        <v>1165</v>
      </c>
    </row>
    <row r="1336" spans="1:13" x14ac:dyDescent="0.25">
      <c r="A1336" s="5">
        <v>44340</v>
      </c>
      <c r="B1336" s="2">
        <v>0</v>
      </c>
      <c r="C1336" t="s">
        <v>2620</v>
      </c>
      <c r="D1336" t="s">
        <v>1773</v>
      </c>
      <c r="E1336" t="s">
        <v>1938</v>
      </c>
      <c r="F1336" s="3">
        <v>44230</v>
      </c>
      <c r="G1336" s="2">
        <v>110</v>
      </c>
      <c r="H1336" s="1">
        <v>1140.3499999999999</v>
      </c>
      <c r="I1336" t="s">
        <v>2248</v>
      </c>
      <c r="J1336" s="2">
        <v>1</v>
      </c>
      <c r="K1336" t="s">
        <v>13</v>
      </c>
      <c r="L1336" t="s">
        <v>21</v>
      </c>
      <c r="M1336" t="s">
        <v>1774</v>
      </c>
    </row>
    <row r="1337" spans="1:13" x14ac:dyDescent="0.25">
      <c r="A1337" s="5">
        <v>44340</v>
      </c>
      <c r="B1337" s="2">
        <v>0</v>
      </c>
      <c r="C1337" t="s">
        <v>2621</v>
      </c>
      <c r="D1337" t="s">
        <v>1773</v>
      </c>
      <c r="E1337" t="s">
        <v>1938</v>
      </c>
      <c r="F1337" s="3">
        <v>44238</v>
      </c>
      <c r="G1337" s="2">
        <v>102</v>
      </c>
      <c r="H1337" s="1">
        <v>679.63</v>
      </c>
      <c r="I1337" t="s">
        <v>2268</v>
      </c>
      <c r="J1337" s="2">
        <v>1</v>
      </c>
      <c r="K1337" t="s">
        <v>13</v>
      </c>
      <c r="L1337" t="s">
        <v>21</v>
      </c>
      <c r="M1337" t="s">
        <v>1774</v>
      </c>
    </row>
    <row r="1338" spans="1:13" x14ac:dyDescent="0.25">
      <c r="A1338" s="5">
        <v>44340</v>
      </c>
      <c r="B1338" s="2">
        <v>0</v>
      </c>
      <c r="C1338" t="s">
        <v>2622</v>
      </c>
      <c r="D1338" t="s">
        <v>1773</v>
      </c>
      <c r="E1338" t="s">
        <v>1938</v>
      </c>
      <c r="F1338" s="3">
        <v>44265</v>
      </c>
      <c r="G1338" s="2">
        <v>75</v>
      </c>
      <c r="H1338" s="1">
        <v>575.77</v>
      </c>
      <c r="I1338" t="s">
        <v>2623</v>
      </c>
      <c r="J1338" s="2">
        <v>1</v>
      </c>
      <c r="K1338" t="s">
        <v>13</v>
      </c>
      <c r="L1338" t="s">
        <v>21</v>
      </c>
      <c r="M1338" t="s">
        <v>1774</v>
      </c>
    </row>
    <row r="1339" spans="1:13" x14ac:dyDescent="0.25">
      <c r="A1339" s="5">
        <v>44340</v>
      </c>
      <c r="B1339" s="2">
        <v>0</v>
      </c>
      <c r="C1339" t="s">
        <v>2624</v>
      </c>
      <c r="D1339" t="s">
        <v>1757</v>
      </c>
      <c r="E1339" t="s">
        <v>1758</v>
      </c>
      <c r="F1339" s="3">
        <v>44228</v>
      </c>
      <c r="G1339" s="2">
        <v>112</v>
      </c>
      <c r="H1339" s="1">
        <v>1060.49</v>
      </c>
      <c r="I1339" t="s">
        <v>2239</v>
      </c>
      <c r="J1339" s="2">
        <v>1</v>
      </c>
      <c r="K1339" t="s">
        <v>13</v>
      </c>
      <c r="L1339" t="s">
        <v>21</v>
      </c>
      <c r="M1339" t="s">
        <v>1165</v>
      </c>
    </row>
    <row r="1340" spans="1:13" x14ac:dyDescent="0.25">
      <c r="A1340" s="5">
        <v>44340</v>
      </c>
      <c r="B1340" s="2">
        <v>0</v>
      </c>
      <c r="C1340" t="s">
        <v>2625</v>
      </c>
      <c r="D1340" t="s">
        <v>2306</v>
      </c>
      <c r="E1340" t="s">
        <v>2307</v>
      </c>
      <c r="F1340" s="3">
        <v>44322</v>
      </c>
      <c r="G1340" s="2">
        <v>18</v>
      </c>
      <c r="H1340" s="1">
        <v>473.26</v>
      </c>
      <c r="I1340" t="s">
        <v>2559</v>
      </c>
      <c r="J1340" s="2">
        <v>1</v>
      </c>
      <c r="K1340" t="s">
        <v>13</v>
      </c>
      <c r="L1340" t="s">
        <v>1682</v>
      </c>
      <c r="M1340" t="s">
        <v>15</v>
      </c>
    </row>
    <row r="1341" spans="1:13" x14ac:dyDescent="0.25">
      <c r="A1341" s="5">
        <v>44340</v>
      </c>
      <c r="B1341" s="2">
        <v>0</v>
      </c>
      <c r="C1341" t="s">
        <v>2626</v>
      </c>
      <c r="D1341" t="s">
        <v>2047</v>
      </c>
      <c r="E1341" t="s">
        <v>2005</v>
      </c>
      <c r="F1341" s="3">
        <v>44270</v>
      </c>
      <c r="G1341" s="2">
        <v>70</v>
      </c>
      <c r="H1341" s="1">
        <v>244.49</v>
      </c>
      <c r="I1341" t="s">
        <v>2362</v>
      </c>
      <c r="J1341" s="2">
        <v>1</v>
      </c>
      <c r="K1341" t="s">
        <v>13</v>
      </c>
      <c r="L1341" t="s">
        <v>1682</v>
      </c>
      <c r="M1341" t="s">
        <v>15</v>
      </c>
    </row>
    <row r="1342" spans="1:13" x14ac:dyDescent="0.25">
      <c r="A1342" s="5">
        <v>44341</v>
      </c>
      <c r="B1342" s="2">
        <v>0</v>
      </c>
      <c r="C1342" t="s">
        <v>2627</v>
      </c>
      <c r="D1342" t="s">
        <v>1761</v>
      </c>
      <c r="E1342" t="s">
        <v>1762</v>
      </c>
      <c r="F1342" s="3">
        <v>44266</v>
      </c>
      <c r="G1342" s="2">
        <v>75</v>
      </c>
      <c r="H1342" s="1">
        <v>802.35</v>
      </c>
      <c r="I1342" t="s">
        <v>2628</v>
      </c>
      <c r="J1342" s="2">
        <v>1</v>
      </c>
      <c r="K1342" t="s">
        <v>13</v>
      </c>
      <c r="L1342" t="s">
        <v>21</v>
      </c>
      <c r="M1342" t="s">
        <v>1165</v>
      </c>
    </row>
    <row r="1343" spans="1:13" x14ac:dyDescent="0.25">
      <c r="A1343" s="5">
        <v>44341</v>
      </c>
      <c r="B1343" s="2">
        <v>0</v>
      </c>
      <c r="C1343" t="s">
        <v>2629</v>
      </c>
      <c r="D1343" t="s">
        <v>1757</v>
      </c>
      <c r="E1343" t="s">
        <v>1758</v>
      </c>
      <c r="F1343" s="3">
        <v>44266</v>
      </c>
      <c r="G1343" s="2">
        <v>75</v>
      </c>
      <c r="H1343" s="1">
        <v>1093.75</v>
      </c>
      <c r="I1343" t="s">
        <v>2511</v>
      </c>
      <c r="J1343" s="2">
        <v>1</v>
      </c>
      <c r="K1343" t="s">
        <v>13</v>
      </c>
      <c r="L1343" t="s">
        <v>21</v>
      </c>
      <c r="M1343" t="s">
        <v>1165</v>
      </c>
    </row>
    <row r="1344" spans="1:13" x14ac:dyDescent="0.25">
      <c r="A1344" s="5">
        <v>44341</v>
      </c>
      <c r="B1344" s="2">
        <v>0</v>
      </c>
      <c r="C1344" t="s">
        <v>2630</v>
      </c>
      <c r="D1344" t="s">
        <v>1757</v>
      </c>
      <c r="E1344" t="s">
        <v>1758</v>
      </c>
      <c r="F1344" s="3">
        <v>44271</v>
      </c>
      <c r="G1344" s="2">
        <v>70</v>
      </c>
      <c r="H1344" s="1">
        <v>853.78</v>
      </c>
      <c r="I1344" t="s">
        <v>2631</v>
      </c>
      <c r="J1344" s="2">
        <v>1</v>
      </c>
      <c r="K1344" t="s">
        <v>13</v>
      </c>
      <c r="L1344" t="s">
        <v>21</v>
      </c>
      <c r="M1344" t="s">
        <v>1165</v>
      </c>
    </row>
    <row r="1345" spans="1:13" x14ac:dyDescent="0.25">
      <c r="A1345" s="5">
        <v>44341</v>
      </c>
      <c r="B1345" s="2">
        <v>0</v>
      </c>
      <c r="C1345" t="s">
        <v>2632</v>
      </c>
      <c r="D1345" t="s">
        <v>2443</v>
      </c>
      <c r="E1345" t="s">
        <v>2444</v>
      </c>
      <c r="F1345" s="3">
        <v>44281</v>
      </c>
      <c r="G1345" s="2">
        <v>60</v>
      </c>
      <c r="H1345" s="1">
        <v>299.70999999999998</v>
      </c>
      <c r="I1345" t="s">
        <v>2633</v>
      </c>
      <c r="J1345" s="2">
        <v>1</v>
      </c>
      <c r="K1345" t="s">
        <v>13</v>
      </c>
      <c r="L1345" t="s">
        <v>14</v>
      </c>
      <c r="M1345" t="s">
        <v>15</v>
      </c>
    </row>
    <row r="1346" spans="1:13" x14ac:dyDescent="0.25">
      <c r="A1346" s="5">
        <v>44342</v>
      </c>
      <c r="B1346" s="2">
        <v>0</v>
      </c>
      <c r="C1346" t="s">
        <v>2634</v>
      </c>
      <c r="D1346" t="s">
        <v>2350</v>
      </c>
      <c r="E1346" t="s">
        <v>2351</v>
      </c>
      <c r="F1346" s="3">
        <v>44292</v>
      </c>
      <c r="G1346" s="2">
        <v>50</v>
      </c>
      <c r="H1346" s="1">
        <v>339.02</v>
      </c>
      <c r="I1346" t="s">
        <v>2635</v>
      </c>
      <c r="J1346" s="2">
        <v>1</v>
      </c>
      <c r="K1346" t="s">
        <v>13</v>
      </c>
      <c r="L1346" t="s">
        <v>695</v>
      </c>
      <c r="M1346" t="s">
        <v>15</v>
      </c>
    </row>
    <row r="1347" spans="1:13" x14ac:dyDescent="0.25">
      <c r="A1347" s="5">
        <v>44342</v>
      </c>
      <c r="B1347" s="2">
        <v>0</v>
      </c>
      <c r="C1347" t="s">
        <v>2636</v>
      </c>
      <c r="D1347" t="s">
        <v>1761</v>
      </c>
      <c r="E1347" t="s">
        <v>1762</v>
      </c>
      <c r="F1347" s="3">
        <v>44222</v>
      </c>
      <c r="G1347" s="2">
        <v>120</v>
      </c>
      <c r="H1347" s="1">
        <v>1849.95</v>
      </c>
      <c r="I1347" t="s">
        <v>2210</v>
      </c>
      <c r="J1347" s="2">
        <v>1</v>
      </c>
      <c r="K1347" t="s">
        <v>13</v>
      </c>
      <c r="L1347" t="s">
        <v>21</v>
      </c>
      <c r="M1347" t="s">
        <v>1165</v>
      </c>
    </row>
    <row r="1348" spans="1:13" x14ac:dyDescent="0.25">
      <c r="A1348" s="5">
        <v>44342</v>
      </c>
      <c r="B1348" s="2">
        <v>0</v>
      </c>
      <c r="C1348" t="s">
        <v>2637</v>
      </c>
      <c r="D1348" t="s">
        <v>1761</v>
      </c>
      <c r="E1348" t="s">
        <v>1762</v>
      </c>
      <c r="F1348" s="3">
        <v>44257</v>
      </c>
      <c r="G1348" s="2">
        <v>85</v>
      </c>
      <c r="H1348" s="1">
        <v>534.17999999999995</v>
      </c>
      <c r="I1348" t="s">
        <v>2377</v>
      </c>
      <c r="J1348" s="2">
        <v>1</v>
      </c>
      <c r="K1348" t="s">
        <v>13</v>
      </c>
      <c r="L1348" t="s">
        <v>21</v>
      </c>
      <c r="M1348" t="s">
        <v>1165</v>
      </c>
    </row>
    <row r="1349" spans="1:13" x14ac:dyDescent="0.25">
      <c r="A1349" s="5">
        <v>44342</v>
      </c>
      <c r="B1349" s="2">
        <v>0</v>
      </c>
      <c r="C1349" t="s">
        <v>2638</v>
      </c>
      <c r="D1349" t="s">
        <v>1761</v>
      </c>
      <c r="E1349" t="s">
        <v>1762</v>
      </c>
      <c r="F1349" s="3">
        <v>44272</v>
      </c>
      <c r="G1349" s="2">
        <v>70</v>
      </c>
      <c r="H1349" s="1">
        <v>1005</v>
      </c>
      <c r="I1349" t="s">
        <v>2639</v>
      </c>
      <c r="J1349" s="2">
        <v>1</v>
      </c>
      <c r="K1349" t="s">
        <v>13</v>
      </c>
      <c r="L1349" t="s">
        <v>21</v>
      </c>
      <c r="M1349" t="s">
        <v>1165</v>
      </c>
    </row>
    <row r="1350" spans="1:13" x14ac:dyDescent="0.25">
      <c r="A1350" s="5">
        <v>44342</v>
      </c>
      <c r="B1350" s="2">
        <v>0</v>
      </c>
      <c r="C1350" t="s">
        <v>2641</v>
      </c>
      <c r="D1350" t="s">
        <v>1757</v>
      </c>
      <c r="E1350" t="s">
        <v>1758</v>
      </c>
      <c r="F1350" s="3">
        <v>44223</v>
      </c>
      <c r="G1350" s="2">
        <v>119</v>
      </c>
      <c r="H1350" s="1">
        <v>973.06</v>
      </c>
      <c r="I1350" t="s">
        <v>2252</v>
      </c>
      <c r="J1350" s="2">
        <v>1</v>
      </c>
      <c r="K1350" t="s">
        <v>13</v>
      </c>
      <c r="L1350" t="s">
        <v>21</v>
      </c>
      <c r="M1350" t="s">
        <v>1165</v>
      </c>
    </row>
    <row r="1351" spans="1:13" x14ac:dyDescent="0.25">
      <c r="A1351" s="5">
        <v>44342</v>
      </c>
      <c r="B1351" s="2">
        <v>0</v>
      </c>
      <c r="C1351" t="s">
        <v>2642</v>
      </c>
      <c r="D1351" t="s">
        <v>1757</v>
      </c>
      <c r="E1351" t="s">
        <v>1758</v>
      </c>
      <c r="F1351" s="3">
        <v>44252</v>
      </c>
      <c r="G1351" s="2">
        <v>90</v>
      </c>
      <c r="H1351" s="1">
        <v>1018.42</v>
      </c>
      <c r="I1351" t="s">
        <v>2319</v>
      </c>
      <c r="J1351" s="2">
        <v>1</v>
      </c>
      <c r="K1351" t="s">
        <v>13</v>
      </c>
      <c r="L1351" t="s">
        <v>21</v>
      </c>
      <c r="M1351" t="s">
        <v>1165</v>
      </c>
    </row>
    <row r="1352" spans="1:13" x14ac:dyDescent="0.25">
      <c r="A1352" s="5">
        <v>44342</v>
      </c>
      <c r="B1352" s="2">
        <v>0</v>
      </c>
      <c r="C1352" t="s">
        <v>2643</v>
      </c>
      <c r="D1352" t="s">
        <v>1757</v>
      </c>
      <c r="E1352" t="s">
        <v>1758</v>
      </c>
      <c r="F1352" s="3">
        <v>44272</v>
      </c>
      <c r="G1352" s="2">
        <v>70</v>
      </c>
      <c r="H1352" s="1">
        <v>801.9</v>
      </c>
      <c r="I1352" t="s">
        <v>2527</v>
      </c>
      <c r="J1352" s="2">
        <v>1</v>
      </c>
      <c r="K1352" t="s">
        <v>13</v>
      </c>
      <c r="L1352" t="s">
        <v>21</v>
      </c>
      <c r="M1352" t="s">
        <v>1165</v>
      </c>
    </row>
    <row r="1353" spans="1:13" x14ac:dyDescent="0.25">
      <c r="A1353" s="5">
        <v>44342</v>
      </c>
      <c r="B1353" s="2">
        <v>0</v>
      </c>
      <c r="C1353" t="s">
        <v>2644</v>
      </c>
      <c r="D1353" t="s">
        <v>1748</v>
      </c>
      <c r="E1353" t="s">
        <v>1840</v>
      </c>
      <c r="F1353" s="3">
        <v>44312</v>
      </c>
      <c r="G1353" s="2">
        <v>30</v>
      </c>
      <c r="H1353" s="1">
        <v>294.42</v>
      </c>
      <c r="I1353" t="s">
        <v>2645</v>
      </c>
      <c r="J1353" s="2">
        <v>1</v>
      </c>
      <c r="K1353" t="s">
        <v>13</v>
      </c>
      <c r="L1353" t="s">
        <v>1682</v>
      </c>
      <c r="M1353" t="s">
        <v>15</v>
      </c>
    </row>
    <row r="1354" spans="1:13" x14ac:dyDescent="0.25">
      <c r="A1354" s="5">
        <v>44342</v>
      </c>
      <c r="B1354" s="2">
        <v>0</v>
      </c>
      <c r="C1354" t="s">
        <v>2646</v>
      </c>
      <c r="D1354" t="s">
        <v>1998</v>
      </c>
      <c r="E1354" t="s">
        <v>1999</v>
      </c>
      <c r="F1354" s="3">
        <v>44287</v>
      </c>
      <c r="G1354" s="2">
        <v>55</v>
      </c>
      <c r="H1354" s="1">
        <v>362.33</v>
      </c>
      <c r="I1354" t="s">
        <v>2387</v>
      </c>
      <c r="J1354" s="2">
        <v>1</v>
      </c>
      <c r="K1354" t="s">
        <v>13</v>
      </c>
      <c r="L1354" t="s">
        <v>695</v>
      </c>
      <c r="M1354" t="s">
        <v>15</v>
      </c>
    </row>
    <row r="1355" spans="1:13" x14ac:dyDescent="0.25">
      <c r="A1355" s="5">
        <v>44343</v>
      </c>
      <c r="B1355" s="2">
        <v>0</v>
      </c>
      <c r="C1355" t="s">
        <v>2647</v>
      </c>
      <c r="D1355" t="s">
        <v>1761</v>
      </c>
      <c r="E1355" t="s">
        <v>1762</v>
      </c>
      <c r="F1355" s="3">
        <v>44253</v>
      </c>
      <c r="G1355" s="2">
        <v>90</v>
      </c>
      <c r="H1355" s="1">
        <v>732.37</v>
      </c>
      <c r="I1355" t="s">
        <v>2389</v>
      </c>
      <c r="J1355" s="2">
        <v>1</v>
      </c>
      <c r="K1355" t="s">
        <v>13</v>
      </c>
      <c r="L1355" t="s">
        <v>21</v>
      </c>
      <c r="M1355" t="s">
        <v>1165</v>
      </c>
    </row>
    <row r="1356" spans="1:13" x14ac:dyDescent="0.25">
      <c r="A1356" s="5">
        <v>44343</v>
      </c>
      <c r="B1356" s="2">
        <v>0</v>
      </c>
      <c r="C1356" t="s">
        <v>2648</v>
      </c>
      <c r="D1356" t="s">
        <v>1761</v>
      </c>
      <c r="E1356" t="s">
        <v>1762</v>
      </c>
      <c r="F1356" s="3">
        <v>44253</v>
      </c>
      <c r="G1356" s="2">
        <v>90</v>
      </c>
      <c r="H1356" s="1">
        <v>643.71</v>
      </c>
      <c r="I1356" t="s">
        <v>2391</v>
      </c>
      <c r="J1356" s="2">
        <v>1</v>
      </c>
      <c r="K1356" t="s">
        <v>13</v>
      </c>
      <c r="L1356" t="s">
        <v>21</v>
      </c>
      <c r="M1356" t="s">
        <v>1165</v>
      </c>
    </row>
    <row r="1357" spans="1:13" x14ac:dyDescent="0.25">
      <c r="A1357" s="5">
        <v>44343</v>
      </c>
      <c r="B1357" s="2">
        <v>0</v>
      </c>
      <c r="C1357" t="s">
        <v>2649</v>
      </c>
      <c r="D1357" t="s">
        <v>1761</v>
      </c>
      <c r="E1357" t="s">
        <v>1762</v>
      </c>
      <c r="F1357" s="3">
        <v>44263</v>
      </c>
      <c r="G1357" s="2">
        <v>80</v>
      </c>
      <c r="H1357" s="1">
        <v>1596.6</v>
      </c>
      <c r="I1357" t="s">
        <v>2395</v>
      </c>
      <c r="J1357" s="2">
        <v>1</v>
      </c>
      <c r="K1357" t="s">
        <v>13</v>
      </c>
      <c r="L1357" t="s">
        <v>21</v>
      </c>
      <c r="M1357" t="s">
        <v>1165</v>
      </c>
    </row>
    <row r="1358" spans="1:13" x14ac:dyDescent="0.25">
      <c r="A1358" s="5">
        <v>44343</v>
      </c>
      <c r="B1358" s="2">
        <v>0</v>
      </c>
      <c r="C1358" t="s">
        <v>2650</v>
      </c>
      <c r="D1358" t="s">
        <v>1761</v>
      </c>
      <c r="E1358" t="s">
        <v>1762</v>
      </c>
      <c r="F1358" s="3">
        <v>44298</v>
      </c>
      <c r="G1358" s="2">
        <v>45</v>
      </c>
      <c r="H1358" s="1">
        <v>742.65</v>
      </c>
      <c r="I1358" t="s">
        <v>2651</v>
      </c>
      <c r="J1358" s="2">
        <v>1</v>
      </c>
      <c r="K1358" t="s">
        <v>13</v>
      </c>
      <c r="L1358" t="s">
        <v>21</v>
      </c>
      <c r="M1358" t="s">
        <v>1165</v>
      </c>
    </row>
    <row r="1359" spans="1:13" x14ac:dyDescent="0.25">
      <c r="A1359" s="5">
        <v>44343</v>
      </c>
      <c r="B1359" s="2">
        <v>0</v>
      </c>
      <c r="C1359" t="s">
        <v>2652</v>
      </c>
      <c r="D1359" t="s">
        <v>1773</v>
      </c>
      <c r="E1359" t="s">
        <v>1938</v>
      </c>
      <c r="F1359" s="3">
        <v>44253</v>
      </c>
      <c r="G1359" s="2">
        <v>90</v>
      </c>
      <c r="H1359" s="1">
        <v>739.67</v>
      </c>
      <c r="I1359" t="s">
        <v>2546</v>
      </c>
      <c r="J1359" s="2">
        <v>1</v>
      </c>
      <c r="K1359" t="s">
        <v>13</v>
      </c>
      <c r="L1359" t="s">
        <v>21</v>
      </c>
      <c r="M1359" t="s">
        <v>1774</v>
      </c>
    </row>
    <row r="1360" spans="1:13" x14ac:dyDescent="0.25">
      <c r="A1360" s="5">
        <v>44343</v>
      </c>
      <c r="B1360" s="2">
        <v>0</v>
      </c>
      <c r="C1360" t="s">
        <v>2653</v>
      </c>
      <c r="D1360" t="s">
        <v>1773</v>
      </c>
      <c r="E1360" t="s">
        <v>1938</v>
      </c>
      <c r="F1360" s="3">
        <v>44253</v>
      </c>
      <c r="G1360" s="2">
        <v>90</v>
      </c>
      <c r="H1360" s="1">
        <v>1276.0899999999999</v>
      </c>
      <c r="I1360" t="s">
        <v>2397</v>
      </c>
      <c r="J1360" s="2">
        <v>1</v>
      </c>
      <c r="K1360" t="s">
        <v>13</v>
      </c>
      <c r="L1360" t="s">
        <v>21</v>
      </c>
      <c r="M1360" t="s">
        <v>1774</v>
      </c>
    </row>
    <row r="1361" spans="1:13" x14ac:dyDescent="0.25">
      <c r="A1361" s="5">
        <v>44343</v>
      </c>
      <c r="B1361" s="2">
        <v>0</v>
      </c>
      <c r="C1361" t="s">
        <v>2654</v>
      </c>
      <c r="D1361" t="s">
        <v>1773</v>
      </c>
      <c r="E1361" t="s">
        <v>1938</v>
      </c>
      <c r="F1361" s="3">
        <v>44258</v>
      </c>
      <c r="G1361" s="2">
        <v>85</v>
      </c>
      <c r="H1361" s="1">
        <v>485.28</v>
      </c>
      <c r="I1361" t="s">
        <v>2549</v>
      </c>
      <c r="J1361" s="2">
        <v>1</v>
      </c>
      <c r="K1361" t="s">
        <v>13</v>
      </c>
      <c r="L1361" t="s">
        <v>21</v>
      </c>
      <c r="M1361" t="s">
        <v>1774</v>
      </c>
    </row>
    <row r="1362" spans="1:13" x14ac:dyDescent="0.25">
      <c r="A1362" s="5">
        <v>44343</v>
      </c>
      <c r="B1362" s="2">
        <v>0</v>
      </c>
      <c r="C1362" t="s">
        <v>2655</v>
      </c>
      <c r="D1362" t="s">
        <v>1773</v>
      </c>
      <c r="E1362" t="s">
        <v>1938</v>
      </c>
      <c r="F1362" s="3">
        <v>44263</v>
      </c>
      <c r="G1362" s="2">
        <v>80</v>
      </c>
      <c r="H1362" s="1">
        <v>579.19000000000005</v>
      </c>
      <c r="I1362" t="s">
        <v>2551</v>
      </c>
      <c r="J1362" s="2">
        <v>1</v>
      </c>
      <c r="K1362" t="s">
        <v>13</v>
      </c>
      <c r="L1362" t="s">
        <v>21</v>
      </c>
      <c r="M1362" t="s">
        <v>1774</v>
      </c>
    </row>
    <row r="1363" spans="1:13" x14ac:dyDescent="0.25">
      <c r="A1363" s="5">
        <v>44343</v>
      </c>
      <c r="B1363" s="2">
        <v>0</v>
      </c>
      <c r="C1363" t="s">
        <v>2656</v>
      </c>
      <c r="D1363" t="s">
        <v>1773</v>
      </c>
      <c r="E1363" t="s">
        <v>1938</v>
      </c>
      <c r="F1363" s="3">
        <v>44273</v>
      </c>
      <c r="G1363" s="2">
        <v>70</v>
      </c>
      <c r="H1363" s="1">
        <v>1265.73</v>
      </c>
      <c r="I1363" t="s">
        <v>2553</v>
      </c>
      <c r="J1363" s="2">
        <v>1</v>
      </c>
      <c r="K1363" t="s">
        <v>13</v>
      </c>
      <c r="L1363" t="s">
        <v>21</v>
      </c>
      <c r="M1363" t="s">
        <v>1774</v>
      </c>
    </row>
    <row r="1364" spans="1:13" x14ac:dyDescent="0.25">
      <c r="A1364" s="5">
        <v>44343</v>
      </c>
      <c r="B1364" s="2">
        <v>0</v>
      </c>
      <c r="C1364" t="s">
        <v>2657</v>
      </c>
      <c r="D1364" t="s">
        <v>1757</v>
      </c>
      <c r="E1364" t="s">
        <v>1758</v>
      </c>
      <c r="F1364" s="3">
        <v>44263</v>
      </c>
      <c r="G1364" s="2">
        <v>80</v>
      </c>
      <c r="H1364" s="1">
        <v>1687.84</v>
      </c>
      <c r="I1364" t="s">
        <v>2399</v>
      </c>
      <c r="J1364" s="2">
        <v>1</v>
      </c>
      <c r="K1364" t="s">
        <v>13</v>
      </c>
      <c r="L1364" t="s">
        <v>21</v>
      </c>
      <c r="M1364" t="s">
        <v>1165</v>
      </c>
    </row>
    <row r="1365" spans="1:13" x14ac:dyDescent="0.25">
      <c r="A1365" s="5">
        <v>44343</v>
      </c>
      <c r="B1365" s="2">
        <v>0</v>
      </c>
      <c r="C1365" t="s">
        <v>2658</v>
      </c>
      <c r="D1365" t="s">
        <v>1757</v>
      </c>
      <c r="E1365" t="s">
        <v>1758</v>
      </c>
      <c r="F1365" s="3">
        <v>44273</v>
      </c>
      <c r="G1365" s="2">
        <v>70</v>
      </c>
      <c r="H1365" s="1">
        <v>1366.83</v>
      </c>
      <c r="I1365" t="s">
        <v>2659</v>
      </c>
      <c r="J1365" s="2">
        <v>1</v>
      </c>
      <c r="K1365" t="s">
        <v>13</v>
      </c>
      <c r="L1365" t="s">
        <v>21</v>
      </c>
      <c r="M1365" t="s">
        <v>1165</v>
      </c>
    </row>
    <row r="1366" spans="1:13" x14ac:dyDescent="0.25">
      <c r="A1366" s="5">
        <v>44343</v>
      </c>
      <c r="B1366" s="2">
        <v>0</v>
      </c>
      <c r="C1366" t="s">
        <v>2660</v>
      </c>
      <c r="D1366" t="s">
        <v>1757</v>
      </c>
      <c r="E1366" t="s">
        <v>1758</v>
      </c>
      <c r="F1366" s="3">
        <v>44273</v>
      </c>
      <c r="G1366" s="2">
        <v>70</v>
      </c>
      <c r="H1366" s="1">
        <v>229.64</v>
      </c>
      <c r="I1366" t="s">
        <v>2661</v>
      </c>
      <c r="J1366" s="2">
        <v>1</v>
      </c>
      <c r="K1366" t="s">
        <v>13</v>
      </c>
      <c r="L1366" t="s">
        <v>21</v>
      </c>
      <c r="M1366" t="s">
        <v>1165</v>
      </c>
    </row>
    <row r="1367" spans="1:13" x14ac:dyDescent="0.25">
      <c r="A1367" s="5">
        <v>44343</v>
      </c>
      <c r="B1367" s="2">
        <v>0</v>
      </c>
      <c r="C1367" t="s">
        <v>2662</v>
      </c>
      <c r="D1367" t="s">
        <v>1757</v>
      </c>
      <c r="E1367" t="s">
        <v>1758</v>
      </c>
      <c r="F1367" s="3">
        <v>44298</v>
      </c>
      <c r="G1367" s="2">
        <v>45</v>
      </c>
      <c r="H1367" s="1">
        <v>867.14</v>
      </c>
      <c r="I1367" t="s">
        <v>2663</v>
      </c>
      <c r="J1367" s="2">
        <v>1</v>
      </c>
      <c r="K1367" t="s">
        <v>13</v>
      </c>
      <c r="L1367" t="s">
        <v>21</v>
      </c>
      <c r="M1367" t="s">
        <v>1165</v>
      </c>
    </row>
    <row r="1368" spans="1:13" x14ac:dyDescent="0.25">
      <c r="A1368" s="5">
        <v>44343</v>
      </c>
      <c r="B1368" s="2">
        <v>0</v>
      </c>
      <c r="C1368" t="s">
        <v>2664</v>
      </c>
      <c r="D1368" t="s">
        <v>2232</v>
      </c>
      <c r="E1368" t="s">
        <v>2233</v>
      </c>
      <c r="F1368" s="3">
        <v>44273</v>
      </c>
      <c r="G1368" s="2">
        <v>70</v>
      </c>
      <c r="H1368" s="1">
        <v>458.73</v>
      </c>
      <c r="I1368" t="s">
        <v>2401</v>
      </c>
      <c r="J1368" s="2">
        <v>1</v>
      </c>
      <c r="K1368" t="s">
        <v>13</v>
      </c>
      <c r="L1368" t="s">
        <v>2126</v>
      </c>
      <c r="M1368" t="s">
        <v>27</v>
      </c>
    </row>
    <row r="1369" spans="1:13" x14ac:dyDescent="0.25">
      <c r="A1369" s="5">
        <v>44343</v>
      </c>
      <c r="B1369" s="2">
        <v>0</v>
      </c>
      <c r="C1369" t="s">
        <v>2665</v>
      </c>
      <c r="D1369" t="s">
        <v>2047</v>
      </c>
      <c r="E1369" t="s">
        <v>2005</v>
      </c>
      <c r="F1369" s="3">
        <v>44293</v>
      </c>
      <c r="G1369" s="2">
        <v>50</v>
      </c>
      <c r="H1369" s="1">
        <v>368.29</v>
      </c>
      <c r="I1369" t="s">
        <v>2403</v>
      </c>
      <c r="J1369" s="2">
        <v>1</v>
      </c>
      <c r="K1369" t="s">
        <v>13</v>
      </c>
      <c r="L1369" t="s">
        <v>1682</v>
      </c>
      <c r="M1369" t="s">
        <v>15</v>
      </c>
    </row>
    <row r="1370" spans="1:13" x14ac:dyDescent="0.25">
      <c r="A1370" s="5">
        <v>44344</v>
      </c>
      <c r="B1370" s="2">
        <v>0</v>
      </c>
      <c r="C1370" t="s">
        <v>2666</v>
      </c>
      <c r="D1370" t="s">
        <v>1761</v>
      </c>
      <c r="E1370" t="s">
        <v>1762</v>
      </c>
      <c r="F1370" s="3">
        <v>44244</v>
      </c>
      <c r="G1370" s="2">
        <v>100</v>
      </c>
      <c r="H1370" s="1">
        <v>1713.83</v>
      </c>
      <c r="I1370" t="s">
        <v>2322</v>
      </c>
      <c r="J1370" s="2">
        <v>1</v>
      </c>
      <c r="K1370" t="s">
        <v>13</v>
      </c>
      <c r="L1370" t="s">
        <v>21</v>
      </c>
      <c r="M1370" t="s">
        <v>1165</v>
      </c>
    </row>
    <row r="1371" spans="1:13" x14ac:dyDescent="0.25">
      <c r="A1371" s="5">
        <v>44344</v>
      </c>
      <c r="B1371" s="2">
        <v>0</v>
      </c>
      <c r="C1371" t="s">
        <v>2667</v>
      </c>
      <c r="D1371" t="s">
        <v>1761</v>
      </c>
      <c r="E1371" t="s">
        <v>1762</v>
      </c>
      <c r="F1371" s="3">
        <v>44254</v>
      </c>
      <c r="G1371" s="2">
        <v>90</v>
      </c>
      <c r="H1371" s="1">
        <v>562.88</v>
      </c>
      <c r="I1371" t="s">
        <v>2406</v>
      </c>
      <c r="J1371" s="2">
        <v>1</v>
      </c>
      <c r="K1371" t="s">
        <v>13</v>
      </c>
      <c r="L1371" t="s">
        <v>21</v>
      </c>
      <c r="M1371" t="s">
        <v>1165</v>
      </c>
    </row>
    <row r="1372" spans="1:13" x14ac:dyDescent="0.25">
      <c r="A1372" s="5">
        <v>44344</v>
      </c>
      <c r="B1372" s="2">
        <v>0</v>
      </c>
      <c r="C1372" t="s">
        <v>2668</v>
      </c>
      <c r="D1372" t="s">
        <v>1761</v>
      </c>
      <c r="E1372" t="s">
        <v>1762</v>
      </c>
      <c r="F1372" s="3">
        <v>44264</v>
      </c>
      <c r="G1372" s="2">
        <v>80</v>
      </c>
      <c r="H1372" s="1">
        <v>631.63</v>
      </c>
      <c r="I1372" t="s">
        <v>2408</v>
      </c>
      <c r="J1372" s="2">
        <v>1</v>
      </c>
      <c r="K1372" t="s">
        <v>13</v>
      </c>
      <c r="L1372" t="s">
        <v>21</v>
      </c>
      <c r="M1372" t="s">
        <v>1165</v>
      </c>
    </row>
    <row r="1373" spans="1:13" x14ac:dyDescent="0.25">
      <c r="A1373" s="5">
        <v>44344</v>
      </c>
      <c r="B1373" s="2">
        <v>0</v>
      </c>
      <c r="C1373" t="s">
        <v>2669</v>
      </c>
      <c r="D1373" t="s">
        <v>1761</v>
      </c>
      <c r="E1373" t="s">
        <v>1762</v>
      </c>
      <c r="F1373" s="3">
        <v>44264</v>
      </c>
      <c r="G1373" s="2">
        <v>80</v>
      </c>
      <c r="H1373" s="1">
        <v>799.84</v>
      </c>
      <c r="I1373" t="s">
        <v>2670</v>
      </c>
      <c r="J1373" s="2">
        <v>1</v>
      </c>
      <c r="K1373" t="s">
        <v>13</v>
      </c>
      <c r="L1373" t="s">
        <v>21</v>
      </c>
      <c r="M1373" t="s">
        <v>1165</v>
      </c>
    </row>
    <row r="1374" spans="1:13" x14ac:dyDescent="0.25">
      <c r="A1374" s="5">
        <v>44344</v>
      </c>
      <c r="B1374" s="2">
        <v>0</v>
      </c>
      <c r="C1374" t="s">
        <v>2671</v>
      </c>
      <c r="D1374" t="s">
        <v>1773</v>
      </c>
      <c r="E1374" t="s">
        <v>1938</v>
      </c>
      <c r="F1374" s="3">
        <v>44264</v>
      </c>
      <c r="G1374" s="2">
        <v>80</v>
      </c>
      <c r="H1374" s="1">
        <v>625.39</v>
      </c>
      <c r="I1374" t="s">
        <v>2565</v>
      </c>
      <c r="J1374" s="2">
        <v>1</v>
      </c>
      <c r="K1374" t="s">
        <v>13</v>
      </c>
      <c r="L1374" t="s">
        <v>21</v>
      </c>
      <c r="M1374" t="s">
        <v>1774</v>
      </c>
    </row>
    <row r="1375" spans="1:13" x14ac:dyDescent="0.25">
      <c r="A1375" s="5">
        <v>44344</v>
      </c>
      <c r="B1375" s="2">
        <v>0</v>
      </c>
      <c r="C1375" t="s">
        <v>2672</v>
      </c>
      <c r="D1375" t="s">
        <v>1757</v>
      </c>
      <c r="E1375" t="s">
        <v>1758</v>
      </c>
      <c r="F1375" s="3">
        <v>44244</v>
      </c>
      <c r="G1375" s="2">
        <v>100</v>
      </c>
      <c r="H1375" s="1">
        <v>998.1</v>
      </c>
      <c r="I1375" t="s">
        <v>2323</v>
      </c>
      <c r="J1375" s="2">
        <v>1</v>
      </c>
      <c r="K1375" t="s">
        <v>13</v>
      </c>
      <c r="L1375" t="s">
        <v>21</v>
      </c>
      <c r="M1375" t="s">
        <v>1165</v>
      </c>
    </row>
    <row r="1376" spans="1:13" x14ac:dyDescent="0.25">
      <c r="A1376" s="5">
        <v>44344</v>
      </c>
      <c r="B1376" s="2">
        <v>0</v>
      </c>
      <c r="C1376" t="s">
        <v>2673</v>
      </c>
      <c r="D1376" t="s">
        <v>1757</v>
      </c>
      <c r="E1376" t="s">
        <v>1758</v>
      </c>
      <c r="F1376" s="3">
        <v>44254</v>
      </c>
      <c r="G1376" s="2">
        <v>90</v>
      </c>
      <c r="H1376" s="1">
        <v>406.81</v>
      </c>
      <c r="I1376" t="s">
        <v>2415</v>
      </c>
      <c r="J1376" s="2">
        <v>1</v>
      </c>
      <c r="K1376" t="s">
        <v>13</v>
      </c>
      <c r="L1376" t="s">
        <v>21</v>
      </c>
      <c r="M1376" t="s">
        <v>1165</v>
      </c>
    </row>
    <row r="1377" spans="1:13" x14ac:dyDescent="0.25">
      <c r="A1377" s="5">
        <v>44344</v>
      </c>
      <c r="B1377" s="2">
        <v>0</v>
      </c>
      <c r="C1377" t="s">
        <v>2674</v>
      </c>
      <c r="D1377" t="s">
        <v>1757</v>
      </c>
      <c r="E1377" t="s">
        <v>1758</v>
      </c>
      <c r="F1377" s="3">
        <v>44264</v>
      </c>
      <c r="G1377" s="2">
        <v>80</v>
      </c>
      <c r="H1377" s="1">
        <v>625.39</v>
      </c>
      <c r="I1377" t="s">
        <v>2570</v>
      </c>
      <c r="J1377" s="2">
        <v>1</v>
      </c>
      <c r="K1377" t="s">
        <v>13</v>
      </c>
      <c r="L1377" t="s">
        <v>21</v>
      </c>
      <c r="M1377" t="s">
        <v>1165</v>
      </c>
    </row>
    <row r="1378" spans="1:13" x14ac:dyDescent="0.25">
      <c r="A1378" s="5">
        <v>44344</v>
      </c>
      <c r="B1378" s="2">
        <v>0</v>
      </c>
      <c r="C1378" t="s">
        <v>2675</v>
      </c>
      <c r="D1378" t="s">
        <v>1757</v>
      </c>
      <c r="E1378" t="s">
        <v>1758</v>
      </c>
      <c r="F1378" s="3">
        <v>44284</v>
      </c>
      <c r="G1378" s="2">
        <v>60</v>
      </c>
      <c r="H1378" s="1">
        <v>540.05999999999995</v>
      </c>
      <c r="I1378" t="s">
        <v>2676</v>
      </c>
      <c r="J1378" s="2">
        <v>1</v>
      </c>
      <c r="K1378" t="s">
        <v>13</v>
      </c>
      <c r="L1378" t="s">
        <v>21</v>
      </c>
      <c r="M1378" t="s">
        <v>1165</v>
      </c>
    </row>
    <row r="1379" spans="1:13" x14ac:dyDescent="0.25">
      <c r="A1379" s="5">
        <v>44344</v>
      </c>
      <c r="B1379" s="2">
        <v>0</v>
      </c>
      <c r="C1379" t="s">
        <v>2677</v>
      </c>
      <c r="D1379" t="s">
        <v>2306</v>
      </c>
      <c r="E1379" t="s">
        <v>2307</v>
      </c>
      <c r="F1379" s="3">
        <v>44319</v>
      </c>
      <c r="G1379" s="2">
        <v>25</v>
      </c>
      <c r="H1379" s="1">
        <v>375.3</v>
      </c>
      <c r="I1379" t="s">
        <v>2504</v>
      </c>
      <c r="J1379" s="2">
        <v>1</v>
      </c>
      <c r="K1379" t="s">
        <v>13</v>
      </c>
      <c r="L1379" t="s">
        <v>1682</v>
      </c>
      <c r="M1379" t="s">
        <v>15</v>
      </c>
    </row>
    <row r="1380" spans="1:13" x14ac:dyDescent="0.25">
      <c r="A1380" s="5">
        <v>44344</v>
      </c>
      <c r="B1380" s="2">
        <v>0</v>
      </c>
      <c r="C1380" t="s">
        <v>2678</v>
      </c>
      <c r="D1380" t="s">
        <v>2306</v>
      </c>
      <c r="E1380" t="s">
        <v>2307</v>
      </c>
      <c r="F1380" s="3">
        <v>44323</v>
      </c>
      <c r="G1380" s="2">
        <v>21</v>
      </c>
      <c r="H1380" s="1">
        <v>287.42</v>
      </c>
      <c r="I1380" t="s">
        <v>2604</v>
      </c>
      <c r="J1380" s="2">
        <v>1</v>
      </c>
      <c r="K1380" t="s">
        <v>13</v>
      </c>
      <c r="L1380" t="s">
        <v>1682</v>
      </c>
      <c r="M1380" t="s">
        <v>15</v>
      </c>
    </row>
    <row r="1381" spans="1:13" x14ac:dyDescent="0.25">
      <c r="A1381" s="5">
        <v>44345</v>
      </c>
      <c r="B1381" s="2">
        <v>0</v>
      </c>
      <c r="C1381" t="s">
        <v>2679</v>
      </c>
      <c r="D1381" t="s">
        <v>1773</v>
      </c>
      <c r="E1381" t="s">
        <v>1938</v>
      </c>
      <c r="F1381" s="3">
        <v>44245</v>
      </c>
      <c r="G1381" s="2">
        <v>100</v>
      </c>
      <c r="H1381" s="1">
        <v>560.76</v>
      </c>
      <c r="I1381" t="s">
        <v>2294</v>
      </c>
      <c r="J1381" s="2">
        <v>1</v>
      </c>
      <c r="K1381" t="s">
        <v>13</v>
      </c>
      <c r="L1381" t="s">
        <v>21</v>
      </c>
      <c r="M1381" t="s">
        <v>1774</v>
      </c>
    </row>
    <row r="1382" spans="1:13" x14ac:dyDescent="0.25">
      <c r="A1382" s="5">
        <v>44345</v>
      </c>
      <c r="B1382" s="2">
        <v>0</v>
      </c>
      <c r="C1382" t="s">
        <v>2680</v>
      </c>
      <c r="D1382" t="s">
        <v>1773</v>
      </c>
      <c r="E1382" t="s">
        <v>1938</v>
      </c>
      <c r="F1382" s="3">
        <v>44265</v>
      </c>
      <c r="G1382" s="2">
        <v>80</v>
      </c>
      <c r="H1382" s="1">
        <v>997.03</v>
      </c>
      <c r="I1382" t="s">
        <v>2419</v>
      </c>
      <c r="J1382" s="2">
        <v>1</v>
      </c>
      <c r="K1382" t="s">
        <v>13</v>
      </c>
      <c r="L1382" t="s">
        <v>21</v>
      </c>
      <c r="M1382" t="s">
        <v>1774</v>
      </c>
    </row>
    <row r="1383" spans="1:13" x14ac:dyDescent="0.25">
      <c r="A1383" s="5">
        <v>44345</v>
      </c>
      <c r="B1383" s="2">
        <v>0</v>
      </c>
      <c r="C1383" t="s">
        <v>2681</v>
      </c>
      <c r="D1383" t="s">
        <v>2047</v>
      </c>
      <c r="E1383" t="s">
        <v>2005</v>
      </c>
      <c r="F1383" s="3">
        <v>44265</v>
      </c>
      <c r="G1383" s="2">
        <v>80</v>
      </c>
      <c r="H1383" s="1">
        <v>260.63</v>
      </c>
      <c r="I1383" t="s">
        <v>2259</v>
      </c>
      <c r="J1383" s="2">
        <v>1</v>
      </c>
      <c r="K1383" t="s">
        <v>13</v>
      </c>
      <c r="L1383" t="s">
        <v>1682</v>
      </c>
      <c r="M1383" t="s">
        <v>15</v>
      </c>
    </row>
    <row r="1384" spans="1:13" x14ac:dyDescent="0.25">
      <c r="A1384" s="5">
        <v>44346</v>
      </c>
      <c r="B1384" s="2">
        <v>0</v>
      </c>
      <c r="C1384" t="s">
        <v>2682</v>
      </c>
      <c r="D1384" t="s">
        <v>1761</v>
      </c>
      <c r="E1384" t="s">
        <v>1762</v>
      </c>
      <c r="F1384" s="3">
        <v>44266</v>
      </c>
      <c r="G1384" s="2">
        <v>80</v>
      </c>
      <c r="H1384" s="1">
        <v>1093.76</v>
      </c>
      <c r="I1384" t="s">
        <v>2428</v>
      </c>
      <c r="J1384" s="2">
        <v>1</v>
      </c>
      <c r="K1384" t="s">
        <v>13</v>
      </c>
      <c r="L1384" t="s">
        <v>21</v>
      </c>
      <c r="M1384" t="s">
        <v>1165</v>
      </c>
    </row>
    <row r="1385" spans="1:13" x14ac:dyDescent="0.25">
      <c r="A1385" s="5">
        <v>44346</v>
      </c>
      <c r="B1385" s="2">
        <v>0</v>
      </c>
      <c r="C1385" t="s">
        <v>2683</v>
      </c>
      <c r="D1385" t="s">
        <v>1773</v>
      </c>
      <c r="E1385" t="s">
        <v>1938</v>
      </c>
      <c r="F1385" s="3">
        <v>44246</v>
      </c>
      <c r="G1385" s="2">
        <v>100</v>
      </c>
      <c r="H1385" s="1">
        <v>762.8</v>
      </c>
      <c r="I1385" t="s">
        <v>2302</v>
      </c>
      <c r="J1385" s="2">
        <v>1</v>
      </c>
      <c r="K1385" t="s">
        <v>13</v>
      </c>
      <c r="L1385" t="s">
        <v>21</v>
      </c>
      <c r="M1385" t="s">
        <v>1774</v>
      </c>
    </row>
    <row r="1386" spans="1:13" x14ac:dyDescent="0.25">
      <c r="A1386" s="5">
        <v>44346</v>
      </c>
      <c r="B1386" s="2">
        <v>0</v>
      </c>
      <c r="C1386" t="s">
        <v>2684</v>
      </c>
      <c r="D1386" t="s">
        <v>1773</v>
      </c>
      <c r="E1386" t="s">
        <v>1938</v>
      </c>
      <c r="F1386" s="3">
        <v>44266</v>
      </c>
      <c r="G1386" s="2">
        <v>80</v>
      </c>
      <c r="H1386" s="1">
        <v>1006.55</v>
      </c>
      <c r="I1386" t="s">
        <v>2685</v>
      </c>
      <c r="J1386" s="2">
        <v>1</v>
      </c>
      <c r="K1386" t="s">
        <v>13</v>
      </c>
      <c r="L1386" t="s">
        <v>21</v>
      </c>
      <c r="M1386" t="s">
        <v>1774</v>
      </c>
    </row>
    <row r="1387" spans="1:13" x14ac:dyDescent="0.25">
      <c r="A1387" s="5">
        <v>44346</v>
      </c>
      <c r="B1387" s="2">
        <v>0</v>
      </c>
      <c r="C1387" t="s">
        <v>2686</v>
      </c>
      <c r="D1387" t="s">
        <v>1773</v>
      </c>
      <c r="E1387" t="s">
        <v>1938</v>
      </c>
      <c r="F1387" s="3">
        <v>44266</v>
      </c>
      <c r="G1387" s="2">
        <v>80</v>
      </c>
      <c r="H1387" s="1">
        <v>1093.76</v>
      </c>
      <c r="I1387" t="s">
        <v>2433</v>
      </c>
      <c r="J1387" s="2">
        <v>1</v>
      </c>
      <c r="K1387" t="s">
        <v>13</v>
      </c>
      <c r="L1387" t="s">
        <v>21</v>
      </c>
      <c r="M1387" t="s">
        <v>1774</v>
      </c>
    </row>
    <row r="1388" spans="1:13" x14ac:dyDescent="0.25">
      <c r="A1388" s="5">
        <v>44346</v>
      </c>
      <c r="B1388" s="2">
        <v>0</v>
      </c>
      <c r="C1388" t="s">
        <v>2687</v>
      </c>
      <c r="D1388" t="s">
        <v>1748</v>
      </c>
      <c r="E1388" t="s">
        <v>1840</v>
      </c>
      <c r="F1388" s="3">
        <v>44316</v>
      </c>
      <c r="G1388" s="2">
        <v>30</v>
      </c>
      <c r="H1388" s="1">
        <v>355.2</v>
      </c>
      <c r="I1388" t="s">
        <v>2688</v>
      </c>
      <c r="J1388" s="2">
        <v>1</v>
      </c>
      <c r="K1388" t="s">
        <v>13</v>
      </c>
      <c r="L1388" t="s">
        <v>1682</v>
      </c>
      <c r="M1388" t="s">
        <v>15</v>
      </c>
    </row>
    <row r="1389" spans="1:13" x14ac:dyDescent="0.25">
      <c r="A1389" s="5">
        <v>44346</v>
      </c>
      <c r="B1389" s="2">
        <v>0</v>
      </c>
      <c r="C1389" t="s">
        <v>2689</v>
      </c>
      <c r="D1389" t="s">
        <v>1998</v>
      </c>
      <c r="E1389" t="s">
        <v>1999</v>
      </c>
      <c r="F1389" s="3">
        <v>44286</v>
      </c>
      <c r="G1389" s="2">
        <v>60</v>
      </c>
      <c r="H1389" s="1">
        <v>584.99</v>
      </c>
      <c r="I1389" t="s">
        <v>2304</v>
      </c>
      <c r="J1389" s="2">
        <v>1</v>
      </c>
      <c r="K1389" t="s">
        <v>13</v>
      </c>
      <c r="L1389" t="s">
        <v>695</v>
      </c>
      <c r="M1389" t="s">
        <v>15</v>
      </c>
    </row>
    <row r="1390" spans="1:13" x14ac:dyDescent="0.25">
      <c r="A1390" s="5">
        <v>44346</v>
      </c>
      <c r="B1390" s="2">
        <v>0</v>
      </c>
      <c r="C1390" t="s">
        <v>2690</v>
      </c>
      <c r="D1390" t="s">
        <v>2228</v>
      </c>
      <c r="E1390" t="s">
        <v>2229</v>
      </c>
      <c r="F1390" s="3">
        <v>44271</v>
      </c>
      <c r="G1390" s="2">
        <v>75</v>
      </c>
      <c r="H1390" s="1">
        <v>761.11</v>
      </c>
      <c r="I1390" t="s">
        <v>2325</v>
      </c>
      <c r="J1390" s="2">
        <v>1</v>
      </c>
      <c r="K1390" t="s">
        <v>13</v>
      </c>
      <c r="L1390" t="s">
        <v>21</v>
      </c>
      <c r="M1390" t="s">
        <v>308</v>
      </c>
    </row>
    <row r="1391" spans="1:13" x14ac:dyDescent="0.25">
      <c r="A1391" s="5">
        <v>44346</v>
      </c>
      <c r="B1391" s="2">
        <v>0</v>
      </c>
      <c r="C1391" t="s">
        <v>2691</v>
      </c>
      <c r="D1391" t="s">
        <v>2047</v>
      </c>
      <c r="E1391" t="s">
        <v>2005</v>
      </c>
      <c r="F1391" s="3">
        <v>44306</v>
      </c>
      <c r="G1391" s="2">
        <v>40</v>
      </c>
      <c r="H1391" s="1">
        <v>237.95</v>
      </c>
      <c r="I1391" t="s">
        <v>2692</v>
      </c>
      <c r="J1391" s="2">
        <v>1</v>
      </c>
      <c r="K1391" t="s">
        <v>13</v>
      </c>
      <c r="L1391" t="s">
        <v>1682</v>
      </c>
      <c r="M1391" t="s">
        <v>15</v>
      </c>
    </row>
    <row r="1392" spans="1:13" x14ac:dyDescent="0.25">
      <c r="A1392" s="5">
        <v>44347</v>
      </c>
      <c r="B1392" s="2">
        <v>0</v>
      </c>
      <c r="C1392" t="s">
        <v>2693</v>
      </c>
      <c r="D1392" t="s">
        <v>2350</v>
      </c>
      <c r="E1392" t="s">
        <v>2351</v>
      </c>
      <c r="F1392" s="3">
        <v>44287</v>
      </c>
      <c r="G1392" s="2">
        <v>60</v>
      </c>
      <c r="H1392" s="1">
        <v>375.51</v>
      </c>
      <c r="I1392" t="s">
        <v>2694</v>
      </c>
      <c r="J1392" s="2">
        <v>1</v>
      </c>
      <c r="K1392" t="s">
        <v>13</v>
      </c>
      <c r="L1392" t="s">
        <v>695</v>
      </c>
      <c r="M1392" t="s">
        <v>15</v>
      </c>
    </row>
    <row r="1393" spans="1:13" x14ac:dyDescent="0.25">
      <c r="A1393" s="5">
        <v>44347</v>
      </c>
      <c r="B1393" s="2">
        <v>0</v>
      </c>
      <c r="C1393" t="s">
        <v>2695</v>
      </c>
      <c r="D1393" t="s">
        <v>2478</v>
      </c>
      <c r="E1393" t="s">
        <v>2479</v>
      </c>
      <c r="F1393" s="3">
        <v>44322</v>
      </c>
      <c r="G1393" s="2">
        <v>25</v>
      </c>
      <c r="H1393" s="1">
        <v>401.84</v>
      </c>
      <c r="I1393" t="s">
        <v>2535</v>
      </c>
      <c r="J1393" s="2">
        <v>1</v>
      </c>
      <c r="K1393" t="s">
        <v>13</v>
      </c>
      <c r="L1393" t="s">
        <v>671</v>
      </c>
      <c r="M1393" t="s">
        <v>15</v>
      </c>
    </row>
    <row r="1394" spans="1:13" x14ac:dyDescent="0.25">
      <c r="A1394" s="5">
        <v>44347</v>
      </c>
      <c r="B1394" s="2">
        <v>0</v>
      </c>
      <c r="C1394" t="s">
        <v>2696</v>
      </c>
      <c r="D1394" t="s">
        <v>1761</v>
      </c>
      <c r="E1394" t="s">
        <v>1762</v>
      </c>
      <c r="F1394" s="3">
        <v>44236</v>
      </c>
      <c r="G1394" s="2">
        <v>111</v>
      </c>
      <c r="H1394" s="1">
        <v>1565.32</v>
      </c>
      <c r="I1394" t="s">
        <v>2266</v>
      </c>
      <c r="J1394" s="2">
        <v>1</v>
      </c>
      <c r="K1394" t="s">
        <v>13</v>
      </c>
      <c r="L1394" t="s">
        <v>21</v>
      </c>
      <c r="M1394" t="s">
        <v>1165</v>
      </c>
    </row>
    <row r="1395" spans="1:13" x14ac:dyDescent="0.25">
      <c r="A1395" s="5">
        <v>44347</v>
      </c>
      <c r="B1395" s="2">
        <v>0</v>
      </c>
      <c r="C1395" t="s">
        <v>2697</v>
      </c>
      <c r="D1395" t="s">
        <v>1761</v>
      </c>
      <c r="E1395" t="s">
        <v>1762</v>
      </c>
      <c r="F1395" s="3">
        <v>44257</v>
      </c>
      <c r="G1395" s="2">
        <v>90</v>
      </c>
      <c r="H1395" s="1">
        <v>1486.33</v>
      </c>
      <c r="I1395" t="s">
        <v>2451</v>
      </c>
      <c r="J1395" s="2">
        <v>1</v>
      </c>
      <c r="K1395" t="s">
        <v>13</v>
      </c>
      <c r="L1395" t="s">
        <v>21</v>
      </c>
      <c r="M1395" t="s">
        <v>1165</v>
      </c>
    </row>
    <row r="1396" spans="1:13" x14ac:dyDescent="0.25">
      <c r="A1396" s="5">
        <v>44347</v>
      </c>
      <c r="B1396" s="2">
        <v>0</v>
      </c>
      <c r="C1396" t="s">
        <v>2698</v>
      </c>
      <c r="D1396" t="s">
        <v>1761</v>
      </c>
      <c r="E1396" t="s">
        <v>1762</v>
      </c>
      <c r="F1396" s="3">
        <v>44272</v>
      </c>
      <c r="G1396" s="2">
        <v>75</v>
      </c>
      <c r="H1396" s="1">
        <v>1115.3699999999999</v>
      </c>
      <c r="I1396" t="s">
        <v>2699</v>
      </c>
      <c r="J1396" s="2">
        <v>1</v>
      </c>
      <c r="K1396" t="s">
        <v>13</v>
      </c>
      <c r="L1396" t="s">
        <v>21</v>
      </c>
      <c r="M1396" t="s">
        <v>1165</v>
      </c>
    </row>
    <row r="1397" spans="1:13" x14ac:dyDescent="0.25">
      <c r="A1397" s="5">
        <v>44347</v>
      </c>
      <c r="B1397" s="2">
        <v>0</v>
      </c>
      <c r="C1397" t="s">
        <v>2700</v>
      </c>
      <c r="D1397" t="s">
        <v>1761</v>
      </c>
      <c r="E1397" t="s">
        <v>1762</v>
      </c>
      <c r="F1397" s="3">
        <v>44277</v>
      </c>
      <c r="G1397" s="2">
        <v>70</v>
      </c>
      <c r="H1397" s="1">
        <v>1981.68</v>
      </c>
      <c r="I1397" t="s">
        <v>2701</v>
      </c>
      <c r="J1397" s="2">
        <v>1</v>
      </c>
      <c r="K1397" t="s">
        <v>13</v>
      </c>
      <c r="L1397" t="s">
        <v>21</v>
      </c>
      <c r="M1397" t="s">
        <v>1165</v>
      </c>
    </row>
    <row r="1398" spans="1:13" x14ac:dyDescent="0.25">
      <c r="A1398" s="5">
        <v>44347</v>
      </c>
      <c r="B1398" s="2">
        <v>0</v>
      </c>
      <c r="C1398" t="s">
        <v>2703</v>
      </c>
      <c r="D1398" t="s">
        <v>1773</v>
      </c>
      <c r="E1398" t="s">
        <v>1938</v>
      </c>
      <c r="F1398" s="3">
        <v>44257</v>
      </c>
      <c r="G1398" s="2">
        <v>90</v>
      </c>
      <c r="H1398" s="1">
        <v>1716.93</v>
      </c>
      <c r="I1398" t="s">
        <v>2456</v>
      </c>
      <c r="J1398" s="2">
        <v>1</v>
      </c>
      <c r="K1398" t="s">
        <v>13</v>
      </c>
      <c r="L1398" t="s">
        <v>21</v>
      </c>
      <c r="M1398" t="s">
        <v>1774</v>
      </c>
    </row>
    <row r="1399" spans="1:13" x14ac:dyDescent="0.25">
      <c r="A1399" s="5">
        <v>44347</v>
      </c>
      <c r="B1399" s="2">
        <v>0</v>
      </c>
      <c r="C1399" t="s">
        <v>2704</v>
      </c>
      <c r="D1399" t="s">
        <v>1773</v>
      </c>
      <c r="E1399" t="s">
        <v>1938</v>
      </c>
      <c r="F1399" s="3">
        <v>44272</v>
      </c>
      <c r="G1399" s="2">
        <v>75</v>
      </c>
      <c r="H1399" s="1">
        <v>801.9</v>
      </c>
      <c r="I1399" t="s">
        <v>2597</v>
      </c>
      <c r="J1399" s="2">
        <v>1</v>
      </c>
      <c r="K1399" t="s">
        <v>13</v>
      </c>
      <c r="L1399" t="s">
        <v>21</v>
      </c>
      <c r="M1399" t="s">
        <v>1774</v>
      </c>
    </row>
    <row r="1400" spans="1:13" x14ac:dyDescent="0.25">
      <c r="A1400" s="5">
        <v>44347</v>
      </c>
      <c r="B1400" s="2">
        <v>0</v>
      </c>
      <c r="C1400" t="s">
        <v>2705</v>
      </c>
      <c r="D1400" t="s">
        <v>1757</v>
      </c>
      <c r="E1400" t="s">
        <v>1758</v>
      </c>
      <c r="F1400" s="3">
        <v>44225</v>
      </c>
      <c r="G1400" s="2">
        <v>122</v>
      </c>
      <c r="H1400" s="1">
        <v>879.82</v>
      </c>
      <c r="I1400" t="s">
        <v>2258</v>
      </c>
      <c r="J1400" s="2">
        <v>1</v>
      </c>
      <c r="K1400" t="s">
        <v>13</v>
      </c>
      <c r="L1400" t="s">
        <v>21</v>
      </c>
      <c r="M1400" t="s">
        <v>1165</v>
      </c>
    </row>
    <row r="1401" spans="1:13" x14ac:dyDescent="0.25">
      <c r="A1401" s="5">
        <v>44347</v>
      </c>
      <c r="B1401" s="2">
        <v>0</v>
      </c>
      <c r="C1401" t="s">
        <v>2706</v>
      </c>
      <c r="D1401" t="s">
        <v>1757</v>
      </c>
      <c r="E1401" t="s">
        <v>1758</v>
      </c>
      <c r="F1401" s="3">
        <v>44235</v>
      </c>
      <c r="G1401" s="2">
        <v>112</v>
      </c>
      <c r="H1401" s="1">
        <v>1741.75</v>
      </c>
      <c r="I1401" t="s">
        <v>2223</v>
      </c>
      <c r="J1401" s="2">
        <v>1</v>
      </c>
      <c r="K1401" t="s">
        <v>13</v>
      </c>
      <c r="L1401" t="s">
        <v>21</v>
      </c>
      <c r="M1401" t="s">
        <v>1165</v>
      </c>
    </row>
    <row r="1402" spans="1:13" x14ac:dyDescent="0.25">
      <c r="A1402" s="5">
        <v>44347</v>
      </c>
      <c r="B1402" s="2">
        <v>0</v>
      </c>
      <c r="C1402" t="s">
        <v>2707</v>
      </c>
      <c r="D1402" t="s">
        <v>1757</v>
      </c>
      <c r="E1402" t="s">
        <v>1758</v>
      </c>
      <c r="F1402" s="3">
        <v>44257</v>
      </c>
      <c r="G1402" s="2">
        <v>90</v>
      </c>
      <c r="H1402" s="1">
        <v>1565.97</v>
      </c>
      <c r="I1402" t="s">
        <v>2331</v>
      </c>
      <c r="J1402" s="2">
        <v>1</v>
      </c>
      <c r="K1402" t="s">
        <v>13</v>
      </c>
      <c r="L1402" t="s">
        <v>21</v>
      </c>
      <c r="M1402" t="s">
        <v>1165</v>
      </c>
    </row>
    <row r="1403" spans="1:13" x14ac:dyDescent="0.25">
      <c r="A1403" s="5">
        <v>44347</v>
      </c>
      <c r="B1403" s="2">
        <v>0</v>
      </c>
      <c r="C1403" t="s">
        <v>2708</v>
      </c>
      <c r="D1403" t="s">
        <v>2306</v>
      </c>
      <c r="E1403" t="s">
        <v>2307</v>
      </c>
      <c r="F1403" s="3">
        <v>44322</v>
      </c>
      <c r="G1403" s="2">
        <v>25</v>
      </c>
      <c r="H1403" s="1">
        <v>473.25</v>
      </c>
      <c r="I1403" t="s">
        <v>2559</v>
      </c>
      <c r="J1403" s="2">
        <v>1</v>
      </c>
      <c r="K1403" t="s">
        <v>13</v>
      </c>
      <c r="L1403" t="s">
        <v>1682</v>
      </c>
      <c r="M1403" t="s">
        <v>15</v>
      </c>
    </row>
    <row r="1404" spans="1:13" x14ac:dyDescent="0.25">
      <c r="A1404" s="5">
        <v>44348</v>
      </c>
      <c r="B1404" s="2">
        <v>0</v>
      </c>
      <c r="C1404" t="s">
        <v>2709</v>
      </c>
      <c r="D1404" t="s">
        <v>2350</v>
      </c>
      <c r="E1404" t="s">
        <v>2351</v>
      </c>
      <c r="F1404" s="3">
        <v>44298</v>
      </c>
      <c r="G1404" s="2">
        <v>50</v>
      </c>
      <c r="H1404" s="1">
        <v>456.16</v>
      </c>
      <c r="I1404" t="s">
        <v>2710</v>
      </c>
      <c r="J1404" s="2">
        <v>1</v>
      </c>
      <c r="K1404" t="s">
        <v>13</v>
      </c>
      <c r="L1404" t="s">
        <v>695</v>
      </c>
      <c r="M1404" t="s">
        <v>15</v>
      </c>
    </row>
    <row r="1405" spans="1:13" x14ac:dyDescent="0.25">
      <c r="A1405" s="5">
        <v>44348</v>
      </c>
      <c r="B1405" s="2">
        <v>0</v>
      </c>
      <c r="C1405" t="s">
        <v>2711</v>
      </c>
      <c r="D1405" t="s">
        <v>1983</v>
      </c>
      <c r="E1405" t="s">
        <v>1984</v>
      </c>
      <c r="F1405" s="3">
        <v>44238</v>
      </c>
      <c r="G1405" s="2">
        <v>110</v>
      </c>
      <c r="H1405" s="1">
        <v>746.24</v>
      </c>
      <c r="I1405" t="s">
        <v>2267</v>
      </c>
      <c r="J1405" s="2">
        <v>1</v>
      </c>
      <c r="K1405" t="s">
        <v>13</v>
      </c>
      <c r="L1405" t="s">
        <v>21</v>
      </c>
      <c r="M1405" t="s">
        <v>1566</v>
      </c>
    </row>
    <row r="1406" spans="1:13" x14ac:dyDescent="0.25">
      <c r="A1406" s="5">
        <v>44348</v>
      </c>
      <c r="B1406" s="2">
        <v>0</v>
      </c>
      <c r="C1406" t="s">
        <v>2712</v>
      </c>
      <c r="D1406" t="s">
        <v>2047</v>
      </c>
      <c r="E1406" t="s">
        <v>2005</v>
      </c>
      <c r="F1406" s="3">
        <v>44273</v>
      </c>
      <c r="G1406" s="2">
        <v>75</v>
      </c>
      <c r="H1406" s="1">
        <v>354.17</v>
      </c>
      <c r="I1406" t="s">
        <v>2337</v>
      </c>
      <c r="J1406" s="2">
        <v>1</v>
      </c>
      <c r="K1406" t="s">
        <v>13</v>
      </c>
      <c r="L1406" t="s">
        <v>1682</v>
      </c>
      <c r="M1406" t="s">
        <v>15</v>
      </c>
    </row>
    <row r="1407" spans="1:13" x14ac:dyDescent="0.25">
      <c r="A1407" s="5">
        <v>44349</v>
      </c>
      <c r="B1407" s="2">
        <v>0</v>
      </c>
      <c r="C1407" t="s">
        <v>2714</v>
      </c>
      <c r="D1407" t="s">
        <v>2112</v>
      </c>
      <c r="E1407" t="s">
        <v>2204</v>
      </c>
      <c r="F1407" s="3">
        <v>44254</v>
      </c>
      <c r="G1407" s="2">
        <v>95</v>
      </c>
      <c r="H1407" s="1">
        <v>2697.69</v>
      </c>
      <c r="I1407" t="s">
        <v>2485</v>
      </c>
      <c r="J1407" s="2">
        <v>1</v>
      </c>
      <c r="K1407" t="s">
        <v>13</v>
      </c>
      <c r="L1407" t="s">
        <v>830</v>
      </c>
      <c r="M1407" t="s">
        <v>1213</v>
      </c>
    </row>
    <row r="1408" spans="1:13" x14ac:dyDescent="0.25">
      <c r="A1408" s="5">
        <v>44349</v>
      </c>
      <c r="B1408" s="2">
        <v>0</v>
      </c>
      <c r="C1408" t="s">
        <v>2715</v>
      </c>
      <c r="D1408" t="s">
        <v>2232</v>
      </c>
      <c r="E1408" t="s">
        <v>2233</v>
      </c>
      <c r="F1408" s="3">
        <v>44264</v>
      </c>
      <c r="G1408" s="2">
        <v>85</v>
      </c>
      <c r="H1408" s="1">
        <v>801.23</v>
      </c>
      <c r="I1408" t="s">
        <v>2276</v>
      </c>
      <c r="J1408" s="2">
        <v>1</v>
      </c>
      <c r="K1408" t="s">
        <v>13</v>
      </c>
      <c r="L1408" t="s">
        <v>2126</v>
      </c>
      <c r="M1408" t="s">
        <v>27</v>
      </c>
    </row>
    <row r="1409" spans="1:13" x14ac:dyDescent="0.25">
      <c r="A1409" s="5">
        <v>44350</v>
      </c>
      <c r="B1409" s="2">
        <v>0</v>
      </c>
      <c r="C1409" t="s">
        <v>2716</v>
      </c>
      <c r="D1409" t="s">
        <v>2047</v>
      </c>
      <c r="E1409" t="s">
        <v>2005</v>
      </c>
      <c r="F1409" s="3">
        <v>44300</v>
      </c>
      <c r="G1409" s="2">
        <v>50</v>
      </c>
      <c r="H1409" s="1">
        <v>284.58999999999997</v>
      </c>
      <c r="I1409" t="s">
        <v>2505</v>
      </c>
      <c r="J1409" s="2">
        <v>1</v>
      </c>
      <c r="K1409" t="s">
        <v>13</v>
      </c>
      <c r="L1409" t="s">
        <v>1682</v>
      </c>
      <c r="M1409" t="s">
        <v>15</v>
      </c>
    </row>
    <row r="1410" spans="1:13" x14ac:dyDescent="0.25">
      <c r="A1410" s="5">
        <v>44351</v>
      </c>
      <c r="B1410" s="2">
        <v>0</v>
      </c>
      <c r="C1410" t="s">
        <v>2717</v>
      </c>
      <c r="D1410" t="s">
        <v>2350</v>
      </c>
      <c r="E1410" t="s">
        <v>2351</v>
      </c>
      <c r="F1410" s="3">
        <v>44281</v>
      </c>
      <c r="G1410" s="2">
        <v>70</v>
      </c>
      <c r="H1410" s="1">
        <v>256.92</v>
      </c>
      <c r="I1410" t="s">
        <v>2506</v>
      </c>
      <c r="J1410" s="2">
        <v>1</v>
      </c>
      <c r="K1410" t="s">
        <v>13</v>
      </c>
      <c r="L1410" t="s">
        <v>695</v>
      </c>
      <c r="M1410" t="s">
        <v>15</v>
      </c>
    </row>
    <row r="1411" spans="1:13" x14ac:dyDescent="0.25">
      <c r="A1411" s="5">
        <v>44351</v>
      </c>
      <c r="B1411" s="2">
        <v>0</v>
      </c>
      <c r="C1411" t="s">
        <v>2718</v>
      </c>
      <c r="D1411" t="s">
        <v>2112</v>
      </c>
      <c r="E1411" t="s">
        <v>2204</v>
      </c>
      <c r="F1411" s="3">
        <v>44266</v>
      </c>
      <c r="G1411" s="2">
        <v>85</v>
      </c>
      <c r="H1411" s="1">
        <v>1316.43</v>
      </c>
      <c r="I1411" t="s">
        <v>2719</v>
      </c>
      <c r="J1411" s="2">
        <v>1</v>
      </c>
      <c r="K1411" t="s">
        <v>13</v>
      </c>
      <c r="L1411" t="s">
        <v>830</v>
      </c>
      <c r="M1411" t="s">
        <v>1213</v>
      </c>
    </row>
    <row r="1412" spans="1:13" x14ac:dyDescent="0.25">
      <c r="A1412" s="5">
        <v>44351</v>
      </c>
      <c r="B1412" s="2">
        <v>0</v>
      </c>
      <c r="C1412" t="s">
        <v>2720</v>
      </c>
      <c r="D1412" t="s">
        <v>2112</v>
      </c>
      <c r="E1412" t="s">
        <v>2204</v>
      </c>
      <c r="F1412" s="3">
        <v>44271</v>
      </c>
      <c r="G1412" s="2">
        <v>80</v>
      </c>
      <c r="H1412" s="1">
        <v>1171.8800000000001</v>
      </c>
      <c r="I1412" t="s">
        <v>2721</v>
      </c>
      <c r="J1412" s="2">
        <v>1</v>
      </c>
      <c r="K1412" t="s">
        <v>13</v>
      </c>
      <c r="L1412" t="s">
        <v>830</v>
      </c>
      <c r="M1412" t="s">
        <v>1213</v>
      </c>
    </row>
    <row r="1413" spans="1:13" x14ac:dyDescent="0.25">
      <c r="A1413" s="5">
        <v>44351</v>
      </c>
      <c r="B1413" s="2">
        <v>0</v>
      </c>
      <c r="C1413" t="s">
        <v>2722</v>
      </c>
      <c r="D1413" t="s">
        <v>2228</v>
      </c>
      <c r="E1413" t="s">
        <v>2229</v>
      </c>
      <c r="F1413" s="3">
        <v>44281</v>
      </c>
      <c r="G1413" s="2">
        <v>70</v>
      </c>
      <c r="H1413" s="1">
        <v>395.12</v>
      </c>
      <c r="I1413" t="s">
        <v>2518</v>
      </c>
      <c r="J1413" s="2">
        <v>1</v>
      </c>
      <c r="K1413" t="s">
        <v>13</v>
      </c>
      <c r="L1413" t="s">
        <v>21</v>
      </c>
      <c r="M1413" t="s">
        <v>308</v>
      </c>
    </row>
    <row r="1414" spans="1:13" x14ac:dyDescent="0.25">
      <c r="A1414" s="5">
        <v>44352</v>
      </c>
      <c r="B1414" s="2">
        <v>0</v>
      </c>
      <c r="C1414" t="s">
        <v>2724</v>
      </c>
      <c r="D1414" t="s">
        <v>1761</v>
      </c>
      <c r="E1414" t="s">
        <v>1762</v>
      </c>
      <c r="F1414" s="3">
        <v>44272</v>
      </c>
      <c r="G1414" s="2">
        <v>80</v>
      </c>
      <c r="H1414" s="1">
        <v>793.99</v>
      </c>
      <c r="I1414" t="s">
        <v>2639</v>
      </c>
      <c r="J1414" s="2">
        <v>1</v>
      </c>
      <c r="K1414" t="s">
        <v>13</v>
      </c>
      <c r="L1414" t="s">
        <v>21</v>
      </c>
      <c r="M1414" t="s">
        <v>1165</v>
      </c>
    </row>
    <row r="1415" spans="1:13" x14ac:dyDescent="0.25">
      <c r="A1415" s="5">
        <v>44352</v>
      </c>
      <c r="B1415" s="2">
        <v>0</v>
      </c>
      <c r="C1415" t="s">
        <v>2725</v>
      </c>
      <c r="D1415" t="s">
        <v>1983</v>
      </c>
      <c r="E1415" t="s">
        <v>1984</v>
      </c>
      <c r="F1415" s="3">
        <v>44272</v>
      </c>
      <c r="G1415" s="2">
        <v>80</v>
      </c>
      <c r="H1415" s="1">
        <v>793.99</v>
      </c>
      <c r="I1415" t="s">
        <v>2640</v>
      </c>
      <c r="J1415" s="2">
        <v>1</v>
      </c>
      <c r="K1415" t="s">
        <v>13</v>
      </c>
      <c r="L1415" t="s">
        <v>21</v>
      </c>
      <c r="M1415" t="s">
        <v>1566</v>
      </c>
    </row>
    <row r="1416" spans="1:13" x14ac:dyDescent="0.25">
      <c r="A1416" s="5">
        <v>44352</v>
      </c>
      <c r="B1416" s="2">
        <v>0</v>
      </c>
      <c r="C1416" t="s">
        <v>2726</v>
      </c>
      <c r="D1416" t="s">
        <v>1983</v>
      </c>
      <c r="E1416" t="s">
        <v>1984</v>
      </c>
      <c r="F1416" s="3">
        <v>44277</v>
      </c>
      <c r="G1416" s="2">
        <v>75</v>
      </c>
      <c r="H1416" s="1">
        <v>1847</v>
      </c>
      <c r="I1416" t="s">
        <v>2727</v>
      </c>
      <c r="J1416" s="2">
        <v>1</v>
      </c>
      <c r="K1416" t="s">
        <v>13</v>
      </c>
      <c r="L1416" t="s">
        <v>21</v>
      </c>
      <c r="M1416" t="s">
        <v>1566</v>
      </c>
    </row>
    <row r="1417" spans="1:13" x14ac:dyDescent="0.25">
      <c r="A1417" s="5">
        <v>44352</v>
      </c>
      <c r="B1417" s="2">
        <v>0</v>
      </c>
      <c r="C1417" t="s">
        <v>2728</v>
      </c>
      <c r="D1417" t="s">
        <v>1983</v>
      </c>
      <c r="E1417" t="s">
        <v>1984</v>
      </c>
      <c r="F1417" s="3">
        <v>44277</v>
      </c>
      <c r="G1417" s="2">
        <v>75</v>
      </c>
      <c r="H1417" s="1">
        <v>823.91</v>
      </c>
      <c r="I1417" t="s">
        <v>2729</v>
      </c>
      <c r="J1417" s="2">
        <v>1</v>
      </c>
      <c r="K1417" t="s">
        <v>13</v>
      </c>
      <c r="L1417" t="s">
        <v>21</v>
      </c>
      <c r="M1417" t="s">
        <v>1566</v>
      </c>
    </row>
    <row r="1418" spans="1:13" x14ac:dyDescent="0.25">
      <c r="A1418" s="5">
        <v>44352</v>
      </c>
      <c r="B1418" s="2">
        <v>0</v>
      </c>
      <c r="C1418" t="s">
        <v>2730</v>
      </c>
      <c r="D1418" t="s">
        <v>2112</v>
      </c>
      <c r="E1418" t="s">
        <v>2204</v>
      </c>
      <c r="F1418" s="3">
        <v>44267</v>
      </c>
      <c r="G1418" s="2">
        <v>85</v>
      </c>
      <c r="H1418" s="1">
        <v>2512.0500000000002</v>
      </c>
      <c r="I1418" t="s">
        <v>2731</v>
      </c>
      <c r="J1418" s="2">
        <v>1</v>
      </c>
      <c r="K1418" t="s">
        <v>13</v>
      </c>
      <c r="L1418" t="s">
        <v>830</v>
      </c>
      <c r="M1418" t="s">
        <v>1213</v>
      </c>
    </row>
    <row r="1419" spans="1:13" x14ac:dyDescent="0.25">
      <c r="A1419" s="5">
        <v>44352</v>
      </c>
      <c r="B1419" s="2">
        <v>0</v>
      </c>
      <c r="C1419" t="s">
        <v>2732</v>
      </c>
      <c r="D1419" t="s">
        <v>2047</v>
      </c>
      <c r="E1419" t="s">
        <v>2005</v>
      </c>
      <c r="F1419" s="3">
        <v>44312</v>
      </c>
      <c r="G1419" s="2">
        <v>40</v>
      </c>
      <c r="H1419" s="1">
        <v>287.93</v>
      </c>
      <c r="I1419" t="s">
        <v>2733</v>
      </c>
      <c r="J1419" s="2">
        <v>1</v>
      </c>
      <c r="K1419" t="s">
        <v>13</v>
      </c>
      <c r="L1419" t="s">
        <v>1682</v>
      </c>
      <c r="M1419" t="s">
        <v>15</v>
      </c>
    </row>
    <row r="1420" spans="1:13" x14ac:dyDescent="0.25">
      <c r="A1420" s="5">
        <v>44353</v>
      </c>
      <c r="B1420" s="2">
        <v>0</v>
      </c>
      <c r="C1420" t="s">
        <v>2734</v>
      </c>
      <c r="D1420" t="s">
        <v>2350</v>
      </c>
      <c r="E1420" t="s">
        <v>2351</v>
      </c>
      <c r="F1420" s="3">
        <v>44308</v>
      </c>
      <c r="G1420" s="2">
        <v>45</v>
      </c>
      <c r="H1420" s="1">
        <v>425.68</v>
      </c>
      <c r="I1420" t="s">
        <v>2735</v>
      </c>
      <c r="J1420" s="2">
        <v>1</v>
      </c>
      <c r="K1420" t="s">
        <v>13</v>
      </c>
      <c r="L1420" t="s">
        <v>695</v>
      </c>
      <c r="M1420" t="s">
        <v>15</v>
      </c>
    </row>
    <row r="1421" spans="1:13" x14ac:dyDescent="0.25">
      <c r="A1421" s="5">
        <v>44353</v>
      </c>
      <c r="B1421" s="2">
        <v>0</v>
      </c>
      <c r="C1421" t="s">
        <v>2736</v>
      </c>
      <c r="D1421" t="s">
        <v>2047</v>
      </c>
      <c r="E1421" t="s">
        <v>2005</v>
      </c>
      <c r="F1421" s="3">
        <v>44263</v>
      </c>
      <c r="G1421" s="2">
        <v>90</v>
      </c>
      <c r="H1421" s="1">
        <v>288.02999999999997</v>
      </c>
      <c r="I1421" t="s">
        <v>2402</v>
      </c>
      <c r="J1421" s="2">
        <v>1</v>
      </c>
      <c r="K1421" t="s">
        <v>13</v>
      </c>
      <c r="L1421" t="s">
        <v>1682</v>
      </c>
      <c r="M1421" t="s">
        <v>15</v>
      </c>
    </row>
    <row r="1422" spans="1:13" x14ac:dyDescent="0.25">
      <c r="A1422" s="5">
        <v>44354</v>
      </c>
      <c r="B1422" s="2">
        <v>0</v>
      </c>
      <c r="C1422" t="s">
        <v>2738</v>
      </c>
      <c r="D1422" t="s">
        <v>1748</v>
      </c>
      <c r="E1422" t="s">
        <v>1840</v>
      </c>
      <c r="F1422" s="3">
        <v>44314</v>
      </c>
      <c r="G1422" s="2">
        <v>40</v>
      </c>
      <c r="H1422" s="1">
        <v>167.82</v>
      </c>
      <c r="I1422" t="s">
        <v>2739</v>
      </c>
      <c r="J1422" s="2">
        <v>1</v>
      </c>
      <c r="K1422" t="s">
        <v>13</v>
      </c>
      <c r="L1422" t="s">
        <v>1682</v>
      </c>
      <c r="M1422" t="s">
        <v>15</v>
      </c>
    </row>
    <row r="1423" spans="1:13" x14ac:dyDescent="0.25">
      <c r="A1423" s="5">
        <v>44354</v>
      </c>
      <c r="B1423" s="2">
        <v>0</v>
      </c>
      <c r="C1423" t="s">
        <v>2740</v>
      </c>
      <c r="D1423" t="s">
        <v>2228</v>
      </c>
      <c r="E1423" t="s">
        <v>2229</v>
      </c>
      <c r="F1423" s="3">
        <v>44284</v>
      </c>
      <c r="G1423" s="2">
        <v>70</v>
      </c>
      <c r="H1423" s="1">
        <v>565.29</v>
      </c>
      <c r="I1423" t="s">
        <v>2416</v>
      </c>
      <c r="J1423" s="2">
        <v>1</v>
      </c>
      <c r="K1423" t="s">
        <v>13</v>
      </c>
      <c r="L1423" t="s">
        <v>21</v>
      </c>
      <c r="M1423" t="s">
        <v>308</v>
      </c>
    </row>
    <row r="1424" spans="1:13" x14ac:dyDescent="0.25">
      <c r="A1424" s="5">
        <v>44354</v>
      </c>
      <c r="B1424" s="2">
        <v>0</v>
      </c>
      <c r="C1424" t="s">
        <v>2742</v>
      </c>
      <c r="D1424" t="s">
        <v>2047</v>
      </c>
      <c r="E1424" t="s">
        <v>2005</v>
      </c>
      <c r="F1424" s="3">
        <v>44284</v>
      </c>
      <c r="G1424" s="2">
        <v>70</v>
      </c>
      <c r="H1424" s="1">
        <v>270.62</v>
      </c>
      <c r="I1424" t="s">
        <v>2571</v>
      </c>
      <c r="J1424" s="2">
        <v>1</v>
      </c>
      <c r="K1424" t="s">
        <v>13</v>
      </c>
      <c r="L1424" t="s">
        <v>1682</v>
      </c>
      <c r="M1424" t="s">
        <v>15</v>
      </c>
    </row>
    <row r="1425" spans="1:13" x14ac:dyDescent="0.25">
      <c r="A1425" s="5">
        <v>44354</v>
      </c>
      <c r="B1425" s="2">
        <v>0</v>
      </c>
      <c r="C1425" t="s">
        <v>2743</v>
      </c>
      <c r="D1425" t="s">
        <v>2047</v>
      </c>
      <c r="E1425" t="s">
        <v>2005</v>
      </c>
      <c r="F1425" s="3">
        <v>44319</v>
      </c>
      <c r="G1425" s="2">
        <v>35</v>
      </c>
      <c r="H1425" s="1">
        <v>477.47</v>
      </c>
      <c r="I1425" t="s">
        <v>2744</v>
      </c>
      <c r="J1425" s="2">
        <v>1</v>
      </c>
      <c r="K1425" t="s">
        <v>13</v>
      </c>
      <c r="L1425" t="s">
        <v>1682</v>
      </c>
      <c r="M1425" t="s">
        <v>15</v>
      </c>
    </row>
    <row r="1426" spans="1:13" x14ac:dyDescent="0.25">
      <c r="A1426" s="5">
        <v>44355</v>
      </c>
      <c r="B1426" s="2">
        <v>0</v>
      </c>
      <c r="C1426" t="s">
        <v>2745</v>
      </c>
      <c r="D1426" t="s">
        <v>1748</v>
      </c>
      <c r="E1426" t="s">
        <v>1840</v>
      </c>
      <c r="F1426" s="3">
        <v>44305</v>
      </c>
      <c r="G1426" s="2">
        <v>50</v>
      </c>
      <c r="H1426" s="1">
        <v>304.72000000000003</v>
      </c>
      <c r="I1426" t="s">
        <v>2582</v>
      </c>
      <c r="J1426" s="2">
        <v>1</v>
      </c>
      <c r="K1426" t="s">
        <v>13</v>
      </c>
      <c r="L1426" t="s">
        <v>1682</v>
      </c>
      <c r="M1426" t="s">
        <v>15</v>
      </c>
    </row>
    <row r="1427" spans="1:13" x14ac:dyDescent="0.25">
      <c r="A1427" s="5">
        <v>44355</v>
      </c>
      <c r="B1427" s="2">
        <v>0</v>
      </c>
      <c r="C1427" t="s">
        <v>2749</v>
      </c>
      <c r="D1427" t="s">
        <v>1998</v>
      </c>
      <c r="E1427" t="s">
        <v>1999</v>
      </c>
      <c r="F1427" s="3">
        <v>44335</v>
      </c>
      <c r="G1427" s="2">
        <v>20</v>
      </c>
      <c r="H1427" s="1">
        <v>1156.8499999999999</v>
      </c>
      <c r="I1427" t="s">
        <v>2750</v>
      </c>
      <c r="J1427" s="2">
        <v>1</v>
      </c>
      <c r="K1427" t="s">
        <v>13</v>
      </c>
      <c r="L1427" t="s">
        <v>695</v>
      </c>
      <c r="M1427" t="s">
        <v>15</v>
      </c>
    </row>
    <row r="1428" spans="1:13" x14ac:dyDescent="0.25">
      <c r="A1428" s="5">
        <v>44355</v>
      </c>
      <c r="B1428" s="2">
        <v>0</v>
      </c>
      <c r="C1428" t="s">
        <v>2751</v>
      </c>
      <c r="D1428" t="s">
        <v>2047</v>
      </c>
      <c r="E1428" t="s">
        <v>2005</v>
      </c>
      <c r="F1428" s="3">
        <v>44265</v>
      </c>
      <c r="G1428" s="2">
        <v>90</v>
      </c>
      <c r="H1428" s="1">
        <v>260.66000000000003</v>
      </c>
      <c r="I1428" t="s">
        <v>2259</v>
      </c>
      <c r="J1428" s="2">
        <v>1</v>
      </c>
      <c r="K1428" t="s">
        <v>13</v>
      </c>
      <c r="L1428" t="s">
        <v>1682</v>
      </c>
      <c r="M1428" t="s">
        <v>15</v>
      </c>
    </row>
    <row r="1429" spans="1:13" x14ac:dyDescent="0.25">
      <c r="A1429" s="5">
        <v>44355</v>
      </c>
      <c r="B1429" s="2">
        <v>0</v>
      </c>
      <c r="C1429" t="s">
        <v>2752</v>
      </c>
      <c r="D1429" t="s">
        <v>2047</v>
      </c>
      <c r="E1429" t="s">
        <v>2005</v>
      </c>
      <c r="F1429" s="3">
        <v>44305</v>
      </c>
      <c r="G1429" s="2">
        <v>50</v>
      </c>
      <c r="H1429" s="1">
        <v>393.38</v>
      </c>
      <c r="I1429" t="s">
        <v>2753</v>
      </c>
      <c r="J1429" s="2">
        <v>1</v>
      </c>
      <c r="K1429" t="s">
        <v>13</v>
      </c>
      <c r="L1429" t="s">
        <v>1682</v>
      </c>
      <c r="M1429" t="s">
        <v>15</v>
      </c>
    </row>
    <row r="1430" spans="1:13" x14ac:dyDescent="0.25">
      <c r="A1430" s="5">
        <v>44356</v>
      </c>
      <c r="B1430" s="2">
        <v>0</v>
      </c>
      <c r="C1430" t="s">
        <v>2754</v>
      </c>
      <c r="D1430" t="s">
        <v>2350</v>
      </c>
      <c r="E1430" t="s">
        <v>2351</v>
      </c>
      <c r="F1430" s="3">
        <v>44306</v>
      </c>
      <c r="G1430" s="2">
        <v>50</v>
      </c>
      <c r="H1430" s="1">
        <v>352.21</v>
      </c>
      <c r="I1430" t="s">
        <v>2755</v>
      </c>
      <c r="J1430" s="2">
        <v>1</v>
      </c>
      <c r="K1430" t="s">
        <v>13</v>
      </c>
      <c r="L1430" t="s">
        <v>695</v>
      </c>
      <c r="M1430" t="s">
        <v>15</v>
      </c>
    </row>
    <row r="1431" spans="1:13" x14ac:dyDescent="0.25">
      <c r="A1431" s="5">
        <v>44357</v>
      </c>
      <c r="B1431" s="2">
        <v>0</v>
      </c>
      <c r="C1431" t="s">
        <v>2756</v>
      </c>
      <c r="D1431" t="s">
        <v>2350</v>
      </c>
      <c r="E1431" t="s">
        <v>2351</v>
      </c>
      <c r="F1431" s="3">
        <v>44292</v>
      </c>
      <c r="G1431" s="2">
        <v>65</v>
      </c>
      <c r="H1431" s="1">
        <v>274.98</v>
      </c>
      <c r="I1431" t="s">
        <v>2757</v>
      </c>
      <c r="J1431" s="2">
        <v>1</v>
      </c>
      <c r="K1431" t="s">
        <v>13</v>
      </c>
      <c r="L1431" t="s">
        <v>695</v>
      </c>
      <c r="M1431" t="s">
        <v>15</v>
      </c>
    </row>
    <row r="1432" spans="1:13" x14ac:dyDescent="0.25">
      <c r="A1432" s="5">
        <v>44357</v>
      </c>
      <c r="B1432" s="2">
        <v>0</v>
      </c>
      <c r="C1432" t="s">
        <v>2758</v>
      </c>
      <c r="D1432" t="s">
        <v>1761</v>
      </c>
      <c r="E1432" t="s">
        <v>1762</v>
      </c>
      <c r="F1432" s="3">
        <v>44257</v>
      </c>
      <c r="G1432" s="2">
        <v>100</v>
      </c>
      <c r="H1432" s="1">
        <v>1486.33</v>
      </c>
      <c r="I1432" t="s">
        <v>2451</v>
      </c>
      <c r="J1432" s="2">
        <v>1</v>
      </c>
      <c r="K1432" t="s">
        <v>13</v>
      </c>
      <c r="L1432" t="s">
        <v>21</v>
      </c>
      <c r="M1432" t="s">
        <v>1165</v>
      </c>
    </row>
    <row r="1433" spans="1:13" x14ac:dyDescent="0.25">
      <c r="A1433" s="5">
        <v>44357</v>
      </c>
      <c r="B1433" s="2">
        <v>0</v>
      </c>
      <c r="C1433" t="s">
        <v>2759</v>
      </c>
      <c r="D1433" t="s">
        <v>1761</v>
      </c>
      <c r="E1433" t="s">
        <v>1762</v>
      </c>
      <c r="F1433" s="3">
        <v>44272</v>
      </c>
      <c r="G1433" s="2">
        <v>85</v>
      </c>
      <c r="H1433" s="1">
        <v>963.65</v>
      </c>
      <c r="I1433" t="s">
        <v>2699</v>
      </c>
      <c r="J1433" s="2">
        <v>1</v>
      </c>
      <c r="K1433" t="s">
        <v>13</v>
      </c>
      <c r="L1433" t="s">
        <v>21</v>
      </c>
      <c r="M1433" t="s">
        <v>1165</v>
      </c>
    </row>
    <row r="1434" spans="1:13" x14ac:dyDescent="0.25">
      <c r="A1434" s="5">
        <v>44357</v>
      </c>
      <c r="B1434" s="2">
        <v>0</v>
      </c>
      <c r="C1434" t="s">
        <v>2760</v>
      </c>
      <c r="D1434" t="s">
        <v>1761</v>
      </c>
      <c r="E1434" t="s">
        <v>1762</v>
      </c>
      <c r="F1434" s="3">
        <v>44277</v>
      </c>
      <c r="G1434" s="2">
        <v>80</v>
      </c>
      <c r="H1434" s="1">
        <v>1312.71</v>
      </c>
      <c r="I1434" t="s">
        <v>2701</v>
      </c>
      <c r="J1434" s="2">
        <v>1</v>
      </c>
      <c r="K1434" t="s">
        <v>13</v>
      </c>
      <c r="L1434" t="s">
        <v>21</v>
      </c>
      <c r="M1434" t="s">
        <v>1165</v>
      </c>
    </row>
    <row r="1435" spans="1:13" x14ac:dyDescent="0.25">
      <c r="A1435" s="5">
        <v>44357</v>
      </c>
      <c r="B1435" s="2">
        <v>0</v>
      </c>
      <c r="C1435" t="s">
        <v>2761</v>
      </c>
      <c r="D1435" t="s">
        <v>1761</v>
      </c>
      <c r="E1435" t="s">
        <v>1762</v>
      </c>
      <c r="F1435" s="3">
        <v>44287</v>
      </c>
      <c r="G1435" s="2">
        <v>70</v>
      </c>
      <c r="H1435" s="1">
        <v>1420.65</v>
      </c>
      <c r="I1435" t="s">
        <v>2762</v>
      </c>
      <c r="J1435" s="2">
        <v>1</v>
      </c>
      <c r="K1435" t="s">
        <v>13</v>
      </c>
      <c r="L1435" t="s">
        <v>21</v>
      </c>
      <c r="M1435" t="s">
        <v>1165</v>
      </c>
    </row>
    <row r="1436" spans="1:13" x14ac:dyDescent="0.25">
      <c r="A1436" s="5">
        <v>44357</v>
      </c>
      <c r="B1436" s="2">
        <v>0</v>
      </c>
      <c r="C1436" t="s">
        <v>2763</v>
      </c>
      <c r="D1436" t="s">
        <v>1983</v>
      </c>
      <c r="E1436" t="s">
        <v>1984</v>
      </c>
      <c r="F1436" s="3">
        <v>44277</v>
      </c>
      <c r="G1436" s="2">
        <v>80</v>
      </c>
      <c r="H1436" s="1">
        <v>601.62</v>
      </c>
      <c r="I1436" t="s">
        <v>2702</v>
      </c>
      <c r="J1436" s="2">
        <v>1</v>
      </c>
      <c r="K1436" t="s">
        <v>13</v>
      </c>
      <c r="L1436" t="s">
        <v>21</v>
      </c>
      <c r="M1436" t="s">
        <v>1566</v>
      </c>
    </row>
    <row r="1437" spans="1:13" x14ac:dyDescent="0.25">
      <c r="A1437" s="5">
        <v>44357</v>
      </c>
      <c r="B1437" s="2">
        <v>0</v>
      </c>
      <c r="C1437" t="s">
        <v>2764</v>
      </c>
      <c r="D1437" t="s">
        <v>2112</v>
      </c>
      <c r="E1437" t="s">
        <v>2204</v>
      </c>
      <c r="F1437" s="3">
        <v>44267</v>
      </c>
      <c r="G1437" s="2">
        <v>90</v>
      </c>
      <c r="H1437" s="1">
        <v>2035.69</v>
      </c>
      <c r="I1437" t="s">
        <v>2731</v>
      </c>
      <c r="J1437" s="2">
        <v>1</v>
      </c>
      <c r="K1437" t="s">
        <v>13</v>
      </c>
      <c r="L1437" t="s">
        <v>830</v>
      </c>
      <c r="M1437" t="s">
        <v>1213</v>
      </c>
    </row>
    <row r="1438" spans="1:13" x14ac:dyDescent="0.25">
      <c r="A1438" s="5">
        <v>44357</v>
      </c>
      <c r="B1438" s="2">
        <v>0</v>
      </c>
      <c r="C1438" t="s">
        <v>2765</v>
      </c>
      <c r="D1438" t="s">
        <v>1773</v>
      </c>
      <c r="E1438" t="s">
        <v>1938</v>
      </c>
      <c r="F1438" s="3">
        <v>44257</v>
      </c>
      <c r="G1438" s="2">
        <v>100</v>
      </c>
      <c r="H1438" s="1">
        <v>1716.91</v>
      </c>
      <c r="I1438" t="s">
        <v>2456</v>
      </c>
      <c r="J1438" s="2">
        <v>1</v>
      </c>
      <c r="K1438" t="s">
        <v>13</v>
      </c>
      <c r="L1438" t="s">
        <v>21</v>
      </c>
      <c r="M1438" t="s">
        <v>1774</v>
      </c>
    </row>
    <row r="1439" spans="1:13" x14ac:dyDescent="0.25">
      <c r="A1439" s="5">
        <v>44357</v>
      </c>
      <c r="B1439" s="2">
        <v>0</v>
      </c>
      <c r="C1439" t="s">
        <v>2766</v>
      </c>
      <c r="D1439" t="s">
        <v>1773</v>
      </c>
      <c r="E1439" t="s">
        <v>1938</v>
      </c>
      <c r="F1439" s="3">
        <v>44272</v>
      </c>
      <c r="G1439" s="2">
        <v>85</v>
      </c>
      <c r="H1439" s="1">
        <v>801.91</v>
      </c>
      <c r="I1439" t="s">
        <v>2597</v>
      </c>
      <c r="J1439" s="2">
        <v>1</v>
      </c>
      <c r="K1439" t="s">
        <v>13</v>
      </c>
      <c r="L1439" t="s">
        <v>21</v>
      </c>
      <c r="M1439" t="s">
        <v>1774</v>
      </c>
    </row>
    <row r="1440" spans="1:13" x14ac:dyDescent="0.25">
      <c r="A1440" s="5">
        <v>44357</v>
      </c>
      <c r="B1440" s="2">
        <v>0</v>
      </c>
      <c r="C1440" t="s">
        <v>2767</v>
      </c>
      <c r="D1440" t="s">
        <v>1757</v>
      </c>
      <c r="E1440" t="s">
        <v>1758</v>
      </c>
      <c r="F1440" s="3">
        <v>44257</v>
      </c>
      <c r="G1440" s="2">
        <v>100</v>
      </c>
      <c r="H1440" s="1">
        <v>1565.97</v>
      </c>
      <c r="I1440" t="s">
        <v>2331</v>
      </c>
      <c r="J1440" s="2">
        <v>1</v>
      </c>
      <c r="K1440" t="s">
        <v>13</v>
      </c>
      <c r="L1440" t="s">
        <v>21</v>
      </c>
      <c r="M1440" t="s">
        <v>1165</v>
      </c>
    </row>
    <row r="1441" spans="1:13" x14ac:dyDescent="0.25">
      <c r="A1441" s="5">
        <v>44357</v>
      </c>
      <c r="B1441" s="2">
        <v>0</v>
      </c>
      <c r="C1441" t="s">
        <v>2768</v>
      </c>
      <c r="D1441" t="s">
        <v>1757</v>
      </c>
      <c r="E1441" t="s">
        <v>1758</v>
      </c>
      <c r="F1441" s="3">
        <v>44287</v>
      </c>
      <c r="G1441" s="2">
        <v>70</v>
      </c>
      <c r="H1441" s="1">
        <v>1420.65</v>
      </c>
      <c r="I1441" t="s">
        <v>2769</v>
      </c>
      <c r="J1441" s="2">
        <v>1</v>
      </c>
      <c r="K1441" t="s">
        <v>13</v>
      </c>
      <c r="L1441" t="s">
        <v>21</v>
      </c>
      <c r="M1441" t="s">
        <v>1165</v>
      </c>
    </row>
    <row r="1442" spans="1:13" x14ac:dyDescent="0.25">
      <c r="A1442" s="5">
        <v>44357</v>
      </c>
      <c r="B1442" s="2">
        <v>0</v>
      </c>
      <c r="C1442" t="s">
        <v>2770</v>
      </c>
      <c r="D1442" t="s">
        <v>1985</v>
      </c>
      <c r="E1442" t="s">
        <v>1986</v>
      </c>
      <c r="F1442" s="3">
        <v>44322</v>
      </c>
      <c r="G1442" s="2">
        <v>35</v>
      </c>
      <c r="H1442" s="1">
        <v>278.83</v>
      </c>
      <c r="I1442" t="s">
        <v>2771</v>
      </c>
      <c r="J1442" s="2">
        <v>1</v>
      </c>
      <c r="K1442" t="s">
        <v>13</v>
      </c>
      <c r="L1442" t="s">
        <v>830</v>
      </c>
      <c r="M1442" t="s">
        <v>1902</v>
      </c>
    </row>
    <row r="1443" spans="1:13" x14ac:dyDescent="0.25">
      <c r="A1443" s="5">
        <v>44358</v>
      </c>
      <c r="B1443" s="2">
        <v>0</v>
      </c>
      <c r="C1443" t="s">
        <v>2772</v>
      </c>
      <c r="D1443" t="s">
        <v>2350</v>
      </c>
      <c r="E1443" t="s">
        <v>2351</v>
      </c>
      <c r="F1443" s="3">
        <v>44293</v>
      </c>
      <c r="G1443" s="2">
        <v>65</v>
      </c>
      <c r="H1443" s="1">
        <v>266.47000000000003</v>
      </c>
      <c r="I1443" t="s">
        <v>2773</v>
      </c>
      <c r="J1443" s="2">
        <v>1</v>
      </c>
      <c r="K1443" t="s">
        <v>13</v>
      </c>
      <c r="L1443" t="s">
        <v>695</v>
      </c>
      <c r="M1443" t="s">
        <v>15</v>
      </c>
    </row>
    <row r="1444" spans="1:13" x14ac:dyDescent="0.25">
      <c r="A1444" s="5">
        <v>44358</v>
      </c>
      <c r="B1444" s="2">
        <v>0</v>
      </c>
      <c r="C1444" t="s">
        <v>2774</v>
      </c>
      <c r="D1444" t="s">
        <v>2350</v>
      </c>
      <c r="E1444" t="s">
        <v>2351</v>
      </c>
      <c r="F1444" s="3">
        <v>44298</v>
      </c>
      <c r="G1444" s="2">
        <v>60</v>
      </c>
      <c r="H1444" s="1">
        <v>370.08</v>
      </c>
      <c r="I1444" t="s">
        <v>2710</v>
      </c>
      <c r="J1444" s="2">
        <v>1</v>
      </c>
      <c r="K1444" t="s">
        <v>13</v>
      </c>
      <c r="L1444" t="s">
        <v>695</v>
      </c>
      <c r="M1444" t="s">
        <v>15</v>
      </c>
    </row>
    <row r="1445" spans="1:13" x14ac:dyDescent="0.25">
      <c r="A1445" s="5">
        <v>44358</v>
      </c>
      <c r="B1445" s="2">
        <v>0</v>
      </c>
      <c r="C1445" t="s">
        <v>2775</v>
      </c>
      <c r="D1445" t="s">
        <v>1761</v>
      </c>
      <c r="E1445" t="s">
        <v>1762</v>
      </c>
      <c r="F1445" s="3">
        <v>44278</v>
      </c>
      <c r="G1445" s="2">
        <v>80</v>
      </c>
      <c r="H1445" s="1">
        <v>1289.1600000000001</v>
      </c>
      <c r="I1445" t="s">
        <v>2776</v>
      </c>
      <c r="J1445" s="2">
        <v>1</v>
      </c>
      <c r="K1445" t="s">
        <v>13</v>
      </c>
      <c r="L1445" t="s">
        <v>21</v>
      </c>
      <c r="M1445" t="s">
        <v>1165</v>
      </c>
    </row>
    <row r="1446" spans="1:13" x14ac:dyDescent="0.25">
      <c r="A1446" s="5">
        <v>44358</v>
      </c>
      <c r="B1446" s="2">
        <v>0</v>
      </c>
      <c r="C1446" t="s">
        <v>2777</v>
      </c>
      <c r="D1446" t="s">
        <v>1983</v>
      </c>
      <c r="E1446" t="s">
        <v>1984</v>
      </c>
      <c r="F1446" s="3">
        <v>44238</v>
      </c>
      <c r="G1446" s="2">
        <v>120</v>
      </c>
      <c r="H1446" s="1">
        <v>746.21</v>
      </c>
      <c r="I1446" t="s">
        <v>2267</v>
      </c>
      <c r="J1446" s="2">
        <v>1</v>
      </c>
      <c r="K1446" t="s">
        <v>13</v>
      </c>
      <c r="L1446" t="s">
        <v>21</v>
      </c>
      <c r="M1446" t="s">
        <v>1566</v>
      </c>
    </row>
    <row r="1447" spans="1:13" x14ac:dyDescent="0.25">
      <c r="A1447" s="5">
        <v>44358</v>
      </c>
      <c r="B1447" s="2">
        <v>0</v>
      </c>
      <c r="C1447" t="s">
        <v>2778</v>
      </c>
      <c r="D1447" t="s">
        <v>1773</v>
      </c>
      <c r="E1447" t="s">
        <v>1938</v>
      </c>
      <c r="F1447" s="3">
        <v>44238</v>
      </c>
      <c r="G1447" s="2">
        <v>120</v>
      </c>
      <c r="H1447" s="1">
        <v>679.63</v>
      </c>
      <c r="I1447" t="s">
        <v>2268</v>
      </c>
      <c r="J1447" s="2">
        <v>1</v>
      </c>
      <c r="K1447" t="s">
        <v>13</v>
      </c>
      <c r="L1447" t="s">
        <v>21</v>
      </c>
      <c r="M1447" t="s">
        <v>1774</v>
      </c>
    </row>
    <row r="1448" spans="1:13" x14ac:dyDescent="0.25">
      <c r="A1448" s="5">
        <v>44358</v>
      </c>
      <c r="B1448" s="2">
        <v>0</v>
      </c>
      <c r="C1448" t="s">
        <v>2779</v>
      </c>
      <c r="D1448" t="s">
        <v>1773</v>
      </c>
      <c r="E1448" t="s">
        <v>1938</v>
      </c>
      <c r="F1448" s="3">
        <v>44278</v>
      </c>
      <c r="G1448" s="2">
        <v>80</v>
      </c>
      <c r="H1448" s="1">
        <v>923.64</v>
      </c>
      <c r="I1448" t="s">
        <v>2780</v>
      </c>
      <c r="J1448" s="2">
        <v>1</v>
      </c>
      <c r="K1448" t="s">
        <v>13</v>
      </c>
      <c r="L1448" t="s">
        <v>21</v>
      </c>
      <c r="M1448" t="s">
        <v>1774</v>
      </c>
    </row>
    <row r="1449" spans="1:13" x14ac:dyDescent="0.25">
      <c r="A1449" s="5">
        <v>44358</v>
      </c>
      <c r="B1449" s="2">
        <v>0</v>
      </c>
      <c r="C1449" t="s">
        <v>2781</v>
      </c>
      <c r="D1449" t="s">
        <v>1757</v>
      </c>
      <c r="E1449" t="s">
        <v>1758</v>
      </c>
      <c r="F1449" s="3">
        <v>44253</v>
      </c>
      <c r="G1449" s="2">
        <v>105</v>
      </c>
      <c r="H1449" s="1">
        <v>555.49</v>
      </c>
      <c r="I1449" t="s">
        <v>2473</v>
      </c>
      <c r="J1449" s="2">
        <v>1</v>
      </c>
      <c r="K1449" t="s">
        <v>13</v>
      </c>
      <c r="L1449" t="s">
        <v>21</v>
      </c>
      <c r="M1449" t="s">
        <v>1165</v>
      </c>
    </row>
    <row r="1450" spans="1:13" x14ac:dyDescent="0.25">
      <c r="A1450" s="5">
        <v>44358</v>
      </c>
      <c r="B1450" s="2">
        <v>0</v>
      </c>
      <c r="C1450" t="s">
        <v>2782</v>
      </c>
      <c r="D1450" t="s">
        <v>1757</v>
      </c>
      <c r="E1450" t="s">
        <v>1758</v>
      </c>
      <c r="F1450" s="3">
        <v>44278</v>
      </c>
      <c r="G1450" s="2">
        <v>80</v>
      </c>
      <c r="H1450" s="1">
        <v>1652.07</v>
      </c>
      <c r="I1450" t="s">
        <v>2783</v>
      </c>
      <c r="J1450" s="2">
        <v>1</v>
      </c>
      <c r="K1450" t="s">
        <v>13</v>
      </c>
      <c r="L1450" t="s">
        <v>21</v>
      </c>
      <c r="M1450" t="s">
        <v>1165</v>
      </c>
    </row>
    <row r="1451" spans="1:13" x14ac:dyDescent="0.25">
      <c r="A1451" s="5">
        <v>44358</v>
      </c>
      <c r="B1451" s="2">
        <v>0</v>
      </c>
      <c r="C1451" t="s">
        <v>2784</v>
      </c>
      <c r="D1451" t="s">
        <v>1757</v>
      </c>
      <c r="E1451" t="s">
        <v>1758</v>
      </c>
      <c r="F1451" s="3">
        <v>44313</v>
      </c>
      <c r="G1451" s="2">
        <v>45</v>
      </c>
      <c r="H1451" s="1">
        <v>867.99</v>
      </c>
      <c r="I1451" t="s">
        <v>2785</v>
      </c>
      <c r="J1451" s="2">
        <v>1</v>
      </c>
      <c r="K1451" t="s">
        <v>13</v>
      </c>
      <c r="L1451" t="s">
        <v>21</v>
      </c>
      <c r="M1451" t="s">
        <v>1165</v>
      </c>
    </row>
    <row r="1452" spans="1:13" x14ac:dyDescent="0.25">
      <c r="A1452" s="5">
        <v>44358</v>
      </c>
      <c r="B1452" s="2">
        <v>0</v>
      </c>
      <c r="C1452" t="s">
        <v>2786</v>
      </c>
      <c r="D1452" t="s">
        <v>2228</v>
      </c>
      <c r="E1452" t="s">
        <v>2229</v>
      </c>
      <c r="F1452" s="3">
        <v>44313</v>
      </c>
      <c r="G1452" s="2">
        <v>45</v>
      </c>
      <c r="H1452" s="1">
        <v>718.13</v>
      </c>
      <c r="I1452" t="s">
        <v>2787</v>
      </c>
      <c r="J1452" s="2">
        <v>1</v>
      </c>
      <c r="K1452" t="s">
        <v>13</v>
      </c>
      <c r="L1452" t="s">
        <v>21</v>
      </c>
      <c r="M1452" t="s">
        <v>308</v>
      </c>
    </row>
    <row r="1453" spans="1:13" x14ac:dyDescent="0.25">
      <c r="A1453" s="5">
        <v>44358</v>
      </c>
      <c r="B1453" s="2">
        <v>0</v>
      </c>
      <c r="C1453" t="s">
        <v>2788</v>
      </c>
      <c r="D1453" t="s">
        <v>1985</v>
      </c>
      <c r="E1453" t="s">
        <v>1986</v>
      </c>
      <c r="F1453" s="3">
        <v>44344</v>
      </c>
      <c r="G1453" s="2">
        <v>14</v>
      </c>
      <c r="H1453" s="1">
        <v>168.44</v>
      </c>
      <c r="I1453" t="s">
        <v>2789</v>
      </c>
      <c r="J1453" s="2">
        <v>1</v>
      </c>
      <c r="K1453" t="s">
        <v>13</v>
      </c>
      <c r="L1453" t="s">
        <v>830</v>
      </c>
      <c r="M1453" t="s">
        <v>1902</v>
      </c>
    </row>
    <row r="1454" spans="1:13" x14ac:dyDescent="0.25">
      <c r="A1454" s="5">
        <v>44358</v>
      </c>
      <c r="B1454" s="2">
        <v>0</v>
      </c>
      <c r="C1454" t="s">
        <v>2790</v>
      </c>
      <c r="D1454" t="s">
        <v>2047</v>
      </c>
      <c r="E1454" t="s">
        <v>2005</v>
      </c>
      <c r="F1454" s="3">
        <v>44273</v>
      </c>
      <c r="G1454" s="2">
        <v>85</v>
      </c>
      <c r="H1454" s="1">
        <v>354.17</v>
      </c>
      <c r="I1454" t="s">
        <v>2337</v>
      </c>
      <c r="J1454" s="2">
        <v>1</v>
      </c>
      <c r="K1454" t="s">
        <v>13</v>
      </c>
      <c r="L1454" t="s">
        <v>1682</v>
      </c>
      <c r="M1454" t="s">
        <v>15</v>
      </c>
    </row>
    <row r="1455" spans="1:13" x14ac:dyDescent="0.25">
      <c r="A1455" s="5">
        <v>44358</v>
      </c>
      <c r="B1455" s="2">
        <v>0</v>
      </c>
      <c r="C1455" t="s">
        <v>2791</v>
      </c>
      <c r="D1455" t="s">
        <v>2047</v>
      </c>
      <c r="E1455" t="s">
        <v>2005</v>
      </c>
      <c r="F1455" s="3">
        <v>44298</v>
      </c>
      <c r="G1455" s="2">
        <v>60</v>
      </c>
      <c r="H1455" s="1">
        <v>408.65</v>
      </c>
      <c r="I1455" t="s">
        <v>2792</v>
      </c>
      <c r="J1455" s="2">
        <v>1</v>
      </c>
      <c r="K1455" t="s">
        <v>13</v>
      </c>
      <c r="L1455" t="s">
        <v>1682</v>
      </c>
      <c r="M1455" t="s">
        <v>15</v>
      </c>
    </row>
    <row r="1456" spans="1:13" x14ac:dyDescent="0.25">
      <c r="A1456" s="5">
        <v>44359</v>
      </c>
      <c r="B1456" s="2">
        <v>0</v>
      </c>
      <c r="C1456" t="s">
        <v>2793</v>
      </c>
      <c r="D1456" t="s">
        <v>2350</v>
      </c>
      <c r="E1456" t="s">
        <v>2351</v>
      </c>
      <c r="F1456" s="3">
        <v>44299</v>
      </c>
      <c r="G1456" s="2">
        <v>60</v>
      </c>
      <c r="H1456" s="1">
        <v>325.55</v>
      </c>
      <c r="I1456" t="s">
        <v>2794</v>
      </c>
      <c r="J1456" s="2">
        <v>1</v>
      </c>
      <c r="K1456" t="s">
        <v>13</v>
      </c>
      <c r="L1456" t="s">
        <v>695</v>
      </c>
      <c r="M1456" t="s">
        <v>15</v>
      </c>
    </row>
    <row r="1457" spans="1:13" x14ac:dyDescent="0.25">
      <c r="A1457" s="5">
        <v>44359</v>
      </c>
      <c r="B1457" s="2">
        <v>0</v>
      </c>
      <c r="C1457" t="s">
        <v>2795</v>
      </c>
      <c r="D1457" t="s">
        <v>2350</v>
      </c>
      <c r="E1457" t="s">
        <v>2351</v>
      </c>
      <c r="F1457" s="3">
        <v>44309</v>
      </c>
      <c r="G1457" s="2">
        <v>50</v>
      </c>
      <c r="H1457" s="1">
        <v>439.2</v>
      </c>
      <c r="I1457" t="s">
        <v>2796</v>
      </c>
      <c r="J1457" s="2">
        <v>1</v>
      </c>
      <c r="K1457" t="s">
        <v>13</v>
      </c>
      <c r="L1457" t="s">
        <v>695</v>
      </c>
      <c r="M1457" t="s">
        <v>15</v>
      </c>
    </row>
    <row r="1458" spans="1:13" x14ac:dyDescent="0.25">
      <c r="A1458" s="5">
        <v>44359</v>
      </c>
      <c r="B1458" s="2">
        <v>0</v>
      </c>
      <c r="C1458" t="s">
        <v>2797</v>
      </c>
      <c r="D1458" t="s">
        <v>1761</v>
      </c>
      <c r="E1458" t="s">
        <v>1762</v>
      </c>
      <c r="F1458" s="3">
        <v>44249</v>
      </c>
      <c r="G1458" s="2">
        <v>110</v>
      </c>
      <c r="H1458" s="1">
        <v>1011.3</v>
      </c>
      <c r="I1458" t="s">
        <v>2313</v>
      </c>
      <c r="J1458" s="2">
        <v>1</v>
      </c>
      <c r="K1458" t="s">
        <v>13</v>
      </c>
      <c r="L1458" t="s">
        <v>21</v>
      </c>
      <c r="M1458" t="s">
        <v>1165</v>
      </c>
    </row>
    <row r="1459" spans="1:13" x14ac:dyDescent="0.25">
      <c r="A1459" s="5">
        <v>44359</v>
      </c>
      <c r="B1459" s="2">
        <v>0</v>
      </c>
      <c r="C1459" t="s">
        <v>2798</v>
      </c>
      <c r="D1459" t="s">
        <v>1983</v>
      </c>
      <c r="E1459" t="s">
        <v>1984</v>
      </c>
      <c r="F1459" s="3">
        <v>44284</v>
      </c>
      <c r="G1459" s="2">
        <v>75</v>
      </c>
      <c r="H1459" s="1">
        <v>950.09</v>
      </c>
      <c r="I1459" t="s">
        <v>2799</v>
      </c>
      <c r="J1459" s="2">
        <v>1</v>
      </c>
      <c r="K1459" t="s">
        <v>13</v>
      </c>
      <c r="L1459" t="s">
        <v>21</v>
      </c>
      <c r="M1459" t="s">
        <v>1566</v>
      </c>
    </row>
    <row r="1460" spans="1:13" x14ac:dyDescent="0.25">
      <c r="A1460" s="5">
        <v>44359</v>
      </c>
      <c r="B1460" s="2">
        <v>0</v>
      </c>
      <c r="C1460" t="s">
        <v>2800</v>
      </c>
      <c r="D1460" t="s">
        <v>2112</v>
      </c>
      <c r="E1460" t="s">
        <v>2204</v>
      </c>
      <c r="F1460" s="3">
        <v>44254</v>
      </c>
      <c r="G1460" s="2">
        <v>105</v>
      </c>
      <c r="H1460" s="1">
        <v>2697.67</v>
      </c>
      <c r="I1460" t="s">
        <v>2485</v>
      </c>
      <c r="J1460" s="2">
        <v>1</v>
      </c>
      <c r="K1460" t="s">
        <v>13</v>
      </c>
      <c r="L1460" t="s">
        <v>830</v>
      </c>
      <c r="M1460" t="s">
        <v>1213</v>
      </c>
    </row>
    <row r="1461" spans="1:13" x14ac:dyDescent="0.25">
      <c r="A1461" s="5">
        <v>44359</v>
      </c>
      <c r="B1461" s="2">
        <v>0</v>
      </c>
      <c r="C1461" t="s">
        <v>2801</v>
      </c>
      <c r="D1461" t="s">
        <v>1773</v>
      </c>
      <c r="E1461" t="s">
        <v>1938</v>
      </c>
      <c r="F1461" s="3">
        <v>44284</v>
      </c>
      <c r="G1461" s="2">
        <v>75</v>
      </c>
      <c r="H1461" s="1">
        <v>540.05999999999995</v>
      </c>
      <c r="I1461" t="s">
        <v>2802</v>
      </c>
      <c r="J1461" s="2">
        <v>1</v>
      </c>
      <c r="K1461" t="s">
        <v>13</v>
      </c>
      <c r="L1461" t="s">
        <v>21</v>
      </c>
      <c r="M1461" t="s">
        <v>1774</v>
      </c>
    </row>
    <row r="1462" spans="1:13" x14ac:dyDescent="0.25">
      <c r="A1462" s="5">
        <v>44359</v>
      </c>
      <c r="B1462" s="2">
        <v>0</v>
      </c>
      <c r="C1462" t="s">
        <v>2803</v>
      </c>
      <c r="D1462" t="s">
        <v>1757</v>
      </c>
      <c r="E1462" t="s">
        <v>1758</v>
      </c>
      <c r="F1462" s="3">
        <v>44299</v>
      </c>
      <c r="G1462" s="2">
        <v>60</v>
      </c>
      <c r="H1462" s="1">
        <v>2915.21</v>
      </c>
      <c r="I1462" t="s">
        <v>2804</v>
      </c>
      <c r="J1462" s="2">
        <v>1</v>
      </c>
      <c r="K1462" t="s">
        <v>13</v>
      </c>
      <c r="L1462" t="s">
        <v>21</v>
      </c>
      <c r="M1462" t="s">
        <v>1165</v>
      </c>
    </row>
    <row r="1463" spans="1:13" x14ac:dyDescent="0.25">
      <c r="A1463" s="5">
        <v>44359</v>
      </c>
      <c r="B1463" s="2">
        <v>0</v>
      </c>
      <c r="C1463" t="s">
        <v>2805</v>
      </c>
      <c r="D1463" t="s">
        <v>2806</v>
      </c>
      <c r="E1463" t="s">
        <v>2807</v>
      </c>
      <c r="F1463" s="3">
        <v>44299</v>
      </c>
      <c r="G1463" s="2">
        <v>60</v>
      </c>
      <c r="H1463" s="1">
        <v>548.97</v>
      </c>
      <c r="I1463" t="s">
        <v>2808</v>
      </c>
      <c r="J1463" s="2">
        <v>1</v>
      </c>
      <c r="K1463" t="s">
        <v>13</v>
      </c>
      <c r="L1463" t="s">
        <v>830</v>
      </c>
      <c r="M1463" t="s">
        <v>2748</v>
      </c>
    </row>
    <row r="1464" spans="1:13" x14ac:dyDescent="0.25">
      <c r="A1464" s="5">
        <v>44359</v>
      </c>
      <c r="B1464" s="2">
        <v>0</v>
      </c>
      <c r="C1464" t="s">
        <v>2809</v>
      </c>
      <c r="D1464" t="s">
        <v>2806</v>
      </c>
      <c r="E1464" t="s">
        <v>2807</v>
      </c>
      <c r="F1464" s="3">
        <v>44309</v>
      </c>
      <c r="G1464" s="2">
        <v>50</v>
      </c>
      <c r="H1464" s="1">
        <v>389.62</v>
      </c>
      <c r="I1464" t="s">
        <v>2810</v>
      </c>
      <c r="J1464" s="2">
        <v>1</v>
      </c>
      <c r="K1464" t="s">
        <v>13</v>
      </c>
      <c r="L1464" t="s">
        <v>830</v>
      </c>
      <c r="M1464" t="s">
        <v>2748</v>
      </c>
    </row>
    <row r="1465" spans="1:13" x14ac:dyDescent="0.25">
      <c r="A1465" s="5">
        <v>44360</v>
      </c>
      <c r="B1465" s="2">
        <v>0</v>
      </c>
      <c r="C1465" t="s">
        <v>2811</v>
      </c>
      <c r="D1465" t="s">
        <v>1680</v>
      </c>
      <c r="E1465" t="s">
        <v>1681</v>
      </c>
      <c r="F1465" s="3">
        <v>44270</v>
      </c>
      <c r="G1465" s="2">
        <v>90</v>
      </c>
      <c r="H1465" s="1">
        <v>238.12</v>
      </c>
      <c r="I1465" t="s">
        <v>2493</v>
      </c>
      <c r="J1465" s="2">
        <v>1</v>
      </c>
      <c r="K1465" t="s">
        <v>13</v>
      </c>
      <c r="L1465" t="s">
        <v>1682</v>
      </c>
      <c r="M1465" t="s">
        <v>15</v>
      </c>
    </row>
    <row r="1466" spans="1:13" x14ac:dyDescent="0.25">
      <c r="A1466" s="5">
        <v>44360</v>
      </c>
      <c r="B1466" s="2">
        <v>0</v>
      </c>
      <c r="C1466" t="s">
        <v>2813</v>
      </c>
      <c r="D1466" t="s">
        <v>2543</v>
      </c>
      <c r="E1466" t="s">
        <v>2301</v>
      </c>
      <c r="F1466" s="3">
        <v>44300</v>
      </c>
      <c r="G1466" s="2">
        <v>60</v>
      </c>
      <c r="H1466" s="1">
        <v>395.75</v>
      </c>
      <c r="I1466" t="s">
        <v>2814</v>
      </c>
      <c r="J1466" s="2">
        <v>1</v>
      </c>
      <c r="K1466" t="s">
        <v>13</v>
      </c>
      <c r="L1466" t="s">
        <v>830</v>
      </c>
      <c r="M1466" t="s">
        <v>2544</v>
      </c>
    </row>
    <row r="1467" spans="1:13" x14ac:dyDescent="0.25">
      <c r="A1467" s="5">
        <v>44361</v>
      </c>
      <c r="B1467" s="2">
        <v>0</v>
      </c>
      <c r="C1467" t="s">
        <v>2815</v>
      </c>
      <c r="D1467" t="s">
        <v>1952</v>
      </c>
      <c r="E1467" t="s">
        <v>1953</v>
      </c>
      <c r="F1467" s="3">
        <v>44224</v>
      </c>
      <c r="G1467" s="2">
        <v>137</v>
      </c>
      <c r="H1467" s="1">
        <v>1354.37</v>
      </c>
      <c r="I1467" t="s">
        <v>2816</v>
      </c>
      <c r="J1467" s="2">
        <v>1</v>
      </c>
      <c r="K1467" t="s">
        <v>13</v>
      </c>
      <c r="L1467" t="s">
        <v>671</v>
      </c>
      <c r="M1467" t="s">
        <v>15</v>
      </c>
    </row>
    <row r="1468" spans="1:13" x14ac:dyDescent="0.25">
      <c r="A1468" s="5">
        <v>44361</v>
      </c>
      <c r="B1468" s="2">
        <v>0</v>
      </c>
      <c r="C1468" t="s">
        <v>2817</v>
      </c>
      <c r="D1468" t="s">
        <v>1952</v>
      </c>
      <c r="E1468" t="s">
        <v>1953</v>
      </c>
      <c r="F1468" s="3">
        <v>44281</v>
      </c>
      <c r="G1468" s="2">
        <v>80</v>
      </c>
      <c r="H1468" s="1">
        <v>841.91</v>
      </c>
      <c r="I1468" t="s">
        <v>2818</v>
      </c>
      <c r="J1468" s="2">
        <v>1</v>
      </c>
      <c r="K1468" t="s">
        <v>13</v>
      </c>
      <c r="L1468" t="s">
        <v>671</v>
      </c>
      <c r="M1468" t="s">
        <v>15</v>
      </c>
    </row>
    <row r="1469" spans="1:13" x14ac:dyDescent="0.25">
      <c r="A1469" s="5">
        <v>44361</v>
      </c>
      <c r="B1469" s="2">
        <v>0</v>
      </c>
      <c r="C1469" t="s">
        <v>2820</v>
      </c>
      <c r="D1469" t="s">
        <v>1761</v>
      </c>
      <c r="E1469" t="s">
        <v>1762</v>
      </c>
      <c r="F1469" s="3">
        <v>44291</v>
      </c>
      <c r="G1469" s="2">
        <v>70</v>
      </c>
      <c r="H1469" s="1">
        <v>687.23</v>
      </c>
      <c r="I1469" t="s">
        <v>2821</v>
      </c>
      <c r="J1469" s="2">
        <v>1</v>
      </c>
      <c r="K1469" t="s">
        <v>13</v>
      </c>
      <c r="L1469" t="s">
        <v>21</v>
      </c>
      <c r="M1469" t="s">
        <v>1165</v>
      </c>
    </row>
    <row r="1470" spans="1:13" x14ac:dyDescent="0.25">
      <c r="A1470" s="5">
        <v>44361</v>
      </c>
      <c r="B1470" s="2">
        <v>0</v>
      </c>
      <c r="C1470" t="s">
        <v>2822</v>
      </c>
      <c r="D1470" t="s">
        <v>1983</v>
      </c>
      <c r="E1470" t="s">
        <v>1984</v>
      </c>
      <c r="F1470" s="3">
        <v>44291</v>
      </c>
      <c r="G1470" s="2">
        <v>70</v>
      </c>
      <c r="H1470" s="1">
        <v>687.23</v>
      </c>
      <c r="I1470" t="s">
        <v>2823</v>
      </c>
      <c r="J1470" s="2">
        <v>1</v>
      </c>
      <c r="K1470" t="s">
        <v>13</v>
      </c>
      <c r="L1470" t="s">
        <v>21</v>
      </c>
      <c r="M1470" t="s">
        <v>1566</v>
      </c>
    </row>
    <row r="1471" spans="1:13" x14ac:dyDescent="0.25">
      <c r="A1471" s="5">
        <v>44361</v>
      </c>
      <c r="B1471" s="2">
        <v>0</v>
      </c>
      <c r="C1471" t="s">
        <v>2824</v>
      </c>
      <c r="D1471" t="s">
        <v>1773</v>
      </c>
      <c r="E1471" t="s">
        <v>1938</v>
      </c>
      <c r="F1471" s="3">
        <v>44291</v>
      </c>
      <c r="G1471" s="2">
        <v>70</v>
      </c>
      <c r="H1471" s="1">
        <v>687.23</v>
      </c>
      <c r="I1471" t="s">
        <v>2825</v>
      </c>
      <c r="J1471" s="2">
        <v>1</v>
      </c>
      <c r="K1471" t="s">
        <v>13</v>
      </c>
      <c r="L1471" t="s">
        <v>21</v>
      </c>
      <c r="M1471" t="s">
        <v>1774</v>
      </c>
    </row>
    <row r="1472" spans="1:13" x14ac:dyDescent="0.25">
      <c r="A1472" s="5">
        <v>44361</v>
      </c>
      <c r="B1472" s="2">
        <v>0</v>
      </c>
      <c r="C1472" t="s">
        <v>2826</v>
      </c>
      <c r="D1472" t="s">
        <v>1773</v>
      </c>
      <c r="E1472" t="s">
        <v>1938</v>
      </c>
      <c r="F1472" s="3">
        <v>44321</v>
      </c>
      <c r="G1472" s="2">
        <v>40</v>
      </c>
      <c r="H1472" s="1">
        <v>860.66</v>
      </c>
      <c r="I1472" t="s">
        <v>2827</v>
      </c>
      <c r="J1472" s="2">
        <v>1</v>
      </c>
      <c r="K1472" t="s">
        <v>13</v>
      </c>
      <c r="L1472" t="s">
        <v>21</v>
      </c>
      <c r="M1472" t="s">
        <v>1774</v>
      </c>
    </row>
    <row r="1473" spans="1:13" x14ac:dyDescent="0.25">
      <c r="A1473" s="5">
        <v>44361</v>
      </c>
      <c r="B1473" s="2">
        <v>0</v>
      </c>
      <c r="C1473" t="s">
        <v>2828</v>
      </c>
      <c r="D1473" t="s">
        <v>1757</v>
      </c>
      <c r="E1473" t="s">
        <v>1758</v>
      </c>
      <c r="F1473" s="3">
        <v>44271</v>
      </c>
      <c r="G1473" s="2">
        <v>90</v>
      </c>
      <c r="H1473" s="1">
        <v>674.61</v>
      </c>
      <c r="I1473" t="s">
        <v>2631</v>
      </c>
      <c r="J1473" s="2">
        <v>1</v>
      </c>
      <c r="K1473" t="s">
        <v>13</v>
      </c>
      <c r="L1473" t="s">
        <v>21</v>
      </c>
      <c r="M1473" t="s">
        <v>1165</v>
      </c>
    </row>
    <row r="1474" spans="1:13" x14ac:dyDescent="0.25">
      <c r="A1474" s="5">
        <v>44361</v>
      </c>
      <c r="B1474" s="2">
        <v>0</v>
      </c>
      <c r="C1474" t="s">
        <v>2829</v>
      </c>
      <c r="D1474" t="s">
        <v>1757</v>
      </c>
      <c r="E1474" t="s">
        <v>1758</v>
      </c>
      <c r="F1474" s="3">
        <v>44281</v>
      </c>
      <c r="G1474" s="2">
        <v>80</v>
      </c>
      <c r="H1474" s="1">
        <v>914.39</v>
      </c>
      <c r="I1474" t="s">
        <v>2830</v>
      </c>
      <c r="J1474" s="2">
        <v>1</v>
      </c>
      <c r="K1474" t="s">
        <v>13</v>
      </c>
      <c r="L1474" t="s">
        <v>21</v>
      </c>
      <c r="M1474" t="s">
        <v>1165</v>
      </c>
    </row>
    <row r="1475" spans="1:13" x14ac:dyDescent="0.25">
      <c r="A1475" s="5">
        <v>44361</v>
      </c>
      <c r="B1475" s="2">
        <v>0</v>
      </c>
      <c r="C1475" t="s">
        <v>2831</v>
      </c>
      <c r="D1475" t="s">
        <v>1757</v>
      </c>
      <c r="E1475" t="s">
        <v>1758</v>
      </c>
      <c r="F1475" s="3">
        <v>44291</v>
      </c>
      <c r="G1475" s="2">
        <v>70</v>
      </c>
      <c r="H1475" s="1">
        <v>2963.89</v>
      </c>
      <c r="I1475" t="s">
        <v>2832</v>
      </c>
      <c r="J1475" s="2">
        <v>1</v>
      </c>
      <c r="K1475" t="s">
        <v>13</v>
      </c>
      <c r="L1475" t="s">
        <v>21</v>
      </c>
      <c r="M1475" t="s">
        <v>1165</v>
      </c>
    </row>
    <row r="1476" spans="1:13" x14ac:dyDescent="0.25">
      <c r="A1476" s="5">
        <v>44361</v>
      </c>
      <c r="B1476" s="2">
        <v>0</v>
      </c>
      <c r="C1476" t="s">
        <v>2833</v>
      </c>
      <c r="D1476" t="s">
        <v>1757</v>
      </c>
      <c r="E1476" t="s">
        <v>1758</v>
      </c>
      <c r="F1476" s="3">
        <v>44291</v>
      </c>
      <c r="G1476" s="2">
        <v>70</v>
      </c>
      <c r="H1476" s="1">
        <v>687.23</v>
      </c>
      <c r="I1476" t="s">
        <v>2834</v>
      </c>
      <c r="J1476" s="2">
        <v>1</v>
      </c>
      <c r="K1476" t="s">
        <v>13</v>
      </c>
      <c r="L1476" t="s">
        <v>21</v>
      </c>
      <c r="M1476" t="s">
        <v>1165</v>
      </c>
    </row>
    <row r="1477" spans="1:13" x14ac:dyDescent="0.25">
      <c r="A1477" s="5">
        <v>44361</v>
      </c>
      <c r="B1477" s="2">
        <v>0</v>
      </c>
      <c r="C1477" t="s">
        <v>2835</v>
      </c>
      <c r="D1477" t="s">
        <v>2836</v>
      </c>
      <c r="E1477" t="s">
        <v>2837</v>
      </c>
      <c r="F1477" s="3">
        <v>44281</v>
      </c>
      <c r="G1477" s="2">
        <v>80</v>
      </c>
      <c r="H1477" s="1">
        <v>1387.21</v>
      </c>
      <c r="I1477" t="s">
        <v>2838</v>
      </c>
      <c r="J1477" s="2">
        <v>1</v>
      </c>
      <c r="K1477" t="s">
        <v>13</v>
      </c>
      <c r="L1477" t="s">
        <v>671</v>
      </c>
      <c r="M1477" t="s">
        <v>15</v>
      </c>
    </row>
    <row r="1478" spans="1:13" x14ac:dyDescent="0.25">
      <c r="A1478" s="5">
        <v>44361</v>
      </c>
      <c r="B1478" s="2">
        <v>0</v>
      </c>
      <c r="C1478" t="s">
        <v>2839</v>
      </c>
      <c r="D1478" t="s">
        <v>2836</v>
      </c>
      <c r="E1478" t="s">
        <v>2837</v>
      </c>
      <c r="F1478" s="3">
        <v>44286</v>
      </c>
      <c r="G1478" s="2">
        <v>75</v>
      </c>
      <c r="H1478" s="1">
        <v>1501.38</v>
      </c>
      <c r="I1478" t="s">
        <v>2840</v>
      </c>
      <c r="J1478" s="2">
        <v>1</v>
      </c>
      <c r="K1478" t="s">
        <v>13</v>
      </c>
      <c r="L1478" t="s">
        <v>671</v>
      </c>
      <c r="M1478" t="s">
        <v>15</v>
      </c>
    </row>
    <row r="1479" spans="1:13" x14ac:dyDescent="0.25">
      <c r="A1479" s="5">
        <v>44361</v>
      </c>
      <c r="B1479" s="2">
        <v>0</v>
      </c>
      <c r="C1479" t="s">
        <v>2841</v>
      </c>
      <c r="D1479" t="s">
        <v>1985</v>
      </c>
      <c r="E1479" t="s">
        <v>1986</v>
      </c>
      <c r="F1479" s="3">
        <v>44335</v>
      </c>
      <c r="G1479" s="2">
        <v>26</v>
      </c>
      <c r="H1479" s="1">
        <v>204.02</v>
      </c>
      <c r="I1479" t="s">
        <v>2842</v>
      </c>
      <c r="J1479" s="2">
        <v>1</v>
      </c>
      <c r="K1479" t="s">
        <v>13</v>
      </c>
      <c r="L1479" t="s">
        <v>830</v>
      </c>
      <c r="M1479" t="s">
        <v>1902</v>
      </c>
    </row>
    <row r="1480" spans="1:13" x14ac:dyDescent="0.25">
      <c r="A1480" s="5">
        <v>44362</v>
      </c>
      <c r="B1480" s="2">
        <v>0</v>
      </c>
      <c r="C1480" t="s">
        <v>2843</v>
      </c>
      <c r="D1480" t="s">
        <v>2350</v>
      </c>
      <c r="E1480" t="s">
        <v>2351</v>
      </c>
      <c r="F1480" s="3">
        <v>44292</v>
      </c>
      <c r="G1480" s="2">
        <v>70</v>
      </c>
      <c r="H1480" s="1">
        <v>275.16000000000003</v>
      </c>
      <c r="I1480" t="s">
        <v>2635</v>
      </c>
      <c r="J1480" s="2">
        <v>1</v>
      </c>
      <c r="K1480" t="s">
        <v>13</v>
      </c>
      <c r="L1480" t="s">
        <v>695</v>
      </c>
      <c r="M1480" t="s">
        <v>15</v>
      </c>
    </row>
    <row r="1481" spans="1:13" x14ac:dyDescent="0.25">
      <c r="A1481" s="5">
        <v>44362</v>
      </c>
      <c r="B1481" s="2">
        <v>0</v>
      </c>
      <c r="C1481" t="s">
        <v>2844</v>
      </c>
      <c r="D1481" t="s">
        <v>1761</v>
      </c>
      <c r="E1481" t="s">
        <v>1762</v>
      </c>
      <c r="F1481" s="3">
        <v>44272</v>
      </c>
      <c r="G1481" s="2">
        <v>90</v>
      </c>
      <c r="H1481" s="1">
        <v>794</v>
      </c>
      <c r="I1481" t="s">
        <v>2639</v>
      </c>
      <c r="J1481" s="2">
        <v>1</v>
      </c>
      <c r="K1481" t="s">
        <v>13</v>
      </c>
      <c r="L1481" t="s">
        <v>21</v>
      </c>
      <c r="M1481" t="s">
        <v>1165</v>
      </c>
    </row>
    <row r="1482" spans="1:13" x14ac:dyDescent="0.25">
      <c r="A1482" s="5">
        <v>44362</v>
      </c>
      <c r="B1482" s="2">
        <v>0</v>
      </c>
      <c r="C1482" t="s">
        <v>2845</v>
      </c>
      <c r="D1482" t="s">
        <v>1761</v>
      </c>
      <c r="E1482" t="s">
        <v>1762</v>
      </c>
      <c r="F1482" s="3">
        <v>44277</v>
      </c>
      <c r="G1482" s="2">
        <v>85</v>
      </c>
      <c r="H1482" s="1">
        <v>601.62</v>
      </c>
      <c r="I1482" t="s">
        <v>2846</v>
      </c>
      <c r="J1482" s="2">
        <v>1</v>
      </c>
      <c r="K1482" t="s">
        <v>13</v>
      </c>
      <c r="L1482" t="s">
        <v>21</v>
      </c>
      <c r="M1482" t="s">
        <v>1165</v>
      </c>
    </row>
    <row r="1483" spans="1:13" x14ac:dyDescent="0.25">
      <c r="A1483" s="5">
        <v>44362</v>
      </c>
      <c r="B1483" s="2">
        <v>0</v>
      </c>
      <c r="C1483" t="s">
        <v>2847</v>
      </c>
      <c r="D1483" t="s">
        <v>1761</v>
      </c>
      <c r="E1483" t="s">
        <v>1762</v>
      </c>
      <c r="F1483" s="3">
        <v>44292</v>
      </c>
      <c r="G1483" s="2">
        <v>70</v>
      </c>
      <c r="H1483" s="1">
        <v>1621.87</v>
      </c>
      <c r="I1483" t="s">
        <v>2848</v>
      </c>
      <c r="J1483" s="2">
        <v>1</v>
      </c>
      <c r="K1483" t="s">
        <v>13</v>
      </c>
      <c r="L1483" t="s">
        <v>21</v>
      </c>
      <c r="M1483" t="s">
        <v>1165</v>
      </c>
    </row>
    <row r="1484" spans="1:13" x14ac:dyDescent="0.25">
      <c r="A1484" s="5">
        <v>44362</v>
      </c>
      <c r="B1484" s="2">
        <v>0</v>
      </c>
      <c r="C1484" t="s">
        <v>2849</v>
      </c>
      <c r="D1484" t="s">
        <v>1983</v>
      </c>
      <c r="E1484" t="s">
        <v>1984</v>
      </c>
      <c r="F1484" s="3">
        <v>44272</v>
      </c>
      <c r="G1484" s="2">
        <v>90</v>
      </c>
      <c r="H1484" s="1">
        <v>794</v>
      </c>
      <c r="I1484" t="s">
        <v>2640</v>
      </c>
      <c r="J1484" s="2">
        <v>1</v>
      </c>
      <c r="K1484" t="s">
        <v>13</v>
      </c>
      <c r="L1484" t="s">
        <v>21</v>
      </c>
      <c r="M1484" t="s">
        <v>1566</v>
      </c>
    </row>
    <row r="1485" spans="1:13" x14ac:dyDescent="0.25">
      <c r="A1485" s="5">
        <v>44362</v>
      </c>
      <c r="B1485" s="2">
        <v>0</v>
      </c>
      <c r="C1485" t="s">
        <v>2850</v>
      </c>
      <c r="D1485" t="s">
        <v>1983</v>
      </c>
      <c r="E1485" t="s">
        <v>1984</v>
      </c>
      <c r="F1485" s="3">
        <v>44277</v>
      </c>
      <c r="G1485" s="2">
        <v>85</v>
      </c>
      <c r="H1485" s="1">
        <v>1612.42</v>
      </c>
      <c r="I1485" t="s">
        <v>2727</v>
      </c>
      <c r="J1485" s="2">
        <v>1</v>
      </c>
      <c r="K1485" t="s">
        <v>13</v>
      </c>
      <c r="L1485" t="s">
        <v>21</v>
      </c>
      <c r="M1485" t="s">
        <v>1566</v>
      </c>
    </row>
    <row r="1486" spans="1:13" x14ac:dyDescent="0.25">
      <c r="A1486" s="5">
        <v>44362</v>
      </c>
      <c r="B1486" s="2">
        <v>0</v>
      </c>
      <c r="C1486" t="s">
        <v>2851</v>
      </c>
      <c r="D1486" t="s">
        <v>2112</v>
      </c>
      <c r="E1486" t="s">
        <v>2204</v>
      </c>
      <c r="F1486" s="3">
        <v>44267</v>
      </c>
      <c r="G1486" s="2">
        <v>95</v>
      </c>
      <c r="H1486" s="1">
        <v>2035.68</v>
      </c>
      <c r="I1486" t="s">
        <v>2731</v>
      </c>
      <c r="J1486" s="2">
        <v>1</v>
      </c>
      <c r="K1486" t="s">
        <v>13</v>
      </c>
      <c r="L1486" t="s">
        <v>830</v>
      </c>
      <c r="M1486" t="s">
        <v>1213</v>
      </c>
    </row>
    <row r="1487" spans="1:13" x14ac:dyDescent="0.25">
      <c r="A1487" s="5">
        <v>44362</v>
      </c>
      <c r="B1487" s="2">
        <v>0</v>
      </c>
      <c r="C1487" t="s">
        <v>2852</v>
      </c>
      <c r="D1487" t="s">
        <v>1773</v>
      </c>
      <c r="E1487" t="s">
        <v>1938</v>
      </c>
      <c r="F1487" s="3">
        <v>44277</v>
      </c>
      <c r="G1487" s="2">
        <v>85</v>
      </c>
      <c r="H1487" s="1">
        <v>601.62</v>
      </c>
      <c r="I1487" t="s">
        <v>2853</v>
      </c>
      <c r="J1487" s="2">
        <v>1</v>
      </c>
      <c r="K1487" t="s">
        <v>13</v>
      </c>
      <c r="L1487" t="s">
        <v>21</v>
      </c>
      <c r="M1487" t="s">
        <v>1774</v>
      </c>
    </row>
    <row r="1488" spans="1:13" x14ac:dyDescent="0.25">
      <c r="A1488" s="5">
        <v>44362</v>
      </c>
      <c r="B1488" s="2">
        <v>0</v>
      </c>
      <c r="C1488" t="s">
        <v>2854</v>
      </c>
      <c r="D1488" t="s">
        <v>1757</v>
      </c>
      <c r="E1488" t="s">
        <v>1758</v>
      </c>
      <c r="F1488" s="3">
        <v>44252</v>
      </c>
      <c r="G1488" s="2">
        <v>110</v>
      </c>
      <c r="H1488" s="1">
        <v>1018.42</v>
      </c>
      <c r="I1488" t="s">
        <v>2319</v>
      </c>
      <c r="J1488" s="2">
        <v>1</v>
      </c>
      <c r="K1488" t="s">
        <v>13</v>
      </c>
      <c r="L1488" t="s">
        <v>21</v>
      </c>
      <c r="M1488" t="s">
        <v>1165</v>
      </c>
    </row>
    <row r="1489" spans="1:13" x14ac:dyDescent="0.25">
      <c r="A1489" s="5">
        <v>44362</v>
      </c>
      <c r="B1489" s="2">
        <v>0</v>
      </c>
      <c r="C1489" t="s">
        <v>2855</v>
      </c>
      <c r="D1489" t="s">
        <v>1757</v>
      </c>
      <c r="E1489" t="s">
        <v>1758</v>
      </c>
      <c r="F1489" s="3">
        <v>44322</v>
      </c>
      <c r="G1489" s="2">
        <v>40</v>
      </c>
      <c r="H1489" s="1">
        <v>960.52</v>
      </c>
      <c r="I1489" t="s">
        <v>2856</v>
      </c>
      <c r="J1489" s="2">
        <v>1</v>
      </c>
      <c r="K1489" t="s">
        <v>13</v>
      </c>
      <c r="L1489" t="s">
        <v>21</v>
      </c>
      <c r="M1489" t="s">
        <v>1165</v>
      </c>
    </row>
    <row r="1490" spans="1:13" x14ac:dyDescent="0.25">
      <c r="A1490" s="5">
        <v>44362</v>
      </c>
      <c r="B1490" s="2">
        <v>0</v>
      </c>
      <c r="C1490" t="s">
        <v>2857</v>
      </c>
      <c r="D1490" t="s">
        <v>1748</v>
      </c>
      <c r="E1490" t="s">
        <v>1840</v>
      </c>
      <c r="F1490" s="3">
        <v>44312</v>
      </c>
      <c r="G1490" s="2">
        <v>50</v>
      </c>
      <c r="H1490" s="1">
        <v>255.05</v>
      </c>
      <c r="I1490" t="s">
        <v>2645</v>
      </c>
      <c r="J1490" s="2">
        <v>1</v>
      </c>
      <c r="K1490" t="s">
        <v>13</v>
      </c>
      <c r="L1490" t="s">
        <v>1682</v>
      </c>
      <c r="M1490" t="s">
        <v>15</v>
      </c>
    </row>
    <row r="1491" spans="1:13" x14ac:dyDescent="0.25">
      <c r="A1491" s="5">
        <v>44363</v>
      </c>
      <c r="B1491" s="2">
        <v>0</v>
      </c>
      <c r="C1491" t="s">
        <v>2858</v>
      </c>
      <c r="D1491" t="s">
        <v>2350</v>
      </c>
      <c r="E1491" t="s">
        <v>2351</v>
      </c>
      <c r="F1491" s="3">
        <v>44308</v>
      </c>
      <c r="G1491" s="2">
        <v>55</v>
      </c>
      <c r="H1491" s="1">
        <v>387.11</v>
      </c>
      <c r="I1491" t="s">
        <v>2735</v>
      </c>
      <c r="J1491" s="2">
        <v>1</v>
      </c>
      <c r="K1491" t="s">
        <v>13</v>
      </c>
      <c r="L1491" t="s">
        <v>695</v>
      </c>
      <c r="M1491" t="s">
        <v>15</v>
      </c>
    </row>
    <row r="1492" spans="1:13" x14ac:dyDescent="0.25">
      <c r="A1492" s="5">
        <v>44363</v>
      </c>
      <c r="B1492" s="2">
        <v>0</v>
      </c>
      <c r="C1492" t="s">
        <v>2859</v>
      </c>
      <c r="D1492" t="s">
        <v>2297</v>
      </c>
      <c r="E1492" t="s">
        <v>2298</v>
      </c>
      <c r="F1492" s="3">
        <v>44278</v>
      </c>
      <c r="G1492" s="2">
        <v>85</v>
      </c>
      <c r="H1492" s="1">
        <v>346.33</v>
      </c>
      <c r="I1492" t="s">
        <v>2334</v>
      </c>
      <c r="J1492" s="2">
        <v>1</v>
      </c>
      <c r="K1492" t="s">
        <v>13</v>
      </c>
      <c r="L1492" t="s">
        <v>21</v>
      </c>
      <c r="M1492" t="s">
        <v>31</v>
      </c>
    </row>
    <row r="1493" spans="1:13" x14ac:dyDescent="0.25">
      <c r="A1493" s="5">
        <v>44363</v>
      </c>
      <c r="B1493" s="2">
        <v>0</v>
      </c>
      <c r="C1493" t="s">
        <v>2860</v>
      </c>
      <c r="D1493" t="s">
        <v>2297</v>
      </c>
      <c r="E1493" t="s">
        <v>2298</v>
      </c>
      <c r="F1493" s="3">
        <v>44298</v>
      </c>
      <c r="G1493" s="2">
        <v>65</v>
      </c>
      <c r="H1493" s="1">
        <v>422.47</v>
      </c>
      <c r="I1493" t="s">
        <v>2530</v>
      </c>
      <c r="J1493" s="2">
        <v>1</v>
      </c>
      <c r="K1493" t="s">
        <v>13</v>
      </c>
      <c r="L1493" t="s">
        <v>21</v>
      </c>
      <c r="M1493" t="s">
        <v>31</v>
      </c>
    </row>
    <row r="1494" spans="1:13" x14ac:dyDescent="0.25">
      <c r="A1494" s="5">
        <v>44363</v>
      </c>
      <c r="B1494" s="2">
        <v>0</v>
      </c>
      <c r="C1494" t="s">
        <v>2861</v>
      </c>
      <c r="D1494" t="s">
        <v>2297</v>
      </c>
      <c r="E1494" t="s">
        <v>2298</v>
      </c>
      <c r="F1494" s="3">
        <v>44348</v>
      </c>
      <c r="G1494" s="2">
        <v>15</v>
      </c>
      <c r="H1494" s="1">
        <v>940.14</v>
      </c>
      <c r="I1494" t="s">
        <v>2862</v>
      </c>
      <c r="J1494" s="2">
        <v>1</v>
      </c>
      <c r="K1494" t="s">
        <v>13</v>
      </c>
      <c r="L1494" t="s">
        <v>21</v>
      </c>
      <c r="M1494" t="s">
        <v>31</v>
      </c>
    </row>
    <row r="1495" spans="1:13" x14ac:dyDescent="0.25">
      <c r="A1495" s="5">
        <v>44363</v>
      </c>
      <c r="B1495" s="2">
        <v>0</v>
      </c>
      <c r="C1495" t="s">
        <v>2863</v>
      </c>
      <c r="D1495" t="s">
        <v>1680</v>
      </c>
      <c r="E1495" t="s">
        <v>1681</v>
      </c>
      <c r="F1495" s="3">
        <v>44273</v>
      </c>
      <c r="G1495" s="2">
        <v>90</v>
      </c>
      <c r="H1495" s="1">
        <v>266.97000000000003</v>
      </c>
      <c r="I1495" t="s">
        <v>2531</v>
      </c>
      <c r="J1495" s="2">
        <v>1</v>
      </c>
      <c r="K1495" t="s">
        <v>13</v>
      </c>
      <c r="L1495" t="s">
        <v>1682</v>
      </c>
      <c r="M1495" t="s">
        <v>15</v>
      </c>
    </row>
    <row r="1496" spans="1:13" x14ac:dyDescent="0.25">
      <c r="A1496" s="5">
        <v>44363</v>
      </c>
      <c r="B1496" s="2">
        <v>0</v>
      </c>
      <c r="C1496" t="s">
        <v>2865</v>
      </c>
      <c r="D1496" t="s">
        <v>1761</v>
      </c>
      <c r="E1496" t="s">
        <v>1762</v>
      </c>
      <c r="F1496" s="3">
        <v>44263</v>
      </c>
      <c r="G1496" s="2">
        <v>100</v>
      </c>
      <c r="H1496" s="1">
        <v>1596.6</v>
      </c>
      <c r="I1496" t="s">
        <v>2395</v>
      </c>
      <c r="J1496" s="2">
        <v>1</v>
      </c>
      <c r="K1496" t="s">
        <v>13</v>
      </c>
      <c r="L1496" t="s">
        <v>21</v>
      </c>
      <c r="M1496" t="s">
        <v>1165</v>
      </c>
    </row>
    <row r="1497" spans="1:13" x14ac:dyDescent="0.25">
      <c r="A1497" s="5">
        <v>44363</v>
      </c>
      <c r="B1497" s="2">
        <v>0</v>
      </c>
      <c r="C1497" t="s">
        <v>2867</v>
      </c>
      <c r="D1497" t="s">
        <v>1773</v>
      </c>
      <c r="E1497" t="s">
        <v>1938</v>
      </c>
      <c r="F1497" s="3">
        <v>44273</v>
      </c>
      <c r="G1497" s="2">
        <v>90</v>
      </c>
      <c r="H1497" s="1">
        <v>1265.73</v>
      </c>
      <c r="I1497" t="s">
        <v>2553</v>
      </c>
      <c r="J1497" s="2">
        <v>1</v>
      </c>
      <c r="K1497" t="s">
        <v>13</v>
      </c>
      <c r="L1497" t="s">
        <v>21</v>
      </c>
      <c r="M1497" t="s">
        <v>1774</v>
      </c>
    </row>
    <row r="1498" spans="1:13" x14ac:dyDescent="0.25">
      <c r="A1498" s="5">
        <v>44363</v>
      </c>
      <c r="B1498" s="2">
        <v>0</v>
      </c>
      <c r="C1498" t="s">
        <v>2868</v>
      </c>
      <c r="D1498" t="s">
        <v>1757</v>
      </c>
      <c r="E1498" t="s">
        <v>1758</v>
      </c>
      <c r="F1498" s="3">
        <v>44263</v>
      </c>
      <c r="G1498" s="2">
        <v>100</v>
      </c>
      <c r="H1498" s="1">
        <v>1687.84</v>
      </c>
      <c r="I1498" t="s">
        <v>2399</v>
      </c>
      <c r="J1498" s="2">
        <v>1</v>
      </c>
      <c r="K1498" t="s">
        <v>13</v>
      </c>
      <c r="L1498" t="s">
        <v>21</v>
      </c>
      <c r="M1498" t="s">
        <v>1165</v>
      </c>
    </row>
    <row r="1499" spans="1:13" x14ac:dyDescent="0.25">
      <c r="A1499" s="5">
        <v>44363</v>
      </c>
      <c r="B1499" s="2">
        <v>0</v>
      </c>
      <c r="C1499" t="s">
        <v>2869</v>
      </c>
      <c r="D1499" t="s">
        <v>1757</v>
      </c>
      <c r="E1499" t="s">
        <v>1758</v>
      </c>
      <c r="F1499" s="3">
        <v>44273</v>
      </c>
      <c r="G1499" s="2">
        <v>90</v>
      </c>
      <c r="H1499" s="1">
        <v>1053.48</v>
      </c>
      <c r="I1499" t="s">
        <v>2659</v>
      </c>
      <c r="J1499" s="2">
        <v>1</v>
      </c>
      <c r="K1499" t="s">
        <v>13</v>
      </c>
      <c r="L1499" t="s">
        <v>21</v>
      </c>
      <c r="M1499" t="s">
        <v>1165</v>
      </c>
    </row>
    <row r="1500" spans="1:13" x14ac:dyDescent="0.25">
      <c r="A1500" s="5">
        <v>44363</v>
      </c>
      <c r="B1500" s="2">
        <v>0</v>
      </c>
      <c r="C1500" t="s">
        <v>2870</v>
      </c>
      <c r="D1500" t="s">
        <v>2047</v>
      </c>
      <c r="E1500" t="s">
        <v>2005</v>
      </c>
      <c r="F1500" s="3">
        <v>44293</v>
      </c>
      <c r="G1500" s="2">
        <v>70</v>
      </c>
      <c r="H1500" s="1">
        <v>368.29</v>
      </c>
      <c r="I1500" t="s">
        <v>2403</v>
      </c>
      <c r="J1500" s="2">
        <v>1</v>
      </c>
      <c r="K1500" t="s">
        <v>13</v>
      </c>
      <c r="L1500" t="s">
        <v>1682</v>
      </c>
      <c r="M1500" t="s">
        <v>15</v>
      </c>
    </row>
    <row r="1501" spans="1:13" x14ac:dyDescent="0.25">
      <c r="A1501" s="5">
        <v>44364</v>
      </c>
      <c r="B1501" s="2">
        <v>0</v>
      </c>
      <c r="C1501" t="s">
        <v>2871</v>
      </c>
      <c r="D1501" t="s">
        <v>2297</v>
      </c>
      <c r="E1501" t="s">
        <v>2298</v>
      </c>
      <c r="F1501" s="3">
        <v>44258</v>
      </c>
      <c r="G1501" s="2">
        <v>106</v>
      </c>
      <c r="H1501" s="1">
        <v>408.24</v>
      </c>
      <c r="I1501" t="s">
        <v>2372</v>
      </c>
      <c r="J1501" s="2">
        <v>1</v>
      </c>
      <c r="K1501" t="s">
        <v>13</v>
      </c>
      <c r="L1501" t="s">
        <v>21</v>
      </c>
      <c r="M1501" t="s">
        <v>31</v>
      </c>
    </row>
    <row r="1502" spans="1:13" x14ac:dyDescent="0.25">
      <c r="A1502" s="5">
        <v>44364</v>
      </c>
      <c r="B1502" s="2">
        <v>0</v>
      </c>
      <c r="C1502" t="s">
        <v>2873</v>
      </c>
      <c r="D1502" t="s">
        <v>1761</v>
      </c>
      <c r="E1502" t="s">
        <v>1762</v>
      </c>
      <c r="F1502" s="3">
        <v>44284</v>
      </c>
      <c r="G1502" s="2">
        <v>80</v>
      </c>
      <c r="H1502" s="1">
        <v>540.05999999999995</v>
      </c>
      <c r="I1502" t="s">
        <v>2874</v>
      </c>
      <c r="J1502" s="2">
        <v>1</v>
      </c>
      <c r="K1502" t="s">
        <v>13</v>
      </c>
      <c r="L1502" t="s">
        <v>21</v>
      </c>
      <c r="M1502" t="s">
        <v>1165</v>
      </c>
    </row>
    <row r="1503" spans="1:13" x14ac:dyDescent="0.25">
      <c r="A1503" s="5">
        <v>44364</v>
      </c>
      <c r="B1503" s="2">
        <v>0</v>
      </c>
      <c r="C1503" t="s">
        <v>2875</v>
      </c>
      <c r="D1503" t="s">
        <v>1761</v>
      </c>
      <c r="E1503" t="s">
        <v>1762</v>
      </c>
      <c r="F1503" s="3">
        <v>44284</v>
      </c>
      <c r="G1503" s="2">
        <v>80</v>
      </c>
      <c r="H1503" s="1">
        <v>1345.6</v>
      </c>
      <c r="I1503" t="s">
        <v>2876</v>
      </c>
      <c r="J1503" s="2">
        <v>1</v>
      </c>
      <c r="K1503" t="s">
        <v>13</v>
      </c>
      <c r="L1503" t="s">
        <v>21</v>
      </c>
      <c r="M1503" t="s">
        <v>1165</v>
      </c>
    </row>
    <row r="1504" spans="1:13" x14ac:dyDescent="0.25">
      <c r="A1504" s="5">
        <v>44364</v>
      </c>
      <c r="B1504" s="2">
        <v>0</v>
      </c>
      <c r="C1504" t="s">
        <v>2878</v>
      </c>
      <c r="D1504" t="s">
        <v>1716</v>
      </c>
      <c r="E1504" t="s">
        <v>1717</v>
      </c>
      <c r="F1504" s="3">
        <v>44299</v>
      </c>
      <c r="G1504" s="2">
        <v>65</v>
      </c>
      <c r="H1504" s="1">
        <v>1156.98</v>
      </c>
      <c r="I1504" t="s">
        <v>2879</v>
      </c>
      <c r="J1504" s="2">
        <v>1</v>
      </c>
      <c r="K1504" t="s">
        <v>1543</v>
      </c>
      <c r="L1504" t="s">
        <v>695</v>
      </c>
      <c r="M1504" t="s">
        <v>15</v>
      </c>
    </row>
    <row r="1505" spans="1:13" x14ac:dyDescent="0.25">
      <c r="A1505" s="5">
        <v>44364</v>
      </c>
      <c r="B1505" s="2">
        <v>0</v>
      </c>
      <c r="C1505" t="s">
        <v>2880</v>
      </c>
      <c r="D1505" t="s">
        <v>1773</v>
      </c>
      <c r="E1505" t="s">
        <v>1938</v>
      </c>
      <c r="F1505" s="3">
        <v>44294</v>
      </c>
      <c r="G1505" s="2">
        <v>70</v>
      </c>
      <c r="H1505" s="1">
        <v>1340.55</v>
      </c>
      <c r="I1505" t="s">
        <v>2881</v>
      </c>
      <c r="J1505" s="2">
        <v>1</v>
      </c>
      <c r="K1505" t="s">
        <v>13</v>
      </c>
      <c r="L1505" t="s">
        <v>21</v>
      </c>
      <c r="M1505" t="s">
        <v>1774</v>
      </c>
    </row>
    <row r="1506" spans="1:13" x14ac:dyDescent="0.25">
      <c r="A1506" s="5">
        <v>44364</v>
      </c>
      <c r="B1506" s="2">
        <v>0</v>
      </c>
      <c r="C1506" t="s">
        <v>2882</v>
      </c>
      <c r="D1506" t="s">
        <v>1757</v>
      </c>
      <c r="E1506" t="s">
        <v>1758</v>
      </c>
      <c r="F1506" s="3">
        <v>44244</v>
      </c>
      <c r="G1506" s="2">
        <v>120</v>
      </c>
      <c r="H1506" s="1">
        <v>998.1</v>
      </c>
      <c r="I1506" t="s">
        <v>2323</v>
      </c>
      <c r="J1506" s="2">
        <v>1</v>
      </c>
      <c r="K1506" t="s">
        <v>13</v>
      </c>
      <c r="L1506" t="s">
        <v>21</v>
      </c>
      <c r="M1506" t="s">
        <v>1165</v>
      </c>
    </row>
    <row r="1507" spans="1:13" x14ac:dyDescent="0.25">
      <c r="A1507" s="5">
        <v>44364</v>
      </c>
      <c r="B1507" s="2">
        <v>0</v>
      </c>
      <c r="C1507" t="s">
        <v>2883</v>
      </c>
      <c r="D1507" t="s">
        <v>1757</v>
      </c>
      <c r="E1507" t="s">
        <v>1758</v>
      </c>
      <c r="F1507" s="3">
        <v>44284</v>
      </c>
      <c r="G1507" s="2">
        <v>80</v>
      </c>
      <c r="H1507" s="1">
        <v>540.05999999999995</v>
      </c>
      <c r="I1507" t="s">
        <v>2676</v>
      </c>
      <c r="J1507" s="2">
        <v>1</v>
      </c>
      <c r="K1507" t="s">
        <v>13</v>
      </c>
      <c r="L1507" t="s">
        <v>21</v>
      </c>
      <c r="M1507" t="s">
        <v>1165</v>
      </c>
    </row>
    <row r="1508" spans="1:13" x14ac:dyDescent="0.25">
      <c r="A1508" s="5">
        <v>44364</v>
      </c>
      <c r="B1508" s="2">
        <v>0</v>
      </c>
      <c r="C1508" t="s">
        <v>2884</v>
      </c>
      <c r="D1508" t="s">
        <v>1757</v>
      </c>
      <c r="E1508" t="s">
        <v>1758</v>
      </c>
      <c r="F1508" s="3">
        <v>44284</v>
      </c>
      <c r="G1508" s="2">
        <v>80</v>
      </c>
      <c r="H1508" s="1">
        <v>1236.9000000000001</v>
      </c>
      <c r="I1508" t="s">
        <v>2885</v>
      </c>
      <c r="J1508" s="2">
        <v>1</v>
      </c>
      <c r="K1508" t="s">
        <v>13</v>
      </c>
      <c r="L1508" t="s">
        <v>21</v>
      </c>
      <c r="M1508" t="s">
        <v>1165</v>
      </c>
    </row>
    <row r="1509" spans="1:13" x14ac:dyDescent="0.25">
      <c r="A1509" s="5">
        <v>44364</v>
      </c>
      <c r="B1509" s="2">
        <v>0</v>
      </c>
      <c r="C1509" t="s">
        <v>2886</v>
      </c>
      <c r="D1509" t="s">
        <v>2228</v>
      </c>
      <c r="E1509" t="s">
        <v>2229</v>
      </c>
      <c r="F1509" s="3">
        <v>44284</v>
      </c>
      <c r="G1509" s="2">
        <v>80</v>
      </c>
      <c r="H1509" s="1">
        <v>565.30999999999995</v>
      </c>
      <c r="I1509" t="s">
        <v>2416</v>
      </c>
      <c r="J1509" s="2">
        <v>1</v>
      </c>
      <c r="K1509" t="s">
        <v>13</v>
      </c>
      <c r="L1509" t="s">
        <v>21</v>
      </c>
      <c r="M1509" t="s">
        <v>308</v>
      </c>
    </row>
    <row r="1510" spans="1:13" x14ac:dyDescent="0.25">
      <c r="A1510" s="5">
        <v>44364</v>
      </c>
      <c r="B1510" s="2">
        <v>0</v>
      </c>
      <c r="C1510" t="s">
        <v>2887</v>
      </c>
      <c r="D1510" t="s">
        <v>2228</v>
      </c>
      <c r="E1510" t="s">
        <v>2229</v>
      </c>
      <c r="F1510" s="3">
        <v>44314</v>
      </c>
      <c r="G1510" s="2">
        <v>50</v>
      </c>
      <c r="H1510" s="1">
        <v>462.56</v>
      </c>
      <c r="I1510" t="s">
        <v>2888</v>
      </c>
      <c r="J1510" s="2">
        <v>1</v>
      </c>
      <c r="K1510" t="s">
        <v>13</v>
      </c>
      <c r="L1510" t="s">
        <v>21</v>
      </c>
      <c r="M1510" t="s">
        <v>308</v>
      </c>
    </row>
    <row r="1511" spans="1:13" x14ac:dyDescent="0.25">
      <c r="A1511" s="5">
        <v>44364</v>
      </c>
      <c r="B1511" s="2">
        <v>0</v>
      </c>
      <c r="C1511" t="s">
        <v>2889</v>
      </c>
      <c r="D1511" t="s">
        <v>2047</v>
      </c>
      <c r="E1511" t="s">
        <v>2005</v>
      </c>
      <c r="F1511" s="3">
        <v>44319</v>
      </c>
      <c r="G1511" s="2">
        <v>45</v>
      </c>
      <c r="H1511" s="1">
        <v>333.17</v>
      </c>
      <c r="I1511" t="s">
        <v>2744</v>
      </c>
      <c r="J1511" s="2">
        <v>1</v>
      </c>
      <c r="K1511" t="s">
        <v>13</v>
      </c>
      <c r="L1511" t="s">
        <v>1682</v>
      </c>
      <c r="M1511" t="s">
        <v>15</v>
      </c>
    </row>
    <row r="1512" spans="1:13" x14ac:dyDescent="0.25">
      <c r="A1512" s="5">
        <v>44365</v>
      </c>
      <c r="B1512" s="2">
        <v>0</v>
      </c>
      <c r="C1512" t="s">
        <v>2892</v>
      </c>
      <c r="D1512" t="s">
        <v>1983</v>
      </c>
      <c r="E1512" t="s">
        <v>1984</v>
      </c>
      <c r="F1512" s="3">
        <v>44295</v>
      </c>
      <c r="G1512" s="2">
        <v>70</v>
      </c>
      <c r="H1512" s="1">
        <v>1075.46</v>
      </c>
      <c r="I1512" t="s">
        <v>2893</v>
      </c>
      <c r="J1512" s="2">
        <v>1</v>
      </c>
      <c r="K1512" t="s">
        <v>13</v>
      </c>
      <c r="L1512" t="s">
        <v>21</v>
      </c>
      <c r="M1512" t="s">
        <v>1566</v>
      </c>
    </row>
    <row r="1513" spans="1:13" x14ac:dyDescent="0.25">
      <c r="A1513" s="5">
        <v>44365</v>
      </c>
      <c r="B1513" s="2">
        <v>0</v>
      </c>
      <c r="C1513" t="s">
        <v>2895</v>
      </c>
      <c r="D1513" t="s">
        <v>1773</v>
      </c>
      <c r="E1513" t="s">
        <v>1938</v>
      </c>
      <c r="F1513" s="3">
        <v>44245</v>
      </c>
      <c r="G1513" s="2">
        <v>120</v>
      </c>
      <c r="H1513" s="1">
        <v>560.74</v>
      </c>
      <c r="I1513" t="s">
        <v>2294</v>
      </c>
      <c r="J1513" s="2">
        <v>1</v>
      </c>
      <c r="K1513" t="s">
        <v>13</v>
      </c>
      <c r="L1513" t="s">
        <v>21</v>
      </c>
      <c r="M1513" t="s">
        <v>1774</v>
      </c>
    </row>
    <row r="1514" spans="1:13" x14ac:dyDescent="0.25">
      <c r="A1514" s="5">
        <v>44365</v>
      </c>
      <c r="B1514" s="2">
        <v>0</v>
      </c>
      <c r="C1514" t="s">
        <v>2896</v>
      </c>
      <c r="D1514" t="s">
        <v>1773</v>
      </c>
      <c r="E1514" t="s">
        <v>1938</v>
      </c>
      <c r="F1514" s="3">
        <v>44265</v>
      </c>
      <c r="G1514" s="2">
        <v>100</v>
      </c>
      <c r="H1514" s="1">
        <v>997.03</v>
      </c>
      <c r="I1514" t="s">
        <v>2419</v>
      </c>
      <c r="J1514" s="2">
        <v>1</v>
      </c>
      <c r="K1514" t="s">
        <v>13</v>
      </c>
      <c r="L1514" t="s">
        <v>21</v>
      </c>
      <c r="M1514" t="s">
        <v>1774</v>
      </c>
    </row>
    <row r="1515" spans="1:13" x14ac:dyDescent="0.25">
      <c r="A1515" s="5">
        <v>44365</v>
      </c>
      <c r="B1515" s="2">
        <v>0</v>
      </c>
      <c r="C1515" t="s">
        <v>2897</v>
      </c>
      <c r="D1515" t="s">
        <v>1773</v>
      </c>
      <c r="E1515" t="s">
        <v>1938</v>
      </c>
      <c r="F1515" s="3">
        <v>44285</v>
      </c>
      <c r="G1515" s="2">
        <v>80</v>
      </c>
      <c r="H1515" s="1">
        <v>1437.58</v>
      </c>
      <c r="I1515" t="s">
        <v>2898</v>
      </c>
      <c r="J1515" s="2">
        <v>1</v>
      </c>
      <c r="K1515" t="s">
        <v>13</v>
      </c>
      <c r="L1515" t="s">
        <v>21</v>
      </c>
      <c r="M1515" t="s">
        <v>1774</v>
      </c>
    </row>
    <row r="1516" spans="1:13" x14ac:dyDescent="0.25">
      <c r="A1516" s="5">
        <v>44365</v>
      </c>
      <c r="B1516" s="2">
        <v>0</v>
      </c>
      <c r="C1516" t="s">
        <v>2899</v>
      </c>
      <c r="D1516" t="s">
        <v>1757</v>
      </c>
      <c r="E1516" t="s">
        <v>1758</v>
      </c>
      <c r="F1516" s="3">
        <v>44235</v>
      </c>
      <c r="G1516" s="2">
        <v>130</v>
      </c>
      <c r="H1516" s="1">
        <v>1741.75</v>
      </c>
      <c r="I1516" t="s">
        <v>2223</v>
      </c>
      <c r="J1516" s="2">
        <v>1</v>
      </c>
      <c r="K1516" t="s">
        <v>13</v>
      </c>
      <c r="L1516" t="s">
        <v>21</v>
      </c>
      <c r="M1516" t="s">
        <v>1165</v>
      </c>
    </row>
    <row r="1517" spans="1:13" x14ac:dyDescent="0.25">
      <c r="A1517" s="5">
        <v>44365</v>
      </c>
      <c r="B1517" s="2">
        <v>0</v>
      </c>
      <c r="C1517" t="s">
        <v>2900</v>
      </c>
      <c r="D1517" t="s">
        <v>1757</v>
      </c>
      <c r="E1517" t="s">
        <v>1758</v>
      </c>
      <c r="F1517" s="3">
        <v>44305</v>
      </c>
      <c r="G1517" s="2">
        <v>60</v>
      </c>
      <c r="H1517" s="1">
        <v>1401.16</v>
      </c>
      <c r="I1517" t="s">
        <v>2901</v>
      </c>
      <c r="J1517" s="2">
        <v>1</v>
      </c>
      <c r="K1517" t="s">
        <v>13</v>
      </c>
      <c r="L1517" t="s">
        <v>21</v>
      </c>
      <c r="M1517" t="s">
        <v>1165</v>
      </c>
    </row>
    <row r="1518" spans="1:13" x14ac:dyDescent="0.25">
      <c r="A1518" s="5">
        <v>44365</v>
      </c>
      <c r="B1518" s="2">
        <v>0</v>
      </c>
      <c r="C1518" t="s">
        <v>2902</v>
      </c>
      <c r="D1518" t="s">
        <v>1998</v>
      </c>
      <c r="E1518" t="s">
        <v>1999</v>
      </c>
      <c r="F1518" s="3">
        <v>44335</v>
      </c>
      <c r="G1518" s="2">
        <v>30</v>
      </c>
      <c r="H1518" s="1">
        <v>912.08</v>
      </c>
      <c r="I1518" t="s">
        <v>2750</v>
      </c>
      <c r="J1518" s="2">
        <v>1</v>
      </c>
      <c r="K1518" t="s">
        <v>13</v>
      </c>
      <c r="L1518" t="s">
        <v>695</v>
      </c>
      <c r="M1518" t="s">
        <v>15</v>
      </c>
    </row>
    <row r="1519" spans="1:13" x14ac:dyDescent="0.25">
      <c r="A1519" s="5">
        <v>44366</v>
      </c>
      <c r="B1519" s="2">
        <v>0</v>
      </c>
      <c r="C1519" t="s">
        <v>2904</v>
      </c>
      <c r="D1519" t="s">
        <v>2350</v>
      </c>
      <c r="E1519" t="s">
        <v>2351</v>
      </c>
      <c r="F1519" s="3">
        <v>44306</v>
      </c>
      <c r="G1519" s="2">
        <v>60</v>
      </c>
      <c r="H1519" s="1">
        <v>285.87</v>
      </c>
      <c r="I1519" t="s">
        <v>2755</v>
      </c>
      <c r="J1519" s="2">
        <v>1</v>
      </c>
      <c r="K1519" t="s">
        <v>13</v>
      </c>
      <c r="L1519" t="s">
        <v>695</v>
      </c>
      <c r="M1519" t="s">
        <v>15</v>
      </c>
    </row>
    <row r="1520" spans="1:13" x14ac:dyDescent="0.25">
      <c r="A1520" s="5">
        <v>44366</v>
      </c>
      <c r="B1520" s="2">
        <v>0</v>
      </c>
      <c r="C1520" t="s">
        <v>2905</v>
      </c>
      <c r="D1520" t="s">
        <v>2297</v>
      </c>
      <c r="E1520" t="s">
        <v>2298</v>
      </c>
      <c r="F1520" s="3">
        <v>44286</v>
      </c>
      <c r="G1520" s="2">
        <v>80</v>
      </c>
      <c r="H1520" s="1">
        <v>372.46</v>
      </c>
      <c r="I1520" t="s">
        <v>2299</v>
      </c>
      <c r="J1520" s="2">
        <v>1</v>
      </c>
      <c r="K1520" t="s">
        <v>13</v>
      </c>
      <c r="L1520" t="s">
        <v>21</v>
      </c>
      <c r="M1520" t="s">
        <v>31</v>
      </c>
    </row>
    <row r="1521" spans="1:13" x14ac:dyDescent="0.25">
      <c r="A1521" s="5">
        <v>44366</v>
      </c>
      <c r="B1521" s="2">
        <v>0</v>
      </c>
      <c r="C1521" t="s">
        <v>2906</v>
      </c>
      <c r="D1521" t="s">
        <v>2297</v>
      </c>
      <c r="E1521" t="s">
        <v>2298</v>
      </c>
      <c r="F1521" s="3">
        <v>44321</v>
      </c>
      <c r="G1521" s="2">
        <v>45</v>
      </c>
      <c r="H1521" s="1">
        <v>733.37</v>
      </c>
      <c r="I1521" t="s">
        <v>2907</v>
      </c>
      <c r="J1521" s="2">
        <v>1</v>
      </c>
      <c r="K1521" t="s">
        <v>13</v>
      </c>
      <c r="L1521" t="s">
        <v>21</v>
      </c>
      <c r="M1521" t="s">
        <v>31</v>
      </c>
    </row>
    <row r="1522" spans="1:13" x14ac:dyDescent="0.25">
      <c r="A1522" s="5">
        <v>44366</v>
      </c>
      <c r="B1522" s="2">
        <v>0</v>
      </c>
      <c r="C1522" t="s">
        <v>2908</v>
      </c>
      <c r="D1522" t="s">
        <v>1761</v>
      </c>
      <c r="E1522" t="s">
        <v>1762</v>
      </c>
      <c r="F1522" s="3">
        <v>44286</v>
      </c>
      <c r="G1522" s="2">
        <v>80</v>
      </c>
      <c r="H1522" s="1">
        <v>793.99</v>
      </c>
      <c r="I1522" t="s">
        <v>2909</v>
      </c>
      <c r="J1522" s="2">
        <v>1</v>
      </c>
      <c r="K1522" t="s">
        <v>13</v>
      </c>
      <c r="L1522" t="s">
        <v>21</v>
      </c>
      <c r="M1522" t="s">
        <v>1165</v>
      </c>
    </row>
    <row r="1523" spans="1:13" x14ac:dyDescent="0.25">
      <c r="A1523" s="5">
        <v>44366</v>
      </c>
      <c r="B1523" s="2">
        <v>0</v>
      </c>
      <c r="C1523" t="s">
        <v>2910</v>
      </c>
      <c r="D1523" t="s">
        <v>1983</v>
      </c>
      <c r="E1523" t="s">
        <v>1984</v>
      </c>
      <c r="F1523" s="3">
        <v>44286</v>
      </c>
      <c r="G1523" s="2">
        <v>80</v>
      </c>
      <c r="H1523" s="1">
        <v>602.16</v>
      </c>
      <c r="I1523" t="s">
        <v>2911</v>
      </c>
      <c r="J1523" s="2">
        <v>1</v>
      </c>
      <c r="K1523" t="s">
        <v>13</v>
      </c>
      <c r="L1523" t="s">
        <v>21</v>
      </c>
      <c r="M1523" t="s">
        <v>1566</v>
      </c>
    </row>
    <row r="1524" spans="1:13" x14ac:dyDescent="0.25">
      <c r="A1524" s="5">
        <v>44366</v>
      </c>
      <c r="B1524" s="2">
        <v>0</v>
      </c>
      <c r="C1524" t="s">
        <v>2912</v>
      </c>
      <c r="D1524" t="s">
        <v>1983</v>
      </c>
      <c r="E1524" t="s">
        <v>1984</v>
      </c>
      <c r="F1524" s="3">
        <v>44326</v>
      </c>
      <c r="G1524" s="2">
        <v>40</v>
      </c>
      <c r="H1524" s="1">
        <v>397.64</v>
      </c>
      <c r="I1524" t="s">
        <v>2913</v>
      </c>
      <c r="J1524" s="2">
        <v>1</v>
      </c>
      <c r="K1524" t="s">
        <v>13</v>
      </c>
      <c r="L1524" t="s">
        <v>21</v>
      </c>
      <c r="M1524" t="s">
        <v>1566</v>
      </c>
    </row>
    <row r="1525" spans="1:13" x14ac:dyDescent="0.25">
      <c r="A1525" s="5">
        <v>44366</v>
      </c>
      <c r="B1525" s="2">
        <v>0</v>
      </c>
      <c r="C1525" t="s">
        <v>2914</v>
      </c>
      <c r="D1525" t="s">
        <v>1773</v>
      </c>
      <c r="E1525" t="s">
        <v>1938</v>
      </c>
      <c r="F1525" s="3">
        <v>44246</v>
      </c>
      <c r="G1525" s="2">
        <v>120</v>
      </c>
      <c r="H1525" s="1">
        <v>762.8</v>
      </c>
      <c r="I1525" t="s">
        <v>2302</v>
      </c>
      <c r="J1525" s="2">
        <v>1</v>
      </c>
      <c r="K1525" t="s">
        <v>13</v>
      </c>
      <c r="L1525" t="s">
        <v>21</v>
      </c>
      <c r="M1525" t="s">
        <v>1774</v>
      </c>
    </row>
    <row r="1526" spans="1:13" x14ac:dyDescent="0.25">
      <c r="A1526" s="5">
        <v>44366</v>
      </c>
      <c r="B1526" s="2">
        <v>0</v>
      </c>
      <c r="C1526" t="s">
        <v>2915</v>
      </c>
      <c r="D1526" t="s">
        <v>1773</v>
      </c>
      <c r="E1526" t="s">
        <v>1938</v>
      </c>
      <c r="F1526" s="3">
        <v>44286</v>
      </c>
      <c r="G1526" s="2">
        <v>80</v>
      </c>
      <c r="H1526" s="1">
        <v>602.16</v>
      </c>
      <c r="I1526" t="s">
        <v>2916</v>
      </c>
      <c r="J1526" s="2">
        <v>1</v>
      </c>
      <c r="K1526" t="s">
        <v>13</v>
      </c>
      <c r="L1526" t="s">
        <v>21</v>
      </c>
      <c r="M1526" t="s">
        <v>1774</v>
      </c>
    </row>
    <row r="1527" spans="1:13" x14ac:dyDescent="0.25">
      <c r="A1527" s="5">
        <v>44366</v>
      </c>
      <c r="B1527" s="2">
        <v>0</v>
      </c>
      <c r="C1527" t="s">
        <v>2917</v>
      </c>
      <c r="D1527" t="s">
        <v>1757</v>
      </c>
      <c r="E1527" t="s">
        <v>1758</v>
      </c>
      <c r="F1527" s="3">
        <v>44286</v>
      </c>
      <c r="G1527" s="2">
        <v>80</v>
      </c>
      <c r="H1527" s="1">
        <v>602.16</v>
      </c>
      <c r="I1527" t="s">
        <v>2918</v>
      </c>
      <c r="J1527" s="2">
        <v>1</v>
      </c>
      <c r="K1527" t="s">
        <v>13</v>
      </c>
      <c r="L1527" t="s">
        <v>21</v>
      </c>
      <c r="M1527" t="s">
        <v>1165</v>
      </c>
    </row>
    <row r="1528" spans="1:13" x14ac:dyDescent="0.25">
      <c r="A1528" s="5">
        <v>44366</v>
      </c>
      <c r="B1528" s="2">
        <v>0</v>
      </c>
      <c r="C1528" t="s">
        <v>2919</v>
      </c>
      <c r="D1528" t="s">
        <v>1757</v>
      </c>
      <c r="E1528" t="s">
        <v>1758</v>
      </c>
      <c r="F1528" s="3">
        <v>44286</v>
      </c>
      <c r="G1528" s="2">
        <v>80</v>
      </c>
      <c r="H1528" s="1">
        <v>878.51</v>
      </c>
      <c r="I1528" t="s">
        <v>2920</v>
      </c>
      <c r="J1528" s="2">
        <v>1</v>
      </c>
      <c r="K1528" t="s">
        <v>13</v>
      </c>
      <c r="L1528" t="s">
        <v>21</v>
      </c>
      <c r="M1528" t="s">
        <v>1165</v>
      </c>
    </row>
    <row r="1529" spans="1:13" x14ac:dyDescent="0.25">
      <c r="A1529" s="5">
        <v>44366</v>
      </c>
      <c r="B1529" s="2">
        <v>0</v>
      </c>
      <c r="C1529" t="s">
        <v>2921</v>
      </c>
      <c r="D1529" t="s">
        <v>1748</v>
      </c>
      <c r="E1529" t="s">
        <v>1840</v>
      </c>
      <c r="F1529" s="3">
        <v>44316</v>
      </c>
      <c r="G1529" s="2">
        <v>50</v>
      </c>
      <c r="H1529" s="1">
        <v>307.63</v>
      </c>
      <c r="I1529" t="s">
        <v>2688</v>
      </c>
      <c r="J1529" s="2">
        <v>1</v>
      </c>
      <c r="K1529" t="s">
        <v>13</v>
      </c>
      <c r="L1529" t="s">
        <v>1682</v>
      </c>
      <c r="M1529" t="s">
        <v>15</v>
      </c>
    </row>
    <row r="1530" spans="1:13" x14ac:dyDescent="0.25">
      <c r="A1530" s="5">
        <v>44366</v>
      </c>
      <c r="B1530" s="2">
        <v>0</v>
      </c>
      <c r="C1530" t="s">
        <v>2922</v>
      </c>
      <c r="D1530" t="s">
        <v>2047</v>
      </c>
      <c r="E1530" t="s">
        <v>2005</v>
      </c>
      <c r="F1530" s="3">
        <v>44306</v>
      </c>
      <c r="G1530" s="2">
        <v>60</v>
      </c>
      <c r="H1530" s="1">
        <v>193.28</v>
      </c>
      <c r="I1530" t="s">
        <v>2692</v>
      </c>
      <c r="J1530" s="2">
        <v>1</v>
      </c>
      <c r="K1530" t="s">
        <v>13</v>
      </c>
      <c r="L1530" t="s">
        <v>1682</v>
      </c>
      <c r="M1530" t="s">
        <v>15</v>
      </c>
    </row>
    <row r="1531" spans="1:13" x14ac:dyDescent="0.25">
      <c r="A1531" s="5">
        <v>44366</v>
      </c>
      <c r="B1531" s="2">
        <v>0</v>
      </c>
      <c r="C1531" t="s">
        <v>2923</v>
      </c>
      <c r="D1531" t="s">
        <v>2047</v>
      </c>
      <c r="E1531" t="s">
        <v>2005</v>
      </c>
      <c r="F1531" s="3">
        <v>44316</v>
      </c>
      <c r="G1531" s="2">
        <v>50</v>
      </c>
      <c r="H1531" s="1">
        <v>356.57</v>
      </c>
      <c r="I1531" t="s">
        <v>2924</v>
      </c>
      <c r="J1531" s="2">
        <v>1</v>
      </c>
      <c r="K1531" t="s">
        <v>13</v>
      </c>
      <c r="L1531" t="s">
        <v>1682</v>
      </c>
      <c r="M1531" t="s">
        <v>15</v>
      </c>
    </row>
    <row r="1532" spans="1:13" x14ac:dyDescent="0.25">
      <c r="A1532" s="5">
        <v>44367</v>
      </c>
      <c r="B1532" s="2">
        <v>0</v>
      </c>
      <c r="C1532" t="s">
        <v>2925</v>
      </c>
      <c r="D1532" t="s">
        <v>1761</v>
      </c>
      <c r="E1532" t="s">
        <v>1762</v>
      </c>
      <c r="F1532" s="3">
        <v>44257</v>
      </c>
      <c r="G1532" s="2">
        <v>110</v>
      </c>
      <c r="H1532" s="1">
        <v>1486.33</v>
      </c>
      <c r="I1532" t="s">
        <v>2451</v>
      </c>
      <c r="J1532" s="2">
        <v>1</v>
      </c>
      <c r="K1532" t="s">
        <v>13</v>
      </c>
      <c r="L1532" t="s">
        <v>21</v>
      </c>
      <c r="M1532" t="s">
        <v>1165</v>
      </c>
    </row>
    <row r="1533" spans="1:13" x14ac:dyDescent="0.25">
      <c r="A1533" s="5">
        <v>44367</v>
      </c>
      <c r="B1533" s="2">
        <v>0</v>
      </c>
      <c r="C1533" t="s">
        <v>2926</v>
      </c>
      <c r="D1533" t="s">
        <v>1761</v>
      </c>
      <c r="E1533" t="s">
        <v>1762</v>
      </c>
      <c r="F1533" s="3">
        <v>44277</v>
      </c>
      <c r="G1533" s="2">
        <v>90</v>
      </c>
      <c r="H1533" s="1">
        <v>1225.3699999999999</v>
      </c>
      <c r="I1533" t="s">
        <v>2701</v>
      </c>
      <c r="J1533" s="2">
        <v>1</v>
      </c>
      <c r="K1533" t="s">
        <v>13</v>
      </c>
      <c r="L1533" t="s">
        <v>21</v>
      </c>
      <c r="M1533" t="s">
        <v>1165</v>
      </c>
    </row>
    <row r="1534" spans="1:13" x14ac:dyDescent="0.25">
      <c r="A1534" s="5">
        <v>44367</v>
      </c>
      <c r="B1534" s="2">
        <v>0</v>
      </c>
      <c r="C1534" t="s">
        <v>2927</v>
      </c>
      <c r="D1534" t="s">
        <v>1761</v>
      </c>
      <c r="E1534" t="s">
        <v>1762</v>
      </c>
      <c r="F1534" s="3">
        <v>44327</v>
      </c>
      <c r="G1534" s="2">
        <v>40</v>
      </c>
      <c r="H1534" s="1">
        <v>281.32</v>
      </c>
      <c r="I1534" t="s">
        <v>2928</v>
      </c>
      <c r="J1534" s="2">
        <v>1</v>
      </c>
      <c r="K1534" t="s">
        <v>13</v>
      </c>
      <c r="L1534" t="s">
        <v>21</v>
      </c>
      <c r="M1534" t="s">
        <v>1165</v>
      </c>
    </row>
    <row r="1535" spans="1:13" x14ac:dyDescent="0.25">
      <c r="A1535" s="5">
        <v>44367</v>
      </c>
      <c r="B1535" s="2">
        <v>0</v>
      </c>
      <c r="C1535" t="s">
        <v>2929</v>
      </c>
      <c r="D1535" t="s">
        <v>1757</v>
      </c>
      <c r="E1535" t="s">
        <v>1758</v>
      </c>
      <c r="F1535" s="3">
        <v>44292</v>
      </c>
      <c r="G1535" s="2">
        <v>75</v>
      </c>
      <c r="H1535" s="1">
        <v>1030.4000000000001</v>
      </c>
      <c r="I1535" t="s">
        <v>2930</v>
      </c>
      <c r="J1535" s="2">
        <v>1</v>
      </c>
      <c r="K1535" t="s">
        <v>13</v>
      </c>
      <c r="L1535" t="s">
        <v>21</v>
      </c>
      <c r="M1535" t="s">
        <v>1165</v>
      </c>
    </row>
    <row r="1536" spans="1:13" x14ac:dyDescent="0.25">
      <c r="A1536" s="5">
        <v>44368</v>
      </c>
      <c r="B1536" s="2">
        <v>0</v>
      </c>
      <c r="C1536" t="s">
        <v>2935</v>
      </c>
      <c r="D1536" t="s">
        <v>2350</v>
      </c>
      <c r="E1536" t="s">
        <v>2351</v>
      </c>
      <c r="F1536" s="3">
        <v>44298</v>
      </c>
      <c r="G1536" s="2">
        <v>70</v>
      </c>
      <c r="H1536" s="1">
        <v>370.09</v>
      </c>
      <c r="I1536" t="s">
        <v>2710</v>
      </c>
      <c r="J1536" s="2">
        <v>1</v>
      </c>
      <c r="K1536" t="s">
        <v>13</v>
      </c>
      <c r="L1536" t="s">
        <v>695</v>
      </c>
      <c r="M1536" t="s">
        <v>15</v>
      </c>
    </row>
    <row r="1537" spans="1:13" x14ac:dyDescent="0.25">
      <c r="A1537" s="5">
        <v>44368</v>
      </c>
      <c r="B1537" s="2">
        <v>0</v>
      </c>
      <c r="C1537" t="s">
        <v>2936</v>
      </c>
      <c r="D1537" t="s">
        <v>2297</v>
      </c>
      <c r="E1537" t="s">
        <v>2298</v>
      </c>
      <c r="F1537" s="3">
        <v>44278</v>
      </c>
      <c r="G1537" s="2">
        <v>90</v>
      </c>
      <c r="H1537" s="1">
        <v>346.3</v>
      </c>
      <c r="I1537" t="s">
        <v>2334</v>
      </c>
      <c r="J1537" s="2">
        <v>1</v>
      </c>
      <c r="K1537" t="s">
        <v>13</v>
      </c>
      <c r="L1537" t="s">
        <v>21</v>
      </c>
      <c r="M1537" t="s">
        <v>31</v>
      </c>
    </row>
    <row r="1538" spans="1:13" x14ac:dyDescent="0.25">
      <c r="A1538" s="5">
        <v>44368</v>
      </c>
      <c r="B1538" s="2">
        <v>0</v>
      </c>
      <c r="C1538" t="s">
        <v>2937</v>
      </c>
      <c r="D1538" t="s">
        <v>2297</v>
      </c>
      <c r="E1538" t="s">
        <v>2298</v>
      </c>
      <c r="F1538" s="3">
        <v>44298</v>
      </c>
      <c r="G1538" s="2">
        <v>70</v>
      </c>
      <c r="H1538" s="1">
        <v>422.47</v>
      </c>
      <c r="I1538" t="s">
        <v>2530</v>
      </c>
      <c r="J1538" s="2">
        <v>1</v>
      </c>
      <c r="K1538" t="s">
        <v>13</v>
      </c>
      <c r="L1538" t="s">
        <v>21</v>
      </c>
      <c r="M1538" t="s">
        <v>31</v>
      </c>
    </row>
    <row r="1539" spans="1:13" x14ac:dyDescent="0.25">
      <c r="A1539" s="5">
        <v>44368</v>
      </c>
      <c r="B1539" s="2">
        <v>0</v>
      </c>
      <c r="C1539" t="s">
        <v>2938</v>
      </c>
      <c r="D1539" t="s">
        <v>1761</v>
      </c>
      <c r="E1539" t="s">
        <v>1762</v>
      </c>
      <c r="F1539" s="3">
        <v>44298</v>
      </c>
      <c r="G1539" s="2">
        <v>70</v>
      </c>
      <c r="H1539" s="1">
        <v>653.55999999999995</v>
      </c>
      <c r="I1539" t="s">
        <v>2939</v>
      </c>
      <c r="J1539" s="2">
        <v>1</v>
      </c>
      <c r="K1539" t="s">
        <v>13</v>
      </c>
      <c r="L1539" t="s">
        <v>21</v>
      </c>
      <c r="M1539" t="s">
        <v>1165</v>
      </c>
    </row>
    <row r="1540" spans="1:13" x14ac:dyDescent="0.25">
      <c r="A1540" s="5">
        <v>44368</v>
      </c>
      <c r="B1540" s="2">
        <v>0</v>
      </c>
      <c r="C1540" t="s">
        <v>2940</v>
      </c>
      <c r="D1540" t="s">
        <v>1761</v>
      </c>
      <c r="E1540" t="s">
        <v>1762</v>
      </c>
      <c r="F1540" s="3">
        <v>44298</v>
      </c>
      <c r="G1540" s="2">
        <v>70</v>
      </c>
      <c r="H1540" s="1">
        <v>2288.9699999999998</v>
      </c>
      <c r="I1540" t="s">
        <v>2941</v>
      </c>
      <c r="J1540" s="2">
        <v>1</v>
      </c>
      <c r="K1540" t="s">
        <v>13</v>
      </c>
      <c r="L1540" t="s">
        <v>21</v>
      </c>
      <c r="M1540" t="s">
        <v>1165</v>
      </c>
    </row>
    <row r="1541" spans="1:13" x14ac:dyDescent="0.25">
      <c r="A1541" s="5">
        <v>44368</v>
      </c>
      <c r="B1541" s="2">
        <v>0</v>
      </c>
      <c r="C1541" t="s">
        <v>2942</v>
      </c>
      <c r="D1541" t="s">
        <v>1773</v>
      </c>
      <c r="E1541" t="s">
        <v>1938</v>
      </c>
      <c r="F1541" s="3">
        <v>44278</v>
      </c>
      <c r="G1541" s="2">
        <v>90</v>
      </c>
      <c r="H1541" s="1">
        <v>923.63</v>
      </c>
      <c r="I1541" t="s">
        <v>2780</v>
      </c>
      <c r="J1541" s="2">
        <v>1</v>
      </c>
      <c r="K1541" t="s">
        <v>13</v>
      </c>
      <c r="L1541" t="s">
        <v>21</v>
      </c>
      <c r="M1541" t="s">
        <v>1774</v>
      </c>
    </row>
    <row r="1542" spans="1:13" x14ac:dyDescent="0.25">
      <c r="A1542" s="5">
        <v>44368</v>
      </c>
      <c r="B1542" s="2">
        <v>0</v>
      </c>
      <c r="C1542" t="s">
        <v>2943</v>
      </c>
      <c r="D1542" t="s">
        <v>1757</v>
      </c>
      <c r="E1542" t="s">
        <v>1758</v>
      </c>
      <c r="F1542" s="3">
        <v>44278</v>
      </c>
      <c r="G1542" s="2">
        <v>90</v>
      </c>
      <c r="H1542" s="1">
        <v>1652.07</v>
      </c>
      <c r="I1542" t="s">
        <v>2783</v>
      </c>
      <c r="J1542" s="2">
        <v>1</v>
      </c>
      <c r="K1542" t="s">
        <v>13</v>
      </c>
      <c r="L1542" t="s">
        <v>21</v>
      </c>
      <c r="M1542" t="s">
        <v>1165</v>
      </c>
    </row>
    <row r="1543" spans="1:13" x14ac:dyDescent="0.25">
      <c r="A1543" s="5">
        <v>44368</v>
      </c>
      <c r="B1543" s="2">
        <v>0</v>
      </c>
      <c r="C1543" t="s">
        <v>2946</v>
      </c>
      <c r="D1543" t="s">
        <v>2228</v>
      </c>
      <c r="E1543" t="s">
        <v>2229</v>
      </c>
      <c r="F1543" s="3">
        <v>44313</v>
      </c>
      <c r="G1543" s="2">
        <v>55</v>
      </c>
      <c r="H1543" s="1">
        <v>547.99</v>
      </c>
      <c r="I1543" t="s">
        <v>2787</v>
      </c>
      <c r="J1543" s="2">
        <v>1</v>
      </c>
      <c r="K1543" t="s">
        <v>13</v>
      </c>
      <c r="L1543" t="s">
        <v>21</v>
      </c>
      <c r="M1543" t="s">
        <v>308</v>
      </c>
    </row>
    <row r="1544" spans="1:13" x14ac:dyDescent="0.25">
      <c r="A1544" s="5">
        <v>44368</v>
      </c>
      <c r="B1544" s="2">
        <v>0</v>
      </c>
      <c r="C1544" t="s">
        <v>2947</v>
      </c>
      <c r="D1544" t="s">
        <v>2047</v>
      </c>
      <c r="E1544" t="s">
        <v>2005</v>
      </c>
      <c r="F1544" s="3">
        <v>44273</v>
      </c>
      <c r="G1544" s="2">
        <v>95</v>
      </c>
      <c r="H1544" s="1">
        <v>354.15</v>
      </c>
      <c r="I1544" t="s">
        <v>2337</v>
      </c>
      <c r="J1544" s="2">
        <v>1</v>
      </c>
      <c r="K1544" t="s">
        <v>13</v>
      </c>
      <c r="L1544" t="s">
        <v>1682</v>
      </c>
      <c r="M1544" t="s">
        <v>15</v>
      </c>
    </row>
    <row r="1545" spans="1:13" x14ac:dyDescent="0.25">
      <c r="A1545" s="5">
        <v>44369</v>
      </c>
      <c r="B1545" s="2">
        <v>0</v>
      </c>
      <c r="C1545" t="s">
        <v>2948</v>
      </c>
      <c r="D1545" t="s">
        <v>2350</v>
      </c>
      <c r="E1545" t="s">
        <v>2351</v>
      </c>
      <c r="F1545" s="3">
        <v>44309</v>
      </c>
      <c r="G1545" s="2">
        <v>60</v>
      </c>
      <c r="H1545" s="1">
        <v>395.8</v>
      </c>
      <c r="I1545" t="s">
        <v>2796</v>
      </c>
      <c r="J1545" s="2">
        <v>1</v>
      </c>
      <c r="K1545" t="s">
        <v>13</v>
      </c>
      <c r="L1545" t="s">
        <v>695</v>
      </c>
      <c r="M1545" t="s">
        <v>15</v>
      </c>
    </row>
    <row r="1546" spans="1:13" x14ac:dyDescent="0.25">
      <c r="A1546" s="5">
        <v>44369</v>
      </c>
      <c r="B1546" s="2">
        <v>0</v>
      </c>
      <c r="C1546" t="s">
        <v>2950</v>
      </c>
      <c r="D1546" t="s">
        <v>1761</v>
      </c>
      <c r="E1546" t="s">
        <v>1762</v>
      </c>
      <c r="F1546" s="3">
        <v>44249</v>
      </c>
      <c r="G1546" s="2">
        <v>120</v>
      </c>
      <c r="H1546" s="1">
        <v>1011.33</v>
      </c>
      <c r="I1546" t="s">
        <v>2313</v>
      </c>
      <c r="J1546" s="2">
        <v>1</v>
      </c>
      <c r="K1546" t="s">
        <v>13</v>
      </c>
      <c r="L1546" t="s">
        <v>21</v>
      </c>
      <c r="M1546" t="s">
        <v>1165</v>
      </c>
    </row>
    <row r="1547" spans="1:13" x14ac:dyDescent="0.25">
      <c r="A1547" s="5">
        <v>44369</v>
      </c>
      <c r="B1547" s="2">
        <v>0</v>
      </c>
      <c r="C1547" t="s">
        <v>2951</v>
      </c>
      <c r="D1547" t="s">
        <v>1983</v>
      </c>
      <c r="E1547" t="s">
        <v>1984</v>
      </c>
      <c r="F1547" s="3">
        <v>44284</v>
      </c>
      <c r="G1547" s="2">
        <v>85</v>
      </c>
      <c r="H1547" s="1">
        <v>838.17</v>
      </c>
      <c r="I1547" t="s">
        <v>2799</v>
      </c>
      <c r="J1547" s="2">
        <v>1</v>
      </c>
      <c r="K1547" t="s">
        <v>13</v>
      </c>
      <c r="L1547" t="s">
        <v>21</v>
      </c>
      <c r="M1547" t="s">
        <v>1566</v>
      </c>
    </row>
    <row r="1548" spans="1:13" x14ac:dyDescent="0.25">
      <c r="A1548" s="5">
        <v>44369</v>
      </c>
      <c r="B1548" s="2">
        <v>0</v>
      </c>
      <c r="C1548" t="s">
        <v>2952</v>
      </c>
      <c r="D1548" t="s">
        <v>1900</v>
      </c>
      <c r="E1548" t="s">
        <v>1901</v>
      </c>
      <c r="F1548" s="3">
        <v>44299</v>
      </c>
      <c r="G1548" s="2">
        <v>70</v>
      </c>
      <c r="H1548" s="1">
        <v>1280.8900000000001</v>
      </c>
      <c r="I1548" t="s">
        <v>2953</v>
      </c>
      <c r="J1548" s="2">
        <v>1</v>
      </c>
      <c r="K1548" t="s">
        <v>1543</v>
      </c>
      <c r="L1548" t="s">
        <v>695</v>
      </c>
      <c r="M1548" t="s">
        <v>15</v>
      </c>
    </row>
    <row r="1549" spans="1:13" x14ac:dyDescent="0.25">
      <c r="A1549" s="5">
        <v>44369</v>
      </c>
      <c r="B1549" s="2">
        <v>0</v>
      </c>
      <c r="C1549" t="s">
        <v>2954</v>
      </c>
      <c r="D1549" t="s">
        <v>1773</v>
      </c>
      <c r="E1549" t="s">
        <v>1938</v>
      </c>
      <c r="F1549" s="3">
        <v>44284</v>
      </c>
      <c r="G1549" s="2">
        <v>85</v>
      </c>
      <c r="H1549" s="1">
        <v>540.05999999999995</v>
      </c>
      <c r="I1549" t="s">
        <v>2802</v>
      </c>
      <c r="J1549" s="2">
        <v>1</v>
      </c>
      <c r="K1549" t="s">
        <v>13</v>
      </c>
      <c r="L1549" t="s">
        <v>21</v>
      </c>
      <c r="M1549" t="s">
        <v>1774</v>
      </c>
    </row>
    <row r="1550" spans="1:13" x14ac:dyDescent="0.25">
      <c r="A1550" s="5">
        <v>44369</v>
      </c>
      <c r="B1550" s="2">
        <v>0</v>
      </c>
      <c r="C1550" t="s">
        <v>2955</v>
      </c>
      <c r="D1550" t="s">
        <v>1773</v>
      </c>
      <c r="E1550" t="s">
        <v>1938</v>
      </c>
      <c r="F1550" s="3">
        <v>44299</v>
      </c>
      <c r="G1550" s="2">
        <v>70</v>
      </c>
      <c r="H1550" s="1">
        <v>1727.26</v>
      </c>
      <c r="I1550" t="s">
        <v>2956</v>
      </c>
      <c r="J1550" s="2">
        <v>1</v>
      </c>
      <c r="K1550" t="s">
        <v>13</v>
      </c>
      <c r="L1550" t="s">
        <v>21</v>
      </c>
      <c r="M1550" t="s">
        <v>1774</v>
      </c>
    </row>
    <row r="1551" spans="1:13" x14ac:dyDescent="0.25">
      <c r="A1551" s="5">
        <v>44369</v>
      </c>
      <c r="B1551" s="2">
        <v>0</v>
      </c>
      <c r="C1551" t="s">
        <v>2957</v>
      </c>
      <c r="D1551" t="s">
        <v>1757</v>
      </c>
      <c r="E1551" t="s">
        <v>1758</v>
      </c>
      <c r="F1551" s="3">
        <v>44299</v>
      </c>
      <c r="G1551" s="2">
        <v>70</v>
      </c>
      <c r="H1551" s="1">
        <v>1909.97</v>
      </c>
      <c r="I1551" t="s">
        <v>2804</v>
      </c>
      <c r="J1551" s="2">
        <v>1</v>
      </c>
      <c r="K1551" t="s">
        <v>13</v>
      </c>
      <c r="L1551" t="s">
        <v>21</v>
      </c>
      <c r="M1551" t="s">
        <v>1165</v>
      </c>
    </row>
    <row r="1552" spans="1:13" x14ac:dyDescent="0.25">
      <c r="A1552" s="5">
        <v>44370</v>
      </c>
      <c r="B1552" s="2">
        <v>0</v>
      </c>
      <c r="C1552" t="s">
        <v>2958</v>
      </c>
      <c r="D1552" t="s">
        <v>2350</v>
      </c>
      <c r="E1552" t="s">
        <v>2351</v>
      </c>
      <c r="F1552" s="3">
        <v>44320</v>
      </c>
      <c r="G1552" s="2">
        <v>50</v>
      </c>
      <c r="H1552" s="1">
        <v>284.26</v>
      </c>
      <c r="I1552" t="s">
        <v>2959</v>
      </c>
      <c r="J1552" s="2">
        <v>1</v>
      </c>
      <c r="K1552" t="s">
        <v>13</v>
      </c>
      <c r="L1552" t="s">
        <v>695</v>
      </c>
      <c r="M1552" t="s">
        <v>15</v>
      </c>
    </row>
    <row r="1553" spans="1:13" x14ac:dyDescent="0.25">
      <c r="A1553" s="5">
        <v>44370</v>
      </c>
      <c r="B1553" s="2">
        <v>0</v>
      </c>
      <c r="C1553" t="s">
        <v>2960</v>
      </c>
      <c r="D1553" t="s">
        <v>1680</v>
      </c>
      <c r="E1553" t="s">
        <v>1681</v>
      </c>
      <c r="F1553" s="3">
        <v>44285</v>
      </c>
      <c r="G1553" s="2">
        <v>85</v>
      </c>
      <c r="H1553" s="1">
        <v>350.77</v>
      </c>
      <c r="I1553" t="s">
        <v>2812</v>
      </c>
      <c r="J1553" s="2">
        <v>1</v>
      </c>
      <c r="K1553" t="s">
        <v>13</v>
      </c>
      <c r="L1553" t="s">
        <v>1682</v>
      </c>
      <c r="M1553" t="s">
        <v>15</v>
      </c>
    </row>
    <row r="1554" spans="1:13" x14ac:dyDescent="0.25">
      <c r="A1554" s="5">
        <v>44370</v>
      </c>
      <c r="B1554" s="2">
        <v>0</v>
      </c>
      <c r="C1554" t="s">
        <v>2961</v>
      </c>
      <c r="D1554" t="s">
        <v>2047</v>
      </c>
      <c r="E1554" t="s">
        <v>2005</v>
      </c>
      <c r="F1554" s="3">
        <v>44300</v>
      </c>
      <c r="G1554" s="2">
        <v>70</v>
      </c>
      <c r="H1554" s="1">
        <v>284.58999999999997</v>
      </c>
      <c r="I1554" t="s">
        <v>2505</v>
      </c>
      <c r="J1554" s="2">
        <v>1</v>
      </c>
      <c r="K1554" t="s">
        <v>13</v>
      </c>
      <c r="L1554" t="s">
        <v>1682</v>
      </c>
      <c r="M1554" t="s">
        <v>15</v>
      </c>
    </row>
    <row r="1555" spans="1:13" x14ac:dyDescent="0.25">
      <c r="A1555" s="5">
        <v>44370</v>
      </c>
      <c r="B1555" s="2">
        <v>0</v>
      </c>
      <c r="C1555" t="s">
        <v>2962</v>
      </c>
      <c r="D1555" t="s">
        <v>2529</v>
      </c>
      <c r="E1555" t="s">
        <v>2311</v>
      </c>
      <c r="F1555" s="3">
        <v>44281</v>
      </c>
      <c r="G1555" s="2">
        <v>89</v>
      </c>
      <c r="H1555" s="1">
        <v>233.83</v>
      </c>
      <c r="I1555" t="s">
        <v>2963</v>
      </c>
      <c r="J1555" s="2">
        <v>1</v>
      </c>
      <c r="K1555" t="s">
        <v>13</v>
      </c>
      <c r="L1555" t="s">
        <v>671</v>
      </c>
      <c r="M1555" t="s">
        <v>31</v>
      </c>
    </row>
    <row r="1556" spans="1:13" x14ac:dyDescent="0.25">
      <c r="A1556" s="5">
        <v>44371</v>
      </c>
      <c r="B1556" s="2">
        <v>0</v>
      </c>
      <c r="C1556" t="s">
        <v>2964</v>
      </c>
      <c r="D1556" t="s">
        <v>2297</v>
      </c>
      <c r="E1556" t="s">
        <v>2298</v>
      </c>
      <c r="F1556" s="3">
        <v>44291</v>
      </c>
      <c r="G1556" s="2">
        <v>80</v>
      </c>
      <c r="H1556" s="1">
        <v>366.49</v>
      </c>
      <c r="I1556" t="s">
        <v>2507</v>
      </c>
      <c r="J1556" s="2">
        <v>1</v>
      </c>
      <c r="K1556" t="s">
        <v>13</v>
      </c>
      <c r="L1556" t="s">
        <v>21</v>
      </c>
      <c r="M1556" t="s">
        <v>31</v>
      </c>
    </row>
    <row r="1557" spans="1:13" x14ac:dyDescent="0.25">
      <c r="A1557" s="5">
        <v>44371</v>
      </c>
      <c r="B1557" s="2">
        <v>0</v>
      </c>
      <c r="C1557" t="s">
        <v>2965</v>
      </c>
      <c r="D1557" t="s">
        <v>2297</v>
      </c>
      <c r="E1557" t="s">
        <v>2298</v>
      </c>
      <c r="F1557" s="3">
        <v>44321</v>
      </c>
      <c r="G1557" s="2">
        <v>50</v>
      </c>
      <c r="H1557" s="1">
        <v>733.37</v>
      </c>
      <c r="I1557" t="s">
        <v>2907</v>
      </c>
      <c r="J1557" s="2">
        <v>1</v>
      </c>
      <c r="K1557" t="s">
        <v>13</v>
      </c>
      <c r="L1557" t="s">
        <v>21</v>
      </c>
      <c r="M1557" t="s">
        <v>31</v>
      </c>
    </row>
    <row r="1558" spans="1:13" x14ac:dyDescent="0.25">
      <c r="A1558" s="5">
        <v>44371</v>
      </c>
      <c r="B1558" s="2">
        <v>0</v>
      </c>
      <c r="C1558" t="s">
        <v>2966</v>
      </c>
      <c r="D1558" t="s">
        <v>1773</v>
      </c>
      <c r="E1558" t="s">
        <v>1938</v>
      </c>
      <c r="F1558" s="3">
        <v>44321</v>
      </c>
      <c r="G1558" s="2">
        <v>50</v>
      </c>
      <c r="H1558" s="1">
        <v>860.67</v>
      </c>
      <c r="I1558" t="s">
        <v>2827</v>
      </c>
      <c r="J1558" s="2">
        <v>1</v>
      </c>
      <c r="K1558" t="s">
        <v>13</v>
      </c>
      <c r="L1558" t="s">
        <v>21</v>
      </c>
      <c r="M1558" t="s">
        <v>1774</v>
      </c>
    </row>
    <row r="1559" spans="1:13" x14ac:dyDescent="0.25">
      <c r="A1559" s="5">
        <v>44371</v>
      </c>
      <c r="B1559" s="2">
        <v>0</v>
      </c>
      <c r="C1559" t="s">
        <v>2967</v>
      </c>
      <c r="D1559" t="s">
        <v>1757</v>
      </c>
      <c r="E1559" t="s">
        <v>1758</v>
      </c>
      <c r="F1559" s="3">
        <v>44291</v>
      </c>
      <c r="G1559" s="2">
        <v>80</v>
      </c>
      <c r="H1559" s="1">
        <v>2142.2800000000002</v>
      </c>
      <c r="I1559" t="s">
        <v>2832</v>
      </c>
      <c r="J1559" s="2">
        <v>1</v>
      </c>
      <c r="K1559" t="s">
        <v>13</v>
      </c>
      <c r="L1559" t="s">
        <v>21</v>
      </c>
      <c r="M1559" t="s">
        <v>1165</v>
      </c>
    </row>
    <row r="1560" spans="1:13" x14ac:dyDescent="0.25">
      <c r="A1560" s="5">
        <v>44372</v>
      </c>
      <c r="B1560" s="2">
        <v>0</v>
      </c>
      <c r="C1560" t="s">
        <v>2968</v>
      </c>
      <c r="D1560" t="s">
        <v>2350</v>
      </c>
      <c r="E1560" t="s">
        <v>2351</v>
      </c>
      <c r="F1560" s="3">
        <v>44322</v>
      </c>
      <c r="G1560" s="2">
        <v>50</v>
      </c>
      <c r="H1560" s="1">
        <v>333.77</v>
      </c>
      <c r="I1560" t="s">
        <v>2969</v>
      </c>
      <c r="J1560" s="2">
        <v>1</v>
      </c>
      <c r="K1560" t="s">
        <v>13</v>
      </c>
      <c r="L1560" t="s">
        <v>695</v>
      </c>
      <c r="M1560" t="s">
        <v>15</v>
      </c>
    </row>
    <row r="1561" spans="1:13" x14ac:dyDescent="0.25">
      <c r="A1561" s="5">
        <v>44372</v>
      </c>
      <c r="B1561" s="2">
        <v>0</v>
      </c>
      <c r="C1561" t="s">
        <v>2970</v>
      </c>
      <c r="D1561" t="s">
        <v>1761</v>
      </c>
      <c r="E1561" t="s">
        <v>1762</v>
      </c>
      <c r="F1561" s="3">
        <v>44292</v>
      </c>
      <c r="G1561" s="2">
        <v>80</v>
      </c>
      <c r="H1561" s="1">
        <v>1619.6</v>
      </c>
      <c r="I1561" t="s">
        <v>2848</v>
      </c>
      <c r="J1561" s="2">
        <v>1</v>
      </c>
      <c r="K1561" t="s">
        <v>13</v>
      </c>
      <c r="L1561" t="s">
        <v>21</v>
      </c>
      <c r="M1561" t="s">
        <v>1165</v>
      </c>
    </row>
    <row r="1562" spans="1:13" x14ac:dyDescent="0.25">
      <c r="A1562" s="5">
        <v>44372</v>
      </c>
      <c r="B1562" s="2">
        <v>0</v>
      </c>
      <c r="C1562" t="s">
        <v>2971</v>
      </c>
      <c r="D1562" t="s">
        <v>1761</v>
      </c>
      <c r="E1562" t="s">
        <v>1762</v>
      </c>
      <c r="F1562" s="3">
        <v>44292</v>
      </c>
      <c r="G1562" s="2">
        <v>80</v>
      </c>
      <c r="H1562" s="1">
        <v>1030.4000000000001</v>
      </c>
      <c r="I1562" t="s">
        <v>2972</v>
      </c>
      <c r="J1562" s="2">
        <v>1</v>
      </c>
      <c r="K1562" t="s">
        <v>13</v>
      </c>
      <c r="L1562" t="s">
        <v>21</v>
      </c>
      <c r="M1562" t="s">
        <v>1165</v>
      </c>
    </row>
    <row r="1563" spans="1:13" x14ac:dyDescent="0.25">
      <c r="A1563" s="5">
        <v>44372</v>
      </c>
      <c r="B1563" s="2">
        <v>0</v>
      </c>
      <c r="C1563" t="s">
        <v>2973</v>
      </c>
      <c r="D1563" t="s">
        <v>1761</v>
      </c>
      <c r="E1563" t="s">
        <v>1762</v>
      </c>
      <c r="F1563" s="3">
        <v>44292</v>
      </c>
      <c r="G1563" s="2">
        <v>80</v>
      </c>
      <c r="H1563" s="1">
        <v>681.79</v>
      </c>
      <c r="I1563" t="s">
        <v>2974</v>
      </c>
      <c r="J1563" s="2">
        <v>1</v>
      </c>
      <c r="K1563" t="s">
        <v>13</v>
      </c>
      <c r="L1563" t="s">
        <v>21</v>
      </c>
      <c r="M1563" t="s">
        <v>1165</v>
      </c>
    </row>
    <row r="1564" spans="1:13" x14ac:dyDescent="0.25">
      <c r="A1564" s="5">
        <v>44372</v>
      </c>
      <c r="B1564" s="2">
        <v>0</v>
      </c>
      <c r="C1564" t="s">
        <v>2975</v>
      </c>
      <c r="D1564" t="s">
        <v>1983</v>
      </c>
      <c r="E1564" t="s">
        <v>1984</v>
      </c>
      <c r="F1564" s="3">
        <v>44292</v>
      </c>
      <c r="G1564" s="2">
        <v>80</v>
      </c>
      <c r="H1564" s="1">
        <v>681.79</v>
      </c>
      <c r="I1564" t="s">
        <v>2976</v>
      </c>
      <c r="J1564" s="2">
        <v>1</v>
      </c>
      <c r="K1564" t="s">
        <v>13</v>
      </c>
      <c r="L1564" t="s">
        <v>21</v>
      </c>
      <c r="M1564" t="s">
        <v>1566</v>
      </c>
    </row>
    <row r="1565" spans="1:13" x14ac:dyDescent="0.25">
      <c r="A1565" s="5">
        <v>44372</v>
      </c>
      <c r="B1565" s="2">
        <v>0</v>
      </c>
      <c r="C1565" t="s">
        <v>2977</v>
      </c>
      <c r="D1565" t="s">
        <v>1983</v>
      </c>
      <c r="E1565" t="s">
        <v>1984</v>
      </c>
      <c r="F1565" s="3">
        <v>44337</v>
      </c>
      <c r="G1565" s="2">
        <v>35</v>
      </c>
      <c r="H1565" s="1">
        <v>560.13</v>
      </c>
      <c r="I1565" t="s">
        <v>2978</v>
      </c>
      <c r="J1565" s="2">
        <v>1</v>
      </c>
      <c r="K1565" t="s">
        <v>13</v>
      </c>
      <c r="L1565" t="s">
        <v>21</v>
      </c>
      <c r="M1565" t="s">
        <v>1566</v>
      </c>
    </row>
    <row r="1566" spans="1:13" x14ac:dyDescent="0.25">
      <c r="A1566" s="5">
        <v>44372</v>
      </c>
      <c r="B1566" s="2">
        <v>0</v>
      </c>
      <c r="C1566" t="s">
        <v>2979</v>
      </c>
      <c r="D1566" t="s">
        <v>2112</v>
      </c>
      <c r="E1566" t="s">
        <v>2204</v>
      </c>
      <c r="F1566" s="3">
        <v>44292</v>
      </c>
      <c r="G1566" s="2">
        <v>80</v>
      </c>
      <c r="H1566" s="1">
        <v>1166.5999999999999</v>
      </c>
      <c r="I1566" t="s">
        <v>2980</v>
      </c>
      <c r="J1566" s="2">
        <v>1</v>
      </c>
      <c r="K1566" t="s">
        <v>13</v>
      </c>
      <c r="L1566" t="s">
        <v>830</v>
      </c>
      <c r="M1566" t="s">
        <v>1213</v>
      </c>
    </row>
    <row r="1567" spans="1:13" x14ac:dyDescent="0.25">
      <c r="A1567" s="5">
        <v>44372</v>
      </c>
      <c r="B1567" s="2">
        <v>0</v>
      </c>
      <c r="C1567" t="s">
        <v>2981</v>
      </c>
      <c r="D1567" t="s">
        <v>1892</v>
      </c>
      <c r="E1567" t="s">
        <v>1893</v>
      </c>
      <c r="F1567" s="3">
        <v>44312</v>
      </c>
      <c r="G1567" s="2">
        <v>60</v>
      </c>
      <c r="H1567" s="1">
        <v>1355.6</v>
      </c>
      <c r="I1567" t="s">
        <v>2982</v>
      </c>
      <c r="J1567" s="2">
        <v>1</v>
      </c>
      <c r="K1567" t="s">
        <v>1543</v>
      </c>
      <c r="L1567" t="s">
        <v>695</v>
      </c>
      <c r="M1567" t="s">
        <v>31</v>
      </c>
    </row>
    <row r="1568" spans="1:13" x14ac:dyDescent="0.25">
      <c r="A1568" s="5">
        <v>44372</v>
      </c>
      <c r="B1568" s="2">
        <v>0</v>
      </c>
      <c r="C1568" t="s">
        <v>2983</v>
      </c>
      <c r="D1568" t="s">
        <v>1900</v>
      </c>
      <c r="E1568" t="s">
        <v>1901</v>
      </c>
      <c r="F1568" s="3">
        <v>44312</v>
      </c>
      <c r="G1568" s="2">
        <v>60</v>
      </c>
      <c r="H1568" s="1">
        <v>963.59</v>
      </c>
      <c r="I1568" t="s">
        <v>2984</v>
      </c>
      <c r="J1568" s="2">
        <v>1</v>
      </c>
      <c r="K1568" t="s">
        <v>1543</v>
      </c>
      <c r="L1568" t="s">
        <v>695</v>
      </c>
      <c r="M1568" t="s">
        <v>15</v>
      </c>
    </row>
    <row r="1569" spans="1:13" x14ac:dyDescent="0.25">
      <c r="A1569" s="5">
        <v>44372</v>
      </c>
      <c r="B1569" s="2">
        <v>0</v>
      </c>
      <c r="C1569" t="s">
        <v>2985</v>
      </c>
      <c r="D1569" t="s">
        <v>1773</v>
      </c>
      <c r="E1569" t="s">
        <v>1938</v>
      </c>
      <c r="F1569" s="3">
        <v>44292</v>
      </c>
      <c r="G1569" s="2">
        <v>80</v>
      </c>
      <c r="H1569" s="1">
        <v>681.79</v>
      </c>
      <c r="I1569" t="s">
        <v>2986</v>
      </c>
      <c r="J1569" s="2">
        <v>1</v>
      </c>
      <c r="K1569" t="s">
        <v>13</v>
      </c>
      <c r="L1569" t="s">
        <v>21</v>
      </c>
      <c r="M1569" t="s">
        <v>1774</v>
      </c>
    </row>
    <row r="1570" spans="1:13" x14ac:dyDescent="0.25">
      <c r="A1570" s="5">
        <v>44372</v>
      </c>
      <c r="B1570" s="2">
        <v>0</v>
      </c>
      <c r="C1570" t="s">
        <v>2987</v>
      </c>
      <c r="D1570" t="s">
        <v>1757</v>
      </c>
      <c r="E1570" t="s">
        <v>1758</v>
      </c>
      <c r="F1570" s="3">
        <v>44252</v>
      </c>
      <c r="G1570" s="2">
        <v>120</v>
      </c>
      <c r="H1570" s="1">
        <v>1018.44</v>
      </c>
      <c r="I1570" t="s">
        <v>2319</v>
      </c>
      <c r="J1570" s="2">
        <v>1</v>
      </c>
      <c r="K1570" t="s">
        <v>13</v>
      </c>
      <c r="L1570" t="s">
        <v>21</v>
      </c>
      <c r="M1570" t="s">
        <v>1165</v>
      </c>
    </row>
    <row r="1571" spans="1:13" x14ac:dyDescent="0.25">
      <c r="A1571" s="5">
        <v>44372</v>
      </c>
      <c r="B1571" s="2">
        <v>0</v>
      </c>
      <c r="C1571" t="s">
        <v>2988</v>
      </c>
      <c r="D1571" t="s">
        <v>1757</v>
      </c>
      <c r="E1571" t="s">
        <v>1758</v>
      </c>
      <c r="F1571" s="3">
        <v>44292</v>
      </c>
      <c r="G1571" s="2">
        <v>80</v>
      </c>
      <c r="H1571" s="1">
        <v>681.79</v>
      </c>
      <c r="I1571" t="s">
        <v>2989</v>
      </c>
      <c r="J1571" s="2">
        <v>1</v>
      </c>
      <c r="K1571" t="s">
        <v>13</v>
      </c>
      <c r="L1571" t="s">
        <v>21</v>
      </c>
      <c r="M1571" t="s">
        <v>1165</v>
      </c>
    </row>
    <row r="1572" spans="1:13" x14ac:dyDescent="0.25">
      <c r="A1572" s="5">
        <v>44372</v>
      </c>
      <c r="B1572" s="2">
        <v>0</v>
      </c>
      <c r="C1572" t="s">
        <v>2990</v>
      </c>
      <c r="D1572" t="s">
        <v>1757</v>
      </c>
      <c r="E1572" t="s">
        <v>1758</v>
      </c>
      <c r="F1572" s="3">
        <v>44322</v>
      </c>
      <c r="G1572" s="2">
        <v>50</v>
      </c>
      <c r="H1572" s="1">
        <v>960.52</v>
      </c>
      <c r="I1572" t="s">
        <v>2856</v>
      </c>
      <c r="J1572" s="2">
        <v>1</v>
      </c>
      <c r="K1572" t="s">
        <v>13</v>
      </c>
      <c r="L1572" t="s">
        <v>21</v>
      </c>
      <c r="M1572" t="s">
        <v>1165</v>
      </c>
    </row>
    <row r="1573" spans="1:13" x14ac:dyDescent="0.25">
      <c r="A1573" s="5">
        <v>44372</v>
      </c>
      <c r="B1573" s="2">
        <v>0</v>
      </c>
      <c r="C1573" t="s">
        <v>2991</v>
      </c>
      <c r="D1573" t="s">
        <v>1985</v>
      </c>
      <c r="E1573" t="s">
        <v>1986</v>
      </c>
      <c r="F1573" s="3">
        <v>44344</v>
      </c>
      <c r="G1573" s="2">
        <v>28</v>
      </c>
      <c r="H1573" s="1">
        <v>136.96</v>
      </c>
      <c r="I1573" t="s">
        <v>2789</v>
      </c>
      <c r="J1573" s="2">
        <v>1</v>
      </c>
      <c r="K1573" t="s">
        <v>13</v>
      </c>
      <c r="L1573" t="s">
        <v>830</v>
      </c>
      <c r="M1573" t="s">
        <v>1902</v>
      </c>
    </row>
    <row r="1574" spans="1:13" x14ac:dyDescent="0.25">
      <c r="A1574" s="5">
        <v>44372</v>
      </c>
      <c r="B1574" s="2">
        <v>0</v>
      </c>
      <c r="C1574" t="s">
        <v>2992</v>
      </c>
      <c r="D1574" t="s">
        <v>1985</v>
      </c>
      <c r="E1574" t="s">
        <v>1986</v>
      </c>
      <c r="F1574" s="3">
        <v>44351</v>
      </c>
      <c r="G1574" s="2">
        <v>21</v>
      </c>
      <c r="H1574" s="1">
        <v>187.9</v>
      </c>
      <c r="I1574" t="s">
        <v>2903</v>
      </c>
      <c r="J1574" s="2">
        <v>1</v>
      </c>
      <c r="K1574" t="s">
        <v>13</v>
      </c>
      <c r="L1574" t="s">
        <v>830</v>
      </c>
      <c r="M1574" t="s">
        <v>1902</v>
      </c>
    </row>
    <row r="1575" spans="1:13" x14ac:dyDescent="0.25">
      <c r="A1575" s="5">
        <v>44372</v>
      </c>
      <c r="B1575" s="2">
        <v>0</v>
      </c>
      <c r="C1575" t="s">
        <v>2993</v>
      </c>
      <c r="D1575" t="s">
        <v>2047</v>
      </c>
      <c r="E1575" t="s">
        <v>2005</v>
      </c>
      <c r="F1575" s="3">
        <v>44312</v>
      </c>
      <c r="G1575" s="2">
        <v>60</v>
      </c>
      <c r="H1575" s="1">
        <v>236.87</v>
      </c>
      <c r="I1575" t="s">
        <v>2733</v>
      </c>
      <c r="J1575" s="2">
        <v>1</v>
      </c>
      <c r="K1575" t="s">
        <v>13</v>
      </c>
      <c r="L1575" t="s">
        <v>1682</v>
      </c>
      <c r="M1575" t="s">
        <v>15</v>
      </c>
    </row>
    <row r="1576" spans="1:13" x14ac:dyDescent="0.25">
      <c r="A1576" s="5">
        <v>44373</v>
      </c>
      <c r="B1576" s="2">
        <v>0</v>
      </c>
      <c r="C1576" t="s">
        <v>2994</v>
      </c>
      <c r="D1576" t="s">
        <v>2350</v>
      </c>
      <c r="E1576" t="s">
        <v>2351</v>
      </c>
      <c r="F1576" s="3">
        <v>44308</v>
      </c>
      <c r="G1576" s="2">
        <v>65</v>
      </c>
      <c r="H1576" s="1">
        <v>387.11</v>
      </c>
      <c r="I1576" t="s">
        <v>2735</v>
      </c>
      <c r="J1576" s="2">
        <v>1</v>
      </c>
      <c r="K1576" t="s">
        <v>13</v>
      </c>
      <c r="L1576" t="s">
        <v>695</v>
      </c>
      <c r="M1576" t="s">
        <v>15</v>
      </c>
    </row>
    <row r="1577" spans="1:13" x14ac:dyDescent="0.25">
      <c r="A1577" s="5">
        <v>44373</v>
      </c>
      <c r="B1577" s="2">
        <v>0</v>
      </c>
      <c r="C1577" t="s">
        <v>2995</v>
      </c>
      <c r="D1577" t="s">
        <v>2350</v>
      </c>
      <c r="E1577" t="s">
        <v>2351</v>
      </c>
      <c r="F1577" s="3">
        <v>44313</v>
      </c>
      <c r="G1577" s="2">
        <v>60</v>
      </c>
      <c r="H1577" s="1">
        <v>294.12</v>
      </c>
      <c r="I1577" t="s">
        <v>2996</v>
      </c>
      <c r="J1577" s="2">
        <v>1</v>
      </c>
      <c r="K1577" t="s">
        <v>13</v>
      </c>
      <c r="L1577" t="s">
        <v>695</v>
      </c>
      <c r="M1577" t="s">
        <v>15</v>
      </c>
    </row>
    <row r="1578" spans="1:13" x14ac:dyDescent="0.25">
      <c r="A1578" s="5">
        <v>44373</v>
      </c>
      <c r="B1578" s="2">
        <v>0</v>
      </c>
      <c r="C1578" t="s">
        <v>2997</v>
      </c>
      <c r="D1578" t="s">
        <v>2297</v>
      </c>
      <c r="E1578" t="s">
        <v>2298</v>
      </c>
      <c r="F1578" s="3">
        <v>44298</v>
      </c>
      <c r="G1578" s="2">
        <v>75</v>
      </c>
      <c r="H1578" s="1">
        <v>422.47</v>
      </c>
      <c r="I1578" t="s">
        <v>2530</v>
      </c>
      <c r="J1578" s="2">
        <v>1</v>
      </c>
      <c r="K1578" t="s">
        <v>13</v>
      </c>
      <c r="L1578" t="s">
        <v>21</v>
      </c>
      <c r="M1578" t="s">
        <v>31</v>
      </c>
    </row>
    <row r="1579" spans="1:13" x14ac:dyDescent="0.25">
      <c r="A1579" s="5">
        <v>44373</v>
      </c>
      <c r="B1579" s="2">
        <v>0</v>
      </c>
      <c r="C1579" t="s">
        <v>2998</v>
      </c>
      <c r="D1579" t="s">
        <v>2297</v>
      </c>
      <c r="E1579" t="s">
        <v>2298</v>
      </c>
      <c r="F1579" s="3">
        <v>44348</v>
      </c>
      <c r="G1579" s="2">
        <v>25</v>
      </c>
      <c r="H1579" s="1">
        <v>577.58000000000004</v>
      </c>
      <c r="I1579" t="s">
        <v>2862</v>
      </c>
      <c r="J1579" s="2">
        <v>1</v>
      </c>
      <c r="K1579" t="s">
        <v>13</v>
      </c>
      <c r="L1579" t="s">
        <v>21</v>
      </c>
      <c r="M1579" t="s">
        <v>31</v>
      </c>
    </row>
    <row r="1580" spans="1:13" x14ac:dyDescent="0.25">
      <c r="A1580" s="5">
        <v>44373</v>
      </c>
      <c r="B1580" s="2">
        <v>0</v>
      </c>
      <c r="C1580" t="s">
        <v>2999</v>
      </c>
      <c r="D1580" t="s">
        <v>1680</v>
      </c>
      <c r="E1580" t="s">
        <v>1681</v>
      </c>
      <c r="F1580" s="3">
        <v>44273</v>
      </c>
      <c r="G1580" s="2">
        <v>100</v>
      </c>
      <c r="H1580" s="1">
        <v>266.97000000000003</v>
      </c>
      <c r="I1580" t="s">
        <v>2531</v>
      </c>
      <c r="J1580" s="2">
        <v>1</v>
      </c>
      <c r="K1580" t="s">
        <v>13</v>
      </c>
      <c r="L1580" t="s">
        <v>1682</v>
      </c>
      <c r="M1580" t="s">
        <v>15</v>
      </c>
    </row>
    <row r="1581" spans="1:13" x14ac:dyDescent="0.25">
      <c r="A1581" s="5">
        <v>44373</v>
      </c>
      <c r="B1581" s="2">
        <v>0</v>
      </c>
      <c r="C1581" t="s">
        <v>3001</v>
      </c>
      <c r="D1581" t="s">
        <v>1761</v>
      </c>
      <c r="E1581" t="s">
        <v>1762</v>
      </c>
      <c r="F1581" s="3">
        <v>44263</v>
      </c>
      <c r="G1581" s="2">
        <v>110</v>
      </c>
      <c r="H1581" s="1">
        <v>1596.6</v>
      </c>
      <c r="I1581" t="s">
        <v>2395</v>
      </c>
      <c r="J1581" s="2">
        <v>1</v>
      </c>
      <c r="K1581" t="s">
        <v>13</v>
      </c>
      <c r="L1581" t="s">
        <v>21</v>
      </c>
      <c r="M1581" t="s">
        <v>1165</v>
      </c>
    </row>
    <row r="1582" spans="1:13" x14ac:dyDescent="0.25">
      <c r="A1582" s="5">
        <v>44373</v>
      </c>
      <c r="B1582" s="2">
        <v>0</v>
      </c>
      <c r="C1582" t="s">
        <v>3002</v>
      </c>
      <c r="D1582" t="s">
        <v>1761</v>
      </c>
      <c r="E1582" t="s">
        <v>1762</v>
      </c>
      <c r="F1582" s="3">
        <v>44313</v>
      </c>
      <c r="G1582" s="2">
        <v>60</v>
      </c>
      <c r="H1582" s="1">
        <v>109.95</v>
      </c>
      <c r="I1582" t="s">
        <v>3003</v>
      </c>
      <c r="J1582" s="2">
        <v>1</v>
      </c>
      <c r="K1582" t="s">
        <v>13</v>
      </c>
      <c r="L1582" t="s">
        <v>21</v>
      </c>
      <c r="M1582" t="s">
        <v>1165</v>
      </c>
    </row>
    <row r="1583" spans="1:13" x14ac:dyDescent="0.25">
      <c r="A1583" s="5">
        <v>44373</v>
      </c>
      <c r="B1583" s="2">
        <v>0</v>
      </c>
      <c r="C1583" t="s">
        <v>3006</v>
      </c>
      <c r="D1583" t="s">
        <v>1773</v>
      </c>
      <c r="E1583" t="s">
        <v>1938</v>
      </c>
      <c r="F1583" s="3">
        <v>44298</v>
      </c>
      <c r="G1583" s="2">
        <v>75</v>
      </c>
      <c r="H1583" s="1">
        <v>699.22</v>
      </c>
      <c r="I1583" t="s">
        <v>3007</v>
      </c>
      <c r="J1583" s="2">
        <v>1</v>
      </c>
      <c r="K1583" t="s">
        <v>13</v>
      </c>
      <c r="L1583" t="s">
        <v>21</v>
      </c>
      <c r="M1583" t="s">
        <v>1774</v>
      </c>
    </row>
    <row r="1584" spans="1:13" x14ac:dyDescent="0.25">
      <c r="A1584" s="5">
        <v>44373</v>
      </c>
      <c r="B1584" s="2">
        <v>0</v>
      </c>
      <c r="C1584" t="s">
        <v>3008</v>
      </c>
      <c r="D1584" t="s">
        <v>1757</v>
      </c>
      <c r="E1584" t="s">
        <v>1758</v>
      </c>
      <c r="F1584" s="3">
        <v>44263</v>
      </c>
      <c r="G1584" s="2">
        <v>110</v>
      </c>
      <c r="H1584" s="1">
        <v>1687.84</v>
      </c>
      <c r="I1584" t="s">
        <v>2399</v>
      </c>
      <c r="J1584" s="2">
        <v>1</v>
      </c>
      <c r="K1584" t="s">
        <v>13</v>
      </c>
      <c r="L1584" t="s">
        <v>21</v>
      </c>
      <c r="M1584" t="s">
        <v>1165</v>
      </c>
    </row>
    <row r="1585" spans="1:13" x14ac:dyDescent="0.25">
      <c r="A1585" s="5">
        <v>44373</v>
      </c>
      <c r="B1585" s="2">
        <v>0</v>
      </c>
      <c r="C1585" t="s">
        <v>3009</v>
      </c>
      <c r="D1585" t="s">
        <v>1757</v>
      </c>
      <c r="E1585" t="s">
        <v>1758</v>
      </c>
      <c r="F1585" s="3">
        <v>44273</v>
      </c>
      <c r="G1585" s="2">
        <v>100</v>
      </c>
      <c r="H1585" s="1">
        <v>1053.46</v>
      </c>
      <c r="I1585" t="s">
        <v>2659</v>
      </c>
      <c r="J1585" s="2">
        <v>1</v>
      </c>
      <c r="K1585" t="s">
        <v>13</v>
      </c>
      <c r="L1585" t="s">
        <v>21</v>
      </c>
      <c r="M1585" t="s">
        <v>1165</v>
      </c>
    </row>
    <row r="1586" spans="1:13" x14ac:dyDescent="0.25">
      <c r="A1586" s="5">
        <v>44373</v>
      </c>
      <c r="B1586" s="2">
        <v>0</v>
      </c>
      <c r="C1586" t="s">
        <v>3010</v>
      </c>
      <c r="D1586" t="s">
        <v>1757</v>
      </c>
      <c r="E1586" t="s">
        <v>1758</v>
      </c>
      <c r="F1586" s="3">
        <v>44298</v>
      </c>
      <c r="G1586" s="2">
        <v>75</v>
      </c>
      <c r="H1586" s="1">
        <v>949.46</v>
      </c>
      <c r="I1586" t="s">
        <v>3011</v>
      </c>
      <c r="J1586" s="2">
        <v>1</v>
      </c>
      <c r="K1586" t="s">
        <v>13</v>
      </c>
      <c r="L1586" t="s">
        <v>21</v>
      </c>
      <c r="M1586" t="s">
        <v>1165</v>
      </c>
    </row>
    <row r="1587" spans="1:13" x14ac:dyDescent="0.25">
      <c r="A1587" s="5">
        <v>44373</v>
      </c>
      <c r="B1587" s="2">
        <v>0</v>
      </c>
      <c r="C1587" t="s">
        <v>3013</v>
      </c>
      <c r="D1587" t="s">
        <v>2047</v>
      </c>
      <c r="E1587" t="s">
        <v>2005</v>
      </c>
      <c r="F1587" s="3">
        <v>44313</v>
      </c>
      <c r="G1587" s="2">
        <v>60</v>
      </c>
      <c r="H1587" s="1">
        <v>382.3</v>
      </c>
      <c r="I1587" t="s">
        <v>3014</v>
      </c>
      <c r="J1587" s="2">
        <v>1</v>
      </c>
      <c r="K1587" t="s">
        <v>13</v>
      </c>
      <c r="L1587" t="s">
        <v>1682</v>
      </c>
      <c r="M1587" t="s">
        <v>15</v>
      </c>
    </row>
    <row r="1588" spans="1:13" x14ac:dyDescent="0.25">
      <c r="A1588" s="5">
        <v>44374</v>
      </c>
      <c r="B1588" s="2">
        <v>0</v>
      </c>
      <c r="C1588" t="s">
        <v>3016</v>
      </c>
      <c r="D1588" t="s">
        <v>1761</v>
      </c>
      <c r="E1588" t="s">
        <v>1762</v>
      </c>
      <c r="F1588" s="3">
        <v>44284</v>
      </c>
      <c r="G1588" s="2">
        <v>90</v>
      </c>
      <c r="H1588" s="1">
        <v>1345.6</v>
      </c>
      <c r="I1588" t="s">
        <v>2876</v>
      </c>
      <c r="J1588" s="2">
        <v>1</v>
      </c>
      <c r="K1588" t="s">
        <v>13</v>
      </c>
      <c r="L1588" t="s">
        <v>21</v>
      </c>
      <c r="M1588" t="s">
        <v>1165</v>
      </c>
    </row>
    <row r="1589" spans="1:13" x14ac:dyDescent="0.25">
      <c r="A1589" s="5">
        <v>44374</v>
      </c>
      <c r="B1589" s="2">
        <v>0</v>
      </c>
      <c r="C1589" t="s">
        <v>3021</v>
      </c>
      <c r="D1589" t="s">
        <v>1900</v>
      </c>
      <c r="E1589" t="s">
        <v>1901</v>
      </c>
      <c r="F1589" s="3">
        <v>44314</v>
      </c>
      <c r="G1589" s="2">
        <v>60</v>
      </c>
      <c r="H1589" s="1">
        <v>730.94</v>
      </c>
      <c r="I1589" t="s">
        <v>3022</v>
      </c>
      <c r="J1589" s="2">
        <v>1</v>
      </c>
      <c r="K1589" t="s">
        <v>1543</v>
      </c>
      <c r="L1589" t="s">
        <v>695</v>
      </c>
      <c r="M1589" t="s">
        <v>15</v>
      </c>
    </row>
    <row r="1590" spans="1:13" x14ac:dyDescent="0.25">
      <c r="A1590" s="5">
        <v>44374</v>
      </c>
      <c r="B1590" s="2">
        <v>0</v>
      </c>
      <c r="C1590" t="s">
        <v>3023</v>
      </c>
      <c r="D1590" t="s">
        <v>1773</v>
      </c>
      <c r="E1590" t="s">
        <v>1938</v>
      </c>
      <c r="F1590" s="3">
        <v>44294</v>
      </c>
      <c r="G1590" s="2">
        <v>80</v>
      </c>
      <c r="H1590" s="1">
        <v>1338.68</v>
      </c>
      <c r="I1590" t="s">
        <v>2881</v>
      </c>
      <c r="J1590" s="2">
        <v>1</v>
      </c>
      <c r="K1590" t="s">
        <v>13</v>
      </c>
      <c r="L1590" t="s">
        <v>21</v>
      </c>
      <c r="M1590" t="s">
        <v>1774</v>
      </c>
    </row>
    <row r="1591" spans="1:13" x14ac:dyDescent="0.25">
      <c r="A1591" s="5">
        <v>44374</v>
      </c>
      <c r="B1591" s="2">
        <v>0</v>
      </c>
      <c r="C1591" t="s">
        <v>3024</v>
      </c>
      <c r="D1591" t="s">
        <v>1773</v>
      </c>
      <c r="E1591" t="s">
        <v>1938</v>
      </c>
      <c r="F1591" s="3">
        <v>44329</v>
      </c>
      <c r="G1591" s="2">
        <v>45</v>
      </c>
      <c r="H1591" s="1">
        <v>374.26</v>
      </c>
      <c r="I1591" t="s">
        <v>3025</v>
      </c>
      <c r="J1591" s="2">
        <v>1</v>
      </c>
      <c r="K1591" t="s">
        <v>13</v>
      </c>
      <c r="L1591" t="s">
        <v>21</v>
      </c>
      <c r="M1591" t="s">
        <v>1774</v>
      </c>
    </row>
    <row r="1592" spans="1:13" x14ac:dyDescent="0.25">
      <c r="A1592" s="5">
        <v>44374</v>
      </c>
      <c r="B1592" s="2">
        <v>0</v>
      </c>
      <c r="C1592" t="s">
        <v>3026</v>
      </c>
      <c r="D1592" t="s">
        <v>1757</v>
      </c>
      <c r="E1592" t="s">
        <v>1758</v>
      </c>
      <c r="F1592" s="3">
        <v>44244</v>
      </c>
      <c r="G1592" s="2">
        <v>130</v>
      </c>
      <c r="H1592" s="1">
        <v>998.07</v>
      </c>
      <c r="I1592" t="s">
        <v>2323</v>
      </c>
      <c r="J1592" s="2">
        <v>1</v>
      </c>
      <c r="K1592" t="s">
        <v>13</v>
      </c>
      <c r="L1592" t="s">
        <v>21</v>
      </c>
      <c r="M1592" t="s">
        <v>1165</v>
      </c>
    </row>
    <row r="1593" spans="1:13" x14ac:dyDescent="0.25">
      <c r="A1593" s="5">
        <v>44374</v>
      </c>
      <c r="B1593" s="2">
        <v>0</v>
      </c>
      <c r="C1593" t="s">
        <v>3027</v>
      </c>
      <c r="D1593" t="s">
        <v>1757</v>
      </c>
      <c r="E1593" t="s">
        <v>1758</v>
      </c>
      <c r="F1593" s="3">
        <v>44284</v>
      </c>
      <c r="G1593" s="2">
        <v>90</v>
      </c>
      <c r="H1593" s="1">
        <v>1154.6199999999999</v>
      </c>
      <c r="I1593" t="s">
        <v>2885</v>
      </c>
      <c r="J1593" s="2">
        <v>1</v>
      </c>
      <c r="K1593" t="s">
        <v>13</v>
      </c>
      <c r="L1593" t="s">
        <v>21</v>
      </c>
      <c r="M1593" t="s">
        <v>1165</v>
      </c>
    </row>
    <row r="1594" spans="1:13" x14ac:dyDescent="0.25">
      <c r="A1594" s="5">
        <v>44374</v>
      </c>
      <c r="B1594" s="2">
        <v>0</v>
      </c>
      <c r="C1594" t="s">
        <v>3028</v>
      </c>
      <c r="D1594" t="s">
        <v>2228</v>
      </c>
      <c r="E1594" t="s">
        <v>2229</v>
      </c>
      <c r="F1594" s="3">
        <v>44314</v>
      </c>
      <c r="G1594" s="2">
        <v>60</v>
      </c>
      <c r="H1594" s="1">
        <v>375.27</v>
      </c>
      <c r="I1594" t="s">
        <v>2888</v>
      </c>
      <c r="J1594" s="2">
        <v>1</v>
      </c>
      <c r="K1594" t="s">
        <v>13</v>
      </c>
      <c r="L1594" t="s">
        <v>21</v>
      </c>
      <c r="M1594" t="s">
        <v>308</v>
      </c>
    </row>
    <row r="1595" spans="1:13" x14ac:dyDescent="0.25">
      <c r="A1595" s="5">
        <v>44374</v>
      </c>
      <c r="B1595" s="2">
        <v>0</v>
      </c>
      <c r="C1595" t="s">
        <v>3029</v>
      </c>
      <c r="D1595" t="s">
        <v>2047</v>
      </c>
      <c r="E1595" t="s">
        <v>2005</v>
      </c>
      <c r="F1595" s="3">
        <v>44319</v>
      </c>
      <c r="G1595" s="2">
        <v>55</v>
      </c>
      <c r="H1595" s="1">
        <v>333.17</v>
      </c>
      <c r="I1595" t="s">
        <v>2744</v>
      </c>
      <c r="J1595" s="2">
        <v>1</v>
      </c>
      <c r="K1595" t="s">
        <v>13</v>
      </c>
      <c r="L1595" t="s">
        <v>1682</v>
      </c>
      <c r="M1595" t="s">
        <v>15</v>
      </c>
    </row>
    <row r="1596" spans="1:13" x14ac:dyDescent="0.25">
      <c r="A1596" s="5">
        <v>44375</v>
      </c>
      <c r="B1596" s="2">
        <v>0</v>
      </c>
      <c r="C1596" t="s">
        <v>3030</v>
      </c>
      <c r="D1596" t="s">
        <v>3031</v>
      </c>
      <c r="E1596" t="s">
        <v>3032</v>
      </c>
      <c r="F1596" s="3">
        <v>44330</v>
      </c>
      <c r="G1596" s="2">
        <v>45</v>
      </c>
      <c r="H1596" s="1">
        <v>616.04999999999995</v>
      </c>
      <c r="I1596" t="s">
        <v>3033</v>
      </c>
      <c r="J1596" s="2">
        <v>1</v>
      </c>
      <c r="K1596" t="s">
        <v>13</v>
      </c>
      <c r="L1596" t="s">
        <v>21</v>
      </c>
      <c r="M1596" t="s">
        <v>33</v>
      </c>
    </row>
    <row r="1597" spans="1:13" x14ac:dyDescent="0.25">
      <c r="A1597" s="5">
        <v>44375</v>
      </c>
      <c r="B1597" s="2">
        <v>0</v>
      </c>
      <c r="C1597" t="s">
        <v>3035</v>
      </c>
      <c r="D1597" t="s">
        <v>1761</v>
      </c>
      <c r="E1597" t="s">
        <v>1762</v>
      </c>
      <c r="F1597" s="3">
        <v>44295</v>
      </c>
      <c r="G1597" s="2">
        <v>80</v>
      </c>
      <c r="H1597" s="1">
        <v>510.61</v>
      </c>
      <c r="I1597" t="s">
        <v>3036</v>
      </c>
      <c r="J1597" s="2">
        <v>1</v>
      </c>
      <c r="K1597" t="s">
        <v>13</v>
      </c>
      <c r="L1597" t="s">
        <v>21</v>
      </c>
      <c r="M1597" t="s">
        <v>1165</v>
      </c>
    </row>
    <row r="1598" spans="1:13" x14ac:dyDescent="0.25">
      <c r="A1598" s="5">
        <v>44375</v>
      </c>
      <c r="B1598" s="2">
        <v>0</v>
      </c>
      <c r="C1598" t="s">
        <v>3037</v>
      </c>
      <c r="D1598" t="s">
        <v>1983</v>
      </c>
      <c r="E1598" t="s">
        <v>1984</v>
      </c>
      <c r="F1598" s="3">
        <v>44295</v>
      </c>
      <c r="G1598" s="2">
        <v>80</v>
      </c>
      <c r="H1598" s="1">
        <v>1073.96</v>
      </c>
      <c r="I1598" t="s">
        <v>2893</v>
      </c>
      <c r="J1598" s="2">
        <v>1</v>
      </c>
      <c r="K1598" t="s">
        <v>13</v>
      </c>
      <c r="L1598" t="s">
        <v>21</v>
      </c>
      <c r="M1598" t="s">
        <v>1566</v>
      </c>
    </row>
    <row r="1599" spans="1:13" x14ac:dyDescent="0.25">
      <c r="A1599" s="5">
        <v>44375</v>
      </c>
      <c r="B1599" s="2">
        <v>0</v>
      </c>
      <c r="C1599" t="s">
        <v>3038</v>
      </c>
      <c r="D1599" t="s">
        <v>1773</v>
      </c>
      <c r="E1599" t="s">
        <v>1938</v>
      </c>
      <c r="F1599" s="3">
        <v>44265</v>
      </c>
      <c r="G1599" s="2">
        <v>110</v>
      </c>
      <c r="H1599" s="1">
        <v>997.03</v>
      </c>
      <c r="I1599" t="s">
        <v>2419</v>
      </c>
      <c r="J1599" s="2">
        <v>1</v>
      </c>
      <c r="K1599" t="s">
        <v>13</v>
      </c>
      <c r="L1599" t="s">
        <v>21</v>
      </c>
      <c r="M1599" t="s">
        <v>1774</v>
      </c>
    </row>
    <row r="1600" spans="1:13" x14ac:dyDescent="0.25">
      <c r="A1600" s="5">
        <v>44375</v>
      </c>
      <c r="B1600" s="2">
        <v>0</v>
      </c>
      <c r="C1600" t="s">
        <v>3039</v>
      </c>
      <c r="D1600" t="s">
        <v>1773</v>
      </c>
      <c r="E1600" t="s">
        <v>1938</v>
      </c>
      <c r="F1600" s="3">
        <v>44285</v>
      </c>
      <c r="G1600" s="2">
        <v>90</v>
      </c>
      <c r="H1600" s="1">
        <v>1437.58</v>
      </c>
      <c r="I1600" t="s">
        <v>2898</v>
      </c>
      <c r="J1600" s="2">
        <v>1</v>
      </c>
      <c r="K1600" t="s">
        <v>13</v>
      </c>
      <c r="L1600" t="s">
        <v>21</v>
      </c>
      <c r="M1600" t="s">
        <v>1774</v>
      </c>
    </row>
    <row r="1601" spans="1:13" x14ac:dyDescent="0.25">
      <c r="A1601" s="5">
        <v>44375</v>
      </c>
      <c r="B1601" s="2">
        <v>0</v>
      </c>
      <c r="C1601" t="s">
        <v>3040</v>
      </c>
      <c r="D1601" t="s">
        <v>1757</v>
      </c>
      <c r="E1601" t="s">
        <v>1758</v>
      </c>
      <c r="F1601" s="3">
        <v>44295</v>
      </c>
      <c r="G1601" s="2">
        <v>80</v>
      </c>
      <c r="H1601" s="1">
        <v>541.08000000000004</v>
      </c>
      <c r="I1601" t="s">
        <v>3041</v>
      </c>
      <c r="J1601" s="2">
        <v>1</v>
      </c>
      <c r="K1601" t="s">
        <v>13</v>
      </c>
      <c r="L1601" t="s">
        <v>21</v>
      </c>
      <c r="M1601" t="s">
        <v>1165</v>
      </c>
    </row>
    <row r="1602" spans="1:13" x14ac:dyDescent="0.25">
      <c r="A1602" s="5">
        <v>44375</v>
      </c>
      <c r="B1602" s="2">
        <v>0</v>
      </c>
      <c r="C1602" t="s">
        <v>3042</v>
      </c>
      <c r="D1602" t="s">
        <v>1757</v>
      </c>
      <c r="E1602" t="s">
        <v>1758</v>
      </c>
      <c r="F1602" s="3">
        <v>44305</v>
      </c>
      <c r="G1602" s="2">
        <v>70</v>
      </c>
      <c r="H1602" s="1">
        <v>1068.5899999999999</v>
      </c>
      <c r="I1602" t="s">
        <v>2901</v>
      </c>
      <c r="J1602" s="2">
        <v>1</v>
      </c>
      <c r="K1602" t="s">
        <v>13</v>
      </c>
      <c r="L1602" t="s">
        <v>21</v>
      </c>
      <c r="M1602" t="s">
        <v>1165</v>
      </c>
    </row>
    <row r="1603" spans="1:13" x14ac:dyDescent="0.25">
      <c r="A1603" s="5">
        <v>44375</v>
      </c>
      <c r="B1603" s="2">
        <v>0</v>
      </c>
      <c r="C1603" t="s">
        <v>3043</v>
      </c>
      <c r="D1603" t="s">
        <v>1748</v>
      </c>
      <c r="E1603" t="s">
        <v>1840</v>
      </c>
      <c r="F1603" s="3">
        <v>44340</v>
      </c>
      <c r="G1603" s="2">
        <v>35</v>
      </c>
      <c r="H1603" s="1">
        <v>270.27</v>
      </c>
      <c r="I1603" t="s">
        <v>3044</v>
      </c>
      <c r="J1603" s="2">
        <v>1</v>
      </c>
      <c r="K1603" t="s">
        <v>13</v>
      </c>
      <c r="L1603" t="s">
        <v>1682</v>
      </c>
      <c r="M1603" t="s">
        <v>15</v>
      </c>
    </row>
    <row r="1604" spans="1:13" x14ac:dyDescent="0.25">
      <c r="A1604" s="5">
        <v>44375</v>
      </c>
      <c r="B1604" s="2">
        <v>0</v>
      </c>
      <c r="C1604" t="s">
        <v>3045</v>
      </c>
      <c r="D1604" t="s">
        <v>1998</v>
      </c>
      <c r="E1604" t="s">
        <v>1999</v>
      </c>
      <c r="F1604" s="3">
        <v>44335</v>
      </c>
      <c r="G1604" s="2">
        <v>40</v>
      </c>
      <c r="H1604" s="1">
        <v>912.08</v>
      </c>
      <c r="I1604" t="s">
        <v>2750</v>
      </c>
      <c r="J1604" s="2">
        <v>1</v>
      </c>
      <c r="K1604" t="s">
        <v>13</v>
      </c>
      <c r="L1604" t="s">
        <v>695</v>
      </c>
      <c r="M1604" t="s">
        <v>15</v>
      </c>
    </row>
    <row r="1605" spans="1:13" x14ac:dyDescent="0.25">
      <c r="A1605" s="5">
        <v>44375</v>
      </c>
      <c r="B1605" s="2">
        <v>0</v>
      </c>
      <c r="C1605" t="s">
        <v>3046</v>
      </c>
      <c r="D1605" t="s">
        <v>2047</v>
      </c>
      <c r="E1605" t="s">
        <v>2005</v>
      </c>
      <c r="F1605" s="3">
        <v>44305</v>
      </c>
      <c r="G1605" s="2">
        <v>70</v>
      </c>
      <c r="H1605" s="1">
        <v>350.77</v>
      </c>
      <c r="I1605" t="s">
        <v>2753</v>
      </c>
      <c r="J1605" s="2">
        <v>1</v>
      </c>
      <c r="K1605" t="s">
        <v>13</v>
      </c>
      <c r="L1605" t="s">
        <v>1682</v>
      </c>
      <c r="M1605" t="s">
        <v>15</v>
      </c>
    </row>
    <row r="1606" spans="1:13" x14ac:dyDescent="0.25">
      <c r="A1606" s="5">
        <v>44376</v>
      </c>
      <c r="B1606" s="2">
        <v>0</v>
      </c>
      <c r="C1606" t="s">
        <v>3047</v>
      </c>
      <c r="D1606" t="s">
        <v>2350</v>
      </c>
      <c r="E1606" t="s">
        <v>2351</v>
      </c>
      <c r="F1606" s="3">
        <v>44306</v>
      </c>
      <c r="G1606" s="2">
        <v>70</v>
      </c>
      <c r="H1606" s="1">
        <v>285.88</v>
      </c>
      <c r="I1606" t="s">
        <v>2755</v>
      </c>
      <c r="J1606" s="2">
        <v>1</v>
      </c>
      <c r="K1606" t="s">
        <v>13</v>
      </c>
      <c r="L1606" t="s">
        <v>695</v>
      </c>
      <c r="M1606" t="s">
        <v>15</v>
      </c>
    </row>
    <row r="1607" spans="1:13" x14ac:dyDescent="0.25">
      <c r="A1607" s="5">
        <v>44376</v>
      </c>
      <c r="B1607" s="2">
        <v>0</v>
      </c>
      <c r="C1607" t="s">
        <v>3048</v>
      </c>
      <c r="D1607" t="s">
        <v>2297</v>
      </c>
      <c r="E1607" t="s">
        <v>2298</v>
      </c>
      <c r="F1607" s="3">
        <v>44286</v>
      </c>
      <c r="G1607" s="2">
        <v>90</v>
      </c>
      <c r="H1607" s="1">
        <v>372.46</v>
      </c>
      <c r="I1607" t="s">
        <v>2299</v>
      </c>
      <c r="J1607" s="2">
        <v>1</v>
      </c>
      <c r="K1607" t="s">
        <v>13</v>
      </c>
      <c r="L1607" t="s">
        <v>21</v>
      </c>
      <c r="M1607" t="s">
        <v>31</v>
      </c>
    </row>
    <row r="1608" spans="1:13" x14ac:dyDescent="0.25">
      <c r="A1608" s="5">
        <v>44376</v>
      </c>
      <c r="B1608" s="2">
        <v>0</v>
      </c>
      <c r="C1608" t="s">
        <v>3049</v>
      </c>
      <c r="D1608" t="s">
        <v>2297</v>
      </c>
      <c r="E1608" t="s">
        <v>2298</v>
      </c>
      <c r="F1608" s="3">
        <v>44321</v>
      </c>
      <c r="G1608" s="2">
        <v>55</v>
      </c>
      <c r="H1608" s="1">
        <v>733.37</v>
      </c>
      <c r="I1608" t="s">
        <v>2907</v>
      </c>
      <c r="J1608" s="2">
        <v>1</v>
      </c>
      <c r="K1608" t="s">
        <v>13</v>
      </c>
      <c r="L1608" t="s">
        <v>21</v>
      </c>
      <c r="M1608" t="s">
        <v>31</v>
      </c>
    </row>
    <row r="1609" spans="1:13" x14ac:dyDescent="0.25">
      <c r="A1609" s="5">
        <v>44376</v>
      </c>
      <c r="B1609" s="2">
        <v>0</v>
      </c>
      <c r="C1609" t="s">
        <v>3050</v>
      </c>
      <c r="D1609" t="s">
        <v>3031</v>
      </c>
      <c r="E1609" t="s">
        <v>3032</v>
      </c>
      <c r="F1609" s="3">
        <v>44306</v>
      </c>
      <c r="G1609" s="2">
        <v>70</v>
      </c>
      <c r="H1609" s="1">
        <v>456.83</v>
      </c>
      <c r="I1609" t="s">
        <v>3051</v>
      </c>
      <c r="J1609" s="2">
        <v>1</v>
      </c>
      <c r="K1609" t="s">
        <v>13</v>
      </c>
      <c r="L1609" t="s">
        <v>21</v>
      </c>
      <c r="M1609" t="s">
        <v>33</v>
      </c>
    </row>
    <row r="1610" spans="1:13" x14ac:dyDescent="0.25">
      <c r="A1610" s="5">
        <v>44376</v>
      </c>
      <c r="B1610" s="2">
        <v>0</v>
      </c>
      <c r="C1610" t="s">
        <v>3052</v>
      </c>
      <c r="D1610" t="s">
        <v>1761</v>
      </c>
      <c r="E1610" t="s">
        <v>1762</v>
      </c>
      <c r="F1610" s="3">
        <v>44286</v>
      </c>
      <c r="G1610" s="2">
        <v>90</v>
      </c>
      <c r="H1610" s="1">
        <v>794</v>
      </c>
      <c r="I1610" t="s">
        <v>2909</v>
      </c>
      <c r="J1610" s="2">
        <v>1</v>
      </c>
      <c r="K1610" t="s">
        <v>13</v>
      </c>
      <c r="L1610" t="s">
        <v>21</v>
      </c>
      <c r="M1610" t="s">
        <v>1165</v>
      </c>
    </row>
    <row r="1611" spans="1:13" x14ac:dyDescent="0.25">
      <c r="A1611" s="5">
        <v>44376</v>
      </c>
      <c r="B1611" s="2">
        <v>0</v>
      </c>
      <c r="C1611" t="s">
        <v>3053</v>
      </c>
      <c r="D1611" t="s">
        <v>1761</v>
      </c>
      <c r="E1611" t="s">
        <v>1762</v>
      </c>
      <c r="F1611" s="3">
        <v>44306</v>
      </c>
      <c r="G1611" s="2">
        <v>70</v>
      </c>
      <c r="H1611" s="1">
        <v>725.03</v>
      </c>
      <c r="I1611" t="s">
        <v>3054</v>
      </c>
      <c r="J1611" s="2">
        <v>1</v>
      </c>
      <c r="K1611" t="s">
        <v>13</v>
      </c>
      <c r="L1611" t="s">
        <v>21</v>
      </c>
      <c r="M1611" t="s">
        <v>1165</v>
      </c>
    </row>
    <row r="1612" spans="1:13" x14ac:dyDescent="0.25">
      <c r="A1612" s="5">
        <v>44376</v>
      </c>
      <c r="B1612" s="2">
        <v>0</v>
      </c>
      <c r="C1612" t="s">
        <v>3055</v>
      </c>
      <c r="D1612" t="s">
        <v>1761</v>
      </c>
      <c r="E1612" t="s">
        <v>1762</v>
      </c>
      <c r="F1612" s="3">
        <v>44306</v>
      </c>
      <c r="G1612" s="2">
        <v>70</v>
      </c>
      <c r="H1612" s="1">
        <v>2477.5300000000002</v>
      </c>
      <c r="I1612" t="s">
        <v>3056</v>
      </c>
      <c r="J1612" s="2">
        <v>1</v>
      </c>
      <c r="K1612" t="s">
        <v>13</v>
      </c>
      <c r="L1612" t="s">
        <v>21</v>
      </c>
      <c r="M1612" t="s">
        <v>1165</v>
      </c>
    </row>
    <row r="1613" spans="1:13" x14ac:dyDescent="0.25">
      <c r="A1613" s="5">
        <v>44376</v>
      </c>
      <c r="B1613" s="2">
        <v>0</v>
      </c>
      <c r="C1613" t="s">
        <v>3057</v>
      </c>
      <c r="D1613" t="s">
        <v>1983</v>
      </c>
      <c r="E1613" t="s">
        <v>1984</v>
      </c>
      <c r="F1613" s="3">
        <v>44286</v>
      </c>
      <c r="G1613" s="2">
        <v>90</v>
      </c>
      <c r="H1613" s="1">
        <v>602.16</v>
      </c>
      <c r="I1613" t="s">
        <v>2911</v>
      </c>
      <c r="J1613" s="2">
        <v>1</v>
      </c>
      <c r="K1613" t="s">
        <v>13</v>
      </c>
      <c r="L1613" t="s">
        <v>21</v>
      </c>
      <c r="M1613" t="s">
        <v>1566</v>
      </c>
    </row>
    <row r="1614" spans="1:13" x14ac:dyDescent="0.25">
      <c r="A1614" s="5">
        <v>44376</v>
      </c>
      <c r="B1614" s="2">
        <v>0</v>
      </c>
      <c r="C1614" t="s">
        <v>3058</v>
      </c>
      <c r="D1614" t="s">
        <v>1983</v>
      </c>
      <c r="E1614" t="s">
        <v>1984</v>
      </c>
      <c r="F1614" s="3">
        <v>44326</v>
      </c>
      <c r="G1614" s="2">
        <v>50</v>
      </c>
      <c r="H1614" s="1">
        <v>397.64</v>
      </c>
      <c r="I1614" t="s">
        <v>2913</v>
      </c>
      <c r="J1614" s="2">
        <v>1</v>
      </c>
      <c r="K1614" t="s">
        <v>13</v>
      </c>
      <c r="L1614" t="s">
        <v>21</v>
      </c>
      <c r="M1614" t="s">
        <v>1566</v>
      </c>
    </row>
    <row r="1615" spans="1:13" x14ac:dyDescent="0.25">
      <c r="A1615" s="5">
        <v>44376</v>
      </c>
      <c r="B1615" s="2">
        <v>0</v>
      </c>
      <c r="C1615" t="s">
        <v>3059</v>
      </c>
      <c r="D1615" t="s">
        <v>1900</v>
      </c>
      <c r="E1615" t="s">
        <v>1901</v>
      </c>
      <c r="F1615" s="3">
        <v>44316</v>
      </c>
      <c r="G1615" s="2">
        <v>60</v>
      </c>
      <c r="H1615" s="1">
        <v>430.81</v>
      </c>
      <c r="I1615" t="s">
        <v>3060</v>
      </c>
      <c r="J1615" s="2">
        <v>1</v>
      </c>
      <c r="K1615" t="s">
        <v>1543</v>
      </c>
      <c r="L1615" t="s">
        <v>695</v>
      </c>
      <c r="M1615" t="s">
        <v>15</v>
      </c>
    </row>
    <row r="1616" spans="1:13" x14ac:dyDescent="0.25">
      <c r="A1616" s="5">
        <v>44376</v>
      </c>
      <c r="B1616" s="2">
        <v>0</v>
      </c>
      <c r="C1616" t="s">
        <v>3061</v>
      </c>
      <c r="D1616" t="s">
        <v>1773</v>
      </c>
      <c r="E1616" t="s">
        <v>1938</v>
      </c>
      <c r="F1616" s="3">
        <v>44286</v>
      </c>
      <c r="G1616" s="2">
        <v>90</v>
      </c>
      <c r="H1616" s="1">
        <v>602.16</v>
      </c>
      <c r="I1616" t="s">
        <v>2916</v>
      </c>
      <c r="J1616" s="2">
        <v>1</v>
      </c>
      <c r="K1616" t="s">
        <v>13</v>
      </c>
      <c r="L1616" t="s">
        <v>21</v>
      </c>
      <c r="M1616" t="s">
        <v>1774</v>
      </c>
    </row>
    <row r="1617" spans="1:13" x14ac:dyDescent="0.25">
      <c r="A1617" s="5">
        <v>44376</v>
      </c>
      <c r="B1617" s="2">
        <v>0</v>
      </c>
      <c r="C1617" t="s">
        <v>3062</v>
      </c>
      <c r="D1617" t="s">
        <v>1757</v>
      </c>
      <c r="E1617" t="s">
        <v>1758</v>
      </c>
      <c r="F1617" s="3">
        <v>44286</v>
      </c>
      <c r="G1617" s="2">
        <v>90</v>
      </c>
      <c r="H1617" s="1">
        <v>602.16</v>
      </c>
      <c r="I1617" t="s">
        <v>2918</v>
      </c>
      <c r="J1617" s="2">
        <v>1</v>
      </c>
      <c r="K1617" t="s">
        <v>13</v>
      </c>
      <c r="L1617" t="s">
        <v>21</v>
      </c>
      <c r="M1617" t="s">
        <v>1165</v>
      </c>
    </row>
    <row r="1618" spans="1:13" x14ac:dyDescent="0.25">
      <c r="A1618" s="5">
        <v>44376</v>
      </c>
      <c r="B1618" s="2">
        <v>0</v>
      </c>
      <c r="C1618" t="s">
        <v>3066</v>
      </c>
      <c r="D1618" t="s">
        <v>2047</v>
      </c>
      <c r="E1618" t="s">
        <v>2005</v>
      </c>
      <c r="F1618" s="3">
        <v>44326</v>
      </c>
      <c r="G1618" s="2">
        <v>50</v>
      </c>
      <c r="H1618" s="1">
        <v>284.95</v>
      </c>
      <c r="I1618" t="s">
        <v>3067</v>
      </c>
      <c r="J1618" s="2">
        <v>1</v>
      </c>
      <c r="K1618" t="s">
        <v>13</v>
      </c>
      <c r="L1618" t="s">
        <v>1682</v>
      </c>
      <c r="M1618" t="s">
        <v>15</v>
      </c>
    </row>
    <row r="1619" spans="1:13" x14ac:dyDescent="0.25">
      <c r="A1619" s="5">
        <v>44377</v>
      </c>
      <c r="B1619" s="2">
        <v>0</v>
      </c>
      <c r="C1619" t="s">
        <v>3068</v>
      </c>
      <c r="D1619" t="s">
        <v>2350</v>
      </c>
      <c r="E1619" t="s">
        <v>2351</v>
      </c>
      <c r="F1619" s="3">
        <v>44327</v>
      </c>
      <c r="G1619" s="2">
        <v>50</v>
      </c>
      <c r="H1619" s="1">
        <v>495.99</v>
      </c>
      <c r="I1619" t="s">
        <v>3069</v>
      </c>
      <c r="J1619" s="2">
        <v>1</v>
      </c>
      <c r="K1619" t="s">
        <v>13</v>
      </c>
      <c r="L1619" t="s">
        <v>695</v>
      </c>
      <c r="M1619" t="s">
        <v>15</v>
      </c>
    </row>
    <row r="1620" spans="1:13" x14ac:dyDescent="0.25">
      <c r="A1620" s="5">
        <v>44377</v>
      </c>
      <c r="B1620" s="2">
        <v>0</v>
      </c>
      <c r="C1620" t="s">
        <v>3070</v>
      </c>
      <c r="D1620" t="s">
        <v>2350</v>
      </c>
      <c r="E1620" t="s">
        <v>2351</v>
      </c>
      <c r="F1620" s="3">
        <v>44327</v>
      </c>
      <c r="G1620" s="2">
        <v>50</v>
      </c>
      <c r="H1620" s="1">
        <v>519.79</v>
      </c>
      <c r="I1620" t="s">
        <v>3071</v>
      </c>
      <c r="J1620" s="2">
        <v>1</v>
      </c>
      <c r="K1620" t="s">
        <v>13</v>
      </c>
      <c r="L1620" t="s">
        <v>695</v>
      </c>
      <c r="M1620" t="s">
        <v>15</v>
      </c>
    </row>
    <row r="1621" spans="1:13" x14ac:dyDescent="0.25">
      <c r="A1621" s="5">
        <v>44377</v>
      </c>
      <c r="B1621" s="2">
        <v>0</v>
      </c>
      <c r="C1621" t="s">
        <v>3073</v>
      </c>
      <c r="D1621" t="s">
        <v>1761</v>
      </c>
      <c r="E1621" t="s">
        <v>1762</v>
      </c>
      <c r="F1621" s="3">
        <v>44257</v>
      </c>
      <c r="G1621" s="2">
        <v>120</v>
      </c>
      <c r="H1621" s="1">
        <v>1486.33</v>
      </c>
      <c r="I1621" t="s">
        <v>2451</v>
      </c>
      <c r="J1621" s="2">
        <v>1</v>
      </c>
      <c r="K1621" t="s">
        <v>13</v>
      </c>
      <c r="L1621" t="s">
        <v>21</v>
      </c>
      <c r="M1621" t="s">
        <v>1165</v>
      </c>
    </row>
    <row r="1622" spans="1:13" x14ac:dyDescent="0.25">
      <c r="A1622" s="5">
        <v>44377</v>
      </c>
      <c r="B1622" s="2">
        <v>0</v>
      </c>
      <c r="C1622" t="s">
        <v>3074</v>
      </c>
      <c r="D1622" t="s">
        <v>1761</v>
      </c>
      <c r="E1622" t="s">
        <v>1762</v>
      </c>
      <c r="F1622" s="3">
        <v>44277</v>
      </c>
      <c r="G1622" s="2">
        <v>100</v>
      </c>
      <c r="H1622" s="1">
        <v>1225.3699999999999</v>
      </c>
      <c r="I1622" t="s">
        <v>2701</v>
      </c>
      <c r="J1622" s="2">
        <v>1</v>
      </c>
      <c r="K1622" t="s">
        <v>13</v>
      </c>
      <c r="L1622" t="s">
        <v>21</v>
      </c>
      <c r="M1622" t="s">
        <v>1165</v>
      </c>
    </row>
    <row r="1623" spans="1:13" x14ac:dyDescent="0.25">
      <c r="A1623" s="5">
        <v>44377</v>
      </c>
      <c r="B1623" s="2">
        <v>0</v>
      </c>
      <c r="C1623" t="s">
        <v>3075</v>
      </c>
      <c r="D1623" t="s">
        <v>1761</v>
      </c>
      <c r="E1623" t="s">
        <v>1762</v>
      </c>
      <c r="F1623" s="3">
        <v>44327</v>
      </c>
      <c r="G1623" s="2">
        <v>50</v>
      </c>
      <c r="H1623" s="1">
        <v>281.32</v>
      </c>
      <c r="I1623" t="s">
        <v>2928</v>
      </c>
      <c r="J1623" s="2">
        <v>1</v>
      </c>
      <c r="K1623" t="s">
        <v>13</v>
      </c>
      <c r="L1623" t="s">
        <v>21</v>
      </c>
      <c r="M1623" t="s">
        <v>1165</v>
      </c>
    </row>
    <row r="1624" spans="1:13" x14ac:dyDescent="0.25">
      <c r="A1624" s="5">
        <v>44377</v>
      </c>
      <c r="B1624" s="2">
        <v>0</v>
      </c>
      <c r="C1624" t="s">
        <v>3077</v>
      </c>
      <c r="D1624" t="s">
        <v>1890</v>
      </c>
      <c r="E1624" t="s">
        <v>1891</v>
      </c>
      <c r="F1624" s="3">
        <v>44312</v>
      </c>
      <c r="G1624" s="2">
        <v>65</v>
      </c>
      <c r="H1624" s="1">
        <v>2033.04</v>
      </c>
      <c r="I1624" t="s">
        <v>3078</v>
      </c>
      <c r="J1624" s="2">
        <v>1</v>
      </c>
      <c r="K1624" t="s">
        <v>1543</v>
      </c>
      <c r="L1624" t="s">
        <v>695</v>
      </c>
      <c r="M1624" t="s">
        <v>15</v>
      </c>
    </row>
    <row r="1625" spans="1:13" x14ac:dyDescent="0.25">
      <c r="A1625" s="5">
        <v>44377</v>
      </c>
      <c r="B1625" s="2">
        <v>0</v>
      </c>
      <c r="C1625" t="s">
        <v>3079</v>
      </c>
      <c r="D1625" t="s">
        <v>1892</v>
      </c>
      <c r="E1625" t="s">
        <v>1893</v>
      </c>
      <c r="F1625" s="3">
        <v>44327</v>
      </c>
      <c r="G1625" s="2">
        <v>50</v>
      </c>
      <c r="H1625" s="1">
        <v>1271.56</v>
      </c>
      <c r="I1625" t="s">
        <v>3080</v>
      </c>
      <c r="J1625" s="2">
        <v>1</v>
      </c>
      <c r="K1625" t="s">
        <v>1543</v>
      </c>
      <c r="L1625" t="s">
        <v>695</v>
      </c>
      <c r="M1625" t="s">
        <v>31</v>
      </c>
    </row>
    <row r="1626" spans="1:13" x14ac:dyDescent="0.25">
      <c r="A1626" s="5">
        <v>44377</v>
      </c>
      <c r="B1626" s="2">
        <v>0</v>
      </c>
      <c r="C1626" t="s">
        <v>3081</v>
      </c>
      <c r="D1626" t="s">
        <v>1757</v>
      </c>
      <c r="E1626" t="s">
        <v>1758</v>
      </c>
      <c r="F1626" s="3">
        <v>44292</v>
      </c>
      <c r="G1626" s="2">
        <v>85</v>
      </c>
      <c r="H1626" s="1">
        <v>891.7</v>
      </c>
      <c r="I1626" t="s">
        <v>2930</v>
      </c>
      <c r="J1626" s="2">
        <v>1</v>
      </c>
      <c r="K1626" t="s">
        <v>13</v>
      </c>
      <c r="L1626" t="s">
        <v>21</v>
      </c>
      <c r="M1626" t="s">
        <v>1165</v>
      </c>
    </row>
    <row r="1627" spans="1:13" x14ac:dyDescent="0.25">
      <c r="A1627" s="5">
        <v>44377</v>
      </c>
      <c r="B1627" s="2">
        <v>0</v>
      </c>
      <c r="C1627" t="s">
        <v>3082</v>
      </c>
      <c r="D1627" t="s">
        <v>1748</v>
      </c>
      <c r="E1627" t="s">
        <v>1840</v>
      </c>
      <c r="F1627" s="3">
        <v>44347</v>
      </c>
      <c r="G1627" s="2">
        <v>30</v>
      </c>
      <c r="H1627" s="1">
        <v>252.5</v>
      </c>
      <c r="I1627" t="s">
        <v>3083</v>
      </c>
      <c r="J1627" s="2">
        <v>1</v>
      </c>
      <c r="K1627" t="s">
        <v>13</v>
      </c>
      <c r="L1627" t="s">
        <v>1682</v>
      </c>
      <c r="M1627" t="s">
        <v>15</v>
      </c>
    </row>
    <row r="1628" spans="1:13" x14ac:dyDescent="0.25">
      <c r="A1628" s="5">
        <v>44378</v>
      </c>
      <c r="B1628" s="2">
        <v>0</v>
      </c>
      <c r="C1628" t="s">
        <v>3090</v>
      </c>
      <c r="D1628" t="s">
        <v>3031</v>
      </c>
      <c r="E1628" t="s">
        <v>3032</v>
      </c>
      <c r="F1628" s="3">
        <v>44343</v>
      </c>
      <c r="G1628" s="2">
        <v>35</v>
      </c>
      <c r="H1628" s="1">
        <v>1000.04</v>
      </c>
      <c r="I1628" t="s">
        <v>3091</v>
      </c>
      <c r="J1628" s="2">
        <v>1</v>
      </c>
      <c r="K1628" t="s">
        <v>13</v>
      </c>
      <c r="L1628" t="s">
        <v>21</v>
      </c>
      <c r="M1628" t="s">
        <v>33</v>
      </c>
    </row>
    <row r="1629" spans="1:13" x14ac:dyDescent="0.25">
      <c r="A1629" s="5">
        <v>44379</v>
      </c>
      <c r="B1629" s="2">
        <v>0</v>
      </c>
      <c r="C1629" t="s">
        <v>3099</v>
      </c>
      <c r="D1629" t="s">
        <v>2350</v>
      </c>
      <c r="E1629" t="s">
        <v>2351</v>
      </c>
      <c r="F1629" s="3">
        <v>44309</v>
      </c>
      <c r="G1629" s="2">
        <v>70</v>
      </c>
      <c r="H1629" s="1">
        <v>395.8</v>
      </c>
      <c r="I1629" t="s">
        <v>2796</v>
      </c>
      <c r="J1629" s="2">
        <v>1</v>
      </c>
      <c r="K1629" t="s">
        <v>13</v>
      </c>
      <c r="L1629" t="s">
        <v>695</v>
      </c>
      <c r="M1629" t="s">
        <v>15</v>
      </c>
    </row>
    <row r="1630" spans="1:13" x14ac:dyDescent="0.25">
      <c r="A1630" s="5">
        <v>44379</v>
      </c>
      <c r="B1630" s="2">
        <v>0</v>
      </c>
      <c r="C1630" t="s">
        <v>3100</v>
      </c>
      <c r="D1630" t="s">
        <v>1355</v>
      </c>
      <c r="E1630" t="s">
        <v>1356</v>
      </c>
      <c r="F1630" s="3">
        <v>44329</v>
      </c>
      <c r="G1630" s="2">
        <v>50</v>
      </c>
      <c r="H1630" s="1">
        <v>303.7</v>
      </c>
      <c r="I1630" t="s">
        <v>2949</v>
      </c>
      <c r="J1630" s="2">
        <v>1</v>
      </c>
      <c r="K1630" t="s">
        <v>13</v>
      </c>
      <c r="L1630" t="s">
        <v>1493</v>
      </c>
      <c r="M1630" t="s">
        <v>1357</v>
      </c>
    </row>
    <row r="1631" spans="1:13" x14ac:dyDescent="0.25">
      <c r="A1631" s="5">
        <v>44379</v>
      </c>
      <c r="B1631" s="2">
        <v>0</v>
      </c>
      <c r="C1631" t="s">
        <v>3104</v>
      </c>
      <c r="D1631" t="s">
        <v>2211</v>
      </c>
      <c r="E1631" t="s">
        <v>2212</v>
      </c>
      <c r="F1631" s="3">
        <v>44316</v>
      </c>
      <c r="G1631" s="2">
        <v>63</v>
      </c>
      <c r="H1631" s="1">
        <v>359.44</v>
      </c>
      <c r="I1631" t="s">
        <v>3105</v>
      </c>
      <c r="J1631" s="2">
        <v>1</v>
      </c>
      <c r="K1631" t="s">
        <v>13</v>
      </c>
      <c r="L1631" t="s">
        <v>695</v>
      </c>
      <c r="M1631" t="s">
        <v>15</v>
      </c>
    </row>
    <row r="1632" spans="1:13" x14ac:dyDescent="0.25">
      <c r="A1632" s="5">
        <v>44379</v>
      </c>
      <c r="B1632" s="2">
        <v>0</v>
      </c>
      <c r="C1632" t="s">
        <v>3106</v>
      </c>
      <c r="D1632" t="s">
        <v>1421</v>
      </c>
      <c r="E1632" t="s">
        <v>1422</v>
      </c>
      <c r="F1632" s="3">
        <v>44319</v>
      </c>
      <c r="G1632" s="2">
        <v>60</v>
      </c>
      <c r="H1632" s="1">
        <v>321.25</v>
      </c>
      <c r="I1632" t="s">
        <v>3107</v>
      </c>
      <c r="J1632" s="2">
        <v>1</v>
      </c>
      <c r="K1632" t="s">
        <v>13</v>
      </c>
      <c r="L1632" t="s">
        <v>1493</v>
      </c>
      <c r="M1632" t="s">
        <v>1357</v>
      </c>
    </row>
    <row r="1633" spans="1:13" x14ac:dyDescent="0.25">
      <c r="A1633" s="5">
        <v>44380</v>
      </c>
      <c r="B1633" s="2">
        <v>0</v>
      </c>
      <c r="C1633" t="s">
        <v>3119</v>
      </c>
      <c r="D1633" t="s">
        <v>1421</v>
      </c>
      <c r="E1633" t="s">
        <v>1422</v>
      </c>
      <c r="F1633" s="3">
        <v>44330</v>
      </c>
      <c r="G1633" s="2">
        <v>50</v>
      </c>
      <c r="H1633" s="1">
        <v>217.28</v>
      </c>
      <c r="I1633" t="s">
        <v>3120</v>
      </c>
      <c r="J1633" s="2">
        <v>1</v>
      </c>
      <c r="K1633" t="s">
        <v>13</v>
      </c>
      <c r="L1633" t="s">
        <v>1493</v>
      </c>
      <c r="M1633" t="s">
        <v>1357</v>
      </c>
    </row>
    <row r="1634" spans="1:13" x14ac:dyDescent="0.25">
      <c r="A1634" s="5">
        <v>44380</v>
      </c>
      <c r="B1634" s="2">
        <v>0</v>
      </c>
      <c r="C1634" t="s">
        <v>3121</v>
      </c>
      <c r="D1634" t="s">
        <v>1716</v>
      </c>
      <c r="E1634" t="s">
        <v>1717</v>
      </c>
      <c r="F1634" s="3">
        <v>44320</v>
      </c>
      <c r="G1634" s="2">
        <v>60</v>
      </c>
      <c r="H1634" s="1">
        <v>390.44</v>
      </c>
      <c r="I1634" t="s">
        <v>3122</v>
      </c>
      <c r="J1634" s="2">
        <v>1</v>
      </c>
      <c r="K1634" t="s">
        <v>1543</v>
      </c>
      <c r="L1634" t="s">
        <v>695</v>
      </c>
      <c r="M1634" t="s">
        <v>15</v>
      </c>
    </row>
    <row r="1635" spans="1:13" x14ac:dyDescent="0.25">
      <c r="A1635" s="5">
        <v>44380</v>
      </c>
      <c r="B1635" s="2">
        <v>0</v>
      </c>
      <c r="C1635" t="s">
        <v>3123</v>
      </c>
      <c r="D1635" t="s">
        <v>1900</v>
      </c>
      <c r="E1635" t="s">
        <v>1901</v>
      </c>
      <c r="F1635" s="3">
        <v>44320</v>
      </c>
      <c r="G1635" s="2">
        <v>60</v>
      </c>
      <c r="H1635" s="1">
        <v>390.44</v>
      </c>
      <c r="I1635" t="s">
        <v>3124</v>
      </c>
      <c r="J1635" s="2">
        <v>1</v>
      </c>
      <c r="K1635" t="s">
        <v>1543</v>
      </c>
      <c r="L1635" t="s">
        <v>695</v>
      </c>
      <c r="M1635" t="s">
        <v>15</v>
      </c>
    </row>
    <row r="1636" spans="1:13" x14ac:dyDescent="0.25">
      <c r="A1636" s="5">
        <v>44381</v>
      </c>
      <c r="B1636" s="2">
        <v>0</v>
      </c>
      <c r="C1636" t="s">
        <v>3130</v>
      </c>
      <c r="D1636" t="s">
        <v>2297</v>
      </c>
      <c r="E1636" t="s">
        <v>2298</v>
      </c>
      <c r="F1636" s="3">
        <v>44321</v>
      </c>
      <c r="G1636" s="2">
        <v>60</v>
      </c>
      <c r="H1636" s="1">
        <v>733.37</v>
      </c>
      <c r="I1636" t="s">
        <v>2907</v>
      </c>
      <c r="J1636" s="2">
        <v>1</v>
      </c>
      <c r="K1636" t="s">
        <v>13</v>
      </c>
      <c r="L1636" t="s">
        <v>21</v>
      </c>
      <c r="M1636" t="s">
        <v>31</v>
      </c>
    </row>
    <row r="1637" spans="1:13" x14ac:dyDescent="0.25">
      <c r="A1637" s="5">
        <v>44381</v>
      </c>
      <c r="B1637" s="2">
        <v>0</v>
      </c>
      <c r="C1637" t="s">
        <v>3131</v>
      </c>
      <c r="D1637" t="s">
        <v>1355</v>
      </c>
      <c r="E1637" t="s">
        <v>1356</v>
      </c>
      <c r="F1637" s="3">
        <v>44321</v>
      </c>
      <c r="G1637" s="2">
        <v>60</v>
      </c>
      <c r="H1637" s="1">
        <v>601.71</v>
      </c>
      <c r="I1637" t="s">
        <v>2819</v>
      </c>
      <c r="J1637" s="2">
        <v>1</v>
      </c>
      <c r="K1637" t="s">
        <v>13</v>
      </c>
      <c r="L1637" t="s">
        <v>1493</v>
      </c>
      <c r="M1637" t="s">
        <v>1357</v>
      </c>
    </row>
    <row r="1638" spans="1:13" x14ac:dyDescent="0.25">
      <c r="A1638" s="5">
        <v>44381</v>
      </c>
      <c r="B1638" s="2">
        <v>0</v>
      </c>
      <c r="C1638" t="s">
        <v>3132</v>
      </c>
      <c r="D1638" t="s">
        <v>1761</v>
      </c>
      <c r="E1638" t="s">
        <v>1762</v>
      </c>
      <c r="F1638" s="3">
        <v>44301</v>
      </c>
      <c r="G1638" s="2">
        <v>80</v>
      </c>
      <c r="H1638" s="1">
        <v>1060.96</v>
      </c>
      <c r="I1638" t="s">
        <v>3133</v>
      </c>
      <c r="J1638" s="2">
        <v>1</v>
      </c>
      <c r="K1638" t="s">
        <v>13</v>
      </c>
      <c r="L1638" t="s">
        <v>21</v>
      </c>
      <c r="M1638" t="s">
        <v>1165</v>
      </c>
    </row>
    <row r="1639" spans="1:13" x14ac:dyDescent="0.25">
      <c r="A1639" s="5">
        <v>44381</v>
      </c>
      <c r="B1639" s="2">
        <v>0</v>
      </c>
      <c r="C1639" t="s">
        <v>3134</v>
      </c>
      <c r="D1639" t="s">
        <v>1761</v>
      </c>
      <c r="E1639" t="s">
        <v>1762</v>
      </c>
      <c r="F1639" s="3">
        <v>44301</v>
      </c>
      <c r="G1639" s="2">
        <v>80</v>
      </c>
      <c r="H1639" s="1">
        <v>1210.3699999999999</v>
      </c>
      <c r="I1639" t="s">
        <v>3135</v>
      </c>
      <c r="J1639" s="2">
        <v>1</v>
      </c>
      <c r="K1639" t="s">
        <v>13</v>
      </c>
      <c r="L1639" t="s">
        <v>21</v>
      </c>
      <c r="M1639" t="s">
        <v>1165</v>
      </c>
    </row>
    <row r="1640" spans="1:13" x14ac:dyDescent="0.25">
      <c r="A1640" s="5">
        <v>44381</v>
      </c>
      <c r="B1640" s="2">
        <v>0</v>
      </c>
      <c r="C1640" t="s">
        <v>3136</v>
      </c>
      <c r="D1640" t="s">
        <v>1890</v>
      </c>
      <c r="E1640" t="s">
        <v>1891</v>
      </c>
      <c r="F1640" s="3">
        <v>44321</v>
      </c>
      <c r="G1640" s="2">
        <v>60</v>
      </c>
      <c r="H1640" s="1">
        <v>390.41</v>
      </c>
      <c r="I1640" t="s">
        <v>3137</v>
      </c>
      <c r="J1640" s="2">
        <v>1</v>
      </c>
      <c r="K1640" t="s">
        <v>1543</v>
      </c>
      <c r="L1640" t="s">
        <v>695</v>
      </c>
      <c r="M1640" t="s">
        <v>15</v>
      </c>
    </row>
    <row r="1641" spans="1:13" x14ac:dyDescent="0.25">
      <c r="A1641" s="5">
        <v>44381</v>
      </c>
      <c r="B1641" s="2">
        <v>0</v>
      </c>
      <c r="C1641" t="s">
        <v>3138</v>
      </c>
      <c r="D1641" t="s">
        <v>1757</v>
      </c>
      <c r="E1641" t="s">
        <v>1758</v>
      </c>
      <c r="F1641" s="3">
        <v>44291</v>
      </c>
      <c r="G1641" s="2">
        <v>90</v>
      </c>
      <c r="H1641" s="1">
        <v>2142.2800000000002</v>
      </c>
      <c r="I1641" t="s">
        <v>2832</v>
      </c>
      <c r="J1641" s="2">
        <v>1</v>
      </c>
      <c r="K1641" t="s">
        <v>13</v>
      </c>
      <c r="L1641" t="s">
        <v>21</v>
      </c>
      <c r="M1641" t="s">
        <v>1165</v>
      </c>
    </row>
    <row r="1642" spans="1:13" x14ac:dyDescent="0.25">
      <c r="A1642" s="5">
        <v>44381</v>
      </c>
      <c r="B1642" s="2">
        <v>0</v>
      </c>
      <c r="C1642" t="s">
        <v>3139</v>
      </c>
      <c r="D1642" t="s">
        <v>1757</v>
      </c>
      <c r="E1642" t="s">
        <v>1758</v>
      </c>
      <c r="F1642" s="3">
        <v>44301</v>
      </c>
      <c r="G1642" s="2">
        <v>80</v>
      </c>
      <c r="H1642" s="1">
        <v>1210.3699999999999</v>
      </c>
      <c r="I1642" t="s">
        <v>3140</v>
      </c>
      <c r="J1642" s="2">
        <v>1</v>
      </c>
      <c r="K1642" t="s">
        <v>13</v>
      </c>
      <c r="L1642" t="s">
        <v>21</v>
      </c>
      <c r="M1642" t="s">
        <v>1165</v>
      </c>
    </row>
    <row r="1643" spans="1:13" x14ac:dyDescent="0.25">
      <c r="A1643" s="5">
        <v>44381</v>
      </c>
      <c r="B1643" s="2">
        <v>0</v>
      </c>
      <c r="C1643" t="s">
        <v>3141</v>
      </c>
      <c r="D1643" t="s">
        <v>2443</v>
      </c>
      <c r="E1643" t="s">
        <v>2444</v>
      </c>
      <c r="F1643" s="3">
        <v>44321</v>
      </c>
      <c r="G1643" s="2">
        <v>60</v>
      </c>
      <c r="H1643" s="1">
        <v>200.27</v>
      </c>
      <c r="I1643" t="s">
        <v>3142</v>
      </c>
      <c r="J1643" s="2">
        <v>1</v>
      </c>
      <c r="K1643" t="s">
        <v>13</v>
      </c>
      <c r="L1643" t="s">
        <v>14</v>
      </c>
      <c r="M1643" t="s">
        <v>15</v>
      </c>
    </row>
    <row r="1644" spans="1:13" x14ac:dyDescent="0.25">
      <c r="A1644" s="5">
        <v>44382</v>
      </c>
      <c r="B1644" s="2">
        <v>0</v>
      </c>
      <c r="C1644" t="s">
        <v>3145</v>
      </c>
      <c r="D1644" t="s">
        <v>3031</v>
      </c>
      <c r="E1644" t="s">
        <v>3032</v>
      </c>
      <c r="F1644" s="3">
        <v>44322</v>
      </c>
      <c r="G1644" s="2">
        <v>60</v>
      </c>
      <c r="H1644" s="1">
        <v>227.86</v>
      </c>
      <c r="I1644" t="s">
        <v>3146</v>
      </c>
      <c r="J1644" s="2">
        <v>1</v>
      </c>
      <c r="K1644" t="s">
        <v>13</v>
      </c>
      <c r="L1644" t="s">
        <v>21</v>
      </c>
      <c r="M1644" t="s">
        <v>33</v>
      </c>
    </row>
    <row r="1645" spans="1:13" x14ac:dyDescent="0.25">
      <c r="A1645" s="5">
        <v>44382</v>
      </c>
      <c r="B1645" s="2">
        <v>0</v>
      </c>
      <c r="C1645" t="s">
        <v>3150</v>
      </c>
      <c r="D1645" t="s">
        <v>1355</v>
      </c>
      <c r="E1645" t="s">
        <v>1356</v>
      </c>
      <c r="F1645" s="3">
        <v>44322</v>
      </c>
      <c r="G1645" s="2">
        <v>60</v>
      </c>
      <c r="H1645" s="1">
        <v>357.81</v>
      </c>
      <c r="I1645" t="s">
        <v>3151</v>
      </c>
      <c r="J1645" s="2">
        <v>1</v>
      </c>
      <c r="K1645" t="s">
        <v>13</v>
      </c>
      <c r="L1645" t="s">
        <v>1493</v>
      </c>
      <c r="M1645" t="s">
        <v>1357</v>
      </c>
    </row>
    <row r="1646" spans="1:13" x14ac:dyDescent="0.25">
      <c r="A1646" s="5">
        <v>44382</v>
      </c>
      <c r="B1646" s="2">
        <v>0</v>
      </c>
      <c r="C1646" t="s">
        <v>3152</v>
      </c>
      <c r="D1646" t="s">
        <v>1761</v>
      </c>
      <c r="E1646" t="s">
        <v>1762</v>
      </c>
      <c r="F1646" s="3">
        <v>44292</v>
      </c>
      <c r="G1646" s="2">
        <v>90</v>
      </c>
      <c r="H1646" s="1">
        <v>1619.6</v>
      </c>
      <c r="I1646" t="s">
        <v>2848</v>
      </c>
      <c r="J1646" s="2">
        <v>1</v>
      </c>
      <c r="K1646" t="s">
        <v>13</v>
      </c>
      <c r="L1646" t="s">
        <v>21</v>
      </c>
      <c r="M1646" t="s">
        <v>1165</v>
      </c>
    </row>
    <row r="1647" spans="1:13" x14ac:dyDescent="0.25">
      <c r="A1647" s="5">
        <v>44382</v>
      </c>
      <c r="B1647" s="2">
        <v>0</v>
      </c>
      <c r="C1647" t="s">
        <v>3153</v>
      </c>
      <c r="D1647" t="s">
        <v>1761</v>
      </c>
      <c r="E1647" t="s">
        <v>1762</v>
      </c>
      <c r="F1647" s="3">
        <v>44292</v>
      </c>
      <c r="G1647" s="2">
        <v>90</v>
      </c>
      <c r="H1647" s="1">
        <v>891.7</v>
      </c>
      <c r="I1647" t="s">
        <v>2972</v>
      </c>
      <c r="J1647" s="2">
        <v>1</v>
      </c>
      <c r="K1647" t="s">
        <v>13</v>
      </c>
      <c r="L1647" t="s">
        <v>21</v>
      </c>
      <c r="M1647" t="s">
        <v>1165</v>
      </c>
    </row>
    <row r="1648" spans="1:13" x14ac:dyDescent="0.25">
      <c r="A1648" s="5">
        <v>44382</v>
      </c>
      <c r="B1648" s="2">
        <v>0</v>
      </c>
      <c r="C1648" t="s">
        <v>3154</v>
      </c>
      <c r="D1648" t="s">
        <v>1761</v>
      </c>
      <c r="E1648" t="s">
        <v>1762</v>
      </c>
      <c r="F1648" s="3">
        <v>44312</v>
      </c>
      <c r="G1648" s="2">
        <v>70</v>
      </c>
      <c r="H1648" s="1">
        <v>1908.93</v>
      </c>
      <c r="I1648" t="s">
        <v>3155</v>
      </c>
      <c r="J1648" s="2">
        <v>1</v>
      </c>
      <c r="K1648" t="s">
        <v>13</v>
      </c>
      <c r="L1648" t="s">
        <v>21</v>
      </c>
      <c r="M1648" t="s">
        <v>1165</v>
      </c>
    </row>
    <row r="1649" spans="1:13" x14ac:dyDescent="0.25">
      <c r="A1649" s="5">
        <v>44382</v>
      </c>
      <c r="B1649" s="2">
        <v>0</v>
      </c>
      <c r="C1649" t="s">
        <v>3156</v>
      </c>
      <c r="D1649" t="s">
        <v>1761</v>
      </c>
      <c r="E1649" t="s">
        <v>1762</v>
      </c>
      <c r="F1649" s="3">
        <v>44342</v>
      </c>
      <c r="G1649" s="2">
        <v>40</v>
      </c>
      <c r="H1649" s="1">
        <v>833.94</v>
      </c>
      <c r="I1649" t="s">
        <v>3157</v>
      </c>
      <c r="J1649" s="2">
        <v>1</v>
      </c>
      <c r="K1649" t="s">
        <v>13</v>
      </c>
      <c r="L1649" t="s">
        <v>21</v>
      </c>
      <c r="M1649" t="s">
        <v>1165</v>
      </c>
    </row>
    <row r="1650" spans="1:13" x14ac:dyDescent="0.25">
      <c r="A1650" s="5">
        <v>44382</v>
      </c>
      <c r="B1650" s="2">
        <v>0</v>
      </c>
      <c r="C1650" t="s">
        <v>3158</v>
      </c>
      <c r="D1650" t="s">
        <v>1421</v>
      </c>
      <c r="E1650" t="s">
        <v>1422</v>
      </c>
      <c r="F1650" s="3">
        <v>44322</v>
      </c>
      <c r="G1650" s="2">
        <v>60</v>
      </c>
      <c r="H1650" s="1">
        <v>307.58999999999997</v>
      </c>
      <c r="I1650" t="s">
        <v>3159</v>
      </c>
      <c r="J1650" s="2">
        <v>1</v>
      </c>
      <c r="K1650" t="s">
        <v>13</v>
      </c>
      <c r="L1650" t="s">
        <v>1493</v>
      </c>
      <c r="M1650" t="s">
        <v>1357</v>
      </c>
    </row>
    <row r="1651" spans="1:13" x14ac:dyDescent="0.25">
      <c r="A1651" s="5">
        <v>44382</v>
      </c>
      <c r="B1651" s="2">
        <v>0</v>
      </c>
      <c r="C1651" t="s">
        <v>3160</v>
      </c>
      <c r="D1651" t="s">
        <v>1421</v>
      </c>
      <c r="E1651" t="s">
        <v>1422</v>
      </c>
      <c r="F1651" s="3">
        <v>44337</v>
      </c>
      <c r="G1651" s="2">
        <v>45</v>
      </c>
      <c r="H1651" s="1">
        <v>430.59</v>
      </c>
      <c r="I1651" t="s">
        <v>3161</v>
      </c>
      <c r="J1651" s="2">
        <v>1</v>
      </c>
      <c r="K1651" t="s">
        <v>13</v>
      </c>
      <c r="L1651" t="s">
        <v>1493</v>
      </c>
      <c r="M1651" t="s">
        <v>1357</v>
      </c>
    </row>
    <row r="1652" spans="1:13" x14ac:dyDescent="0.25">
      <c r="A1652" s="5">
        <v>44382</v>
      </c>
      <c r="B1652" s="2">
        <v>0</v>
      </c>
      <c r="C1652" t="s">
        <v>3162</v>
      </c>
      <c r="D1652" t="s">
        <v>1716</v>
      </c>
      <c r="E1652" t="s">
        <v>1717</v>
      </c>
      <c r="F1652" s="3">
        <v>44312</v>
      </c>
      <c r="G1652" s="2">
        <v>70</v>
      </c>
      <c r="H1652" s="1">
        <v>1294.96</v>
      </c>
      <c r="I1652" t="s">
        <v>3163</v>
      </c>
      <c r="J1652" s="2">
        <v>1</v>
      </c>
      <c r="K1652" t="s">
        <v>1543</v>
      </c>
      <c r="L1652" t="s">
        <v>695</v>
      </c>
      <c r="M1652" t="s">
        <v>15</v>
      </c>
    </row>
    <row r="1653" spans="1:13" x14ac:dyDescent="0.25">
      <c r="A1653" s="5">
        <v>44382</v>
      </c>
      <c r="B1653" s="2">
        <v>0</v>
      </c>
      <c r="C1653" t="s">
        <v>3164</v>
      </c>
      <c r="D1653" t="s">
        <v>1716</v>
      </c>
      <c r="E1653" t="s">
        <v>1717</v>
      </c>
      <c r="F1653" s="3">
        <v>44322</v>
      </c>
      <c r="G1653" s="2">
        <v>60</v>
      </c>
      <c r="H1653" s="1">
        <v>1414.65</v>
      </c>
      <c r="I1653" t="s">
        <v>3165</v>
      </c>
      <c r="J1653" s="2">
        <v>1</v>
      </c>
      <c r="K1653" t="s">
        <v>1543</v>
      </c>
      <c r="L1653" t="s">
        <v>695</v>
      </c>
      <c r="M1653" t="s">
        <v>15</v>
      </c>
    </row>
    <row r="1654" spans="1:13" x14ac:dyDescent="0.25">
      <c r="A1654" s="5">
        <v>44382</v>
      </c>
      <c r="B1654" s="2">
        <v>0</v>
      </c>
      <c r="C1654" t="s">
        <v>3166</v>
      </c>
      <c r="D1654" t="s">
        <v>1900</v>
      </c>
      <c r="E1654" t="s">
        <v>1901</v>
      </c>
      <c r="F1654" s="3">
        <v>44312</v>
      </c>
      <c r="G1654" s="2">
        <v>70</v>
      </c>
      <c r="H1654" s="1">
        <v>963.58</v>
      </c>
      <c r="I1654" t="s">
        <v>2984</v>
      </c>
      <c r="J1654" s="2">
        <v>1</v>
      </c>
      <c r="K1654" t="s">
        <v>1543</v>
      </c>
      <c r="L1654" t="s">
        <v>695</v>
      </c>
      <c r="M1654" t="s">
        <v>15</v>
      </c>
    </row>
    <row r="1655" spans="1:13" x14ac:dyDescent="0.25">
      <c r="A1655" s="5">
        <v>44382</v>
      </c>
      <c r="B1655" s="2">
        <v>0</v>
      </c>
      <c r="C1655" t="s">
        <v>3167</v>
      </c>
      <c r="D1655" t="s">
        <v>1757</v>
      </c>
      <c r="E1655" t="s">
        <v>1758</v>
      </c>
      <c r="F1655" s="3">
        <v>44342</v>
      </c>
      <c r="G1655" s="2">
        <v>40</v>
      </c>
      <c r="H1655" s="1">
        <v>612.57000000000005</v>
      </c>
      <c r="I1655" t="s">
        <v>3168</v>
      </c>
      <c r="J1655" s="2">
        <v>1</v>
      </c>
      <c r="K1655" t="s">
        <v>13</v>
      </c>
      <c r="L1655" t="s">
        <v>21</v>
      </c>
      <c r="M1655" t="s">
        <v>1165</v>
      </c>
    </row>
    <row r="1656" spans="1:13" x14ac:dyDescent="0.25">
      <c r="A1656" s="5">
        <v>44382</v>
      </c>
      <c r="B1656" s="2">
        <v>0</v>
      </c>
      <c r="C1656" t="s">
        <v>3202</v>
      </c>
      <c r="D1656" t="s">
        <v>3203</v>
      </c>
      <c r="E1656" t="s">
        <v>3204</v>
      </c>
      <c r="F1656" s="3">
        <v>44368</v>
      </c>
      <c r="G1656" s="2">
        <v>14</v>
      </c>
      <c r="H1656" s="1">
        <v>711.61</v>
      </c>
      <c r="I1656" t="s">
        <v>3205</v>
      </c>
      <c r="J1656" s="2">
        <v>1</v>
      </c>
      <c r="K1656" t="s">
        <v>13</v>
      </c>
      <c r="L1656" t="s">
        <v>830</v>
      </c>
      <c r="M1656" t="s">
        <v>3206</v>
      </c>
    </row>
    <row r="1657" spans="1:13" x14ac:dyDescent="0.25">
      <c r="A1657" s="5">
        <v>44383</v>
      </c>
      <c r="B1657" s="2">
        <v>0</v>
      </c>
      <c r="C1657" t="s">
        <v>3207</v>
      </c>
      <c r="D1657" t="s">
        <v>2350</v>
      </c>
      <c r="E1657" t="s">
        <v>2351</v>
      </c>
      <c r="F1657" s="3">
        <v>44308</v>
      </c>
      <c r="G1657" s="2">
        <v>75</v>
      </c>
      <c r="H1657" s="1">
        <v>387.12</v>
      </c>
      <c r="I1657" t="s">
        <v>2735</v>
      </c>
      <c r="J1657" s="2">
        <v>1</v>
      </c>
      <c r="K1657" t="s">
        <v>13</v>
      </c>
      <c r="L1657" t="s">
        <v>695</v>
      </c>
      <c r="M1657" t="s">
        <v>15</v>
      </c>
    </row>
    <row r="1658" spans="1:13" x14ac:dyDescent="0.25">
      <c r="A1658" s="5">
        <v>44383</v>
      </c>
      <c r="B1658" s="2">
        <v>0</v>
      </c>
      <c r="C1658" t="s">
        <v>3208</v>
      </c>
      <c r="D1658" t="s">
        <v>2297</v>
      </c>
      <c r="E1658" t="s">
        <v>2298</v>
      </c>
      <c r="F1658" s="3">
        <v>44298</v>
      </c>
      <c r="G1658" s="2">
        <v>85</v>
      </c>
      <c r="H1658" s="1">
        <v>422.47</v>
      </c>
      <c r="I1658" t="s">
        <v>2530</v>
      </c>
      <c r="J1658" s="2">
        <v>1</v>
      </c>
      <c r="K1658" t="s">
        <v>13</v>
      </c>
      <c r="L1658" t="s">
        <v>21</v>
      </c>
      <c r="M1658" t="s">
        <v>31</v>
      </c>
    </row>
    <row r="1659" spans="1:13" x14ac:dyDescent="0.25">
      <c r="A1659" s="5">
        <v>44383</v>
      </c>
      <c r="B1659" s="2">
        <v>0</v>
      </c>
      <c r="C1659" t="s">
        <v>3209</v>
      </c>
      <c r="D1659" t="s">
        <v>2297</v>
      </c>
      <c r="E1659" t="s">
        <v>2298</v>
      </c>
      <c r="F1659" s="3">
        <v>44348</v>
      </c>
      <c r="G1659" s="2">
        <v>35</v>
      </c>
      <c r="H1659" s="1">
        <v>577.58000000000004</v>
      </c>
      <c r="I1659" t="s">
        <v>2862</v>
      </c>
      <c r="J1659" s="2">
        <v>1</v>
      </c>
      <c r="K1659" t="s">
        <v>13</v>
      </c>
      <c r="L1659" t="s">
        <v>21</v>
      </c>
      <c r="M1659" t="s">
        <v>31</v>
      </c>
    </row>
    <row r="1660" spans="1:13" x14ac:dyDescent="0.25">
      <c r="A1660" s="5">
        <v>44383</v>
      </c>
      <c r="B1660" s="2">
        <v>0</v>
      </c>
      <c r="C1660" t="s">
        <v>3210</v>
      </c>
      <c r="D1660" t="s">
        <v>1355</v>
      </c>
      <c r="E1660" t="s">
        <v>1356</v>
      </c>
      <c r="F1660" s="3">
        <v>44308</v>
      </c>
      <c r="G1660" s="2">
        <v>75</v>
      </c>
      <c r="H1660" s="1">
        <v>478.39</v>
      </c>
      <c r="I1660" t="s">
        <v>2864</v>
      </c>
      <c r="J1660" s="2">
        <v>1</v>
      </c>
      <c r="K1660" t="s">
        <v>13</v>
      </c>
      <c r="L1660" t="s">
        <v>1493</v>
      </c>
      <c r="M1660" t="s">
        <v>1357</v>
      </c>
    </row>
    <row r="1661" spans="1:13" x14ac:dyDescent="0.25">
      <c r="A1661" s="5">
        <v>44383</v>
      </c>
      <c r="B1661" s="2">
        <v>0</v>
      </c>
      <c r="C1661" t="s">
        <v>3211</v>
      </c>
      <c r="D1661" t="s">
        <v>1355</v>
      </c>
      <c r="E1661" t="s">
        <v>1356</v>
      </c>
      <c r="F1661" s="3">
        <v>44328</v>
      </c>
      <c r="G1661" s="2">
        <v>55</v>
      </c>
      <c r="H1661" s="1">
        <v>346.45</v>
      </c>
      <c r="I1661" t="s">
        <v>3000</v>
      </c>
      <c r="J1661" s="2">
        <v>1</v>
      </c>
      <c r="K1661" t="s">
        <v>13</v>
      </c>
      <c r="L1661" t="s">
        <v>1493</v>
      </c>
      <c r="M1661" t="s">
        <v>1357</v>
      </c>
    </row>
    <row r="1662" spans="1:13" x14ac:dyDescent="0.25">
      <c r="A1662" s="5">
        <v>44383</v>
      </c>
      <c r="B1662" s="2">
        <v>0</v>
      </c>
      <c r="C1662" t="s">
        <v>3212</v>
      </c>
      <c r="D1662" t="s">
        <v>1761</v>
      </c>
      <c r="E1662" t="s">
        <v>1762</v>
      </c>
      <c r="F1662" s="3">
        <v>44263</v>
      </c>
      <c r="G1662" s="2">
        <v>120</v>
      </c>
      <c r="H1662" s="1">
        <v>1596.59</v>
      </c>
      <c r="I1662" t="s">
        <v>2395</v>
      </c>
      <c r="J1662" s="2">
        <v>1</v>
      </c>
      <c r="K1662" t="s">
        <v>13</v>
      </c>
      <c r="L1662" t="s">
        <v>21</v>
      </c>
      <c r="M1662" t="s">
        <v>1165</v>
      </c>
    </row>
    <row r="1663" spans="1:13" x14ac:dyDescent="0.25">
      <c r="A1663" s="5">
        <v>44383</v>
      </c>
      <c r="B1663" s="2">
        <v>0</v>
      </c>
      <c r="C1663" t="s">
        <v>3213</v>
      </c>
      <c r="D1663" t="s">
        <v>1421</v>
      </c>
      <c r="E1663" t="s">
        <v>1422</v>
      </c>
      <c r="F1663" s="3">
        <v>44313</v>
      </c>
      <c r="G1663" s="2">
        <v>70</v>
      </c>
      <c r="H1663" s="1">
        <v>222.06</v>
      </c>
      <c r="I1663" t="s">
        <v>2866</v>
      </c>
      <c r="J1663" s="2">
        <v>1</v>
      </c>
      <c r="K1663" t="s">
        <v>13</v>
      </c>
      <c r="L1663" t="s">
        <v>1493</v>
      </c>
      <c r="M1663" t="s">
        <v>1357</v>
      </c>
    </row>
    <row r="1664" spans="1:13" x14ac:dyDescent="0.25">
      <c r="A1664" s="5">
        <v>44383</v>
      </c>
      <c r="B1664" s="2">
        <v>0</v>
      </c>
      <c r="C1664" t="s">
        <v>3214</v>
      </c>
      <c r="D1664" t="s">
        <v>1421</v>
      </c>
      <c r="E1664" t="s">
        <v>1422</v>
      </c>
      <c r="F1664" s="3">
        <v>44323</v>
      </c>
      <c r="G1664" s="2">
        <v>60</v>
      </c>
      <c r="H1664" s="1">
        <v>223.44</v>
      </c>
      <c r="I1664" t="s">
        <v>3215</v>
      </c>
      <c r="J1664" s="2">
        <v>1</v>
      </c>
      <c r="K1664" t="s">
        <v>13</v>
      </c>
      <c r="L1664" t="s">
        <v>1493</v>
      </c>
      <c r="M1664" t="s">
        <v>1357</v>
      </c>
    </row>
    <row r="1665" spans="1:13" x14ac:dyDescent="0.25">
      <c r="A1665" s="5">
        <v>44383</v>
      </c>
      <c r="B1665" s="2">
        <v>0</v>
      </c>
      <c r="C1665" t="s">
        <v>3218</v>
      </c>
      <c r="D1665" t="s">
        <v>1773</v>
      </c>
      <c r="E1665" t="s">
        <v>1938</v>
      </c>
      <c r="F1665" s="3">
        <v>44298</v>
      </c>
      <c r="G1665" s="2">
        <v>85</v>
      </c>
      <c r="H1665" s="1">
        <v>601.96</v>
      </c>
      <c r="I1665" t="s">
        <v>3007</v>
      </c>
      <c r="J1665" s="2">
        <v>1</v>
      </c>
      <c r="K1665" t="s">
        <v>13</v>
      </c>
      <c r="L1665" t="s">
        <v>21</v>
      </c>
      <c r="M1665" t="s">
        <v>1774</v>
      </c>
    </row>
    <row r="1666" spans="1:13" x14ac:dyDescent="0.25">
      <c r="A1666" s="5">
        <v>44383</v>
      </c>
      <c r="B1666" s="2">
        <v>0</v>
      </c>
      <c r="C1666" t="s">
        <v>3219</v>
      </c>
      <c r="D1666" t="s">
        <v>1773</v>
      </c>
      <c r="E1666" t="s">
        <v>1938</v>
      </c>
      <c r="F1666" s="3">
        <v>44313</v>
      </c>
      <c r="G1666" s="2">
        <v>70</v>
      </c>
      <c r="H1666" s="1">
        <v>527.76</v>
      </c>
      <c r="I1666" t="s">
        <v>3220</v>
      </c>
      <c r="J1666" s="2">
        <v>1</v>
      </c>
      <c r="K1666" t="s">
        <v>13</v>
      </c>
      <c r="L1666" t="s">
        <v>21</v>
      </c>
      <c r="M1666" t="s">
        <v>1774</v>
      </c>
    </row>
    <row r="1667" spans="1:13" x14ac:dyDescent="0.25">
      <c r="A1667" s="5">
        <v>44383</v>
      </c>
      <c r="B1667" s="2">
        <v>0</v>
      </c>
      <c r="C1667" t="s">
        <v>3221</v>
      </c>
      <c r="D1667" t="s">
        <v>1773</v>
      </c>
      <c r="E1667" t="s">
        <v>1938</v>
      </c>
      <c r="F1667" s="3">
        <v>44313</v>
      </c>
      <c r="G1667" s="2">
        <v>70</v>
      </c>
      <c r="H1667" s="1">
        <v>2516.86</v>
      </c>
      <c r="I1667" t="s">
        <v>3222</v>
      </c>
      <c r="J1667" s="2">
        <v>1</v>
      </c>
      <c r="K1667" t="s">
        <v>13</v>
      </c>
      <c r="L1667" t="s">
        <v>21</v>
      </c>
      <c r="M1667" t="s">
        <v>1774</v>
      </c>
    </row>
    <row r="1668" spans="1:13" x14ac:dyDescent="0.25">
      <c r="A1668" s="5">
        <v>44383</v>
      </c>
      <c r="B1668" s="2">
        <v>0</v>
      </c>
      <c r="C1668" t="s">
        <v>3223</v>
      </c>
      <c r="D1668" t="s">
        <v>1757</v>
      </c>
      <c r="E1668" t="s">
        <v>1758</v>
      </c>
      <c r="F1668" s="3">
        <v>44263</v>
      </c>
      <c r="G1668" s="2">
        <v>120</v>
      </c>
      <c r="H1668" s="1">
        <v>1687.83</v>
      </c>
      <c r="I1668" t="s">
        <v>2399</v>
      </c>
      <c r="J1668" s="2">
        <v>1</v>
      </c>
      <c r="K1668" t="s">
        <v>13</v>
      </c>
      <c r="L1668" t="s">
        <v>21</v>
      </c>
      <c r="M1668" t="s">
        <v>1165</v>
      </c>
    </row>
    <row r="1669" spans="1:13" x14ac:dyDescent="0.25">
      <c r="A1669" s="5">
        <v>44383</v>
      </c>
      <c r="B1669" s="2">
        <v>0</v>
      </c>
      <c r="C1669" t="s">
        <v>3224</v>
      </c>
      <c r="D1669" t="s">
        <v>1757</v>
      </c>
      <c r="E1669" t="s">
        <v>1758</v>
      </c>
      <c r="F1669" s="3">
        <v>44298</v>
      </c>
      <c r="G1669" s="2">
        <v>85</v>
      </c>
      <c r="H1669" s="1">
        <v>821.69</v>
      </c>
      <c r="I1669" t="s">
        <v>3011</v>
      </c>
      <c r="J1669" s="2">
        <v>1</v>
      </c>
      <c r="K1669" t="s">
        <v>13</v>
      </c>
      <c r="L1669" t="s">
        <v>21</v>
      </c>
      <c r="M1669" t="s">
        <v>1165</v>
      </c>
    </row>
    <row r="1670" spans="1:13" x14ac:dyDescent="0.25">
      <c r="A1670" s="5">
        <v>44383</v>
      </c>
      <c r="B1670" s="2">
        <v>0</v>
      </c>
      <c r="C1670" t="s">
        <v>3225</v>
      </c>
      <c r="D1670" t="s">
        <v>2047</v>
      </c>
      <c r="E1670" t="s">
        <v>2005</v>
      </c>
      <c r="F1670" s="3">
        <v>44293</v>
      </c>
      <c r="G1670" s="2">
        <v>90</v>
      </c>
      <c r="H1670" s="1">
        <v>368.29</v>
      </c>
      <c r="I1670" t="s">
        <v>2403</v>
      </c>
      <c r="J1670" s="2">
        <v>1</v>
      </c>
      <c r="K1670" t="s">
        <v>13</v>
      </c>
      <c r="L1670" t="s">
        <v>1682</v>
      </c>
      <c r="M1670" t="s">
        <v>15</v>
      </c>
    </row>
    <row r="1671" spans="1:13" x14ac:dyDescent="0.25">
      <c r="A1671" s="5">
        <v>44384</v>
      </c>
      <c r="B1671" s="2">
        <v>0</v>
      </c>
      <c r="C1671" t="s">
        <v>3226</v>
      </c>
      <c r="D1671" t="s">
        <v>1355</v>
      </c>
      <c r="E1671" t="s">
        <v>1356</v>
      </c>
      <c r="F1671" s="3">
        <v>44314</v>
      </c>
      <c r="G1671" s="2">
        <v>70</v>
      </c>
      <c r="H1671" s="1">
        <v>465.94</v>
      </c>
      <c r="I1671" t="s">
        <v>2872</v>
      </c>
      <c r="J1671" s="2">
        <v>1</v>
      </c>
      <c r="K1671" t="s">
        <v>13</v>
      </c>
      <c r="L1671" t="s">
        <v>1493</v>
      </c>
      <c r="M1671" t="s">
        <v>1357</v>
      </c>
    </row>
    <row r="1672" spans="1:13" x14ac:dyDescent="0.25">
      <c r="A1672" s="5">
        <v>44384</v>
      </c>
      <c r="B1672" s="2">
        <v>0</v>
      </c>
      <c r="C1672" t="s">
        <v>3227</v>
      </c>
      <c r="D1672" t="s">
        <v>1355</v>
      </c>
      <c r="E1672" t="s">
        <v>1356</v>
      </c>
      <c r="F1672" s="3">
        <v>44329</v>
      </c>
      <c r="G1672" s="2">
        <v>55</v>
      </c>
      <c r="H1672" s="1">
        <v>259.14</v>
      </c>
      <c r="I1672" t="s">
        <v>3015</v>
      </c>
      <c r="J1672" s="2">
        <v>1</v>
      </c>
      <c r="K1672" t="s">
        <v>13</v>
      </c>
      <c r="L1672" t="s">
        <v>1493</v>
      </c>
      <c r="M1672" t="s">
        <v>1357</v>
      </c>
    </row>
    <row r="1673" spans="1:13" x14ac:dyDescent="0.25">
      <c r="A1673" s="5">
        <v>44384</v>
      </c>
      <c r="B1673" s="2">
        <v>0</v>
      </c>
      <c r="C1673" t="s">
        <v>3228</v>
      </c>
      <c r="D1673" t="s">
        <v>1761</v>
      </c>
      <c r="E1673" t="s">
        <v>1762</v>
      </c>
      <c r="F1673" s="3">
        <v>44284</v>
      </c>
      <c r="G1673" s="2">
        <v>100</v>
      </c>
      <c r="H1673" s="1">
        <v>1345.6</v>
      </c>
      <c r="I1673" t="s">
        <v>2876</v>
      </c>
      <c r="J1673" s="2">
        <v>1</v>
      </c>
      <c r="K1673" t="s">
        <v>13</v>
      </c>
      <c r="L1673" t="s">
        <v>21</v>
      </c>
      <c r="M1673" t="s">
        <v>1165</v>
      </c>
    </row>
    <row r="1674" spans="1:13" x14ac:dyDescent="0.25">
      <c r="A1674" s="5">
        <v>44384</v>
      </c>
      <c r="B1674" s="2">
        <v>0</v>
      </c>
      <c r="C1674" t="s">
        <v>3229</v>
      </c>
      <c r="D1674" t="s">
        <v>1761</v>
      </c>
      <c r="E1674" t="s">
        <v>1762</v>
      </c>
      <c r="F1674" s="3">
        <v>44314</v>
      </c>
      <c r="G1674" s="2">
        <v>70</v>
      </c>
      <c r="H1674" s="1">
        <v>956.18</v>
      </c>
      <c r="I1674" t="s">
        <v>3230</v>
      </c>
      <c r="J1674" s="2">
        <v>1</v>
      </c>
      <c r="K1674" t="s">
        <v>13</v>
      </c>
      <c r="L1674" t="s">
        <v>21</v>
      </c>
      <c r="M1674" t="s">
        <v>1165</v>
      </c>
    </row>
    <row r="1675" spans="1:13" x14ac:dyDescent="0.25">
      <c r="A1675" s="5">
        <v>44384</v>
      </c>
      <c r="B1675" s="2">
        <v>0</v>
      </c>
      <c r="C1675" t="s">
        <v>3232</v>
      </c>
      <c r="D1675" t="s">
        <v>2211</v>
      </c>
      <c r="E1675" t="s">
        <v>2212</v>
      </c>
      <c r="F1675" s="3">
        <v>44309</v>
      </c>
      <c r="G1675" s="2">
        <v>75</v>
      </c>
      <c r="H1675" s="1">
        <v>356.55</v>
      </c>
      <c r="I1675" t="s">
        <v>3017</v>
      </c>
      <c r="J1675" s="2">
        <v>1</v>
      </c>
      <c r="K1675" t="s">
        <v>13</v>
      </c>
      <c r="L1675" t="s">
        <v>695</v>
      </c>
      <c r="M1675" t="s">
        <v>15</v>
      </c>
    </row>
    <row r="1676" spans="1:13" x14ac:dyDescent="0.25">
      <c r="A1676" s="5">
        <v>44384</v>
      </c>
      <c r="B1676" s="2">
        <v>0</v>
      </c>
      <c r="C1676" t="s">
        <v>3233</v>
      </c>
      <c r="D1676" t="s">
        <v>2286</v>
      </c>
      <c r="E1676" t="s">
        <v>2287</v>
      </c>
      <c r="F1676" s="3">
        <v>44314</v>
      </c>
      <c r="G1676" s="2">
        <v>70</v>
      </c>
      <c r="H1676" s="1">
        <v>351.51</v>
      </c>
      <c r="I1676" t="s">
        <v>2877</v>
      </c>
      <c r="J1676" s="2">
        <v>1</v>
      </c>
      <c r="K1676" t="s">
        <v>13</v>
      </c>
      <c r="L1676" t="s">
        <v>830</v>
      </c>
      <c r="M1676" t="s">
        <v>172</v>
      </c>
    </row>
    <row r="1677" spans="1:13" x14ac:dyDescent="0.25">
      <c r="A1677" s="5">
        <v>44384</v>
      </c>
      <c r="B1677" s="2">
        <v>0</v>
      </c>
      <c r="C1677" t="s">
        <v>3234</v>
      </c>
      <c r="D1677" t="s">
        <v>1421</v>
      </c>
      <c r="E1677" t="s">
        <v>1422</v>
      </c>
      <c r="F1677" s="3">
        <v>44334</v>
      </c>
      <c r="G1677" s="2">
        <v>50</v>
      </c>
      <c r="H1677" s="1">
        <v>236.37</v>
      </c>
      <c r="I1677" t="s">
        <v>3235</v>
      </c>
      <c r="J1677" s="2">
        <v>1</v>
      </c>
      <c r="K1677" t="s">
        <v>13</v>
      </c>
      <c r="L1677" t="s">
        <v>1493</v>
      </c>
      <c r="M1677" t="s">
        <v>1357</v>
      </c>
    </row>
    <row r="1678" spans="1:13" x14ac:dyDescent="0.25">
      <c r="A1678" s="5">
        <v>44384</v>
      </c>
      <c r="B1678" s="2">
        <v>0</v>
      </c>
      <c r="C1678" t="s">
        <v>3239</v>
      </c>
      <c r="D1678" t="s">
        <v>1716</v>
      </c>
      <c r="E1678" t="s">
        <v>1717</v>
      </c>
      <c r="F1678" s="3">
        <v>44321</v>
      </c>
      <c r="G1678" s="2">
        <v>63</v>
      </c>
      <c r="H1678" s="1">
        <v>1680.55</v>
      </c>
      <c r="I1678" t="s">
        <v>3240</v>
      </c>
      <c r="J1678" s="2">
        <v>1</v>
      </c>
      <c r="K1678" t="s">
        <v>1543</v>
      </c>
      <c r="L1678" t="s">
        <v>695</v>
      </c>
      <c r="M1678" t="s">
        <v>15</v>
      </c>
    </row>
    <row r="1679" spans="1:13" x14ac:dyDescent="0.25">
      <c r="A1679" s="5">
        <v>44384</v>
      </c>
      <c r="B1679" s="2">
        <v>0</v>
      </c>
      <c r="C1679" t="s">
        <v>3241</v>
      </c>
      <c r="D1679" t="s">
        <v>1900</v>
      </c>
      <c r="E1679" t="s">
        <v>1901</v>
      </c>
      <c r="F1679" s="3">
        <v>44321</v>
      </c>
      <c r="G1679" s="2">
        <v>63</v>
      </c>
      <c r="H1679" s="1">
        <v>1893.93</v>
      </c>
      <c r="I1679" t="s">
        <v>3242</v>
      </c>
      <c r="J1679" s="2">
        <v>1</v>
      </c>
      <c r="K1679" t="s">
        <v>1543</v>
      </c>
      <c r="L1679" t="s">
        <v>695</v>
      </c>
      <c r="M1679" t="s">
        <v>15</v>
      </c>
    </row>
    <row r="1680" spans="1:13" x14ac:dyDescent="0.25">
      <c r="A1680" s="5">
        <v>44384</v>
      </c>
      <c r="B1680" s="2">
        <v>0</v>
      </c>
      <c r="C1680" t="s">
        <v>3243</v>
      </c>
      <c r="D1680" t="s">
        <v>1773</v>
      </c>
      <c r="E1680" t="s">
        <v>1938</v>
      </c>
      <c r="F1680" s="3">
        <v>44294</v>
      </c>
      <c r="G1680" s="2">
        <v>90</v>
      </c>
      <c r="H1680" s="1">
        <v>1338.68</v>
      </c>
      <c r="I1680" t="s">
        <v>2881</v>
      </c>
      <c r="J1680" s="2">
        <v>1</v>
      </c>
      <c r="K1680" t="s">
        <v>13</v>
      </c>
      <c r="L1680" t="s">
        <v>21</v>
      </c>
      <c r="M1680" t="s">
        <v>1774</v>
      </c>
    </row>
    <row r="1681" spans="1:13" x14ac:dyDescent="0.25">
      <c r="A1681" s="5">
        <v>44384</v>
      </c>
      <c r="B1681" s="2">
        <v>0</v>
      </c>
      <c r="C1681" t="s">
        <v>3244</v>
      </c>
      <c r="D1681" t="s">
        <v>1757</v>
      </c>
      <c r="E1681" t="s">
        <v>1758</v>
      </c>
      <c r="F1681" s="3">
        <v>44284</v>
      </c>
      <c r="G1681" s="2">
        <v>100</v>
      </c>
      <c r="H1681" s="1">
        <v>1154.6199999999999</v>
      </c>
      <c r="I1681" t="s">
        <v>2885</v>
      </c>
      <c r="J1681" s="2">
        <v>1</v>
      </c>
      <c r="K1681" t="s">
        <v>13</v>
      </c>
      <c r="L1681" t="s">
        <v>21</v>
      </c>
      <c r="M1681" t="s">
        <v>1165</v>
      </c>
    </row>
    <row r="1682" spans="1:13" x14ac:dyDescent="0.25">
      <c r="A1682" s="5">
        <v>44384</v>
      </c>
      <c r="B1682" s="2">
        <v>0</v>
      </c>
      <c r="C1682" t="s">
        <v>3245</v>
      </c>
      <c r="D1682" t="s">
        <v>1757</v>
      </c>
      <c r="E1682" t="s">
        <v>1758</v>
      </c>
      <c r="F1682" s="3">
        <v>44314</v>
      </c>
      <c r="G1682" s="2">
        <v>70</v>
      </c>
      <c r="H1682" s="1">
        <v>956.18</v>
      </c>
      <c r="I1682" t="s">
        <v>3246</v>
      </c>
      <c r="J1682" s="2">
        <v>1</v>
      </c>
      <c r="K1682" t="s">
        <v>13</v>
      </c>
      <c r="L1682" t="s">
        <v>21</v>
      </c>
      <c r="M1682" t="s">
        <v>1165</v>
      </c>
    </row>
    <row r="1683" spans="1:13" x14ac:dyDescent="0.25">
      <c r="A1683" s="5">
        <v>44384</v>
      </c>
      <c r="B1683" s="2">
        <v>0</v>
      </c>
      <c r="C1683" t="s">
        <v>3248</v>
      </c>
      <c r="D1683" t="s">
        <v>2215</v>
      </c>
      <c r="E1683" t="s">
        <v>2216</v>
      </c>
      <c r="F1683" s="3">
        <v>44314</v>
      </c>
      <c r="G1683" s="2">
        <v>70</v>
      </c>
      <c r="H1683" s="1">
        <v>1975.82</v>
      </c>
      <c r="I1683" t="s">
        <v>3249</v>
      </c>
      <c r="J1683" s="2">
        <v>1</v>
      </c>
      <c r="K1683" t="s">
        <v>13</v>
      </c>
      <c r="L1683" t="s">
        <v>21</v>
      </c>
      <c r="M1683" t="s">
        <v>2217</v>
      </c>
    </row>
    <row r="1684" spans="1:13" x14ac:dyDescent="0.25">
      <c r="A1684" s="5">
        <v>44384</v>
      </c>
      <c r="B1684" s="2">
        <v>0</v>
      </c>
      <c r="C1684" t="s">
        <v>3254</v>
      </c>
      <c r="D1684" t="s">
        <v>2047</v>
      </c>
      <c r="E1684" t="s">
        <v>2005</v>
      </c>
      <c r="F1684" s="3">
        <v>44319</v>
      </c>
      <c r="G1684" s="2">
        <v>65</v>
      </c>
      <c r="H1684" s="1">
        <v>333.17</v>
      </c>
      <c r="I1684" t="s">
        <v>2744</v>
      </c>
      <c r="J1684" s="2">
        <v>1</v>
      </c>
      <c r="K1684" t="s">
        <v>13</v>
      </c>
      <c r="L1684" t="s">
        <v>1682</v>
      </c>
      <c r="M1684" t="s">
        <v>15</v>
      </c>
    </row>
    <row r="1685" spans="1:13" x14ac:dyDescent="0.25">
      <c r="A1685" s="5">
        <v>44385</v>
      </c>
      <c r="B1685" s="2">
        <v>0</v>
      </c>
      <c r="C1685" t="s">
        <v>3257</v>
      </c>
      <c r="D1685" t="s">
        <v>3031</v>
      </c>
      <c r="E1685" t="s">
        <v>3032</v>
      </c>
      <c r="F1685" s="3">
        <v>44330</v>
      </c>
      <c r="G1685" s="2">
        <v>55</v>
      </c>
      <c r="H1685" s="1">
        <v>478.15</v>
      </c>
      <c r="I1685" t="s">
        <v>3033</v>
      </c>
      <c r="J1685" s="2">
        <v>1</v>
      </c>
      <c r="K1685" t="s">
        <v>13</v>
      </c>
      <c r="L1685" t="s">
        <v>21</v>
      </c>
      <c r="M1685" t="s">
        <v>33</v>
      </c>
    </row>
    <row r="1686" spans="1:13" x14ac:dyDescent="0.25">
      <c r="A1686" s="5">
        <v>44385</v>
      </c>
      <c r="B1686" s="2">
        <v>0</v>
      </c>
      <c r="C1686" t="s">
        <v>3258</v>
      </c>
      <c r="D1686" t="s">
        <v>1355</v>
      </c>
      <c r="E1686" t="s">
        <v>1356</v>
      </c>
      <c r="F1686" s="3">
        <v>44335</v>
      </c>
      <c r="G1686" s="2">
        <v>50</v>
      </c>
      <c r="H1686" s="1">
        <v>350.26</v>
      </c>
      <c r="I1686" t="s">
        <v>3034</v>
      </c>
      <c r="J1686" s="2">
        <v>1</v>
      </c>
      <c r="K1686" t="s">
        <v>13</v>
      </c>
      <c r="L1686" t="s">
        <v>1493</v>
      </c>
      <c r="M1686" t="s">
        <v>1357</v>
      </c>
    </row>
    <row r="1687" spans="1:13" x14ac:dyDescent="0.25">
      <c r="A1687" s="5">
        <v>44385</v>
      </c>
      <c r="B1687" s="2">
        <v>0</v>
      </c>
      <c r="C1687" t="s">
        <v>3259</v>
      </c>
      <c r="D1687" t="s">
        <v>1761</v>
      </c>
      <c r="E1687" t="s">
        <v>1762</v>
      </c>
      <c r="F1687" s="3">
        <v>44315</v>
      </c>
      <c r="G1687" s="2">
        <v>70</v>
      </c>
      <c r="H1687" s="1">
        <v>574.91</v>
      </c>
      <c r="I1687" t="s">
        <v>3260</v>
      </c>
      <c r="J1687" s="2">
        <v>1</v>
      </c>
      <c r="K1687" t="s">
        <v>13</v>
      </c>
      <c r="L1687" t="s">
        <v>21</v>
      </c>
      <c r="M1687" t="s">
        <v>1165</v>
      </c>
    </row>
    <row r="1688" spans="1:13" x14ac:dyDescent="0.25">
      <c r="A1688" s="5">
        <v>44385</v>
      </c>
      <c r="B1688" s="2">
        <v>0</v>
      </c>
      <c r="C1688" t="s">
        <v>3261</v>
      </c>
      <c r="D1688" t="s">
        <v>1983</v>
      </c>
      <c r="E1688" t="s">
        <v>1984</v>
      </c>
      <c r="F1688" s="3">
        <v>44295</v>
      </c>
      <c r="G1688" s="2">
        <v>90</v>
      </c>
      <c r="H1688" s="1">
        <v>1073.96</v>
      </c>
      <c r="I1688" t="s">
        <v>2893</v>
      </c>
      <c r="J1688" s="2">
        <v>1</v>
      </c>
      <c r="K1688" t="s">
        <v>13</v>
      </c>
      <c r="L1688" t="s">
        <v>21</v>
      </c>
      <c r="M1688" t="s">
        <v>1566</v>
      </c>
    </row>
    <row r="1689" spans="1:13" x14ac:dyDescent="0.25">
      <c r="A1689" s="5">
        <v>44385</v>
      </c>
      <c r="B1689" s="2">
        <v>0</v>
      </c>
      <c r="C1689" t="s">
        <v>3262</v>
      </c>
      <c r="D1689" t="s">
        <v>1983</v>
      </c>
      <c r="E1689" t="s">
        <v>1984</v>
      </c>
      <c r="F1689" s="3">
        <v>44315</v>
      </c>
      <c r="G1689" s="2">
        <v>70</v>
      </c>
      <c r="H1689" s="1">
        <v>378.24</v>
      </c>
      <c r="I1689" t="s">
        <v>3263</v>
      </c>
      <c r="J1689" s="2">
        <v>1</v>
      </c>
      <c r="K1689" t="s">
        <v>13</v>
      </c>
      <c r="L1689" t="s">
        <v>21</v>
      </c>
      <c r="M1689" t="s">
        <v>1566</v>
      </c>
    </row>
    <row r="1690" spans="1:13" x14ac:dyDescent="0.25">
      <c r="A1690" s="5">
        <v>44385</v>
      </c>
      <c r="B1690" s="2">
        <v>0</v>
      </c>
      <c r="C1690" t="s">
        <v>3264</v>
      </c>
      <c r="D1690" t="s">
        <v>2211</v>
      </c>
      <c r="E1690" t="s">
        <v>2212</v>
      </c>
      <c r="F1690" s="3">
        <v>44305</v>
      </c>
      <c r="G1690" s="2">
        <v>80</v>
      </c>
      <c r="H1690" s="1">
        <v>861.93</v>
      </c>
      <c r="I1690" t="s">
        <v>2894</v>
      </c>
      <c r="J1690" s="2">
        <v>1</v>
      </c>
      <c r="K1690" t="s">
        <v>13</v>
      </c>
      <c r="L1690" t="s">
        <v>695</v>
      </c>
      <c r="M1690" t="s">
        <v>15</v>
      </c>
    </row>
    <row r="1691" spans="1:13" x14ac:dyDescent="0.25">
      <c r="A1691" s="5">
        <v>44385</v>
      </c>
      <c r="B1691" s="2">
        <v>0</v>
      </c>
      <c r="C1691" t="s">
        <v>3265</v>
      </c>
      <c r="D1691" t="s">
        <v>1890</v>
      </c>
      <c r="E1691" t="s">
        <v>1891</v>
      </c>
      <c r="F1691" s="3">
        <v>44322</v>
      </c>
      <c r="G1691" s="2">
        <v>63</v>
      </c>
      <c r="H1691" s="1">
        <v>1301.79</v>
      </c>
      <c r="I1691" t="s">
        <v>3266</v>
      </c>
      <c r="J1691" s="2">
        <v>1</v>
      </c>
      <c r="K1691" t="s">
        <v>1543</v>
      </c>
      <c r="L1691" t="s">
        <v>695</v>
      </c>
      <c r="M1691" t="s">
        <v>15</v>
      </c>
    </row>
    <row r="1692" spans="1:13" x14ac:dyDescent="0.25">
      <c r="A1692" s="5">
        <v>44385</v>
      </c>
      <c r="B1692" s="2">
        <v>0</v>
      </c>
      <c r="C1692" t="s">
        <v>3267</v>
      </c>
      <c r="D1692" t="s">
        <v>1892</v>
      </c>
      <c r="E1692" t="s">
        <v>1893</v>
      </c>
      <c r="F1692" s="3">
        <v>44322</v>
      </c>
      <c r="G1692" s="2">
        <v>63</v>
      </c>
      <c r="H1692" s="1">
        <v>1732.53</v>
      </c>
      <c r="I1692" t="s">
        <v>3268</v>
      </c>
      <c r="J1692" s="2">
        <v>1</v>
      </c>
      <c r="K1692" t="s">
        <v>1543</v>
      </c>
      <c r="L1692" t="s">
        <v>695</v>
      </c>
      <c r="M1692" t="s">
        <v>31</v>
      </c>
    </row>
    <row r="1693" spans="1:13" x14ac:dyDescent="0.25">
      <c r="A1693" s="5">
        <v>44385</v>
      </c>
      <c r="B1693" s="2">
        <v>0</v>
      </c>
      <c r="C1693" t="s">
        <v>3269</v>
      </c>
      <c r="D1693" t="s">
        <v>1900</v>
      </c>
      <c r="E1693" t="s">
        <v>1901</v>
      </c>
      <c r="F1693" s="3">
        <v>44322</v>
      </c>
      <c r="G1693" s="2">
        <v>63</v>
      </c>
      <c r="H1693" s="1">
        <v>970.73</v>
      </c>
      <c r="I1693" t="s">
        <v>3270</v>
      </c>
      <c r="J1693" s="2">
        <v>1</v>
      </c>
      <c r="K1693" t="s">
        <v>1543</v>
      </c>
      <c r="L1693" t="s">
        <v>695</v>
      </c>
      <c r="M1693" t="s">
        <v>15</v>
      </c>
    </row>
    <row r="1694" spans="1:13" x14ac:dyDescent="0.25">
      <c r="A1694" s="5">
        <v>44385</v>
      </c>
      <c r="B1694" s="2">
        <v>0</v>
      </c>
      <c r="C1694" t="s">
        <v>3271</v>
      </c>
      <c r="D1694" t="s">
        <v>1900</v>
      </c>
      <c r="E1694" t="s">
        <v>1901</v>
      </c>
      <c r="F1694" s="3">
        <v>44322</v>
      </c>
      <c r="G1694" s="2">
        <v>63</v>
      </c>
      <c r="H1694" s="1">
        <v>976.18</v>
      </c>
      <c r="I1694" t="s">
        <v>3272</v>
      </c>
      <c r="J1694" s="2">
        <v>1</v>
      </c>
      <c r="K1694" t="s">
        <v>1543</v>
      </c>
      <c r="L1694" t="s">
        <v>695</v>
      </c>
      <c r="M1694" t="s">
        <v>15</v>
      </c>
    </row>
    <row r="1695" spans="1:13" x14ac:dyDescent="0.25">
      <c r="A1695" s="5">
        <v>44385</v>
      </c>
      <c r="B1695" s="2">
        <v>0</v>
      </c>
      <c r="C1695" t="s">
        <v>3273</v>
      </c>
      <c r="D1695" t="s">
        <v>1900</v>
      </c>
      <c r="E1695" t="s">
        <v>1901</v>
      </c>
      <c r="F1695" s="3">
        <v>44335</v>
      </c>
      <c r="G1695" s="2">
        <v>50</v>
      </c>
      <c r="H1695" s="1">
        <v>1572.83</v>
      </c>
      <c r="I1695" t="s">
        <v>3274</v>
      </c>
      <c r="J1695" s="2">
        <v>1</v>
      </c>
      <c r="K1695" t="s">
        <v>1543</v>
      </c>
      <c r="L1695" t="s">
        <v>695</v>
      </c>
      <c r="M1695" t="s">
        <v>15</v>
      </c>
    </row>
    <row r="1696" spans="1:13" x14ac:dyDescent="0.25">
      <c r="A1696" s="5">
        <v>44385</v>
      </c>
      <c r="B1696" s="2">
        <v>0</v>
      </c>
      <c r="C1696" t="s">
        <v>3275</v>
      </c>
      <c r="D1696" t="s">
        <v>1773</v>
      </c>
      <c r="E1696" t="s">
        <v>1938</v>
      </c>
      <c r="F1696" s="3">
        <v>44265</v>
      </c>
      <c r="G1696" s="2">
        <v>120</v>
      </c>
      <c r="H1696" s="1">
        <v>997.01</v>
      </c>
      <c r="I1696" t="s">
        <v>2419</v>
      </c>
      <c r="J1696" s="2">
        <v>1</v>
      </c>
      <c r="K1696" t="s">
        <v>13</v>
      </c>
      <c r="L1696" t="s">
        <v>21</v>
      </c>
      <c r="M1696" t="s">
        <v>1774</v>
      </c>
    </row>
    <row r="1697" spans="1:13" x14ac:dyDescent="0.25">
      <c r="A1697" s="5">
        <v>44385</v>
      </c>
      <c r="B1697" s="2">
        <v>0</v>
      </c>
      <c r="C1697" t="s">
        <v>3276</v>
      </c>
      <c r="D1697" t="s">
        <v>1773</v>
      </c>
      <c r="E1697" t="s">
        <v>1938</v>
      </c>
      <c r="F1697" s="3">
        <v>44285</v>
      </c>
      <c r="G1697" s="2">
        <v>100</v>
      </c>
      <c r="H1697" s="1">
        <v>1437.56</v>
      </c>
      <c r="I1697" t="s">
        <v>2898</v>
      </c>
      <c r="J1697" s="2">
        <v>1</v>
      </c>
      <c r="K1697" t="s">
        <v>13</v>
      </c>
      <c r="L1697" t="s">
        <v>21</v>
      </c>
      <c r="M1697" t="s">
        <v>1774</v>
      </c>
    </row>
    <row r="1698" spans="1:13" x14ac:dyDescent="0.25">
      <c r="A1698" s="5">
        <v>44385</v>
      </c>
      <c r="B1698" s="2">
        <v>0</v>
      </c>
      <c r="C1698" t="s">
        <v>3277</v>
      </c>
      <c r="D1698" t="s">
        <v>1757</v>
      </c>
      <c r="E1698" t="s">
        <v>1758</v>
      </c>
      <c r="F1698" s="3">
        <v>44305</v>
      </c>
      <c r="G1698" s="2">
        <v>80</v>
      </c>
      <c r="H1698" s="1">
        <v>1068.5899999999999</v>
      </c>
      <c r="I1698" t="s">
        <v>2901</v>
      </c>
      <c r="J1698" s="2">
        <v>1</v>
      </c>
      <c r="K1698" t="s">
        <v>13</v>
      </c>
      <c r="L1698" t="s">
        <v>21</v>
      </c>
      <c r="M1698" t="s">
        <v>1165</v>
      </c>
    </row>
    <row r="1699" spans="1:13" x14ac:dyDescent="0.25">
      <c r="A1699" s="5">
        <v>44385</v>
      </c>
      <c r="B1699" s="2">
        <v>0</v>
      </c>
      <c r="C1699" t="s">
        <v>3278</v>
      </c>
      <c r="D1699" t="s">
        <v>1757</v>
      </c>
      <c r="E1699" t="s">
        <v>1758</v>
      </c>
      <c r="F1699" s="3">
        <v>44315</v>
      </c>
      <c r="G1699" s="2">
        <v>70</v>
      </c>
      <c r="H1699" s="1">
        <v>1069.9000000000001</v>
      </c>
      <c r="I1699" t="s">
        <v>3279</v>
      </c>
      <c r="J1699" s="2">
        <v>1</v>
      </c>
      <c r="K1699" t="s">
        <v>13</v>
      </c>
      <c r="L1699" t="s">
        <v>21</v>
      </c>
      <c r="M1699" t="s">
        <v>1165</v>
      </c>
    </row>
    <row r="1700" spans="1:13" x14ac:dyDescent="0.25">
      <c r="A1700" s="5">
        <v>44385</v>
      </c>
      <c r="B1700" s="2">
        <v>0</v>
      </c>
      <c r="C1700" t="s">
        <v>3280</v>
      </c>
      <c r="D1700" t="s">
        <v>1748</v>
      </c>
      <c r="E1700" t="s">
        <v>1840</v>
      </c>
      <c r="F1700" s="3">
        <v>44340</v>
      </c>
      <c r="G1700" s="2">
        <v>45</v>
      </c>
      <c r="H1700" s="1">
        <v>234.19</v>
      </c>
      <c r="I1700" t="s">
        <v>3044</v>
      </c>
      <c r="J1700" s="2">
        <v>1</v>
      </c>
      <c r="K1700" t="s">
        <v>13</v>
      </c>
      <c r="L1700" t="s">
        <v>1682</v>
      </c>
      <c r="M1700" t="s">
        <v>15</v>
      </c>
    </row>
    <row r="1701" spans="1:13" x14ac:dyDescent="0.25">
      <c r="A1701" s="5">
        <v>44385</v>
      </c>
      <c r="B1701" s="2">
        <v>0</v>
      </c>
      <c r="C1701" t="s">
        <v>3281</v>
      </c>
      <c r="D1701" t="s">
        <v>1998</v>
      </c>
      <c r="E1701" t="s">
        <v>1999</v>
      </c>
      <c r="F1701" s="3">
        <v>44335</v>
      </c>
      <c r="G1701" s="2">
        <v>50</v>
      </c>
      <c r="H1701" s="1">
        <v>912.08</v>
      </c>
      <c r="I1701" t="s">
        <v>2750</v>
      </c>
      <c r="J1701" s="2">
        <v>1</v>
      </c>
      <c r="K1701" t="s">
        <v>13</v>
      </c>
      <c r="L1701" t="s">
        <v>695</v>
      </c>
      <c r="M1701" t="s">
        <v>15</v>
      </c>
    </row>
    <row r="1702" spans="1:13" x14ac:dyDescent="0.25">
      <c r="A1702" s="5">
        <v>44385</v>
      </c>
      <c r="B1702" s="2">
        <v>0</v>
      </c>
      <c r="C1702" t="s">
        <v>3283</v>
      </c>
      <c r="D1702" t="s">
        <v>1852</v>
      </c>
      <c r="E1702" t="s">
        <v>1853</v>
      </c>
      <c r="F1702" s="3">
        <v>44355</v>
      </c>
      <c r="G1702" s="2">
        <v>30</v>
      </c>
      <c r="H1702" s="1">
        <v>308.73</v>
      </c>
      <c r="I1702" t="s">
        <v>3284</v>
      </c>
      <c r="J1702" s="2">
        <v>1</v>
      </c>
      <c r="K1702" t="s">
        <v>13</v>
      </c>
      <c r="L1702" t="s">
        <v>830</v>
      </c>
      <c r="M1702" t="s">
        <v>172</v>
      </c>
    </row>
    <row r="1703" spans="1:13" x14ac:dyDescent="0.25">
      <c r="A1703" s="5">
        <v>44386</v>
      </c>
      <c r="B1703" s="2">
        <v>0</v>
      </c>
      <c r="C1703" t="s">
        <v>3285</v>
      </c>
      <c r="D1703" t="s">
        <v>2297</v>
      </c>
      <c r="E1703" t="s">
        <v>2298</v>
      </c>
      <c r="F1703" s="3">
        <v>44286</v>
      </c>
      <c r="G1703" s="2">
        <v>100</v>
      </c>
      <c r="H1703" s="1">
        <v>372.46</v>
      </c>
      <c r="I1703" t="s">
        <v>2299</v>
      </c>
      <c r="J1703" s="2">
        <v>1</v>
      </c>
      <c r="K1703" t="s">
        <v>13</v>
      </c>
      <c r="L1703" t="s">
        <v>21</v>
      </c>
      <c r="M1703" t="s">
        <v>31</v>
      </c>
    </row>
    <row r="1704" spans="1:13" x14ac:dyDescent="0.25">
      <c r="A1704" s="5">
        <v>44386</v>
      </c>
      <c r="B1704" s="2">
        <v>0</v>
      </c>
      <c r="C1704" t="s">
        <v>3286</v>
      </c>
      <c r="D1704" t="s">
        <v>2297</v>
      </c>
      <c r="E1704" t="s">
        <v>2298</v>
      </c>
      <c r="F1704" s="3">
        <v>44321</v>
      </c>
      <c r="G1704" s="2">
        <v>65</v>
      </c>
      <c r="H1704" s="1">
        <v>733.37</v>
      </c>
      <c r="I1704" t="s">
        <v>2907</v>
      </c>
      <c r="J1704" s="2">
        <v>1</v>
      </c>
      <c r="K1704" t="s">
        <v>13</v>
      </c>
      <c r="L1704" t="s">
        <v>21</v>
      </c>
      <c r="M1704" t="s">
        <v>31</v>
      </c>
    </row>
    <row r="1705" spans="1:13" x14ac:dyDescent="0.25">
      <c r="A1705" s="5">
        <v>44386</v>
      </c>
      <c r="B1705" s="2">
        <v>0</v>
      </c>
      <c r="C1705" t="s">
        <v>3287</v>
      </c>
      <c r="D1705" t="s">
        <v>1761</v>
      </c>
      <c r="E1705" t="s">
        <v>1762</v>
      </c>
      <c r="F1705" s="3">
        <v>44306</v>
      </c>
      <c r="G1705" s="2">
        <v>80</v>
      </c>
      <c r="H1705" s="1">
        <v>1837.55</v>
      </c>
      <c r="I1705" t="s">
        <v>3056</v>
      </c>
      <c r="J1705" s="2">
        <v>1</v>
      </c>
      <c r="K1705" t="s">
        <v>13</v>
      </c>
      <c r="L1705" t="s">
        <v>21</v>
      </c>
      <c r="M1705" t="s">
        <v>1165</v>
      </c>
    </row>
    <row r="1706" spans="1:13" x14ac:dyDescent="0.25">
      <c r="A1706" s="5">
        <v>44386</v>
      </c>
      <c r="B1706" s="2">
        <v>0</v>
      </c>
      <c r="C1706" t="s">
        <v>3288</v>
      </c>
      <c r="D1706" t="s">
        <v>1983</v>
      </c>
      <c r="E1706" t="s">
        <v>1984</v>
      </c>
      <c r="F1706" s="3">
        <v>44286</v>
      </c>
      <c r="G1706" s="2">
        <v>100</v>
      </c>
      <c r="H1706" s="1">
        <v>602.16999999999996</v>
      </c>
      <c r="I1706" t="s">
        <v>2911</v>
      </c>
      <c r="J1706" s="2">
        <v>1</v>
      </c>
      <c r="K1706" t="s">
        <v>13</v>
      </c>
      <c r="L1706" t="s">
        <v>21</v>
      </c>
      <c r="M1706" t="s">
        <v>1566</v>
      </c>
    </row>
    <row r="1707" spans="1:13" x14ac:dyDescent="0.25">
      <c r="A1707" s="5">
        <v>44386</v>
      </c>
      <c r="B1707" s="2">
        <v>0</v>
      </c>
      <c r="C1707" t="s">
        <v>3289</v>
      </c>
      <c r="D1707" t="s">
        <v>1983</v>
      </c>
      <c r="E1707" t="s">
        <v>1984</v>
      </c>
      <c r="F1707" s="3">
        <v>44326</v>
      </c>
      <c r="G1707" s="2">
        <v>60</v>
      </c>
      <c r="H1707" s="1">
        <v>1537.91</v>
      </c>
      <c r="I1707" t="s">
        <v>3290</v>
      </c>
      <c r="J1707" s="2">
        <v>1</v>
      </c>
      <c r="K1707" t="s">
        <v>13</v>
      </c>
      <c r="L1707" t="s">
        <v>21</v>
      </c>
      <c r="M1707" t="s">
        <v>1566</v>
      </c>
    </row>
    <row r="1708" spans="1:13" x14ac:dyDescent="0.25">
      <c r="A1708" s="5">
        <v>44386</v>
      </c>
      <c r="B1708" s="2">
        <v>0</v>
      </c>
      <c r="C1708" t="s">
        <v>3291</v>
      </c>
      <c r="D1708" t="s">
        <v>1983</v>
      </c>
      <c r="E1708" t="s">
        <v>1984</v>
      </c>
      <c r="F1708" s="3">
        <v>44351</v>
      </c>
      <c r="G1708" s="2">
        <v>35</v>
      </c>
      <c r="H1708" s="1">
        <v>784.09</v>
      </c>
      <c r="I1708" t="s">
        <v>3292</v>
      </c>
      <c r="J1708" s="2">
        <v>1</v>
      </c>
      <c r="K1708" t="s">
        <v>13</v>
      </c>
      <c r="L1708" t="s">
        <v>21</v>
      </c>
      <c r="M1708" t="s">
        <v>1566</v>
      </c>
    </row>
    <row r="1709" spans="1:13" x14ac:dyDescent="0.25">
      <c r="A1709" s="5">
        <v>44386</v>
      </c>
      <c r="B1709" s="2">
        <v>0</v>
      </c>
      <c r="C1709" t="s">
        <v>3294</v>
      </c>
      <c r="D1709" t="s">
        <v>2211</v>
      </c>
      <c r="E1709" t="s">
        <v>2212</v>
      </c>
      <c r="F1709" s="3">
        <v>44286</v>
      </c>
      <c r="G1709" s="2">
        <v>100</v>
      </c>
      <c r="H1709" s="1">
        <v>1110.56</v>
      </c>
      <c r="I1709" t="s">
        <v>2429</v>
      </c>
      <c r="J1709" s="2">
        <v>1</v>
      </c>
      <c r="K1709" t="s">
        <v>13</v>
      </c>
      <c r="L1709" t="s">
        <v>695</v>
      </c>
      <c r="M1709" t="s">
        <v>15</v>
      </c>
    </row>
    <row r="1710" spans="1:13" x14ac:dyDescent="0.25">
      <c r="A1710" s="5">
        <v>44386</v>
      </c>
      <c r="B1710" s="2">
        <v>0</v>
      </c>
      <c r="C1710" t="s">
        <v>3298</v>
      </c>
      <c r="D1710" t="s">
        <v>2496</v>
      </c>
      <c r="E1710" t="s">
        <v>2497</v>
      </c>
      <c r="F1710" s="3">
        <v>43684</v>
      </c>
      <c r="G1710" s="2">
        <v>702</v>
      </c>
      <c r="H1710" s="1">
        <v>500</v>
      </c>
      <c r="I1710" t="s">
        <v>3299</v>
      </c>
      <c r="J1710" s="2">
        <v>1</v>
      </c>
      <c r="K1710" t="s">
        <v>13</v>
      </c>
      <c r="L1710" t="s">
        <v>1682</v>
      </c>
      <c r="M1710" t="s">
        <v>15</v>
      </c>
    </row>
    <row r="1711" spans="1:13" x14ac:dyDescent="0.25">
      <c r="A1711" s="5">
        <v>44386</v>
      </c>
      <c r="B1711" s="2">
        <v>0</v>
      </c>
      <c r="C1711" t="s">
        <v>3301</v>
      </c>
      <c r="D1711" t="s">
        <v>1890</v>
      </c>
      <c r="E1711" t="s">
        <v>1891</v>
      </c>
      <c r="F1711" s="3">
        <v>44323</v>
      </c>
      <c r="G1711" s="2">
        <v>63</v>
      </c>
      <c r="H1711" s="1">
        <v>570.57000000000005</v>
      </c>
      <c r="I1711" t="s">
        <v>3302</v>
      </c>
      <c r="J1711" s="2">
        <v>1</v>
      </c>
      <c r="K1711" t="s">
        <v>1543</v>
      </c>
      <c r="L1711" t="s">
        <v>695</v>
      </c>
      <c r="M1711" t="s">
        <v>15</v>
      </c>
    </row>
    <row r="1712" spans="1:13" x14ac:dyDescent="0.25">
      <c r="A1712" s="5">
        <v>44386</v>
      </c>
      <c r="B1712" s="2">
        <v>0</v>
      </c>
      <c r="C1712" t="s">
        <v>3303</v>
      </c>
      <c r="D1712" t="s">
        <v>1892</v>
      </c>
      <c r="E1712" t="s">
        <v>1893</v>
      </c>
      <c r="F1712" s="3">
        <v>44323</v>
      </c>
      <c r="G1712" s="2">
        <v>63</v>
      </c>
      <c r="H1712" s="1">
        <v>570.57000000000005</v>
      </c>
      <c r="I1712" t="s">
        <v>3304</v>
      </c>
      <c r="J1712" s="2">
        <v>1</v>
      </c>
      <c r="K1712" t="s">
        <v>1543</v>
      </c>
      <c r="L1712" t="s">
        <v>695</v>
      </c>
      <c r="M1712" t="s">
        <v>31</v>
      </c>
    </row>
    <row r="1713" spans="1:13" x14ac:dyDescent="0.25">
      <c r="A1713" s="5">
        <v>44386</v>
      </c>
      <c r="B1713" s="2">
        <v>0</v>
      </c>
      <c r="C1713" t="s">
        <v>3305</v>
      </c>
      <c r="D1713" t="s">
        <v>1716</v>
      </c>
      <c r="E1713" t="s">
        <v>1717</v>
      </c>
      <c r="F1713" s="3">
        <v>44323</v>
      </c>
      <c r="G1713" s="2">
        <v>63</v>
      </c>
      <c r="H1713" s="1">
        <v>570.57000000000005</v>
      </c>
      <c r="I1713" t="s">
        <v>3306</v>
      </c>
      <c r="J1713" s="2">
        <v>1</v>
      </c>
      <c r="K1713" t="s">
        <v>1543</v>
      </c>
      <c r="L1713" t="s">
        <v>695</v>
      </c>
      <c r="M1713" t="s">
        <v>15</v>
      </c>
    </row>
    <row r="1714" spans="1:13" x14ac:dyDescent="0.25">
      <c r="A1714" s="5">
        <v>44386</v>
      </c>
      <c r="B1714" s="2">
        <v>0</v>
      </c>
      <c r="C1714" t="s">
        <v>3307</v>
      </c>
      <c r="D1714" t="s">
        <v>1716</v>
      </c>
      <c r="E1714" t="s">
        <v>1717</v>
      </c>
      <c r="F1714" s="3">
        <v>44326</v>
      </c>
      <c r="G1714" s="2">
        <v>60</v>
      </c>
      <c r="H1714" s="1">
        <v>596.73</v>
      </c>
      <c r="I1714" t="s">
        <v>3308</v>
      </c>
      <c r="J1714" s="2">
        <v>1</v>
      </c>
      <c r="K1714" t="s">
        <v>1543</v>
      </c>
      <c r="L1714" t="s">
        <v>695</v>
      </c>
      <c r="M1714" t="s">
        <v>15</v>
      </c>
    </row>
    <row r="1715" spans="1:13" x14ac:dyDescent="0.25">
      <c r="A1715" s="5">
        <v>44386</v>
      </c>
      <c r="B1715" s="2">
        <v>0</v>
      </c>
      <c r="C1715" t="s">
        <v>3309</v>
      </c>
      <c r="D1715" t="s">
        <v>1900</v>
      </c>
      <c r="E1715" t="s">
        <v>1901</v>
      </c>
      <c r="F1715" s="3">
        <v>44323</v>
      </c>
      <c r="G1715" s="2">
        <v>63</v>
      </c>
      <c r="H1715" s="1">
        <v>570.57000000000005</v>
      </c>
      <c r="I1715" t="s">
        <v>3310</v>
      </c>
      <c r="J1715" s="2">
        <v>1</v>
      </c>
      <c r="K1715" t="s">
        <v>1543</v>
      </c>
      <c r="L1715" t="s">
        <v>695</v>
      </c>
      <c r="M1715" t="s">
        <v>15</v>
      </c>
    </row>
    <row r="1716" spans="1:13" x14ac:dyDescent="0.25">
      <c r="A1716" s="5">
        <v>44386</v>
      </c>
      <c r="B1716" s="2">
        <v>0</v>
      </c>
      <c r="C1716" t="s">
        <v>3311</v>
      </c>
      <c r="D1716" t="s">
        <v>1900</v>
      </c>
      <c r="E1716" t="s">
        <v>1901</v>
      </c>
      <c r="F1716" s="3">
        <v>44326</v>
      </c>
      <c r="G1716" s="2">
        <v>60</v>
      </c>
      <c r="H1716" s="1">
        <v>596.73</v>
      </c>
      <c r="I1716" t="s">
        <v>3312</v>
      </c>
      <c r="J1716" s="2">
        <v>1</v>
      </c>
      <c r="K1716" t="s">
        <v>1543</v>
      </c>
      <c r="L1716" t="s">
        <v>695</v>
      </c>
      <c r="M1716" t="s">
        <v>15</v>
      </c>
    </row>
    <row r="1717" spans="1:13" x14ac:dyDescent="0.25">
      <c r="A1717" s="5">
        <v>44386</v>
      </c>
      <c r="B1717" s="2">
        <v>0</v>
      </c>
      <c r="C1717" t="s">
        <v>3313</v>
      </c>
      <c r="D1717" t="s">
        <v>1773</v>
      </c>
      <c r="E1717" t="s">
        <v>1938</v>
      </c>
      <c r="F1717" s="3">
        <v>44286</v>
      </c>
      <c r="G1717" s="2">
        <v>100</v>
      </c>
      <c r="H1717" s="1">
        <v>602.16999999999996</v>
      </c>
      <c r="I1717" t="s">
        <v>2916</v>
      </c>
      <c r="J1717" s="2">
        <v>1</v>
      </c>
      <c r="K1717" t="s">
        <v>13</v>
      </c>
      <c r="L1717" t="s">
        <v>21</v>
      </c>
      <c r="M1717" t="s">
        <v>1774</v>
      </c>
    </row>
    <row r="1718" spans="1:13" x14ac:dyDescent="0.25">
      <c r="A1718" s="5">
        <v>44386</v>
      </c>
      <c r="B1718" s="2">
        <v>0</v>
      </c>
      <c r="C1718" t="s">
        <v>3314</v>
      </c>
      <c r="D1718" t="s">
        <v>1757</v>
      </c>
      <c r="E1718" t="s">
        <v>1758</v>
      </c>
      <c r="F1718" s="3">
        <v>44286</v>
      </c>
      <c r="G1718" s="2">
        <v>100</v>
      </c>
      <c r="H1718" s="1">
        <v>602.16999999999996</v>
      </c>
      <c r="I1718" t="s">
        <v>2918</v>
      </c>
      <c r="J1718" s="2">
        <v>1</v>
      </c>
      <c r="K1718" t="s">
        <v>13</v>
      </c>
      <c r="L1718" t="s">
        <v>21</v>
      </c>
      <c r="M1718" t="s">
        <v>1165</v>
      </c>
    </row>
    <row r="1719" spans="1:13" x14ac:dyDescent="0.25">
      <c r="A1719" s="5">
        <v>44386</v>
      </c>
      <c r="B1719" s="2">
        <v>0</v>
      </c>
      <c r="C1719" t="s">
        <v>3315</v>
      </c>
      <c r="D1719" t="s">
        <v>1757</v>
      </c>
      <c r="E1719" t="s">
        <v>1758</v>
      </c>
      <c r="F1719" s="3">
        <v>44326</v>
      </c>
      <c r="G1719" s="2">
        <v>60</v>
      </c>
      <c r="H1719" s="1">
        <v>487.46</v>
      </c>
      <c r="I1719" t="s">
        <v>3316</v>
      </c>
      <c r="J1719" s="2">
        <v>1</v>
      </c>
      <c r="K1719" t="s">
        <v>13</v>
      </c>
      <c r="L1719" t="s">
        <v>21</v>
      </c>
      <c r="M1719" t="s">
        <v>1165</v>
      </c>
    </row>
    <row r="1720" spans="1:13" x14ac:dyDescent="0.25">
      <c r="A1720" s="5">
        <v>44386</v>
      </c>
      <c r="B1720" s="2">
        <v>0</v>
      </c>
      <c r="C1720" t="s">
        <v>3325</v>
      </c>
      <c r="D1720" t="s">
        <v>2047</v>
      </c>
      <c r="E1720" t="s">
        <v>2005</v>
      </c>
      <c r="F1720" s="3">
        <v>44306</v>
      </c>
      <c r="G1720" s="2">
        <v>80</v>
      </c>
      <c r="H1720" s="1">
        <v>193.29</v>
      </c>
      <c r="I1720" t="s">
        <v>2692</v>
      </c>
      <c r="J1720" s="2">
        <v>1</v>
      </c>
      <c r="K1720" t="s">
        <v>13</v>
      </c>
      <c r="L1720" t="s">
        <v>1682</v>
      </c>
      <c r="M1720" t="s">
        <v>15</v>
      </c>
    </row>
    <row r="1721" spans="1:13" x14ac:dyDescent="0.25">
      <c r="A1721" s="5">
        <v>44386</v>
      </c>
      <c r="B1721" s="2">
        <v>0</v>
      </c>
      <c r="C1721" t="s">
        <v>3326</v>
      </c>
      <c r="D1721" t="s">
        <v>2047</v>
      </c>
      <c r="E1721" t="s">
        <v>2005</v>
      </c>
      <c r="F1721" s="3">
        <v>44316</v>
      </c>
      <c r="G1721" s="2">
        <v>70</v>
      </c>
      <c r="H1721" s="1">
        <v>312.77</v>
      </c>
      <c r="I1721" t="s">
        <v>2924</v>
      </c>
      <c r="J1721" s="2">
        <v>1</v>
      </c>
      <c r="K1721" t="s">
        <v>13</v>
      </c>
      <c r="L1721" t="s">
        <v>1682</v>
      </c>
      <c r="M1721" t="s">
        <v>15</v>
      </c>
    </row>
    <row r="1722" spans="1:13" x14ac:dyDescent="0.25">
      <c r="A1722" s="5">
        <v>44386</v>
      </c>
      <c r="B1722" s="2">
        <v>0</v>
      </c>
      <c r="C1722" t="s">
        <v>3327</v>
      </c>
      <c r="D1722" t="s">
        <v>2047</v>
      </c>
      <c r="E1722" t="s">
        <v>2005</v>
      </c>
      <c r="F1722" s="3">
        <v>44326</v>
      </c>
      <c r="G1722" s="2">
        <v>60</v>
      </c>
      <c r="H1722" s="1">
        <v>238.39</v>
      </c>
      <c r="I1722" t="s">
        <v>3067</v>
      </c>
      <c r="J1722" s="2">
        <v>1</v>
      </c>
      <c r="K1722" t="s">
        <v>13</v>
      </c>
      <c r="L1722" t="s">
        <v>1682</v>
      </c>
      <c r="M1722" t="s">
        <v>15</v>
      </c>
    </row>
    <row r="1723" spans="1:13" x14ac:dyDescent="0.25">
      <c r="A1723" s="5">
        <v>44387</v>
      </c>
      <c r="B1723" s="2">
        <v>0</v>
      </c>
      <c r="C1723" t="s">
        <v>3331</v>
      </c>
      <c r="D1723" t="s">
        <v>2350</v>
      </c>
      <c r="E1723" t="s">
        <v>2351</v>
      </c>
      <c r="F1723" s="3">
        <v>44327</v>
      </c>
      <c r="G1723" s="2">
        <v>60</v>
      </c>
      <c r="H1723" s="1">
        <v>471.08</v>
      </c>
      <c r="I1723" t="s">
        <v>3069</v>
      </c>
      <c r="J1723" s="2">
        <v>1</v>
      </c>
      <c r="K1723" t="s">
        <v>13</v>
      </c>
      <c r="L1723" t="s">
        <v>695</v>
      </c>
      <c r="M1723" t="s">
        <v>15</v>
      </c>
    </row>
    <row r="1724" spans="1:13" x14ac:dyDescent="0.25">
      <c r="A1724" s="5">
        <v>44387</v>
      </c>
      <c r="B1724" s="2">
        <v>0</v>
      </c>
      <c r="C1724" t="s">
        <v>3334</v>
      </c>
      <c r="D1724" t="s">
        <v>1355</v>
      </c>
      <c r="E1724" t="s">
        <v>1356</v>
      </c>
      <c r="F1724" s="3">
        <v>44342</v>
      </c>
      <c r="G1724" s="2">
        <v>45</v>
      </c>
      <c r="H1724" s="1">
        <v>717.19</v>
      </c>
      <c r="I1724" t="s">
        <v>3335</v>
      </c>
      <c r="J1724" s="2">
        <v>1</v>
      </c>
      <c r="K1724" t="s">
        <v>13</v>
      </c>
      <c r="L1724" t="s">
        <v>1493</v>
      </c>
      <c r="M1724" t="s">
        <v>1357</v>
      </c>
    </row>
    <row r="1725" spans="1:13" x14ac:dyDescent="0.25">
      <c r="A1725" s="5">
        <v>44387</v>
      </c>
      <c r="B1725" s="2">
        <v>0</v>
      </c>
      <c r="C1725" t="s">
        <v>3336</v>
      </c>
      <c r="D1725" t="s">
        <v>1761</v>
      </c>
      <c r="E1725" t="s">
        <v>1762</v>
      </c>
      <c r="F1725" s="3">
        <v>44257</v>
      </c>
      <c r="G1725" s="2">
        <v>130</v>
      </c>
      <c r="H1725" s="1">
        <v>1486.3</v>
      </c>
      <c r="I1725" t="s">
        <v>2451</v>
      </c>
      <c r="J1725" s="2">
        <v>1</v>
      </c>
      <c r="K1725" t="s">
        <v>13</v>
      </c>
      <c r="L1725" t="s">
        <v>21</v>
      </c>
      <c r="M1725" t="s">
        <v>1165</v>
      </c>
    </row>
    <row r="1726" spans="1:13" x14ac:dyDescent="0.25">
      <c r="A1726" s="5">
        <v>44387</v>
      </c>
      <c r="B1726" s="2">
        <v>0</v>
      </c>
      <c r="C1726" t="s">
        <v>3337</v>
      </c>
      <c r="D1726" t="s">
        <v>1761</v>
      </c>
      <c r="E1726" t="s">
        <v>1762</v>
      </c>
      <c r="F1726" s="3">
        <v>44277</v>
      </c>
      <c r="G1726" s="2">
        <v>110</v>
      </c>
      <c r="H1726" s="1">
        <v>1225.3699999999999</v>
      </c>
      <c r="I1726" t="s">
        <v>2701</v>
      </c>
      <c r="J1726" s="2">
        <v>1</v>
      </c>
      <c r="K1726" t="s">
        <v>13</v>
      </c>
      <c r="L1726" t="s">
        <v>21</v>
      </c>
      <c r="M1726" t="s">
        <v>1165</v>
      </c>
    </row>
    <row r="1727" spans="1:13" x14ac:dyDescent="0.25">
      <c r="A1727" s="5">
        <v>44387</v>
      </c>
      <c r="B1727" s="2">
        <v>0</v>
      </c>
      <c r="C1727" t="s">
        <v>3338</v>
      </c>
      <c r="D1727" t="s">
        <v>1421</v>
      </c>
      <c r="E1727" t="s">
        <v>1422</v>
      </c>
      <c r="F1727" s="3">
        <v>44337</v>
      </c>
      <c r="G1727" s="2">
        <v>50</v>
      </c>
      <c r="H1727" s="1">
        <v>308.75</v>
      </c>
      <c r="I1727" t="s">
        <v>3076</v>
      </c>
      <c r="J1727" s="2">
        <v>1</v>
      </c>
      <c r="K1727" t="s">
        <v>13</v>
      </c>
      <c r="L1727" t="s">
        <v>1493</v>
      </c>
      <c r="M1727" t="s">
        <v>1357</v>
      </c>
    </row>
    <row r="1728" spans="1:13" x14ac:dyDescent="0.25">
      <c r="A1728" s="5">
        <v>44387</v>
      </c>
      <c r="B1728" s="2">
        <v>0</v>
      </c>
      <c r="C1728" t="s">
        <v>3339</v>
      </c>
      <c r="D1728" t="s">
        <v>1890</v>
      </c>
      <c r="E1728" t="s">
        <v>1891</v>
      </c>
      <c r="F1728" s="3">
        <v>44327</v>
      </c>
      <c r="G1728" s="2">
        <v>60</v>
      </c>
      <c r="H1728" s="1">
        <v>332.37</v>
      </c>
      <c r="I1728" t="s">
        <v>3340</v>
      </c>
      <c r="J1728" s="2">
        <v>1</v>
      </c>
      <c r="K1728" t="s">
        <v>1543</v>
      </c>
      <c r="L1728" t="s">
        <v>695</v>
      </c>
      <c r="M1728" t="s">
        <v>15</v>
      </c>
    </row>
    <row r="1729" spans="1:13" x14ac:dyDescent="0.25">
      <c r="A1729" s="5">
        <v>44387</v>
      </c>
      <c r="B1729" s="2">
        <v>0</v>
      </c>
      <c r="C1729" t="s">
        <v>3341</v>
      </c>
      <c r="D1729" t="s">
        <v>1890</v>
      </c>
      <c r="E1729" t="s">
        <v>1891</v>
      </c>
      <c r="F1729" s="3">
        <v>44327</v>
      </c>
      <c r="G1729" s="2">
        <v>60</v>
      </c>
      <c r="H1729" s="1">
        <v>373.55</v>
      </c>
      <c r="I1729" t="s">
        <v>3342</v>
      </c>
      <c r="J1729" s="2">
        <v>1</v>
      </c>
      <c r="K1729" t="s">
        <v>1543</v>
      </c>
      <c r="L1729" t="s">
        <v>695</v>
      </c>
      <c r="M1729" t="s">
        <v>15</v>
      </c>
    </row>
    <row r="1730" spans="1:13" x14ac:dyDescent="0.25">
      <c r="A1730" s="5">
        <v>44387</v>
      </c>
      <c r="B1730" s="2">
        <v>0</v>
      </c>
      <c r="C1730" t="s">
        <v>3343</v>
      </c>
      <c r="D1730" t="s">
        <v>1890</v>
      </c>
      <c r="E1730" t="s">
        <v>1891</v>
      </c>
      <c r="F1730" s="3">
        <v>44327</v>
      </c>
      <c r="G1730" s="2">
        <v>60</v>
      </c>
      <c r="H1730" s="1">
        <v>1046.97</v>
      </c>
      <c r="I1730" t="s">
        <v>3344</v>
      </c>
      <c r="J1730" s="2">
        <v>1</v>
      </c>
      <c r="K1730" t="s">
        <v>1543</v>
      </c>
      <c r="L1730" t="s">
        <v>695</v>
      </c>
      <c r="M1730" t="s">
        <v>15</v>
      </c>
    </row>
    <row r="1731" spans="1:13" x14ac:dyDescent="0.25">
      <c r="A1731" s="5">
        <v>44387</v>
      </c>
      <c r="B1731" s="2">
        <v>0</v>
      </c>
      <c r="C1731" t="s">
        <v>3345</v>
      </c>
      <c r="D1731" t="s">
        <v>1892</v>
      </c>
      <c r="E1731" t="s">
        <v>1893</v>
      </c>
      <c r="F1731" s="3">
        <v>44327</v>
      </c>
      <c r="G1731" s="2">
        <v>60</v>
      </c>
      <c r="H1731" s="1">
        <v>332.37</v>
      </c>
      <c r="I1731" t="s">
        <v>3346</v>
      </c>
      <c r="J1731" s="2">
        <v>1</v>
      </c>
      <c r="K1731" t="s">
        <v>1543</v>
      </c>
      <c r="L1731" t="s">
        <v>695</v>
      </c>
      <c r="M1731" t="s">
        <v>31</v>
      </c>
    </row>
    <row r="1732" spans="1:13" x14ac:dyDescent="0.25">
      <c r="A1732" s="5">
        <v>44387</v>
      </c>
      <c r="B1732" s="2">
        <v>0</v>
      </c>
      <c r="C1732" t="s">
        <v>3347</v>
      </c>
      <c r="D1732" t="s">
        <v>1892</v>
      </c>
      <c r="E1732" t="s">
        <v>1893</v>
      </c>
      <c r="F1732" s="3">
        <v>44327</v>
      </c>
      <c r="G1732" s="2">
        <v>60</v>
      </c>
      <c r="H1732" s="1">
        <v>1036.04</v>
      </c>
      <c r="I1732" t="s">
        <v>3080</v>
      </c>
      <c r="J1732" s="2">
        <v>1</v>
      </c>
      <c r="K1732" t="s">
        <v>1543</v>
      </c>
      <c r="L1732" t="s">
        <v>695</v>
      </c>
      <c r="M1732" t="s">
        <v>31</v>
      </c>
    </row>
    <row r="1733" spans="1:13" x14ac:dyDescent="0.25">
      <c r="A1733" s="5">
        <v>44387</v>
      </c>
      <c r="B1733" s="2">
        <v>0</v>
      </c>
      <c r="C1733" t="s">
        <v>3348</v>
      </c>
      <c r="D1733" t="s">
        <v>1892</v>
      </c>
      <c r="E1733" t="s">
        <v>1893</v>
      </c>
      <c r="F1733" s="3">
        <v>44327</v>
      </c>
      <c r="G1733" s="2">
        <v>60</v>
      </c>
      <c r="H1733" s="1">
        <v>1233.73</v>
      </c>
      <c r="I1733" t="s">
        <v>3349</v>
      </c>
      <c r="J1733" s="2">
        <v>1</v>
      </c>
      <c r="K1733" t="s">
        <v>1543</v>
      </c>
      <c r="L1733" t="s">
        <v>695</v>
      </c>
      <c r="M1733" t="s">
        <v>31</v>
      </c>
    </row>
    <row r="1734" spans="1:13" x14ac:dyDescent="0.25">
      <c r="A1734" s="5">
        <v>44387</v>
      </c>
      <c r="B1734" s="2">
        <v>0</v>
      </c>
      <c r="C1734" t="s">
        <v>3350</v>
      </c>
      <c r="D1734" t="s">
        <v>1716</v>
      </c>
      <c r="E1734" t="s">
        <v>1717</v>
      </c>
      <c r="F1734" s="3">
        <v>44327</v>
      </c>
      <c r="G1734" s="2">
        <v>60</v>
      </c>
      <c r="H1734" s="1">
        <v>390.55</v>
      </c>
      <c r="I1734" t="s">
        <v>3351</v>
      </c>
      <c r="J1734" s="2">
        <v>1</v>
      </c>
      <c r="K1734" t="s">
        <v>1543</v>
      </c>
      <c r="L1734" t="s">
        <v>695</v>
      </c>
      <c r="M1734" t="s">
        <v>15</v>
      </c>
    </row>
    <row r="1735" spans="1:13" x14ac:dyDescent="0.25">
      <c r="A1735" s="5">
        <v>44387</v>
      </c>
      <c r="B1735" s="2">
        <v>0</v>
      </c>
      <c r="C1735" t="s">
        <v>3352</v>
      </c>
      <c r="D1735" t="s">
        <v>1716</v>
      </c>
      <c r="E1735" t="s">
        <v>1717</v>
      </c>
      <c r="F1735" s="3">
        <v>44327</v>
      </c>
      <c r="G1735" s="2">
        <v>60</v>
      </c>
      <c r="H1735" s="1">
        <v>1607.23</v>
      </c>
      <c r="I1735" t="s">
        <v>3353</v>
      </c>
      <c r="J1735" s="2">
        <v>1</v>
      </c>
      <c r="K1735" t="s">
        <v>1543</v>
      </c>
      <c r="L1735" t="s">
        <v>695</v>
      </c>
      <c r="M1735" t="s">
        <v>15</v>
      </c>
    </row>
    <row r="1736" spans="1:13" x14ac:dyDescent="0.25">
      <c r="A1736" s="5">
        <v>44387</v>
      </c>
      <c r="B1736" s="2">
        <v>0</v>
      </c>
      <c r="C1736" t="s">
        <v>3354</v>
      </c>
      <c r="D1736" t="s">
        <v>1900</v>
      </c>
      <c r="E1736" t="s">
        <v>1901</v>
      </c>
      <c r="F1736" s="3">
        <v>44327</v>
      </c>
      <c r="G1736" s="2">
        <v>60</v>
      </c>
      <c r="H1736" s="1">
        <v>332.37</v>
      </c>
      <c r="I1736" t="s">
        <v>3355</v>
      </c>
      <c r="J1736" s="2">
        <v>1</v>
      </c>
      <c r="K1736" t="s">
        <v>1543</v>
      </c>
      <c r="L1736" t="s">
        <v>695</v>
      </c>
      <c r="M1736" t="s">
        <v>15</v>
      </c>
    </row>
    <row r="1737" spans="1:13" x14ac:dyDescent="0.25">
      <c r="A1737" s="5">
        <v>44387</v>
      </c>
      <c r="B1737" s="2">
        <v>0</v>
      </c>
      <c r="C1737" t="s">
        <v>3356</v>
      </c>
      <c r="D1737" t="s">
        <v>1900</v>
      </c>
      <c r="E1737" t="s">
        <v>1901</v>
      </c>
      <c r="F1737" s="3">
        <v>44327</v>
      </c>
      <c r="G1737" s="2">
        <v>60</v>
      </c>
      <c r="H1737" s="1">
        <v>218.17</v>
      </c>
      <c r="I1737" t="s">
        <v>3357</v>
      </c>
      <c r="J1737" s="2">
        <v>1</v>
      </c>
      <c r="K1737" t="s">
        <v>1543</v>
      </c>
      <c r="L1737" t="s">
        <v>695</v>
      </c>
      <c r="M1737" t="s">
        <v>15</v>
      </c>
    </row>
    <row r="1738" spans="1:13" x14ac:dyDescent="0.25">
      <c r="A1738" s="5">
        <v>44387</v>
      </c>
      <c r="B1738" s="2">
        <v>0</v>
      </c>
      <c r="C1738" t="s">
        <v>3358</v>
      </c>
      <c r="D1738" t="s">
        <v>1900</v>
      </c>
      <c r="E1738" t="s">
        <v>1901</v>
      </c>
      <c r="F1738" s="3">
        <v>44327</v>
      </c>
      <c r="G1738" s="2">
        <v>60</v>
      </c>
      <c r="H1738" s="1">
        <v>1607.23</v>
      </c>
      <c r="I1738" t="s">
        <v>3359</v>
      </c>
      <c r="J1738" s="2">
        <v>1</v>
      </c>
      <c r="K1738" t="s">
        <v>1543</v>
      </c>
      <c r="L1738" t="s">
        <v>695</v>
      </c>
      <c r="M1738" t="s">
        <v>15</v>
      </c>
    </row>
    <row r="1739" spans="1:13" x14ac:dyDescent="0.25">
      <c r="A1739" s="5">
        <v>44388</v>
      </c>
      <c r="B1739" s="2">
        <v>0</v>
      </c>
      <c r="C1739" t="s">
        <v>3365</v>
      </c>
      <c r="D1739" t="s">
        <v>2932</v>
      </c>
      <c r="E1739" t="s">
        <v>2933</v>
      </c>
      <c r="F1739" s="3">
        <v>44328</v>
      </c>
      <c r="G1739" s="2">
        <v>60</v>
      </c>
      <c r="H1739" s="1">
        <v>343.32</v>
      </c>
      <c r="I1739" t="s">
        <v>2934</v>
      </c>
      <c r="J1739" s="2">
        <v>1</v>
      </c>
      <c r="K1739" t="s">
        <v>13</v>
      </c>
      <c r="L1739" t="s">
        <v>554</v>
      </c>
      <c r="M1739" t="s">
        <v>2741</v>
      </c>
    </row>
    <row r="1740" spans="1:13" x14ac:dyDescent="0.25">
      <c r="A1740" s="5">
        <v>44388</v>
      </c>
      <c r="B1740" s="2">
        <v>0</v>
      </c>
      <c r="C1740" t="s">
        <v>3366</v>
      </c>
      <c r="D1740" t="s">
        <v>2297</v>
      </c>
      <c r="E1740" t="s">
        <v>2298</v>
      </c>
      <c r="F1740" s="3">
        <v>44298</v>
      </c>
      <c r="G1740" s="2">
        <v>90</v>
      </c>
      <c r="H1740" s="1">
        <v>422.47</v>
      </c>
      <c r="I1740" t="s">
        <v>2530</v>
      </c>
      <c r="J1740" s="2">
        <v>1</v>
      </c>
      <c r="K1740" t="s">
        <v>13</v>
      </c>
      <c r="L1740" t="s">
        <v>21</v>
      </c>
      <c r="M1740" t="s">
        <v>31</v>
      </c>
    </row>
    <row r="1741" spans="1:13" x14ac:dyDescent="0.25">
      <c r="A1741" s="5">
        <v>44388</v>
      </c>
      <c r="B1741" s="2">
        <v>0</v>
      </c>
      <c r="C1741" t="s">
        <v>3367</v>
      </c>
      <c r="D1741" t="s">
        <v>3031</v>
      </c>
      <c r="E1741" t="s">
        <v>3032</v>
      </c>
      <c r="F1741" s="3">
        <v>44343</v>
      </c>
      <c r="G1741" s="2">
        <v>45</v>
      </c>
      <c r="H1741" s="1">
        <v>724.52</v>
      </c>
      <c r="I1741" t="s">
        <v>3091</v>
      </c>
      <c r="J1741" s="2">
        <v>1</v>
      </c>
      <c r="K1741" t="s">
        <v>13</v>
      </c>
      <c r="L1741" t="s">
        <v>21</v>
      </c>
      <c r="M1741" t="s">
        <v>33</v>
      </c>
    </row>
    <row r="1742" spans="1:13" x14ac:dyDescent="0.25">
      <c r="A1742" s="5">
        <v>44388</v>
      </c>
      <c r="B1742" s="2">
        <v>0</v>
      </c>
      <c r="C1742" t="s">
        <v>3368</v>
      </c>
      <c r="D1742" t="s">
        <v>1355</v>
      </c>
      <c r="E1742" t="s">
        <v>1356</v>
      </c>
      <c r="F1742" s="3">
        <v>44328</v>
      </c>
      <c r="G1742" s="2">
        <v>60</v>
      </c>
      <c r="H1742" s="1">
        <v>547.48</v>
      </c>
      <c r="I1742" t="s">
        <v>3092</v>
      </c>
      <c r="J1742" s="2">
        <v>1</v>
      </c>
      <c r="K1742" t="s">
        <v>13</v>
      </c>
      <c r="L1742" t="s">
        <v>1493</v>
      </c>
      <c r="M1742" t="s">
        <v>1357</v>
      </c>
    </row>
    <row r="1743" spans="1:13" x14ac:dyDescent="0.25">
      <c r="A1743" s="5">
        <v>44388</v>
      </c>
      <c r="B1743" s="2">
        <v>0</v>
      </c>
      <c r="C1743" t="s">
        <v>3369</v>
      </c>
      <c r="D1743" t="s">
        <v>1355</v>
      </c>
      <c r="E1743" t="s">
        <v>1356</v>
      </c>
      <c r="F1743" s="3">
        <v>44328</v>
      </c>
      <c r="G1743" s="2">
        <v>60</v>
      </c>
      <c r="H1743" s="1">
        <v>257.14</v>
      </c>
      <c r="I1743" t="s">
        <v>3093</v>
      </c>
      <c r="J1743" s="2">
        <v>1</v>
      </c>
      <c r="K1743" t="s">
        <v>13</v>
      </c>
      <c r="L1743" t="s">
        <v>1493</v>
      </c>
      <c r="M1743" t="s">
        <v>1357</v>
      </c>
    </row>
    <row r="1744" spans="1:13" x14ac:dyDescent="0.25">
      <c r="A1744" s="5">
        <v>44388</v>
      </c>
      <c r="B1744" s="2">
        <v>0</v>
      </c>
      <c r="C1744" t="s">
        <v>3370</v>
      </c>
      <c r="D1744" t="s">
        <v>1761</v>
      </c>
      <c r="E1744" t="s">
        <v>1762</v>
      </c>
      <c r="F1744" s="3">
        <v>44298</v>
      </c>
      <c r="G1744" s="2">
        <v>90</v>
      </c>
      <c r="H1744" s="1">
        <v>565.73</v>
      </c>
      <c r="I1744" t="s">
        <v>2939</v>
      </c>
      <c r="J1744" s="2">
        <v>1</v>
      </c>
      <c r="K1744" t="s">
        <v>13</v>
      </c>
      <c r="L1744" t="s">
        <v>21</v>
      </c>
      <c r="M1744" t="s">
        <v>1165</v>
      </c>
    </row>
    <row r="1745" spans="1:13" x14ac:dyDescent="0.25">
      <c r="A1745" s="5">
        <v>44388</v>
      </c>
      <c r="B1745" s="2">
        <v>0</v>
      </c>
      <c r="C1745" t="s">
        <v>3371</v>
      </c>
      <c r="D1745" t="s">
        <v>1761</v>
      </c>
      <c r="E1745" t="s">
        <v>1762</v>
      </c>
      <c r="F1745" s="3">
        <v>44298</v>
      </c>
      <c r="G1745" s="2">
        <v>90</v>
      </c>
      <c r="H1745" s="1">
        <v>1752.31</v>
      </c>
      <c r="I1745" t="s">
        <v>2941</v>
      </c>
      <c r="J1745" s="2">
        <v>1</v>
      </c>
      <c r="K1745" t="s">
        <v>13</v>
      </c>
      <c r="L1745" t="s">
        <v>21</v>
      </c>
      <c r="M1745" t="s">
        <v>1165</v>
      </c>
    </row>
    <row r="1746" spans="1:13" x14ac:dyDescent="0.25">
      <c r="A1746" s="5">
        <v>44388</v>
      </c>
      <c r="B1746" s="2">
        <v>0</v>
      </c>
      <c r="C1746" t="s">
        <v>3376</v>
      </c>
      <c r="D1746" t="s">
        <v>1983</v>
      </c>
      <c r="E1746" t="s">
        <v>1984</v>
      </c>
      <c r="F1746" s="3">
        <v>44313</v>
      </c>
      <c r="G1746" s="2">
        <v>75</v>
      </c>
      <c r="H1746" s="1">
        <v>1201.3699999999999</v>
      </c>
      <c r="I1746" t="s">
        <v>3377</v>
      </c>
      <c r="J1746" s="2">
        <v>1</v>
      </c>
      <c r="K1746" t="s">
        <v>13</v>
      </c>
      <c r="L1746" t="s">
        <v>21</v>
      </c>
      <c r="M1746" t="s">
        <v>1566</v>
      </c>
    </row>
    <row r="1747" spans="1:13" x14ac:dyDescent="0.25">
      <c r="A1747" s="5">
        <v>44388</v>
      </c>
      <c r="B1747" s="2">
        <v>0</v>
      </c>
      <c r="C1747" t="s">
        <v>3378</v>
      </c>
      <c r="D1747" t="s">
        <v>2211</v>
      </c>
      <c r="E1747" t="s">
        <v>2212</v>
      </c>
      <c r="F1747" s="3">
        <v>44323</v>
      </c>
      <c r="G1747" s="2">
        <v>65</v>
      </c>
      <c r="H1747" s="1">
        <v>563.84</v>
      </c>
      <c r="I1747" t="s">
        <v>3379</v>
      </c>
      <c r="J1747" s="2">
        <v>1</v>
      </c>
      <c r="K1747" t="s">
        <v>13</v>
      </c>
      <c r="L1747" t="s">
        <v>695</v>
      </c>
      <c r="M1747" t="s">
        <v>15</v>
      </c>
    </row>
    <row r="1748" spans="1:13" x14ac:dyDescent="0.25">
      <c r="A1748" s="5">
        <v>44388</v>
      </c>
      <c r="B1748" s="2">
        <v>0</v>
      </c>
      <c r="C1748" t="s">
        <v>3381</v>
      </c>
      <c r="D1748" t="s">
        <v>2215</v>
      </c>
      <c r="E1748" t="s">
        <v>2216</v>
      </c>
      <c r="F1748" s="3">
        <v>44293</v>
      </c>
      <c r="G1748" s="2">
        <v>95</v>
      </c>
      <c r="H1748" s="1">
        <v>958.14</v>
      </c>
      <c r="I1748" t="s">
        <v>3096</v>
      </c>
      <c r="J1748" s="2">
        <v>1</v>
      </c>
      <c r="K1748" t="s">
        <v>13</v>
      </c>
      <c r="L1748" t="s">
        <v>21</v>
      </c>
      <c r="M1748" t="s">
        <v>2217</v>
      </c>
    </row>
    <row r="1749" spans="1:13" x14ac:dyDescent="0.25">
      <c r="A1749" s="5">
        <v>44389</v>
      </c>
      <c r="B1749" s="2">
        <v>0</v>
      </c>
      <c r="C1749" t="s">
        <v>3384</v>
      </c>
      <c r="D1749" t="s">
        <v>1355</v>
      </c>
      <c r="E1749" t="s">
        <v>1356</v>
      </c>
      <c r="F1749" s="3">
        <v>44329</v>
      </c>
      <c r="G1749" s="2">
        <v>60</v>
      </c>
      <c r="H1749" s="1">
        <v>303.7</v>
      </c>
      <c r="I1749" t="s">
        <v>2949</v>
      </c>
      <c r="J1749" s="2">
        <v>1</v>
      </c>
      <c r="K1749" t="s">
        <v>13</v>
      </c>
      <c r="L1749" t="s">
        <v>1493</v>
      </c>
      <c r="M1749" t="s">
        <v>1357</v>
      </c>
    </row>
    <row r="1750" spans="1:13" x14ac:dyDescent="0.25">
      <c r="A1750" s="5">
        <v>44389</v>
      </c>
      <c r="B1750" s="2">
        <v>0</v>
      </c>
      <c r="C1750" t="s">
        <v>3385</v>
      </c>
      <c r="D1750" t="s">
        <v>1355</v>
      </c>
      <c r="E1750" t="s">
        <v>1356</v>
      </c>
      <c r="F1750" s="3">
        <v>44349</v>
      </c>
      <c r="G1750" s="2">
        <v>40</v>
      </c>
      <c r="H1750" s="1">
        <v>957.83</v>
      </c>
      <c r="I1750" t="s">
        <v>3386</v>
      </c>
      <c r="J1750" s="2">
        <v>1</v>
      </c>
      <c r="K1750" t="s">
        <v>13</v>
      </c>
      <c r="L1750" t="s">
        <v>1493</v>
      </c>
      <c r="M1750" t="s">
        <v>1357</v>
      </c>
    </row>
    <row r="1751" spans="1:13" x14ac:dyDescent="0.25">
      <c r="A1751" s="5">
        <v>44389</v>
      </c>
      <c r="B1751" s="2">
        <v>0</v>
      </c>
      <c r="C1751" t="s">
        <v>3388</v>
      </c>
      <c r="D1751" t="s">
        <v>2286</v>
      </c>
      <c r="E1751" t="s">
        <v>2287</v>
      </c>
      <c r="F1751" s="3">
        <v>44329</v>
      </c>
      <c r="G1751" s="2">
        <v>60</v>
      </c>
      <c r="H1751" s="1">
        <v>406.6</v>
      </c>
      <c r="I1751" t="s">
        <v>3389</v>
      </c>
      <c r="J1751" s="2">
        <v>1</v>
      </c>
      <c r="K1751" t="s">
        <v>13</v>
      </c>
      <c r="L1751" t="s">
        <v>830</v>
      </c>
      <c r="M1751" t="s">
        <v>172</v>
      </c>
    </row>
    <row r="1752" spans="1:13" x14ac:dyDescent="0.25">
      <c r="A1752" s="5">
        <v>44389</v>
      </c>
      <c r="B1752" s="2">
        <v>0</v>
      </c>
      <c r="C1752" t="s">
        <v>3390</v>
      </c>
      <c r="D1752" t="s">
        <v>1421</v>
      </c>
      <c r="E1752" t="s">
        <v>1422</v>
      </c>
      <c r="F1752" s="3">
        <v>44319</v>
      </c>
      <c r="G1752" s="2">
        <v>70</v>
      </c>
      <c r="H1752" s="1">
        <v>281.67</v>
      </c>
      <c r="I1752" t="s">
        <v>3391</v>
      </c>
      <c r="J1752" s="2">
        <v>1</v>
      </c>
      <c r="K1752" t="s">
        <v>13</v>
      </c>
      <c r="L1752" t="s">
        <v>1493</v>
      </c>
      <c r="M1752" t="s">
        <v>1357</v>
      </c>
    </row>
    <row r="1753" spans="1:13" x14ac:dyDescent="0.25">
      <c r="A1753" s="5">
        <v>44389</v>
      </c>
      <c r="B1753" s="2">
        <v>0</v>
      </c>
      <c r="C1753" t="s">
        <v>3392</v>
      </c>
      <c r="D1753" t="s">
        <v>1421</v>
      </c>
      <c r="E1753" t="s">
        <v>1422</v>
      </c>
      <c r="F1753" s="3">
        <v>44329</v>
      </c>
      <c r="G1753" s="2">
        <v>60</v>
      </c>
      <c r="H1753" s="1">
        <v>219.62</v>
      </c>
      <c r="I1753" t="s">
        <v>3108</v>
      </c>
      <c r="J1753" s="2">
        <v>1</v>
      </c>
      <c r="K1753" t="s">
        <v>13</v>
      </c>
      <c r="L1753" t="s">
        <v>1493</v>
      </c>
      <c r="M1753" t="s">
        <v>1357</v>
      </c>
    </row>
    <row r="1754" spans="1:13" x14ac:dyDescent="0.25">
      <c r="A1754" s="5">
        <v>44389</v>
      </c>
      <c r="B1754" s="2">
        <v>0</v>
      </c>
      <c r="C1754" t="s">
        <v>3393</v>
      </c>
      <c r="D1754" t="s">
        <v>3018</v>
      </c>
      <c r="E1754" t="s">
        <v>3019</v>
      </c>
      <c r="F1754" s="3">
        <v>44329</v>
      </c>
      <c r="G1754" s="2">
        <v>60</v>
      </c>
      <c r="H1754" s="1">
        <v>465.9</v>
      </c>
      <c r="I1754" t="s">
        <v>3109</v>
      </c>
      <c r="J1754" s="2">
        <v>1</v>
      </c>
      <c r="K1754" t="s">
        <v>13</v>
      </c>
      <c r="L1754" t="s">
        <v>1682</v>
      </c>
      <c r="M1754" t="s">
        <v>15</v>
      </c>
    </row>
    <row r="1755" spans="1:13" x14ac:dyDescent="0.25">
      <c r="A1755" s="5">
        <v>44389</v>
      </c>
      <c r="B1755" s="2">
        <v>0</v>
      </c>
      <c r="C1755" t="s">
        <v>3395</v>
      </c>
      <c r="D1755" t="s">
        <v>1773</v>
      </c>
      <c r="E1755" t="s">
        <v>1938</v>
      </c>
      <c r="F1755" s="3">
        <v>44299</v>
      </c>
      <c r="G1755" s="2">
        <v>90</v>
      </c>
      <c r="H1755" s="1">
        <v>1364.17</v>
      </c>
      <c r="I1755" t="s">
        <v>2956</v>
      </c>
      <c r="J1755" s="2">
        <v>1</v>
      </c>
      <c r="K1755" t="s">
        <v>13</v>
      </c>
      <c r="L1755" t="s">
        <v>21</v>
      </c>
      <c r="M1755" t="s">
        <v>1774</v>
      </c>
    </row>
    <row r="1756" spans="1:13" x14ac:dyDescent="0.25">
      <c r="A1756" s="5">
        <v>44389</v>
      </c>
      <c r="B1756" s="2">
        <v>0</v>
      </c>
      <c r="C1756" t="s">
        <v>3396</v>
      </c>
      <c r="D1756" t="s">
        <v>1773</v>
      </c>
      <c r="E1756" t="s">
        <v>1938</v>
      </c>
      <c r="F1756" s="3">
        <v>44314</v>
      </c>
      <c r="G1756" s="2">
        <v>75</v>
      </c>
      <c r="H1756" s="1">
        <v>819.97</v>
      </c>
      <c r="I1756" t="s">
        <v>3397</v>
      </c>
      <c r="J1756" s="2">
        <v>1</v>
      </c>
      <c r="K1756" t="s">
        <v>13</v>
      </c>
      <c r="L1756" t="s">
        <v>21</v>
      </c>
      <c r="M1756" t="s">
        <v>1774</v>
      </c>
    </row>
    <row r="1757" spans="1:13" x14ac:dyDescent="0.25">
      <c r="A1757" s="5">
        <v>44389</v>
      </c>
      <c r="B1757" s="2">
        <v>0</v>
      </c>
      <c r="C1757" t="s">
        <v>3398</v>
      </c>
      <c r="D1757" t="s">
        <v>1773</v>
      </c>
      <c r="E1757" t="s">
        <v>1938</v>
      </c>
      <c r="F1757" s="3">
        <v>44344</v>
      </c>
      <c r="G1757" s="2">
        <v>45</v>
      </c>
      <c r="H1757" s="1">
        <v>362.42</v>
      </c>
      <c r="I1757" t="s">
        <v>3110</v>
      </c>
      <c r="J1757" s="2">
        <v>1</v>
      </c>
      <c r="K1757" t="s">
        <v>13</v>
      </c>
      <c r="L1757" t="s">
        <v>21</v>
      </c>
      <c r="M1757" t="s">
        <v>1774</v>
      </c>
    </row>
    <row r="1758" spans="1:13" x14ac:dyDescent="0.25">
      <c r="A1758" s="5">
        <v>44389</v>
      </c>
      <c r="B1758" s="2">
        <v>0</v>
      </c>
      <c r="C1758" t="s">
        <v>3399</v>
      </c>
      <c r="D1758" t="s">
        <v>1757</v>
      </c>
      <c r="E1758" t="s">
        <v>1758</v>
      </c>
      <c r="F1758" s="3">
        <v>44299</v>
      </c>
      <c r="G1758" s="2">
        <v>90</v>
      </c>
      <c r="H1758" s="1">
        <v>1907.3</v>
      </c>
      <c r="I1758" t="s">
        <v>2804</v>
      </c>
      <c r="J1758" s="2">
        <v>1</v>
      </c>
      <c r="K1758" t="s">
        <v>13</v>
      </c>
      <c r="L1758" t="s">
        <v>21</v>
      </c>
      <c r="M1758" t="s">
        <v>1165</v>
      </c>
    </row>
    <row r="1759" spans="1:13" x14ac:dyDescent="0.25">
      <c r="A1759" s="5">
        <v>44389</v>
      </c>
      <c r="B1759" s="2">
        <v>0</v>
      </c>
      <c r="C1759" t="s">
        <v>3403</v>
      </c>
      <c r="D1759" t="s">
        <v>2215</v>
      </c>
      <c r="E1759" t="s">
        <v>2216</v>
      </c>
      <c r="F1759" s="3">
        <v>44314</v>
      </c>
      <c r="G1759" s="2">
        <v>75</v>
      </c>
      <c r="H1759" s="1">
        <v>774.82</v>
      </c>
      <c r="I1759" t="s">
        <v>3404</v>
      </c>
      <c r="J1759" s="2">
        <v>1</v>
      </c>
      <c r="K1759" t="s">
        <v>13</v>
      </c>
      <c r="L1759" t="s">
        <v>21</v>
      </c>
      <c r="M1759" t="s">
        <v>2217</v>
      </c>
    </row>
    <row r="1760" spans="1:13" x14ac:dyDescent="0.25">
      <c r="A1760" s="5">
        <v>44390</v>
      </c>
      <c r="B1760" s="2">
        <v>0</v>
      </c>
      <c r="C1760" t="s">
        <v>3407</v>
      </c>
      <c r="D1760" t="s">
        <v>1983</v>
      </c>
      <c r="E1760" t="s">
        <v>1984</v>
      </c>
      <c r="F1760" s="3">
        <v>44305</v>
      </c>
      <c r="G1760" s="2">
        <v>85</v>
      </c>
      <c r="H1760" s="1">
        <v>1191.4100000000001</v>
      </c>
      <c r="I1760" t="s">
        <v>3118</v>
      </c>
      <c r="J1760" s="2">
        <v>1</v>
      </c>
      <c r="K1760" t="s">
        <v>13</v>
      </c>
      <c r="L1760" t="s">
        <v>21</v>
      </c>
      <c r="M1760" t="s">
        <v>1566</v>
      </c>
    </row>
    <row r="1761" spans="1:13" x14ac:dyDescent="0.25">
      <c r="A1761" s="5">
        <v>44390</v>
      </c>
      <c r="B1761" s="2">
        <v>0</v>
      </c>
      <c r="C1761" t="s">
        <v>3408</v>
      </c>
      <c r="D1761" t="s">
        <v>1983</v>
      </c>
      <c r="E1761" t="s">
        <v>1984</v>
      </c>
      <c r="F1761" s="3">
        <v>44315</v>
      </c>
      <c r="G1761" s="2">
        <v>75</v>
      </c>
      <c r="H1761" s="1">
        <v>574.91</v>
      </c>
      <c r="I1761" t="s">
        <v>3409</v>
      </c>
      <c r="J1761" s="2">
        <v>1</v>
      </c>
      <c r="K1761" t="s">
        <v>13</v>
      </c>
      <c r="L1761" t="s">
        <v>21</v>
      </c>
      <c r="M1761" t="s">
        <v>1566</v>
      </c>
    </row>
    <row r="1762" spans="1:13" x14ac:dyDescent="0.25">
      <c r="A1762" s="5">
        <v>44390</v>
      </c>
      <c r="B1762" s="2">
        <v>0</v>
      </c>
      <c r="C1762" t="s">
        <v>3410</v>
      </c>
      <c r="D1762" t="s">
        <v>1892</v>
      </c>
      <c r="E1762" t="s">
        <v>1893</v>
      </c>
      <c r="F1762" s="3">
        <v>44327</v>
      </c>
      <c r="G1762" s="2">
        <v>63</v>
      </c>
      <c r="H1762" s="1">
        <v>503.01</v>
      </c>
      <c r="I1762" t="s">
        <v>3411</v>
      </c>
      <c r="J1762" s="2">
        <v>1</v>
      </c>
      <c r="K1762" t="s">
        <v>1543</v>
      </c>
      <c r="L1762" t="s">
        <v>695</v>
      </c>
      <c r="M1762" t="s">
        <v>31</v>
      </c>
    </row>
    <row r="1763" spans="1:13" x14ac:dyDescent="0.25">
      <c r="A1763" s="5">
        <v>44390</v>
      </c>
      <c r="B1763" s="2">
        <v>0</v>
      </c>
      <c r="C1763" t="s">
        <v>3412</v>
      </c>
      <c r="D1763" t="s">
        <v>1716</v>
      </c>
      <c r="E1763" t="s">
        <v>1717</v>
      </c>
      <c r="F1763" s="3">
        <v>44327</v>
      </c>
      <c r="G1763" s="2">
        <v>63</v>
      </c>
      <c r="H1763" s="1">
        <v>567.76</v>
      </c>
      <c r="I1763" t="s">
        <v>3413</v>
      </c>
      <c r="J1763" s="2">
        <v>1</v>
      </c>
      <c r="K1763" t="s">
        <v>1543</v>
      </c>
      <c r="L1763" t="s">
        <v>695</v>
      </c>
      <c r="M1763" t="s">
        <v>15</v>
      </c>
    </row>
    <row r="1764" spans="1:13" x14ac:dyDescent="0.25">
      <c r="A1764" s="5">
        <v>44390</v>
      </c>
      <c r="B1764" s="2">
        <v>0</v>
      </c>
      <c r="C1764" t="s">
        <v>3414</v>
      </c>
      <c r="D1764" t="s">
        <v>1900</v>
      </c>
      <c r="E1764" t="s">
        <v>1901</v>
      </c>
      <c r="F1764" s="3">
        <v>44327</v>
      </c>
      <c r="G1764" s="2">
        <v>63</v>
      </c>
      <c r="H1764" s="1">
        <v>76.13</v>
      </c>
      <c r="I1764" t="s">
        <v>3415</v>
      </c>
      <c r="J1764" s="2">
        <v>1</v>
      </c>
      <c r="K1764" t="s">
        <v>1543</v>
      </c>
      <c r="L1764" t="s">
        <v>695</v>
      </c>
      <c r="M1764" t="s">
        <v>15</v>
      </c>
    </row>
    <row r="1765" spans="1:13" x14ac:dyDescent="0.25">
      <c r="A1765" s="5">
        <v>44390</v>
      </c>
      <c r="B1765" s="2">
        <v>0</v>
      </c>
      <c r="C1765" t="s">
        <v>3416</v>
      </c>
      <c r="D1765" t="s">
        <v>1773</v>
      </c>
      <c r="E1765" t="s">
        <v>1938</v>
      </c>
      <c r="F1765" s="3">
        <v>44315</v>
      </c>
      <c r="G1765" s="2">
        <v>75</v>
      </c>
      <c r="H1765" s="1">
        <v>332.65</v>
      </c>
      <c r="I1765" t="s">
        <v>3125</v>
      </c>
      <c r="J1765" s="2">
        <v>1</v>
      </c>
      <c r="K1765" t="s">
        <v>13</v>
      </c>
      <c r="L1765" t="s">
        <v>21</v>
      </c>
      <c r="M1765" t="s">
        <v>1774</v>
      </c>
    </row>
    <row r="1766" spans="1:13" x14ac:dyDescent="0.25">
      <c r="A1766" s="5">
        <v>44390</v>
      </c>
      <c r="B1766" s="2">
        <v>0</v>
      </c>
      <c r="C1766" t="s">
        <v>3417</v>
      </c>
      <c r="D1766" t="s">
        <v>1757</v>
      </c>
      <c r="E1766" t="s">
        <v>1758</v>
      </c>
      <c r="F1766" s="3">
        <v>44315</v>
      </c>
      <c r="G1766" s="2">
        <v>75</v>
      </c>
      <c r="H1766" s="1">
        <v>378.24</v>
      </c>
      <c r="I1766" t="s">
        <v>3418</v>
      </c>
      <c r="J1766" s="2">
        <v>1</v>
      </c>
      <c r="K1766" t="s">
        <v>13</v>
      </c>
      <c r="L1766" t="s">
        <v>21</v>
      </c>
      <c r="M1766" t="s">
        <v>1165</v>
      </c>
    </row>
    <row r="1767" spans="1:13" x14ac:dyDescent="0.25">
      <c r="A1767" s="5">
        <v>44390</v>
      </c>
      <c r="B1767" s="2">
        <v>0</v>
      </c>
      <c r="C1767" t="s">
        <v>3419</v>
      </c>
      <c r="D1767" t="s">
        <v>2215</v>
      </c>
      <c r="E1767" t="s">
        <v>2216</v>
      </c>
      <c r="F1767" s="3">
        <v>44285</v>
      </c>
      <c r="G1767" s="2">
        <v>105</v>
      </c>
      <c r="H1767" s="1">
        <v>690.42</v>
      </c>
      <c r="I1767" t="s">
        <v>3420</v>
      </c>
      <c r="J1767" s="2">
        <v>1</v>
      </c>
      <c r="K1767" t="s">
        <v>13</v>
      </c>
      <c r="L1767" t="s">
        <v>21</v>
      </c>
      <c r="M1767" t="s">
        <v>2217</v>
      </c>
    </row>
    <row r="1768" spans="1:13" x14ac:dyDescent="0.25">
      <c r="A1768" s="5">
        <v>44390</v>
      </c>
      <c r="B1768" s="2">
        <v>0</v>
      </c>
      <c r="C1768" t="s">
        <v>3421</v>
      </c>
      <c r="D1768" t="s">
        <v>2047</v>
      </c>
      <c r="E1768" t="s">
        <v>2005</v>
      </c>
      <c r="F1768" s="3">
        <v>44300</v>
      </c>
      <c r="G1768" s="2">
        <v>90</v>
      </c>
      <c r="H1768" s="1">
        <v>284.57</v>
      </c>
      <c r="I1768" t="s">
        <v>2505</v>
      </c>
      <c r="J1768" s="2">
        <v>1</v>
      </c>
      <c r="K1768" t="s">
        <v>13</v>
      </c>
      <c r="L1768" t="s">
        <v>1682</v>
      </c>
      <c r="M1768" t="s">
        <v>15</v>
      </c>
    </row>
    <row r="1769" spans="1:13" x14ac:dyDescent="0.25">
      <c r="A1769" s="5">
        <v>44390</v>
      </c>
      <c r="B1769" s="2">
        <v>0</v>
      </c>
      <c r="C1769" t="s">
        <v>3422</v>
      </c>
      <c r="D1769" t="s">
        <v>3423</v>
      </c>
      <c r="E1769" t="s">
        <v>3424</v>
      </c>
      <c r="F1769" s="3">
        <v>44330</v>
      </c>
      <c r="G1769" s="2">
        <v>60</v>
      </c>
      <c r="H1769" s="1">
        <v>253.78</v>
      </c>
      <c r="I1769" t="s">
        <v>3425</v>
      </c>
      <c r="J1769" s="2">
        <v>1</v>
      </c>
      <c r="K1769" t="s">
        <v>13</v>
      </c>
      <c r="L1769" t="s">
        <v>671</v>
      </c>
      <c r="M1769" t="s">
        <v>15</v>
      </c>
    </row>
    <row r="1770" spans="1:13" x14ac:dyDescent="0.25">
      <c r="A1770" s="5">
        <v>44391</v>
      </c>
      <c r="B1770" s="2">
        <v>0</v>
      </c>
      <c r="C1770" t="s">
        <v>3426</v>
      </c>
      <c r="D1770" t="s">
        <v>2297</v>
      </c>
      <c r="E1770" t="s">
        <v>2298</v>
      </c>
      <c r="F1770" s="3">
        <v>44321</v>
      </c>
      <c r="G1770" s="2">
        <v>70</v>
      </c>
      <c r="H1770" s="1">
        <v>733.37</v>
      </c>
      <c r="I1770" t="s">
        <v>2907</v>
      </c>
      <c r="J1770" s="2">
        <v>1</v>
      </c>
      <c r="K1770" t="s">
        <v>13</v>
      </c>
      <c r="L1770" t="s">
        <v>21</v>
      </c>
      <c r="M1770" t="s">
        <v>31</v>
      </c>
    </row>
    <row r="1771" spans="1:13" x14ac:dyDescent="0.25">
      <c r="A1771" s="5">
        <v>44391</v>
      </c>
      <c r="B1771" s="2">
        <v>0</v>
      </c>
      <c r="C1771" t="s">
        <v>3427</v>
      </c>
      <c r="D1771" t="s">
        <v>2263</v>
      </c>
      <c r="E1771" t="s">
        <v>2264</v>
      </c>
      <c r="F1771" s="3">
        <v>44321</v>
      </c>
      <c r="G1771" s="2">
        <v>70</v>
      </c>
      <c r="H1771" s="1">
        <v>703.34</v>
      </c>
      <c r="I1771" t="s">
        <v>3428</v>
      </c>
      <c r="J1771" s="2">
        <v>1</v>
      </c>
      <c r="K1771" t="s">
        <v>13</v>
      </c>
      <c r="L1771" t="s">
        <v>554</v>
      </c>
      <c r="M1771" t="s">
        <v>2265</v>
      </c>
    </row>
    <row r="1772" spans="1:13" x14ac:dyDescent="0.25">
      <c r="A1772" s="5">
        <v>44391</v>
      </c>
      <c r="B1772" s="2">
        <v>0</v>
      </c>
      <c r="C1772" t="s">
        <v>3429</v>
      </c>
      <c r="D1772" t="s">
        <v>1355</v>
      </c>
      <c r="E1772" t="s">
        <v>1356</v>
      </c>
      <c r="F1772" s="3">
        <v>44321</v>
      </c>
      <c r="G1772" s="2">
        <v>70</v>
      </c>
      <c r="H1772" s="1">
        <v>601.71</v>
      </c>
      <c r="I1772" t="s">
        <v>2819</v>
      </c>
      <c r="J1772" s="2">
        <v>1</v>
      </c>
      <c r="K1772" t="s">
        <v>13</v>
      </c>
      <c r="L1772" t="s">
        <v>1493</v>
      </c>
      <c r="M1772" t="s">
        <v>1357</v>
      </c>
    </row>
    <row r="1773" spans="1:13" x14ac:dyDescent="0.25">
      <c r="A1773" s="5">
        <v>44391</v>
      </c>
      <c r="B1773" s="2">
        <v>0</v>
      </c>
      <c r="C1773" t="s">
        <v>3430</v>
      </c>
      <c r="D1773" t="s">
        <v>1757</v>
      </c>
      <c r="E1773" t="s">
        <v>1758</v>
      </c>
      <c r="F1773" s="3">
        <v>44291</v>
      </c>
      <c r="G1773" s="2">
        <v>100</v>
      </c>
      <c r="H1773" s="1">
        <v>2142.2800000000002</v>
      </c>
      <c r="I1773" t="s">
        <v>2832</v>
      </c>
      <c r="J1773" s="2">
        <v>1</v>
      </c>
      <c r="K1773" t="s">
        <v>13</v>
      </c>
      <c r="L1773" t="s">
        <v>21</v>
      </c>
      <c r="M1773" t="s">
        <v>1165</v>
      </c>
    </row>
    <row r="1774" spans="1:13" x14ac:dyDescent="0.25">
      <c r="A1774" s="5">
        <v>44391</v>
      </c>
      <c r="B1774" s="2">
        <v>0</v>
      </c>
      <c r="C1774" t="s">
        <v>3431</v>
      </c>
      <c r="D1774" t="s">
        <v>1757</v>
      </c>
      <c r="E1774" t="s">
        <v>1758</v>
      </c>
      <c r="F1774" s="3">
        <v>44321</v>
      </c>
      <c r="G1774" s="2">
        <v>70</v>
      </c>
      <c r="H1774" s="1">
        <v>121.4</v>
      </c>
      <c r="I1774" t="s">
        <v>3432</v>
      </c>
      <c r="J1774" s="2">
        <v>1</v>
      </c>
      <c r="K1774" t="s">
        <v>13</v>
      </c>
      <c r="L1774" t="s">
        <v>21</v>
      </c>
      <c r="M1774" t="s">
        <v>1165</v>
      </c>
    </row>
    <row r="1775" spans="1:13" x14ac:dyDescent="0.25">
      <c r="A1775" s="5">
        <v>44391</v>
      </c>
      <c r="B1775" s="2">
        <v>0</v>
      </c>
      <c r="C1775" t="s">
        <v>3433</v>
      </c>
      <c r="D1775" t="s">
        <v>2370</v>
      </c>
      <c r="E1775" t="s">
        <v>2371</v>
      </c>
      <c r="F1775" s="3">
        <v>44291</v>
      </c>
      <c r="G1775" s="2">
        <v>100</v>
      </c>
      <c r="H1775" s="1">
        <v>431.18</v>
      </c>
      <c r="I1775" t="s">
        <v>3143</v>
      </c>
      <c r="J1775" s="2">
        <v>1</v>
      </c>
      <c r="K1775" t="s">
        <v>13</v>
      </c>
      <c r="L1775" t="s">
        <v>695</v>
      </c>
      <c r="M1775" t="s">
        <v>90</v>
      </c>
    </row>
    <row r="1776" spans="1:13" x14ac:dyDescent="0.25">
      <c r="A1776" s="5">
        <v>44392</v>
      </c>
      <c r="B1776" s="2">
        <v>0</v>
      </c>
      <c r="C1776" t="s">
        <v>3434</v>
      </c>
      <c r="D1776" t="s">
        <v>2350</v>
      </c>
      <c r="E1776" t="s">
        <v>2351</v>
      </c>
      <c r="F1776" s="3">
        <v>44322</v>
      </c>
      <c r="G1776" s="2">
        <v>70</v>
      </c>
      <c r="H1776" s="1">
        <v>289.08</v>
      </c>
      <c r="I1776" t="s">
        <v>2969</v>
      </c>
      <c r="J1776" s="2">
        <v>1</v>
      </c>
      <c r="K1776" t="s">
        <v>13</v>
      </c>
      <c r="L1776" t="s">
        <v>695</v>
      </c>
      <c r="M1776" t="s">
        <v>15</v>
      </c>
    </row>
    <row r="1777" spans="1:13" x14ac:dyDescent="0.25">
      <c r="A1777" s="5">
        <v>44392</v>
      </c>
      <c r="B1777" s="2">
        <v>0</v>
      </c>
      <c r="C1777" t="s">
        <v>3435</v>
      </c>
      <c r="D1777" t="s">
        <v>1355</v>
      </c>
      <c r="E1777" t="s">
        <v>1356</v>
      </c>
      <c r="F1777" s="3">
        <v>44342</v>
      </c>
      <c r="G1777" s="2">
        <v>50</v>
      </c>
      <c r="H1777" s="1">
        <v>287.01</v>
      </c>
      <c r="I1777" t="s">
        <v>3436</v>
      </c>
      <c r="J1777" s="2">
        <v>1</v>
      </c>
      <c r="K1777" t="s">
        <v>13</v>
      </c>
      <c r="L1777" t="s">
        <v>1493</v>
      </c>
      <c r="M1777" t="s">
        <v>1357</v>
      </c>
    </row>
    <row r="1778" spans="1:13" x14ac:dyDescent="0.25">
      <c r="A1778" s="5">
        <v>44392</v>
      </c>
      <c r="B1778" s="2">
        <v>0</v>
      </c>
      <c r="C1778" t="s">
        <v>3437</v>
      </c>
      <c r="D1778" t="s">
        <v>2464</v>
      </c>
      <c r="E1778" t="s">
        <v>2465</v>
      </c>
      <c r="F1778" s="3">
        <v>44342</v>
      </c>
      <c r="G1778" s="2">
        <v>50</v>
      </c>
      <c r="H1778" s="1">
        <v>286.63</v>
      </c>
      <c r="I1778" t="s">
        <v>2723</v>
      </c>
      <c r="J1778" s="2">
        <v>1</v>
      </c>
      <c r="K1778" t="s">
        <v>13</v>
      </c>
      <c r="L1778" t="s">
        <v>1682</v>
      </c>
      <c r="M1778" t="s">
        <v>2310</v>
      </c>
    </row>
    <row r="1779" spans="1:13" x14ac:dyDescent="0.25">
      <c r="A1779" s="5">
        <v>44392</v>
      </c>
      <c r="B1779" s="2">
        <v>0</v>
      </c>
      <c r="C1779" t="s">
        <v>3438</v>
      </c>
      <c r="D1779" t="s">
        <v>1761</v>
      </c>
      <c r="E1779" t="s">
        <v>1762</v>
      </c>
      <c r="F1779" s="3">
        <v>44292</v>
      </c>
      <c r="G1779" s="2">
        <v>100</v>
      </c>
      <c r="H1779" s="1">
        <v>1619.6</v>
      </c>
      <c r="I1779" t="s">
        <v>2848</v>
      </c>
      <c r="J1779" s="2">
        <v>1</v>
      </c>
      <c r="K1779" t="s">
        <v>13</v>
      </c>
      <c r="L1779" t="s">
        <v>21</v>
      </c>
      <c r="M1779" t="s">
        <v>1165</v>
      </c>
    </row>
    <row r="1780" spans="1:13" x14ac:dyDescent="0.25">
      <c r="A1780" s="5">
        <v>44392</v>
      </c>
      <c r="B1780" s="2">
        <v>0</v>
      </c>
      <c r="C1780" t="s">
        <v>3439</v>
      </c>
      <c r="D1780" t="s">
        <v>1761</v>
      </c>
      <c r="E1780" t="s">
        <v>1762</v>
      </c>
      <c r="F1780" s="3">
        <v>44312</v>
      </c>
      <c r="G1780" s="2">
        <v>80</v>
      </c>
      <c r="H1780" s="1">
        <v>1466.33</v>
      </c>
      <c r="I1780" t="s">
        <v>3155</v>
      </c>
      <c r="J1780" s="2">
        <v>1</v>
      </c>
      <c r="K1780" t="s">
        <v>13</v>
      </c>
      <c r="L1780" t="s">
        <v>21</v>
      </c>
      <c r="M1780" t="s">
        <v>1165</v>
      </c>
    </row>
    <row r="1781" spans="1:13" x14ac:dyDescent="0.25">
      <c r="A1781" s="5">
        <v>44392</v>
      </c>
      <c r="B1781" s="2">
        <v>0</v>
      </c>
      <c r="C1781" t="s">
        <v>3440</v>
      </c>
      <c r="D1781" t="s">
        <v>2211</v>
      </c>
      <c r="E1781" t="s">
        <v>2212</v>
      </c>
      <c r="F1781" s="3">
        <v>44342</v>
      </c>
      <c r="G1781" s="2">
        <v>50</v>
      </c>
      <c r="H1781" s="1">
        <v>316.57</v>
      </c>
      <c r="I1781" t="s">
        <v>3441</v>
      </c>
      <c r="J1781" s="2">
        <v>1</v>
      </c>
      <c r="K1781" t="s">
        <v>13</v>
      </c>
      <c r="L1781" t="s">
        <v>695</v>
      </c>
      <c r="M1781" t="s">
        <v>15</v>
      </c>
    </row>
    <row r="1782" spans="1:13" x14ac:dyDescent="0.25">
      <c r="A1782" s="5">
        <v>44392</v>
      </c>
      <c r="B1782" s="2">
        <v>0</v>
      </c>
      <c r="C1782" t="s">
        <v>3442</v>
      </c>
      <c r="D1782" t="s">
        <v>1421</v>
      </c>
      <c r="E1782" t="s">
        <v>1422</v>
      </c>
      <c r="F1782" s="3">
        <v>44322</v>
      </c>
      <c r="G1782" s="2">
        <v>70</v>
      </c>
      <c r="H1782" s="1">
        <v>266.45</v>
      </c>
      <c r="I1782" t="s">
        <v>3159</v>
      </c>
      <c r="J1782" s="2">
        <v>1</v>
      </c>
      <c r="K1782" t="s">
        <v>13</v>
      </c>
      <c r="L1782" t="s">
        <v>1493</v>
      </c>
      <c r="M1782" t="s">
        <v>1357</v>
      </c>
    </row>
    <row r="1783" spans="1:13" x14ac:dyDescent="0.25">
      <c r="A1783" s="5">
        <v>44392</v>
      </c>
      <c r="B1783" s="2">
        <v>0</v>
      </c>
      <c r="C1783" t="s">
        <v>3443</v>
      </c>
      <c r="D1783" t="s">
        <v>1421</v>
      </c>
      <c r="E1783" t="s">
        <v>1422</v>
      </c>
      <c r="F1783" s="3">
        <v>44337</v>
      </c>
      <c r="G1783" s="2">
        <v>55</v>
      </c>
      <c r="H1783" s="1">
        <v>328.85</v>
      </c>
      <c r="I1783" t="s">
        <v>3161</v>
      </c>
      <c r="J1783" s="2">
        <v>1</v>
      </c>
      <c r="K1783" t="s">
        <v>13</v>
      </c>
      <c r="L1783" t="s">
        <v>1493</v>
      </c>
      <c r="M1783" t="s">
        <v>1357</v>
      </c>
    </row>
    <row r="1784" spans="1:13" x14ac:dyDescent="0.25">
      <c r="A1784" s="5">
        <v>44392</v>
      </c>
      <c r="B1784" s="2">
        <v>0</v>
      </c>
      <c r="C1784" t="s">
        <v>3444</v>
      </c>
      <c r="D1784" t="s">
        <v>1716</v>
      </c>
      <c r="E1784" t="s">
        <v>1717</v>
      </c>
      <c r="F1784" s="3">
        <v>44322</v>
      </c>
      <c r="G1784" s="2">
        <v>70</v>
      </c>
      <c r="H1784" s="1">
        <v>1295.1199999999999</v>
      </c>
      <c r="I1784" t="s">
        <v>3165</v>
      </c>
      <c r="J1784" s="2">
        <v>1</v>
      </c>
      <c r="K1784" t="s">
        <v>1543</v>
      </c>
      <c r="L1784" t="s">
        <v>695</v>
      </c>
      <c r="M1784" t="s">
        <v>15</v>
      </c>
    </row>
    <row r="1785" spans="1:13" x14ac:dyDescent="0.25">
      <c r="A1785" s="5">
        <v>44392</v>
      </c>
      <c r="B1785" s="2">
        <v>0</v>
      </c>
      <c r="C1785" t="s">
        <v>3445</v>
      </c>
      <c r="D1785" t="s">
        <v>1757</v>
      </c>
      <c r="E1785" t="s">
        <v>1758</v>
      </c>
      <c r="F1785" s="3">
        <v>44342</v>
      </c>
      <c r="G1785" s="2">
        <v>50</v>
      </c>
      <c r="H1785" s="1">
        <v>612.57000000000005</v>
      </c>
      <c r="I1785" t="s">
        <v>3168</v>
      </c>
      <c r="J1785" s="2">
        <v>1</v>
      </c>
      <c r="K1785" t="s">
        <v>13</v>
      </c>
      <c r="L1785" t="s">
        <v>21</v>
      </c>
      <c r="M1785" t="s">
        <v>1165</v>
      </c>
    </row>
    <row r="1786" spans="1:13" x14ac:dyDescent="0.25">
      <c r="A1786" s="5">
        <v>44392</v>
      </c>
      <c r="B1786" s="2">
        <v>0</v>
      </c>
      <c r="C1786" t="s">
        <v>3446</v>
      </c>
      <c r="D1786" t="s">
        <v>2215</v>
      </c>
      <c r="E1786" t="s">
        <v>2216</v>
      </c>
      <c r="F1786" s="3">
        <v>44302</v>
      </c>
      <c r="G1786" s="2">
        <v>90</v>
      </c>
      <c r="H1786" s="1">
        <v>1368.74</v>
      </c>
      <c r="I1786" t="s">
        <v>3170</v>
      </c>
      <c r="J1786" s="2">
        <v>1</v>
      </c>
      <c r="K1786" t="s">
        <v>13</v>
      </c>
      <c r="L1786" t="s">
        <v>21</v>
      </c>
      <c r="M1786" t="s">
        <v>2217</v>
      </c>
    </row>
    <row r="1787" spans="1:13" x14ac:dyDescent="0.25">
      <c r="A1787" s="5">
        <v>44392</v>
      </c>
      <c r="B1787" s="2">
        <v>0</v>
      </c>
      <c r="C1787" t="s">
        <v>3447</v>
      </c>
      <c r="D1787" t="s">
        <v>2370</v>
      </c>
      <c r="E1787" t="s">
        <v>2371</v>
      </c>
      <c r="F1787" s="3">
        <v>44312</v>
      </c>
      <c r="G1787" s="2">
        <v>80</v>
      </c>
      <c r="H1787" s="1">
        <v>586.73</v>
      </c>
      <c r="I1787" t="s">
        <v>3448</v>
      </c>
      <c r="J1787" s="2">
        <v>1</v>
      </c>
      <c r="K1787" t="s">
        <v>13</v>
      </c>
      <c r="L1787" t="s">
        <v>695</v>
      </c>
      <c r="M1787" t="s">
        <v>90</v>
      </c>
    </row>
    <row r="1788" spans="1:13" x14ac:dyDescent="0.25">
      <c r="A1788" s="5">
        <v>44392</v>
      </c>
      <c r="B1788" s="2">
        <v>0</v>
      </c>
      <c r="C1788" t="s">
        <v>3449</v>
      </c>
      <c r="D1788" t="s">
        <v>3203</v>
      </c>
      <c r="E1788" t="s">
        <v>3204</v>
      </c>
      <c r="F1788" s="3">
        <v>44378</v>
      </c>
      <c r="G1788" s="2">
        <v>14</v>
      </c>
      <c r="H1788" s="1">
        <v>280.99</v>
      </c>
      <c r="I1788" t="s">
        <v>3282</v>
      </c>
      <c r="J1788" s="2">
        <v>1</v>
      </c>
      <c r="K1788" t="s">
        <v>13</v>
      </c>
      <c r="L1788" t="s">
        <v>830</v>
      </c>
      <c r="M1788" t="s">
        <v>3206</v>
      </c>
    </row>
    <row r="1789" spans="1:13" x14ac:dyDescent="0.25">
      <c r="A1789" s="5">
        <v>44392</v>
      </c>
      <c r="B1789" s="2">
        <v>0</v>
      </c>
      <c r="C1789" t="s">
        <v>3450</v>
      </c>
      <c r="D1789" t="s">
        <v>2047</v>
      </c>
      <c r="E1789" t="s">
        <v>2005</v>
      </c>
      <c r="F1789" s="3">
        <v>44312</v>
      </c>
      <c r="G1789" s="2">
        <v>80</v>
      </c>
      <c r="H1789" s="1">
        <v>236.87</v>
      </c>
      <c r="I1789" t="s">
        <v>2733</v>
      </c>
      <c r="J1789" s="2">
        <v>1</v>
      </c>
      <c r="K1789" t="s">
        <v>13</v>
      </c>
      <c r="L1789" t="s">
        <v>1682</v>
      </c>
      <c r="M1789" t="s">
        <v>15</v>
      </c>
    </row>
    <row r="1790" spans="1:13" x14ac:dyDescent="0.25">
      <c r="A1790" s="5">
        <v>44393</v>
      </c>
      <c r="B1790" s="2">
        <v>0</v>
      </c>
      <c r="C1790" t="s">
        <v>3451</v>
      </c>
      <c r="D1790" t="s">
        <v>2350</v>
      </c>
      <c r="E1790" t="s">
        <v>2351</v>
      </c>
      <c r="F1790" s="3">
        <v>44323</v>
      </c>
      <c r="G1790" s="2">
        <v>70</v>
      </c>
      <c r="H1790" s="1">
        <v>193.38</v>
      </c>
      <c r="I1790" t="s">
        <v>3452</v>
      </c>
      <c r="J1790" s="2">
        <v>1</v>
      </c>
      <c r="K1790" t="s">
        <v>13</v>
      </c>
      <c r="L1790" t="s">
        <v>695</v>
      </c>
      <c r="M1790" t="s">
        <v>15</v>
      </c>
    </row>
    <row r="1791" spans="1:13" x14ac:dyDescent="0.25">
      <c r="A1791" s="5">
        <v>44393</v>
      </c>
      <c r="B1791" s="2">
        <v>0</v>
      </c>
      <c r="C1791" t="s">
        <v>3453</v>
      </c>
      <c r="D1791" t="s">
        <v>2297</v>
      </c>
      <c r="E1791" t="s">
        <v>2298</v>
      </c>
      <c r="F1791" s="3">
        <v>44348</v>
      </c>
      <c r="G1791" s="2">
        <v>45</v>
      </c>
      <c r="H1791" s="1">
        <v>577.58000000000004</v>
      </c>
      <c r="I1791" t="s">
        <v>2862</v>
      </c>
      <c r="J1791" s="2">
        <v>1</v>
      </c>
      <c r="K1791" t="s">
        <v>13</v>
      </c>
      <c r="L1791" t="s">
        <v>21</v>
      </c>
      <c r="M1791" t="s">
        <v>31</v>
      </c>
    </row>
    <row r="1792" spans="1:13" x14ac:dyDescent="0.25">
      <c r="A1792" s="5">
        <v>44393</v>
      </c>
      <c r="B1792" s="2">
        <v>0</v>
      </c>
      <c r="C1792" t="s">
        <v>3454</v>
      </c>
      <c r="D1792" t="s">
        <v>1355</v>
      </c>
      <c r="E1792" t="s">
        <v>1356</v>
      </c>
      <c r="F1792" s="3">
        <v>44328</v>
      </c>
      <c r="G1792" s="2">
        <v>65</v>
      </c>
      <c r="H1792" s="1">
        <v>346.45</v>
      </c>
      <c r="I1792" t="s">
        <v>3000</v>
      </c>
      <c r="J1792" s="2">
        <v>1</v>
      </c>
      <c r="K1792" t="s">
        <v>13</v>
      </c>
      <c r="L1792" t="s">
        <v>1493</v>
      </c>
      <c r="M1792" t="s">
        <v>1357</v>
      </c>
    </row>
    <row r="1793" spans="1:13" x14ac:dyDescent="0.25">
      <c r="A1793" s="5">
        <v>44393</v>
      </c>
      <c r="B1793" s="2">
        <v>0</v>
      </c>
      <c r="C1793" t="s">
        <v>3455</v>
      </c>
      <c r="D1793" t="s">
        <v>3456</v>
      </c>
      <c r="E1793" t="s">
        <v>3457</v>
      </c>
      <c r="F1793" s="3">
        <v>44343</v>
      </c>
      <c r="G1793" s="2">
        <v>50</v>
      </c>
      <c r="H1793" s="1">
        <v>346.62</v>
      </c>
      <c r="I1793" t="s">
        <v>3458</v>
      </c>
      <c r="J1793" s="2">
        <v>1</v>
      </c>
      <c r="K1793" t="s">
        <v>13</v>
      </c>
      <c r="L1793" t="s">
        <v>554</v>
      </c>
      <c r="M1793" t="s">
        <v>1779</v>
      </c>
    </row>
    <row r="1794" spans="1:13" x14ac:dyDescent="0.25">
      <c r="A1794" s="5">
        <v>44393</v>
      </c>
      <c r="B1794" s="2">
        <v>0</v>
      </c>
      <c r="C1794" t="s">
        <v>3459</v>
      </c>
      <c r="D1794" t="s">
        <v>2211</v>
      </c>
      <c r="E1794" t="s">
        <v>2212</v>
      </c>
      <c r="F1794" s="3">
        <v>44328</v>
      </c>
      <c r="G1794" s="2">
        <v>65</v>
      </c>
      <c r="H1794" s="1">
        <v>417</v>
      </c>
      <c r="I1794" t="s">
        <v>3460</v>
      </c>
      <c r="J1794" s="2">
        <v>1</v>
      </c>
      <c r="K1794" t="s">
        <v>13</v>
      </c>
      <c r="L1794" t="s">
        <v>695</v>
      </c>
      <c r="M1794" t="s">
        <v>15</v>
      </c>
    </row>
    <row r="1795" spans="1:13" x14ac:dyDescent="0.25">
      <c r="A1795" s="5">
        <v>44393</v>
      </c>
      <c r="B1795" s="2">
        <v>0</v>
      </c>
      <c r="C1795" t="s">
        <v>3461</v>
      </c>
      <c r="D1795" t="s">
        <v>2038</v>
      </c>
      <c r="E1795" t="s">
        <v>1997</v>
      </c>
      <c r="F1795" s="3">
        <v>44328</v>
      </c>
      <c r="G1795" s="2">
        <v>65</v>
      </c>
      <c r="H1795" s="1">
        <v>257.36</v>
      </c>
      <c r="I1795" t="s">
        <v>3004</v>
      </c>
      <c r="J1795" s="2">
        <v>1</v>
      </c>
      <c r="K1795" t="s">
        <v>13</v>
      </c>
      <c r="L1795" t="s">
        <v>21</v>
      </c>
      <c r="M1795" t="s">
        <v>15</v>
      </c>
    </row>
    <row r="1796" spans="1:13" x14ac:dyDescent="0.25">
      <c r="A1796" s="5">
        <v>44393</v>
      </c>
      <c r="B1796" s="2">
        <v>0</v>
      </c>
      <c r="C1796" t="s">
        <v>3462</v>
      </c>
      <c r="D1796" t="s">
        <v>1421</v>
      </c>
      <c r="E1796" t="s">
        <v>1422</v>
      </c>
      <c r="F1796" s="3">
        <v>44343</v>
      </c>
      <c r="G1796" s="2">
        <v>50</v>
      </c>
      <c r="H1796" s="1">
        <v>267.89</v>
      </c>
      <c r="I1796" t="s">
        <v>3463</v>
      </c>
      <c r="J1796" s="2">
        <v>1</v>
      </c>
      <c r="K1796" t="s">
        <v>13</v>
      </c>
      <c r="L1796" t="s">
        <v>1493</v>
      </c>
      <c r="M1796" t="s">
        <v>1357</v>
      </c>
    </row>
    <row r="1797" spans="1:13" x14ac:dyDescent="0.25">
      <c r="A1797" s="5">
        <v>44393</v>
      </c>
      <c r="B1797" s="2">
        <v>0</v>
      </c>
      <c r="C1797" t="s">
        <v>3464</v>
      </c>
      <c r="D1797" t="s">
        <v>1421</v>
      </c>
      <c r="E1797" t="s">
        <v>1422</v>
      </c>
      <c r="F1797" s="3">
        <v>44343</v>
      </c>
      <c r="G1797" s="2">
        <v>50</v>
      </c>
      <c r="H1797" s="1">
        <v>296.13</v>
      </c>
      <c r="I1797" t="s">
        <v>3465</v>
      </c>
      <c r="J1797" s="2">
        <v>1</v>
      </c>
      <c r="K1797" t="s">
        <v>13</v>
      </c>
      <c r="L1797" t="s">
        <v>1493</v>
      </c>
      <c r="M1797" t="s">
        <v>1357</v>
      </c>
    </row>
    <row r="1798" spans="1:13" x14ac:dyDescent="0.25">
      <c r="A1798" s="5">
        <v>44393</v>
      </c>
      <c r="B1798" s="2">
        <v>0</v>
      </c>
      <c r="C1798" t="s">
        <v>3466</v>
      </c>
      <c r="D1798" t="s">
        <v>2496</v>
      </c>
      <c r="E1798" t="s">
        <v>2497</v>
      </c>
      <c r="F1798" s="3">
        <v>43679</v>
      </c>
      <c r="G1798" s="2">
        <v>714</v>
      </c>
      <c r="H1798" s="1">
        <v>500</v>
      </c>
      <c r="I1798" t="s">
        <v>3467</v>
      </c>
      <c r="J1798" s="2">
        <v>1</v>
      </c>
      <c r="K1798" t="s">
        <v>13</v>
      </c>
      <c r="L1798" t="s">
        <v>1682</v>
      </c>
      <c r="M1798" t="s">
        <v>15</v>
      </c>
    </row>
    <row r="1799" spans="1:13" x14ac:dyDescent="0.25">
      <c r="A1799" s="5">
        <v>44393</v>
      </c>
      <c r="B1799" s="2">
        <v>0</v>
      </c>
      <c r="C1799" t="s">
        <v>3468</v>
      </c>
      <c r="D1799" t="s">
        <v>2002</v>
      </c>
      <c r="E1799" t="s">
        <v>2003</v>
      </c>
      <c r="F1799" s="3">
        <v>44328</v>
      </c>
      <c r="G1799" s="2">
        <v>65</v>
      </c>
      <c r="H1799" s="1">
        <v>336.92</v>
      </c>
      <c r="I1799" t="s">
        <v>3005</v>
      </c>
      <c r="J1799" s="2">
        <v>1</v>
      </c>
      <c r="K1799" t="s">
        <v>13</v>
      </c>
      <c r="L1799" t="s">
        <v>1493</v>
      </c>
      <c r="M1799" t="s">
        <v>2004</v>
      </c>
    </row>
    <row r="1800" spans="1:13" x14ac:dyDescent="0.25">
      <c r="A1800" s="5">
        <v>44393</v>
      </c>
      <c r="B1800" s="2">
        <v>0</v>
      </c>
      <c r="C1800" t="s">
        <v>3469</v>
      </c>
      <c r="D1800" t="s">
        <v>1773</v>
      </c>
      <c r="E1800" t="s">
        <v>1938</v>
      </c>
      <c r="F1800" s="3">
        <v>44313</v>
      </c>
      <c r="G1800" s="2">
        <v>80</v>
      </c>
      <c r="H1800" s="1">
        <v>1935.78</v>
      </c>
      <c r="I1800" t="s">
        <v>3222</v>
      </c>
      <c r="J1800" s="2">
        <v>1</v>
      </c>
      <c r="K1800" t="s">
        <v>13</v>
      </c>
      <c r="L1800" t="s">
        <v>21</v>
      </c>
      <c r="M1800" t="s">
        <v>1774</v>
      </c>
    </row>
    <row r="1801" spans="1:13" x14ac:dyDescent="0.25">
      <c r="A1801" s="5">
        <v>44393</v>
      </c>
      <c r="B1801" s="2">
        <v>0</v>
      </c>
      <c r="C1801" t="s">
        <v>3470</v>
      </c>
      <c r="D1801" t="s">
        <v>1757</v>
      </c>
      <c r="E1801" t="s">
        <v>1758</v>
      </c>
      <c r="F1801" s="3">
        <v>44313</v>
      </c>
      <c r="G1801" s="2">
        <v>80</v>
      </c>
      <c r="H1801" s="1">
        <v>2535.6</v>
      </c>
      <c r="I1801" t="s">
        <v>3471</v>
      </c>
      <c r="J1801" s="2">
        <v>1</v>
      </c>
      <c r="K1801" t="s">
        <v>13</v>
      </c>
      <c r="L1801" t="s">
        <v>21</v>
      </c>
      <c r="M1801" t="s">
        <v>1165</v>
      </c>
    </row>
    <row r="1802" spans="1:13" x14ac:dyDescent="0.25">
      <c r="A1802" s="5">
        <v>44393</v>
      </c>
      <c r="B1802" s="2">
        <v>0</v>
      </c>
      <c r="C1802" t="s">
        <v>3472</v>
      </c>
      <c r="D1802" t="s">
        <v>1757</v>
      </c>
      <c r="E1802" t="s">
        <v>1758</v>
      </c>
      <c r="F1802" s="3">
        <v>44313</v>
      </c>
      <c r="G1802" s="2">
        <v>80</v>
      </c>
      <c r="H1802" s="1">
        <v>914.48</v>
      </c>
      <c r="I1802" t="s">
        <v>3473</v>
      </c>
      <c r="J1802" s="2">
        <v>1</v>
      </c>
      <c r="K1802" t="s">
        <v>13</v>
      </c>
      <c r="L1802" t="s">
        <v>21</v>
      </c>
      <c r="M1802" t="s">
        <v>1165</v>
      </c>
    </row>
    <row r="1803" spans="1:13" x14ac:dyDescent="0.25">
      <c r="A1803" s="5">
        <v>44393</v>
      </c>
      <c r="B1803" s="2">
        <v>0</v>
      </c>
      <c r="C1803" t="s">
        <v>3474</v>
      </c>
      <c r="D1803" t="s">
        <v>3475</v>
      </c>
      <c r="E1803" t="s">
        <v>3476</v>
      </c>
      <c r="F1803" s="3">
        <v>44323</v>
      </c>
      <c r="G1803" s="2">
        <v>70</v>
      </c>
      <c r="H1803" s="1">
        <v>238.7</v>
      </c>
      <c r="I1803" t="s">
        <v>3477</v>
      </c>
      <c r="J1803" s="2">
        <v>1</v>
      </c>
      <c r="K1803" t="s">
        <v>13</v>
      </c>
      <c r="L1803" t="s">
        <v>21</v>
      </c>
      <c r="M1803" t="s">
        <v>3478</v>
      </c>
    </row>
    <row r="1804" spans="1:13" x14ac:dyDescent="0.25">
      <c r="A1804" s="5">
        <v>44393</v>
      </c>
      <c r="B1804" s="2">
        <v>0</v>
      </c>
      <c r="C1804" t="s">
        <v>3479</v>
      </c>
      <c r="D1804" t="s">
        <v>3193</v>
      </c>
      <c r="E1804" t="s">
        <v>2284</v>
      </c>
      <c r="F1804" s="3">
        <v>44313</v>
      </c>
      <c r="G1804" s="2">
        <v>80</v>
      </c>
      <c r="H1804" s="1">
        <v>474.96</v>
      </c>
      <c r="I1804" t="s">
        <v>3480</v>
      </c>
      <c r="J1804" s="2">
        <v>1</v>
      </c>
      <c r="K1804" t="s">
        <v>13</v>
      </c>
      <c r="L1804" t="s">
        <v>1682</v>
      </c>
      <c r="M1804" t="s">
        <v>3195</v>
      </c>
    </row>
    <row r="1805" spans="1:13" x14ac:dyDescent="0.25">
      <c r="A1805" s="5">
        <v>44393</v>
      </c>
      <c r="B1805" s="2">
        <v>0</v>
      </c>
      <c r="C1805" t="s">
        <v>3481</v>
      </c>
      <c r="D1805" t="s">
        <v>1985</v>
      </c>
      <c r="E1805" t="s">
        <v>1986</v>
      </c>
      <c r="F1805" s="3">
        <v>44351</v>
      </c>
      <c r="G1805" s="2">
        <v>42</v>
      </c>
      <c r="H1805" s="1">
        <v>187.89</v>
      </c>
      <c r="I1805" t="s">
        <v>2903</v>
      </c>
      <c r="J1805" s="2">
        <v>1</v>
      </c>
      <c r="K1805" t="s">
        <v>13</v>
      </c>
      <c r="L1805" t="s">
        <v>830</v>
      </c>
      <c r="M1805" t="s">
        <v>1902</v>
      </c>
    </row>
    <row r="1806" spans="1:13" x14ac:dyDescent="0.25">
      <c r="A1806" s="5">
        <v>44393</v>
      </c>
      <c r="B1806" s="2">
        <v>0</v>
      </c>
      <c r="C1806" t="s">
        <v>3482</v>
      </c>
      <c r="D1806" t="s">
        <v>2047</v>
      </c>
      <c r="E1806" t="s">
        <v>2005</v>
      </c>
      <c r="F1806" s="3">
        <v>44333</v>
      </c>
      <c r="G1806" s="2">
        <v>60</v>
      </c>
      <c r="H1806" s="1">
        <v>266.89999999999998</v>
      </c>
      <c r="I1806" t="s">
        <v>3483</v>
      </c>
      <c r="J1806" s="2">
        <v>1</v>
      </c>
      <c r="K1806" t="s">
        <v>13</v>
      </c>
      <c r="L1806" t="s">
        <v>1682</v>
      </c>
      <c r="M1806" t="s">
        <v>15</v>
      </c>
    </row>
    <row r="1807" spans="1:13" x14ac:dyDescent="0.25">
      <c r="A1807" s="5">
        <v>44394</v>
      </c>
      <c r="B1807" s="2">
        <v>0</v>
      </c>
      <c r="C1807" t="s">
        <v>3484</v>
      </c>
      <c r="D1807" t="s">
        <v>2350</v>
      </c>
      <c r="E1807" t="s">
        <v>2351</v>
      </c>
      <c r="F1807" s="3">
        <v>44354</v>
      </c>
      <c r="G1807" s="2">
        <v>40</v>
      </c>
      <c r="H1807" s="1">
        <v>438.28</v>
      </c>
      <c r="I1807" t="s">
        <v>3485</v>
      </c>
      <c r="J1807" s="2">
        <v>1</v>
      </c>
      <c r="K1807" t="s">
        <v>13</v>
      </c>
      <c r="L1807" t="s">
        <v>695</v>
      </c>
      <c r="M1807" t="s">
        <v>15</v>
      </c>
    </row>
    <row r="1808" spans="1:13" x14ac:dyDescent="0.25">
      <c r="A1808" s="5">
        <v>44394</v>
      </c>
      <c r="B1808" s="2">
        <v>0</v>
      </c>
      <c r="C1808" t="s">
        <v>3486</v>
      </c>
      <c r="D1808" t="s">
        <v>1355</v>
      </c>
      <c r="E1808" t="s">
        <v>1356</v>
      </c>
      <c r="F1808" s="3">
        <v>44314</v>
      </c>
      <c r="G1808" s="2">
        <v>80</v>
      </c>
      <c r="H1808" s="1">
        <v>465.94</v>
      </c>
      <c r="I1808" t="s">
        <v>2872</v>
      </c>
      <c r="J1808" s="2">
        <v>1</v>
      </c>
      <c r="K1808" t="s">
        <v>13</v>
      </c>
      <c r="L1808" t="s">
        <v>1493</v>
      </c>
      <c r="M1808" t="s">
        <v>1357</v>
      </c>
    </row>
    <row r="1809" spans="1:13" x14ac:dyDescent="0.25">
      <c r="A1809" s="5">
        <v>44394</v>
      </c>
      <c r="B1809" s="2">
        <v>0</v>
      </c>
      <c r="C1809" t="s">
        <v>3487</v>
      </c>
      <c r="D1809" t="s">
        <v>1355</v>
      </c>
      <c r="E1809" t="s">
        <v>1356</v>
      </c>
      <c r="F1809" s="3">
        <v>44329</v>
      </c>
      <c r="G1809" s="2">
        <v>65</v>
      </c>
      <c r="H1809" s="1">
        <v>259.14</v>
      </c>
      <c r="I1809" t="s">
        <v>3015</v>
      </c>
      <c r="J1809" s="2">
        <v>1</v>
      </c>
      <c r="K1809" t="s">
        <v>13</v>
      </c>
      <c r="L1809" t="s">
        <v>1493</v>
      </c>
      <c r="M1809" t="s">
        <v>1357</v>
      </c>
    </row>
    <row r="1810" spans="1:13" x14ac:dyDescent="0.25">
      <c r="A1810" s="5">
        <v>44394</v>
      </c>
      <c r="B1810" s="2">
        <v>0</v>
      </c>
      <c r="C1810" t="s">
        <v>3488</v>
      </c>
      <c r="D1810" t="s">
        <v>2464</v>
      </c>
      <c r="E1810" t="s">
        <v>2465</v>
      </c>
      <c r="F1810" s="3">
        <v>44384</v>
      </c>
      <c r="G1810" s="2">
        <v>10</v>
      </c>
      <c r="H1810" s="1">
        <v>552.46</v>
      </c>
      <c r="I1810" t="s">
        <v>3489</v>
      </c>
      <c r="J1810" s="2">
        <v>1</v>
      </c>
      <c r="K1810" t="s">
        <v>13</v>
      </c>
      <c r="L1810" t="s">
        <v>1682</v>
      </c>
      <c r="M1810" t="s">
        <v>2310</v>
      </c>
    </row>
    <row r="1811" spans="1:13" x14ac:dyDescent="0.25">
      <c r="A1811" s="5">
        <v>44394</v>
      </c>
      <c r="B1811" s="2">
        <v>0</v>
      </c>
      <c r="C1811" t="s">
        <v>3490</v>
      </c>
      <c r="D1811" t="s">
        <v>1761</v>
      </c>
      <c r="E1811" t="s">
        <v>1762</v>
      </c>
      <c r="F1811" s="3">
        <v>44284</v>
      </c>
      <c r="G1811" s="2">
        <v>110</v>
      </c>
      <c r="H1811" s="1">
        <v>1345.58</v>
      </c>
      <c r="I1811" t="s">
        <v>2876</v>
      </c>
      <c r="J1811" s="2">
        <v>1</v>
      </c>
      <c r="K1811" t="s">
        <v>13</v>
      </c>
      <c r="L1811" t="s">
        <v>21</v>
      </c>
      <c r="M1811" t="s">
        <v>1165</v>
      </c>
    </row>
    <row r="1812" spans="1:13" x14ac:dyDescent="0.25">
      <c r="A1812" s="5">
        <v>44394</v>
      </c>
      <c r="B1812" s="2">
        <v>0</v>
      </c>
      <c r="C1812" t="s">
        <v>3491</v>
      </c>
      <c r="D1812" t="s">
        <v>1761</v>
      </c>
      <c r="E1812" t="s">
        <v>1762</v>
      </c>
      <c r="F1812" s="3">
        <v>44314</v>
      </c>
      <c r="G1812" s="2">
        <v>80</v>
      </c>
      <c r="H1812" s="1">
        <v>827.51</v>
      </c>
      <c r="I1812" t="s">
        <v>3230</v>
      </c>
      <c r="J1812" s="2">
        <v>1</v>
      </c>
      <c r="K1812" t="s">
        <v>13</v>
      </c>
      <c r="L1812" t="s">
        <v>21</v>
      </c>
      <c r="M1812" t="s">
        <v>1165</v>
      </c>
    </row>
    <row r="1813" spans="1:13" x14ac:dyDescent="0.25">
      <c r="A1813" s="5">
        <v>44394</v>
      </c>
      <c r="B1813" s="2">
        <v>0</v>
      </c>
      <c r="C1813" t="s">
        <v>3492</v>
      </c>
      <c r="D1813" t="s">
        <v>1761</v>
      </c>
      <c r="E1813" t="s">
        <v>1762</v>
      </c>
      <c r="F1813" s="3">
        <v>44319</v>
      </c>
      <c r="G1813" s="2">
        <v>75</v>
      </c>
      <c r="H1813" s="1">
        <v>2580.44</v>
      </c>
      <c r="I1813" t="s">
        <v>3493</v>
      </c>
      <c r="J1813" s="2">
        <v>1</v>
      </c>
      <c r="K1813" t="s">
        <v>13</v>
      </c>
      <c r="L1813" t="s">
        <v>21</v>
      </c>
      <c r="M1813" t="s">
        <v>1165</v>
      </c>
    </row>
    <row r="1814" spans="1:13" x14ac:dyDescent="0.25">
      <c r="A1814" s="5">
        <v>44394</v>
      </c>
      <c r="B1814" s="2">
        <v>0</v>
      </c>
      <c r="C1814" t="s">
        <v>3494</v>
      </c>
      <c r="D1814" t="s">
        <v>1761</v>
      </c>
      <c r="E1814" t="s">
        <v>1762</v>
      </c>
      <c r="F1814" s="3">
        <v>44334</v>
      </c>
      <c r="G1814" s="2">
        <v>60</v>
      </c>
      <c r="H1814" s="1">
        <v>2289.85</v>
      </c>
      <c r="I1814" t="s">
        <v>3495</v>
      </c>
      <c r="J1814" s="2">
        <v>1</v>
      </c>
      <c r="K1814" t="s">
        <v>13</v>
      </c>
      <c r="L1814" t="s">
        <v>21</v>
      </c>
      <c r="M1814" t="s">
        <v>1165</v>
      </c>
    </row>
    <row r="1815" spans="1:13" x14ac:dyDescent="0.25">
      <c r="A1815" s="5">
        <v>44394</v>
      </c>
      <c r="B1815" s="2">
        <v>0</v>
      </c>
      <c r="C1815" t="s">
        <v>3496</v>
      </c>
      <c r="D1815" t="s">
        <v>3101</v>
      </c>
      <c r="E1815" t="s">
        <v>3102</v>
      </c>
      <c r="F1815" s="3">
        <v>44319</v>
      </c>
      <c r="G1815" s="2">
        <v>75</v>
      </c>
      <c r="H1815" s="1">
        <v>386.41</v>
      </c>
      <c r="I1815" t="s">
        <v>3231</v>
      </c>
      <c r="J1815" s="2">
        <v>1</v>
      </c>
      <c r="K1815" t="s">
        <v>13</v>
      </c>
      <c r="L1815" t="s">
        <v>2126</v>
      </c>
      <c r="M1815" t="s">
        <v>15</v>
      </c>
    </row>
    <row r="1816" spans="1:13" x14ac:dyDescent="0.25">
      <c r="A1816" s="5">
        <v>44394</v>
      </c>
      <c r="B1816" s="2">
        <v>0</v>
      </c>
      <c r="C1816" t="s">
        <v>3497</v>
      </c>
      <c r="D1816" t="s">
        <v>1421</v>
      </c>
      <c r="E1816" t="s">
        <v>1422</v>
      </c>
      <c r="F1816" s="3">
        <v>44334</v>
      </c>
      <c r="G1816" s="2">
        <v>60</v>
      </c>
      <c r="H1816" s="1">
        <v>358.04</v>
      </c>
      <c r="I1816" t="s">
        <v>3498</v>
      </c>
      <c r="J1816" s="2">
        <v>1</v>
      </c>
      <c r="K1816" t="s">
        <v>13</v>
      </c>
      <c r="L1816" t="s">
        <v>1493</v>
      </c>
      <c r="M1816" t="s">
        <v>1357</v>
      </c>
    </row>
    <row r="1817" spans="1:13" x14ac:dyDescent="0.25">
      <c r="A1817" s="5">
        <v>44394</v>
      </c>
      <c r="B1817" s="2">
        <v>0</v>
      </c>
      <c r="C1817" t="s">
        <v>3499</v>
      </c>
      <c r="D1817" t="s">
        <v>3018</v>
      </c>
      <c r="E1817" t="s">
        <v>3019</v>
      </c>
      <c r="F1817" s="3">
        <v>44349</v>
      </c>
      <c r="G1817" s="2">
        <v>45</v>
      </c>
      <c r="H1817" s="1">
        <v>398.12</v>
      </c>
      <c r="I1817" t="s">
        <v>3500</v>
      </c>
      <c r="J1817" s="2">
        <v>1</v>
      </c>
      <c r="K1817" t="s">
        <v>13</v>
      </c>
      <c r="L1817" t="s">
        <v>1682</v>
      </c>
      <c r="M1817" t="s">
        <v>15</v>
      </c>
    </row>
    <row r="1818" spans="1:13" x14ac:dyDescent="0.25">
      <c r="A1818" s="5">
        <v>44394</v>
      </c>
      <c r="B1818" s="2">
        <v>0</v>
      </c>
      <c r="C1818" t="s">
        <v>3501</v>
      </c>
      <c r="D1818" t="s">
        <v>1890</v>
      </c>
      <c r="E1818" t="s">
        <v>1891</v>
      </c>
      <c r="F1818" s="3">
        <v>44334</v>
      </c>
      <c r="G1818" s="2">
        <v>60</v>
      </c>
      <c r="H1818" s="1">
        <v>1150.24</v>
      </c>
      <c r="I1818" t="s">
        <v>3502</v>
      </c>
      <c r="J1818" s="2">
        <v>1</v>
      </c>
      <c r="K1818" t="s">
        <v>1543</v>
      </c>
      <c r="L1818" t="s">
        <v>695</v>
      </c>
      <c r="M1818" t="s">
        <v>15</v>
      </c>
    </row>
    <row r="1819" spans="1:13" x14ac:dyDescent="0.25">
      <c r="A1819" s="5">
        <v>44394</v>
      </c>
      <c r="B1819" s="2">
        <v>0</v>
      </c>
      <c r="C1819" t="s">
        <v>3503</v>
      </c>
      <c r="D1819" t="s">
        <v>2002</v>
      </c>
      <c r="E1819" t="s">
        <v>2003</v>
      </c>
      <c r="F1819" s="3">
        <v>44309</v>
      </c>
      <c r="G1819" s="2">
        <v>85</v>
      </c>
      <c r="H1819" s="1">
        <v>309.99</v>
      </c>
      <c r="I1819" t="s">
        <v>3020</v>
      </c>
      <c r="J1819" s="2">
        <v>1</v>
      </c>
      <c r="K1819" t="s">
        <v>13</v>
      </c>
      <c r="L1819" t="s">
        <v>1493</v>
      </c>
      <c r="M1819" t="s">
        <v>2004</v>
      </c>
    </row>
    <row r="1820" spans="1:13" x14ac:dyDescent="0.25">
      <c r="A1820" s="5">
        <v>44394</v>
      </c>
      <c r="B1820" s="2">
        <v>0</v>
      </c>
      <c r="C1820" t="s">
        <v>3504</v>
      </c>
      <c r="D1820" t="s">
        <v>1900</v>
      </c>
      <c r="E1820" t="s">
        <v>1901</v>
      </c>
      <c r="F1820" s="3">
        <v>44334</v>
      </c>
      <c r="G1820" s="2">
        <v>60</v>
      </c>
      <c r="H1820" s="1">
        <v>1739.87</v>
      </c>
      <c r="I1820" t="s">
        <v>3505</v>
      </c>
      <c r="J1820" s="2">
        <v>1</v>
      </c>
      <c r="K1820" t="s">
        <v>1543</v>
      </c>
      <c r="L1820" t="s">
        <v>695</v>
      </c>
      <c r="M1820" t="s">
        <v>15</v>
      </c>
    </row>
    <row r="1821" spans="1:13" x14ac:dyDescent="0.25">
      <c r="A1821" s="5">
        <v>44394</v>
      </c>
      <c r="B1821" s="2">
        <v>0</v>
      </c>
      <c r="C1821" t="s">
        <v>3506</v>
      </c>
      <c r="D1821" t="s">
        <v>1773</v>
      </c>
      <c r="E1821" t="s">
        <v>1938</v>
      </c>
      <c r="F1821" s="3">
        <v>44294</v>
      </c>
      <c r="G1821" s="2">
        <v>100</v>
      </c>
      <c r="H1821" s="1">
        <v>1338.68</v>
      </c>
      <c r="I1821" t="s">
        <v>2881</v>
      </c>
      <c r="J1821" s="2">
        <v>1</v>
      </c>
      <c r="K1821" t="s">
        <v>13</v>
      </c>
      <c r="L1821" t="s">
        <v>21</v>
      </c>
      <c r="M1821" t="s">
        <v>1774</v>
      </c>
    </row>
    <row r="1822" spans="1:13" x14ac:dyDescent="0.25">
      <c r="A1822" s="5">
        <v>44394</v>
      </c>
      <c r="B1822" s="2">
        <v>0</v>
      </c>
      <c r="C1822" t="s">
        <v>3507</v>
      </c>
      <c r="D1822" t="s">
        <v>1757</v>
      </c>
      <c r="E1822" t="s">
        <v>1758</v>
      </c>
      <c r="F1822" s="3">
        <v>44284</v>
      </c>
      <c r="G1822" s="2">
        <v>110</v>
      </c>
      <c r="H1822" s="1">
        <v>1154.6199999999999</v>
      </c>
      <c r="I1822" t="s">
        <v>2885</v>
      </c>
      <c r="J1822" s="2">
        <v>1</v>
      </c>
      <c r="K1822" t="s">
        <v>13</v>
      </c>
      <c r="L1822" t="s">
        <v>21</v>
      </c>
      <c r="M1822" t="s">
        <v>1165</v>
      </c>
    </row>
    <row r="1823" spans="1:13" x14ac:dyDescent="0.25">
      <c r="A1823" s="5">
        <v>44394</v>
      </c>
      <c r="B1823" s="2">
        <v>0</v>
      </c>
      <c r="C1823" t="s">
        <v>3508</v>
      </c>
      <c r="D1823" t="s">
        <v>2215</v>
      </c>
      <c r="E1823" t="s">
        <v>2216</v>
      </c>
      <c r="F1823" s="3">
        <v>44314</v>
      </c>
      <c r="G1823" s="2">
        <v>80</v>
      </c>
      <c r="H1823" s="1">
        <v>1440.85</v>
      </c>
      <c r="I1823" t="s">
        <v>3249</v>
      </c>
      <c r="J1823" s="2">
        <v>1</v>
      </c>
      <c r="K1823" t="s">
        <v>13</v>
      </c>
      <c r="L1823" t="s">
        <v>21</v>
      </c>
      <c r="M1823" t="s">
        <v>2217</v>
      </c>
    </row>
    <row r="1824" spans="1:13" x14ac:dyDescent="0.25">
      <c r="A1824" s="5">
        <v>44394</v>
      </c>
      <c r="B1824" s="2">
        <v>0</v>
      </c>
      <c r="C1824" t="s">
        <v>3509</v>
      </c>
      <c r="D1824" t="s">
        <v>3193</v>
      </c>
      <c r="E1824" t="s">
        <v>2284</v>
      </c>
      <c r="F1824" s="3">
        <v>44334</v>
      </c>
      <c r="G1824" s="2">
        <v>60</v>
      </c>
      <c r="H1824" s="1">
        <v>385.23</v>
      </c>
      <c r="I1824" t="s">
        <v>3253</v>
      </c>
      <c r="J1824" s="2">
        <v>1</v>
      </c>
      <c r="K1824" t="s">
        <v>13</v>
      </c>
      <c r="L1824" t="s">
        <v>1682</v>
      </c>
      <c r="M1824" t="s">
        <v>3195</v>
      </c>
    </row>
    <row r="1825" spans="1:13" x14ac:dyDescent="0.25">
      <c r="A1825" s="5">
        <v>44394</v>
      </c>
      <c r="B1825" s="2">
        <v>0</v>
      </c>
      <c r="C1825" t="s">
        <v>3510</v>
      </c>
      <c r="D1825" t="s">
        <v>2047</v>
      </c>
      <c r="E1825" t="s">
        <v>2005</v>
      </c>
      <c r="F1825" s="3">
        <v>44319</v>
      </c>
      <c r="G1825" s="2">
        <v>75</v>
      </c>
      <c r="H1825" s="1">
        <v>313.73</v>
      </c>
      <c r="I1825" t="s">
        <v>2744</v>
      </c>
      <c r="J1825" s="2">
        <v>1</v>
      </c>
      <c r="K1825" t="s">
        <v>13</v>
      </c>
      <c r="L1825" t="s">
        <v>1682</v>
      </c>
      <c r="M1825" t="s">
        <v>15</v>
      </c>
    </row>
    <row r="1826" spans="1:13" x14ac:dyDescent="0.25">
      <c r="A1826" s="5">
        <v>44395</v>
      </c>
      <c r="B1826" s="2">
        <v>0</v>
      </c>
      <c r="C1826" t="s">
        <v>3511</v>
      </c>
      <c r="D1826" t="s">
        <v>1680</v>
      </c>
      <c r="E1826" t="s">
        <v>1681</v>
      </c>
      <c r="F1826" s="3">
        <v>44295</v>
      </c>
      <c r="G1826" s="2">
        <v>100</v>
      </c>
      <c r="H1826" s="1">
        <v>390.02</v>
      </c>
      <c r="I1826" t="s">
        <v>3512</v>
      </c>
      <c r="J1826" s="2">
        <v>1</v>
      </c>
      <c r="K1826" t="s">
        <v>13</v>
      </c>
      <c r="L1826" t="s">
        <v>1682</v>
      </c>
      <c r="M1826" t="s">
        <v>15</v>
      </c>
    </row>
    <row r="1827" spans="1:13" x14ac:dyDescent="0.25">
      <c r="A1827" s="5">
        <v>44395</v>
      </c>
      <c r="B1827" s="2">
        <v>0</v>
      </c>
      <c r="C1827" t="s">
        <v>3513</v>
      </c>
      <c r="D1827" t="s">
        <v>3031</v>
      </c>
      <c r="E1827" t="s">
        <v>3032</v>
      </c>
      <c r="F1827" s="3">
        <v>44330</v>
      </c>
      <c r="G1827" s="2">
        <v>65</v>
      </c>
      <c r="H1827" s="1">
        <v>478.15</v>
      </c>
      <c r="I1827" t="s">
        <v>3033</v>
      </c>
      <c r="J1827" s="2">
        <v>1</v>
      </c>
      <c r="K1827" t="s">
        <v>13</v>
      </c>
      <c r="L1827" t="s">
        <v>21</v>
      </c>
      <c r="M1827" t="s">
        <v>33</v>
      </c>
    </row>
    <row r="1828" spans="1:13" x14ac:dyDescent="0.25">
      <c r="A1828" s="5">
        <v>44395</v>
      </c>
      <c r="B1828" s="2">
        <v>0</v>
      </c>
      <c r="C1828" t="s">
        <v>3514</v>
      </c>
      <c r="D1828" t="s">
        <v>1355</v>
      </c>
      <c r="E1828" t="s">
        <v>1356</v>
      </c>
      <c r="F1828" s="3">
        <v>44335</v>
      </c>
      <c r="G1828" s="2">
        <v>60</v>
      </c>
      <c r="H1828" s="1">
        <v>350.26</v>
      </c>
      <c r="I1828" t="s">
        <v>3034</v>
      </c>
      <c r="J1828" s="2">
        <v>1</v>
      </c>
      <c r="K1828" t="s">
        <v>13</v>
      </c>
      <c r="L1828" t="s">
        <v>1493</v>
      </c>
      <c r="M1828" t="s">
        <v>1357</v>
      </c>
    </row>
    <row r="1829" spans="1:13" x14ac:dyDescent="0.25">
      <c r="A1829" s="5">
        <v>44395</v>
      </c>
      <c r="B1829" s="2">
        <v>0</v>
      </c>
      <c r="C1829" t="s">
        <v>3515</v>
      </c>
      <c r="D1829" t="s">
        <v>3456</v>
      </c>
      <c r="E1829" t="s">
        <v>3457</v>
      </c>
      <c r="F1829" s="3">
        <v>44365</v>
      </c>
      <c r="G1829" s="2">
        <v>30</v>
      </c>
      <c r="H1829" s="1">
        <v>396.35</v>
      </c>
      <c r="I1829" t="s">
        <v>3516</v>
      </c>
      <c r="J1829" s="2">
        <v>1</v>
      </c>
      <c r="K1829" t="s">
        <v>13</v>
      </c>
      <c r="L1829" t="s">
        <v>554</v>
      </c>
      <c r="M1829" t="s">
        <v>1779</v>
      </c>
    </row>
    <row r="1830" spans="1:13" x14ac:dyDescent="0.25">
      <c r="A1830" s="5">
        <v>44395</v>
      </c>
      <c r="B1830" s="2">
        <v>0</v>
      </c>
      <c r="C1830" t="s">
        <v>3517</v>
      </c>
      <c r="D1830" t="s">
        <v>1761</v>
      </c>
      <c r="E1830" t="s">
        <v>1762</v>
      </c>
      <c r="F1830" s="3">
        <v>44315</v>
      </c>
      <c r="G1830" s="2">
        <v>80</v>
      </c>
      <c r="H1830" s="1">
        <v>497.68</v>
      </c>
      <c r="I1830" t="s">
        <v>3260</v>
      </c>
      <c r="J1830" s="2">
        <v>1</v>
      </c>
      <c r="K1830" t="s">
        <v>13</v>
      </c>
      <c r="L1830" t="s">
        <v>21</v>
      </c>
      <c r="M1830" t="s">
        <v>1165</v>
      </c>
    </row>
    <row r="1831" spans="1:13" x14ac:dyDescent="0.25">
      <c r="A1831" s="5">
        <v>44395</v>
      </c>
      <c r="B1831" s="2">
        <v>0</v>
      </c>
      <c r="C1831" t="s">
        <v>3518</v>
      </c>
      <c r="D1831" t="s">
        <v>1761</v>
      </c>
      <c r="E1831" t="s">
        <v>1762</v>
      </c>
      <c r="F1831" s="3">
        <v>44315</v>
      </c>
      <c r="G1831" s="2">
        <v>80</v>
      </c>
      <c r="H1831" s="1">
        <v>703.11</v>
      </c>
      <c r="I1831" t="s">
        <v>3519</v>
      </c>
      <c r="J1831" s="2">
        <v>1</v>
      </c>
      <c r="K1831" t="s">
        <v>13</v>
      </c>
      <c r="L1831" t="s">
        <v>21</v>
      </c>
      <c r="M1831" t="s">
        <v>1165</v>
      </c>
    </row>
    <row r="1832" spans="1:13" x14ac:dyDescent="0.25">
      <c r="A1832" s="5">
        <v>44395</v>
      </c>
      <c r="B1832" s="2">
        <v>0</v>
      </c>
      <c r="C1832" t="s">
        <v>3520</v>
      </c>
      <c r="D1832" t="s">
        <v>1761</v>
      </c>
      <c r="E1832" t="s">
        <v>1762</v>
      </c>
      <c r="F1832" s="3">
        <v>44315</v>
      </c>
      <c r="G1832" s="2">
        <v>80</v>
      </c>
      <c r="H1832" s="1">
        <v>270.83999999999997</v>
      </c>
      <c r="I1832" t="s">
        <v>3521</v>
      </c>
      <c r="J1832" s="2">
        <v>1</v>
      </c>
      <c r="K1832" t="s">
        <v>13</v>
      </c>
      <c r="L1832" t="s">
        <v>21</v>
      </c>
      <c r="M1832" t="s">
        <v>1165</v>
      </c>
    </row>
    <row r="1833" spans="1:13" x14ac:dyDescent="0.25">
      <c r="A1833" s="5">
        <v>44395</v>
      </c>
      <c r="B1833" s="2">
        <v>0</v>
      </c>
      <c r="C1833" t="s">
        <v>3522</v>
      </c>
      <c r="D1833" t="s">
        <v>1983</v>
      </c>
      <c r="E1833" t="s">
        <v>1984</v>
      </c>
      <c r="F1833" s="3">
        <v>44295</v>
      </c>
      <c r="G1833" s="2">
        <v>100</v>
      </c>
      <c r="H1833" s="1">
        <v>1073.96</v>
      </c>
      <c r="I1833" t="s">
        <v>2893</v>
      </c>
      <c r="J1833" s="2">
        <v>1</v>
      </c>
      <c r="K1833" t="s">
        <v>13</v>
      </c>
      <c r="L1833" t="s">
        <v>21</v>
      </c>
      <c r="M1833" t="s">
        <v>1566</v>
      </c>
    </row>
    <row r="1834" spans="1:13" x14ac:dyDescent="0.25">
      <c r="A1834" s="5">
        <v>44395</v>
      </c>
      <c r="B1834" s="2">
        <v>0</v>
      </c>
      <c r="C1834" t="s">
        <v>3523</v>
      </c>
      <c r="D1834" t="s">
        <v>1983</v>
      </c>
      <c r="E1834" t="s">
        <v>1984</v>
      </c>
      <c r="F1834" s="3">
        <v>44315</v>
      </c>
      <c r="G1834" s="2">
        <v>80</v>
      </c>
      <c r="H1834" s="1">
        <v>327.56</v>
      </c>
      <c r="I1834" t="s">
        <v>3263</v>
      </c>
      <c r="J1834" s="2">
        <v>1</v>
      </c>
      <c r="K1834" t="s">
        <v>13</v>
      </c>
      <c r="L1834" t="s">
        <v>21</v>
      </c>
      <c r="M1834" t="s">
        <v>1566</v>
      </c>
    </row>
    <row r="1835" spans="1:13" x14ac:dyDescent="0.25">
      <c r="A1835" s="5">
        <v>44395</v>
      </c>
      <c r="B1835" s="2">
        <v>0</v>
      </c>
      <c r="C1835" t="s">
        <v>3524</v>
      </c>
      <c r="D1835" t="s">
        <v>1983</v>
      </c>
      <c r="E1835" t="s">
        <v>1984</v>
      </c>
      <c r="F1835" s="3">
        <v>44315</v>
      </c>
      <c r="G1835" s="2">
        <v>80</v>
      </c>
      <c r="H1835" s="1">
        <v>270.83999999999997</v>
      </c>
      <c r="I1835" t="s">
        <v>3525</v>
      </c>
      <c r="J1835" s="2">
        <v>1</v>
      </c>
      <c r="K1835" t="s">
        <v>13</v>
      </c>
      <c r="L1835" t="s">
        <v>21</v>
      </c>
      <c r="M1835" t="s">
        <v>1566</v>
      </c>
    </row>
    <row r="1836" spans="1:13" x14ac:dyDescent="0.25">
      <c r="A1836" s="5">
        <v>44395</v>
      </c>
      <c r="B1836" s="2">
        <v>0</v>
      </c>
      <c r="C1836" t="s">
        <v>3526</v>
      </c>
      <c r="D1836" t="s">
        <v>2211</v>
      </c>
      <c r="E1836" t="s">
        <v>2212</v>
      </c>
      <c r="F1836" s="3">
        <v>44330</v>
      </c>
      <c r="G1836" s="2">
        <v>65</v>
      </c>
      <c r="H1836" s="1">
        <v>490.63</v>
      </c>
      <c r="I1836" t="s">
        <v>3527</v>
      </c>
      <c r="J1836" s="2">
        <v>1</v>
      </c>
      <c r="K1836" t="s">
        <v>13</v>
      </c>
      <c r="L1836" t="s">
        <v>695</v>
      </c>
      <c r="M1836" t="s">
        <v>15</v>
      </c>
    </row>
    <row r="1837" spans="1:13" x14ac:dyDescent="0.25">
      <c r="A1837" s="5">
        <v>44395</v>
      </c>
      <c r="B1837" s="2">
        <v>0</v>
      </c>
      <c r="C1837" t="s">
        <v>3528</v>
      </c>
      <c r="D1837" t="s">
        <v>1892</v>
      </c>
      <c r="E1837" t="s">
        <v>1893</v>
      </c>
      <c r="F1837" s="3">
        <v>44335</v>
      </c>
      <c r="G1837" s="2">
        <v>60</v>
      </c>
      <c r="H1837" s="1">
        <v>779.95</v>
      </c>
      <c r="I1837" t="s">
        <v>3529</v>
      </c>
      <c r="J1837" s="2">
        <v>1</v>
      </c>
      <c r="K1837" t="s">
        <v>1543</v>
      </c>
      <c r="L1837" t="s">
        <v>695</v>
      </c>
      <c r="M1837" t="s">
        <v>31</v>
      </c>
    </row>
    <row r="1838" spans="1:13" x14ac:dyDescent="0.25">
      <c r="A1838" s="5">
        <v>44395</v>
      </c>
      <c r="B1838" s="2">
        <v>0</v>
      </c>
      <c r="C1838" t="s">
        <v>3530</v>
      </c>
      <c r="D1838" t="s">
        <v>1716</v>
      </c>
      <c r="E1838" t="s">
        <v>1717</v>
      </c>
      <c r="F1838" s="3">
        <v>44335</v>
      </c>
      <c r="G1838" s="2">
        <v>60</v>
      </c>
      <c r="H1838" s="1">
        <v>1661.19</v>
      </c>
      <c r="I1838" t="s">
        <v>3531</v>
      </c>
      <c r="J1838" s="2">
        <v>1</v>
      </c>
      <c r="K1838" t="s">
        <v>1543</v>
      </c>
      <c r="L1838" t="s">
        <v>695</v>
      </c>
      <c r="M1838" t="s">
        <v>15</v>
      </c>
    </row>
    <row r="1839" spans="1:13" x14ac:dyDescent="0.25">
      <c r="A1839" s="5">
        <v>44395</v>
      </c>
      <c r="B1839" s="2">
        <v>0</v>
      </c>
      <c r="C1839" t="s">
        <v>3532</v>
      </c>
      <c r="D1839" t="s">
        <v>1773</v>
      </c>
      <c r="E1839" t="s">
        <v>1938</v>
      </c>
      <c r="F1839" s="3">
        <v>44315</v>
      </c>
      <c r="G1839" s="2">
        <v>80</v>
      </c>
      <c r="H1839" s="1">
        <v>703.11</v>
      </c>
      <c r="I1839" t="s">
        <v>3533</v>
      </c>
      <c r="J1839" s="2">
        <v>1</v>
      </c>
      <c r="K1839" t="s">
        <v>13</v>
      </c>
      <c r="L1839" t="s">
        <v>21</v>
      </c>
      <c r="M1839" t="s">
        <v>1774</v>
      </c>
    </row>
    <row r="1840" spans="1:13" x14ac:dyDescent="0.25">
      <c r="A1840" s="5">
        <v>44395</v>
      </c>
      <c r="B1840" s="2">
        <v>0</v>
      </c>
      <c r="C1840" t="s">
        <v>3534</v>
      </c>
      <c r="D1840" t="s">
        <v>1773</v>
      </c>
      <c r="E1840" t="s">
        <v>1938</v>
      </c>
      <c r="F1840" s="3">
        <v>44315</v>
      </c>
      <c r="G1840" s="2">
        <v>80</v>
      </c>
      <c r="H1840" s="1">
        <v>270.83999999999997</v>
      </c>
      <c r="I1840" t="s">
        <v>3535</v>
      </c>
      <c r="J1840" s="2">
        <v>1</v>
      </c>
      <c r="K1840" t="s">
        <v>13</v>
      </c>
      <c r="L1840" t="s">
        <v>21</v>
      </c>
      <c r="M1840" t="s">
        <v>1774</v>
      </c>
    </row>
    <row r="1841" spans="1:13" x14ac:dyDescent="0.25">
      <c r="A1841" s="5">
        <v>44395</v>
      </c>
      <c r="B1841" s="2">
        <v>0</v>
      </c>
      <c r="C1841" t="s">
        <v>3536</v>
      </c>
      <c r="D1841" t="s">
        <v>1757</v>
      </c>
      <c r="E1841" t="s">
        <v>1758</v>
      </c>
      <c r="F1841" s="3">
        <v>44305</v>
      </c>
      <c r="G1841" s="2">
        <v>90</v>
      </c>
      <c r="H1841" s="1">
        <v>1068.5899999999999</v>
      </c>
      <c r="I1841" t="s">
        <v>2901</v>
      </c>
      <c r="J1841" s="2">
        <v>1</v>
      </c>
      <c r="K1841" t="s">
        <v>13</v>
      </c>
      <c r="L1841" t="s">
        <v>21</v>
      </c>
      <c r="M1841" t="s">
        <v>1165</v>
      </c>
    </row>
    <row r="1842" spans="1:13" x14ac:dyDescent="0.25">
      <c r="A1842" s="5">
        <v>44395</v>
      </c>
      <c r="B1842" s="2">
        <v>0</v>
      </c>
      <c r="C1842" t="s">
        <v>3537</v>
      </c>
      <c r="D1842" t="s">
        <v>1757</v>
      </c>
      <c r="E1842" t="s">
        <v>1758</v>
      </c>
      <c r="F1842" s="3">
        <v>44315</v>
      </c>
      <c r="G1842" s="2">
        <v>80</v>
      </c>
      <c r="H1842" s="1">
        <v>270.83999999999997</v>
      </c>
      <c r="I1842" t="s">
        <v>3538</v>
      </c>
      <c r="J1842" s="2">
        <v>1</v>
      </c>
      <c r="K1842" t="s">
        <v>13</v>
      </c>
      <c r="L1842" t="s">
        <v>21</v>
      </c>
      <c r="M1842" t="s">
        <v>1165</v>
      </c>
    </row>
    <row r="1843" spans="1:13" x14ac:dyDescent="0.25">
      <c r="A1843" s="5">
        <v>44395</v>
      </c>
      <c r="B1843" s="2">
        <v>0</v>
      </c>
      <c r="C1843" t="s">
        <v>3539</v>
      </c>
      <c r="D1843" t="s">
        <v>1757</v>
      </c>
      <c r="E1843" t="s">
        <v>1758</v>
      </c>
      <c r="F1843" s="3">
        <v>44320</v>
      </c>
      <c r="G1843" s="2">
        <v>75</v>
      </c>
      <c r="H1843" s="1">
        <v>2731.83</v>
      </c>
      <c r="I1843" t="s">
        <v>3540</v>
      </c>
      <c r="J1843" s="2">
        <v>1</v>
      </c>
      <c r="K1843" t="s">
        <v>13</v>
      </c>
      <c r="L1843" t="s">
        <v>21</v>
      </c>
      <c r="M1843" t="s">
        <v>1165</v>
      </c>
    </row>
    <row r="1844" spans="1:13" x14ac:dyDescent="0.25">
      <c r="A1844" s="5">
        <v>44395</v>
      </c>
      <c r="B1844" s="2">
        <v>0</v>
      </c>
      <c r="C1844" t="s">
        <v>3541</v>
      </c>
      <c r="D1844" t="s">
        <v>3542</v>
      </c>
      <c r="E1844" t="s">
        <v>3543</v>
      </c>
      <c r="F1844" s="3">
        <v>44335</v>
      </c>
      <c r="G1844" s="2">
        <v>60</v>
      </c>
      <c r="H1844" s="1">
        <v>442.37</v>
      </c>
      <c r="I1844" t="s">
        <v>3544</v>
      </c>
      <c r="J1844" s="2">
        <v>1</v>
      </c>
      <c r="K1844" t="s">
        <v>13</v>
      </c>
      <c r="L1844" t="s">
        <v>554</v>
      </c>
      <c r="M1844" t="s">
        <v>2430</v>
      </c>
    </row>
    <row r="1845" spans="1:13" x14ac:dyDescent="0.25">
      <c r="A1845" s="5">
        <v>44395</v>
      </c>
      <c r="B1845" s="2">
        <v>0</v>
      </c>
      <c r="C1845" t="s">
        <v>3545</v>
      </c>
      <c r="D1845" t="s">
        <v>1998</v>
      </c>
      <c r="E1845" t="s">
        <v>1999</v>
      </c>
      <c r="F1845" s="3">
        <v>44335</v>
      </c>
      <c r="G1845" s="2">
        <v>60</v>
      </c>
      <c r="H1845" s="1">
        <v>912.1</v>
      </c>
      <c r="I1845" t="s">
        <v>2750</v>
      </c>
      <c r="J1845" s="2">
        <v>1</v>
      </c>
      <c r="K1845" t="s">
        <v>13</v>
      </c>
      <c r="L1845" t="s">
        <v>695</v>
      </c>
      <c r="M1845" t="s">
        <v>15</v>
      </c>
    </row>
    <row r="1846" spans="1:13" x14ac:dyDescent="0.25">
      <c r="A1846" s="5">
        <v>44395</v>
      </c>
      <c r="B1846" s="2">
        <v>0</v>
      </c>
      <c r="C1846" t="s">
        <v>3546</v>
      </c>
      <c r="D1846" t="s">
        <v>2370</v>
      </c>
      <c r="E1846" t="s">
        <v>2371</v>
      </c>
      <c r="F1846" s="3">
        <v>44305</v>
      </c>
      <c r="G1846" s="2">
        <v>90</v>
      </c>
      <c r="H1846" s="1">
        <v>358.55</v>
      </c>
      <c r="I1846" t="s">
        <v>3547</v>
      </c>
      <c r="J1846" s="2">
        <v>1</v>
      </c>
      <c r="K1846" t="s">
        <v>13</v>
      </c>
      <c r="L1846" t="s">
        <v>695</v>
      </c>
      <c r="M1846" t="s">
        <v>90</v>
      </c>
    </row>
    <row r="1847" spans="1:13" x14ac:dyDescent="0.25">
      <c r="A1847" s="5">
        <v>44395</v>
      </c>
      <c r="B1847" s="2">
        <v>0</v>
      </c>
      <c r="C1847" t="s">
        <v>3548</v>
      </c>
      <c r="D1847" t="s">
        <v>1852</v>
      </c>
      <c r="E1847" t="s">
        <v>1853</v>
      </c>
      <c r="F1847" s="3">
        <v>44355</v>
      </c>
      <c r="G1847" s="2">
        <v>40</v>
      </c>
      <c r="H1847" s="1">
        <v>308.63</v>
      </c>
      <c r="I1847" t="s">
        <v>3284</v>
      </c>
      <c r="J1847" s="2">
        <v>1</v>
      </c>
      <c r="K1847" t="s">
        <v>13</v>
      </c>
      <c r="L1847" t="s">
        <v>830</v>
      </c>
      <c r="M1847" t="s">
        <v>172</v>
      </c>
    </row>
    <row r="1848" spans="1:13" x14ac:dyDescent="0.25">
      <c r="A1848" s="5">
        <v>44395</v>
      </c>
      <c r="B1848" s="2">
        <v>0</v>
      </c>
      <c r="C1848" t="s">
        <v>3549</v>
      </c>
      <c r="D1848" t="s">
        <v>1852</v>
      </c>
      <c r="E1848" t="s">
        <v>1853</v>
      </c>
      <c r="F1848" s="3">
        <v>44355</v>
      </c>
      <c r="G1848" s="2">
        <v>40</v>
      </c>
      <c r="H1848" s="1">
        <v>534.99</v>
      </c>
      <c r="I1848" t="s">
        <v>3550</v>
      </c>
      <c r="J1848" s="2">
        <v>1</v>
      </c>
      <c r="K1848" t="s">
        <v>13</v>
      </c>
      <c r="L1848" t="s">
        <v>830</v>
      </c>
      <c r="M1848" t="s">
        <v>172</v>
      </c>
    </row>
    <row r="1849" spans="1:13" x14ac:dyDescent="0.25">
      <c r="A1849" s="5">
        <v>44396</v>
      </c>
      <c r="B1849" s="2">
        <v>0</v>
      </c>
      <c r="C1849" t="s">
        <v>3551</v>
      </c>
      <c r="D1849" t="s">
        <v>2297</v>
      </c>
      <c r="E1849" t="s">
        <v>2298</v>
      </c>
      <c r="F1849" s="3">
        <v>44286</v>
      </c>
      <c r="G1849" s="2">
        <v>110</v>
      </c>
      <c r="H1849" s="1">
        <v>372.5</v>
      </c>
      <c r="I1849" t="s">
        <v>2299</v>
      </c>
      <c r="J1849" s="2">
        <v>1</v>
      </c>
      <c r="K1849" t="s">
        <v>13</v>
      </c>
      <c r="L1849" t="s">
        <v>21</v>
      </c>
      <c r="M1849" t="s">
        <v>31</v>
      </c>
    </row>
    <row r="1850" spans="1:13" x14ac:dyDescent="0.25">
      <c r="A1850" s="5">
        <v>44396</v>
      </c>
      <c r="B1850" s="2">
        <v>0</v>
      </c>
      <c r="C1850" t="s">
        <v>3552</v>
      </c>
      <c r="D1850" t="s">
        <v>2297</v>
      </c>
      <c r="E1850" t="s">
        <v>2298</v>
      </c>
      <c r="F1850" s="3">
        <v>44321</v>
      </c>
      <c r="G1850" s="2">
        <v>75</v>
      </c>
      <c r="H1850" s="1">
        <v>733.37</v>
      </c>
      <c r="I1850" t="s">
        <v>2907</v>
      </c>
      <c r="J1850" s="2">
        <v>1</v>
      </c>
      <c r="K1850" t="s">
        <v>13</v>
      </c>
      <c r="L1850" t="s">
        <v>21</v>
      </c>
      <c r="M1850" t="s">
        <v>31</v>
      </c>
    </row>
    <row r="1851" spans="1:13" x14ac:dyDescent="0.25">
      <c r="A1851" s="5">
        <v>44396</v>
      </c>
      <c r="B1851" s="2">
        <v>0</v>
      </c>
      <c r="C1851" t="s">
        <v>3553</v>
      </c>
      <c r="D1851" t="s">
        <v>3554</v>
      </c>
      <c r="E1851" t="s">
        <v>3555</v>
      </c>
      <c r="F1851" s="3">
        <v>44326</v>
      </c>
      <c r="G1851" s="2">
        <v>70</v>
      </c>
      <c r="H1851" s="1">
        <v>242.36</v>
      </c>
      <c r="I1851" t="s">
        <v>3556</v>
      </c>
      <c r="J1851" s="2">
        <v>1</v>
      </c>
      <c r="K1851" t="s">
        <v>13</v>
      </c>
      <c r="L1851" t="s">
        <v>1493</v>
      </c>
      <c r="M1851" t="s">
        <v>3557</v>
      </c>
    </row>
    <row r="1852" spans="1:13" x14ac:dyDescent="0.25">
      <c r="A1852" s="5">
        <v>44396</v>
      </c>
      <c r="B1852" s="2">
        <v>0</v>
      </c>
      <c r="C1852" t="s">
        <v>3558</v>
      </c>
      <c r="D1852" t="s">
        <v>1355</v>
      </c>
      <c r="E1852" t="s">
        <v>1356</v>
      </c>
      <c r="F1852" s="3">
        <v>44336</v>
      </c>
      <c r="G1852" s="2">
        <v>60</v>
      </c>
      <c r="H1852" s="1">
        <v>212.42</v>
      </c>
      <c r="I1852" t="s">
        <v>3559</v>
      </c>
      <c r="J1852" s="2">
        <v>1</v>
      </c>
      <c r="K1852" t="s">
        <v>13</v>
      </c>
      <c r="L1852" t="s">
        <v>1493</v>
      </c>
      <c r="M1852" t="s">
        <v>1357</v>
      </c>
    </row>
    <row r="1853" spans="1:13" x14ac:dyDescent="0.25">
      <c r="A1853" s="5">
        <v>44396</v>
      </c>
      <c r="B1853" s="2">
        <v>0</v>
      </c>
      <c r="C1853" t="s">
        <v>3560</v>
      </c>
      <c r="D1853" t="s">
        <v>1761</v>
      </c>
      <c r="E1853" t="s">
        <v>1762</v>
      </c>
      <c r="F1853" s="3">
        <v>44306</v>
      </c>
      <c r="G1853" s="2">
        <v>90</v>
      </c>
      <c r="H1853" s="1">
        <v>1837.55</v>
      </c>
      <c r="I1853" t="s">
        <v>3056</v>
      </c>
      <c r="J1853" s="2">
        <v>1</v>
      </c>
      <c r="K1853" t="s">
        <v>13</v>
      </c>
      <c r="L1853" t="s">
        <v>21</v>
      </c>
      <c r="M1853" t="s">
        <v>1165</v>
      </c>
    </row>
    <row r="1854" spans="1:13" x14ac:dyDescent="0.25">
      <c r="A1854" s="5">
        <v>44396</v>
      </c>
      <c r="B1854" s="2">
        <v>0</v>
      </c>
      <c r="C1854" t="s">
        <v>3561</v>
      </c>
      <c r="D1854" t="s">
        <v>1983</v>
      </c>
      <c r="E1854" t="s">
        <v>1984</v>
      </c>
      <c r="F1854" s="3">
        <v>44326</v>
      </c>
      <c r="G1854" s="2">
        <v>70</v>
      </c>
      <c r="H1854" s="1">
        <v>1002.69</v>
      </c>
      <c r="I1854" t="s">
        <v>3290</v>
      </c>
      <c r="J1854" s="2">
        <v>1</v>
      </c>
      <c r="K1854" t="s">
        <v>13</v>
      </c>
      <c r="L1854" t="s">
        <v>21</v>
      </c>
      <c r="M1854" t="s">
        <v>1566</v>
      </c>
    </row>
    <row r="1855" spans="1:13" x14ac:dyDescent="0.25">
      <c r="A1855" s="5">
        <v>44396</v>
      </c>
      <c r="B1855" s="2">
        <v>0</v>
      </c>
      <c r="C1855" t="s">
        <v>3562</v>
      </c>
      <c r="D1855" t="s">
        <v>3101</v>
      </c>
      <c r="E1855" t="s">
        <v>3102</v>
      </c>
      <c r="F1855" s="3">
        <v>44351</v>
      </c>
      <c r="G1855" s="2">
        <v>45</v>
      </c>
      <c r="H1855" s="1">
        <v>339.01</v>
      </c>
      <c r="I1855" t="s">
        <v>3293</v>
      </c>
      <c r="J1855" s="2">
        <v>1</v>
      </c>
      <c r="K1855" t="s">
        <v>13</v>
      </c>
      <c r="L1855" t="s">
        <v>2126</v>
      </c>
      <c r="M1855" t="s">
        <v>15</v>
      </c>
    </row>
    <row r="1856" spans="1:13" x14ac:dyDescent="0.25">
      <c r="A1856" s="5">
        <v>44396</v>
      </c>
      <c r="B1856" s="2">
        <v>0</v>
      </c>
      <c r="C1856" t="s">
        <v>3563</v>
      </c>
      <c r="D1856" t="s">
        <v>2211</v>
      </c>
      <c r="E1856" t="s">
        <v>2212</v>
      </c>
      <c r="F1856" s="3">
        <v>44286</v>
      </c>
      <c r="G1856" s="2">
        <v>110</v>
      </c>
      <c r="H1856" s="1">
        <v>1110.56</v>
      </c>
      <c r="I1856" t="s">
        <v>2429</v>
      </c>
      <c r="J1856" s="2">
        <v>1</v>
      </c>
      <c r="K1856" t="s">
        <v>13</v>
      </c>
      <c r="L1856" t="s">
        <v>695</v>
      </c>
      <c r="M1856" t="s">
        <v>15</v>
      </c>
    </row>
    <row r="1857" spans="1:13" x14ac:dyDescent="0.25">
      <c r="A1857" s="5">
        <v>44396</v>
      </c>
      <c r="B1857" s="2">
        <v>0</v>
      </c>
      <c r="C1857" t="s">
        <v>3564</v>
      </c>
      <c r="D1857" t="s">
        <v>2038</v>
      </c>
      <c r="E1857" t="s">
        <v>1997</v>
      </c>
      <c r="F1857" s="3">
        <v>44326</v>
      </c>
      <c r="G1857" s="2">
        <v>70</v>
      </c>
      <c r="H1857" s="1">
        <v>242.72</v>
      </c>
      <c r="I1857" t="s">
        <v>3565</v>
      </c>
      <c r="J1857" s="2">
        <v>1</v>
      </c>
      <c r="K1857" t="s">
        <v>13</v>
      </c>
      <c r="L1857" t="s">
        <v>21</v>
      </c>
      <c r="M1857" t="s">
        <v>15</v>
      </c>
    </row>
    <row r="1858" spans="1:13" x14ac:dyDescent="0.25">
      <c r="A1858" s="5">
        <v>44396</v>
      </c>
      <c r="B1858" s="2">
        <v>0</v>
      </c>
      <c r="C1858" t="s">
        <v>3566</v>
      </c>
      <c r="D1858" t="s">
        <v>2038</v>
      </c>
      <c r="E1858" t="s">
        <v>1997</v>
      </c>
      <c r="F1858" s="3">
        <v>44326</v>
      </c>
      <c r="G1858" s="2">
        <v>70</v>
      </c>
      <c r="H1858" s="1">
        <v>240.04</v>
      </c>
      <c r="I1858" t="s">
        <v>3567</v>
      </c>
      <c r="J1858" s="2">
        <v>1</v>
      </c>
      <c r="K1858" t="s">
        <v>13</v>
      </c>
      <c r="L1858" t="s">
        <v>21</v>
      </c>
      <c r="M1858" t="s">
        <v>15</v>
      </c>
    </row>
    <row r="1859" spans="1:13" x14ac:dyDescent="0.25">
      <c r="A1859" s="5">
        <v>44396</v>
      </c>
      <c r="B1859" s="2">
        <v>0</v>
      </c>
      <c r="C1859" t="s">
        <v>3568</v>
      </c>
      <c r="D1859" t="s">
        <v>2038</v>
      </c>
      <c r="E1859" t="s">
        <v>1997</v>
      </c>
      <c r="F1859" s="3">
        <v>44326</v>
      </c>
      <c r="G1859" s="2">
        <v>70</v>
      </c>
      <c r="H1859" s="1">
        <v>233.34</v>
      </c>
      <c r="I1859" t="s">
        <v>3297</v>
      </c>
      <c r="J1859" s="2">
        <v>1</v>
      </c>
      <c r="K1859" t="s">
        <v>13</v>
      </c>
      <c r="L1859" t="s">
        <v>21</v>
      </c>
      <c r="M1859" t="s">
        <v>15</v>
      </c>
    </row>
    <row r="1860" spans="1:13" x14ac:dyDescent="0.25">
      <c r="A1860" s="5">
        <v>44396</v>
      </c>
      <c r="B1860" s="2">
        <v>0</v>
      </c>
      <c r="C1860" t="s">
        <v>3569</v>
      </c>
      <c r="D1860" t="s">
        <v>2038</v>
      </c>
      <c r="E1860" t="s">
        <v>1997</v>
      </c>
      <c r="F1860" s="3">
        <v>44326</v>
      </c>
      <c r="G1860" s="2">
        <v>70</v>
      </c>
      <c r="H1860" s="1">
        <v>313.63</v>
      </c>
      <c r="I1860" t="s">
        <v>3570</v>
      </c>
      <c r="J1860" s="2">
        <v>1</v>
      </c>
      <c r="K1860" t="s">
        <v>13</v>
      </c>
      <c r="L1860" t="s">
        <v>21</v>
      </c>
      <c r="M1860" t="s">
        <v>15</v>
      </c>
    </row>
    <row r="1861" spans="1:13" x14ac:dyDescent="0.25">
      <c r="A1861" s="5">
        <v>44396</v>
      </c>
      <c r="B1861" s="2">
        <v>0</v>
      </c>
      <c r="C1861" t="s">
        <v>3571</v>
      </c>
      <c r="D1861" t="s">
        <v>1890</v>
      </c>
      <c r="E1861" t="s">
        <v>1891</v>
      </c>
      <c r="F1861" s="3">
        <v>44336</v>
      </c>
      <c r="G1861" s="2">
        <v>60</v>
      </c>
      <c r="H1861" s="1">
        <v>472.29</v>
      </c>
      <c r="I1861" t="s">
        <v>3572</v>
      </c>
      <c r="J1861" s="2">
        <v>1</v>
      </c>
      <c r="K1861" t="s">
        <v>1543</v>
      </c>
      <c r="L1861" t="s">
        <v>695</v>
      </c>
      <c r="M1861" t="s">
        <v>15</v>
      </c>
    </row>
    <row r="1862" spans="1:13" x14ac:dyDescent="0.25">
      <c r="A1862" s="5">
        <v>44396</v>
      </c>
      <c r="B1862" s="2">
        <v>0</v>
      </c>
      <c r="C1862" t="s">
        <v>3573</v>
      </c>
      <c r="D1862" t="s">
        <v>1892</v>
      </c>
      <c r="E1862" t="s">
        <v>1893</v>
      </c>
      <c r="F1862" s="3">
        <v>44336</v>
      </c>
      <c r="G1862" s="2">
        <v>60</v>
      </c>
      <c r="H1862" s="1">
        <v>472.29</v>
      </c>
      <c r="I1862" t="s">
        <v>3574</v>
      </c>
      <c r="J1862" s="2">
        <v>1</v>
      </c>
      <c r="K1862" t="s">
        <v>1543</v>
      </c>
      <c r="L1862" t="s">
        <v>695</v>
      </c>
      <c r="M1862" t="s">
        <v>31</v>
      </c>
    </row>
    <row r="1863" spans="1:13" x14ac:dyDescent="0.25">
      <c r="A1863" s="5">
        <v>44396</v>
      </c>
      <c r="B1863" s="2">
        <v>0</v>
      </c>
      <c r="C1863" t="s">
        <v>3575</v>
      </c>
      <c r="D1863" t="s">
        <v>1716</v>
      </c>
      <c r="E1863" t="s">
        <v>1717</v>
      </c>
      <c r="F1863" s="3">
        <v>44336</v>
      </c>
      <c r="G1863" s="2">
        <v>60</v>
      </c>
      <c r="H1863" s="1">
        <v>472.29</v>
      </c>
      <c r="I1863" t="s">
        <v>3576</v>
      </c>
      <c r="J1863" s="2">
        <v>1</v>
      </c>
      <c r="K1863" t="s">
        <v>1543</v>
      </c>
      <c r="L1863" t="s">
        <v>695</v>
      </c>
      <c r="M1863" t="s">
        <v>15</v>
      </c>
    </row>
    <row r="1864" spans="1:13" x14ac:dyDescent="0.25">
      <c r="A1864" s="5">
        <v>44396</v>
      </c>
      <c r="B1864" s="2">
        <v>0</v>
      </c>
      <c r="C1864" t="s">
        <v>3577</v>
      </c>
      <c r="D1864" t="s">
        <v>1900</v>
      </c>
      <c r="E1864" t="s">
        <v>1901</v>
      </c>
      <c r="F1864" s="3">
        <v>44336</v>
      </c>
      <c r="G1864" s="2">
        <v>60</v>
      </c>
      <c r="H1864" s="1">
        <v>472.29</v>
      </c>
      <c r="I1864" t="s">
        <v>3578</v>
      </c>
      <c r="J1864" s="2">
        <v>1</v>
      </c>
      <c r="K1864" t="s">
        <v>1543</v>
      </c>
      <c r="L1864" t="s">
        <v>695</v>
      </c>
      <c r="M1864" t="s">
        <v>15</v>
      </c>
    </row>
    <row r="1865" spans="1:13" x14ac:dyDescent="0.25">
      <c r="A1865" s="5">
        <v>44396</v>
      </c>
      <c r="B1865" s="2">
        <v>0</v>
      </c>
      <c r="C1865" t="s">
        <v>3579</v>
      </c>
      <c r="D1865" t="s">
        <v>1773</v>
      </c>
      <c r="E1865" t="s">
        <v>1938</v>
      </c>
      <c r="F1865" s="3">
        <v>44321</v>
      </c>
      <c r="G1865" s="2">
        <v>75</v>
      </c>
      <c r="H1865" s="1">
        <v>1517.98</v>
      </c>
      <c r="I1865" t="s">
        <v>3580</v>
      </c>
      <c r="J1865" s="2">
        <v>1</v>
      </c>
      <c r="K1865" t="s">
        <v>13</v>
      </c>
      <c r="L1865" t="s">
        <v>21</v>
      </c>
      <c r="M1865" t="s">
        <v>1774</v>
      </c>
    </row>
    <row r="1866" spans="1:13" x14ac:dyDescent="0.25">
      <c r="A1866" s="5">
        <v>44396</v>
      </c>
      <c r="B1866" s="2">
        <v>0</v>
      </c>
      <c r="C1866" t="s">
        <v>3581</v>
      </c>
      <c r="D1866" t="s">
        <v>1757</v>
      </c>
      <c r="E1866" t="s">
        <v>1758</v>
      </c>
      <c r="F1866" s="3">
        <v>44321</v>
      </c>
      <c r="G1866" s="2">
        <v>75</v>
      </c>
      <c r="H1866" s="1">
        <v>558.48</v>
      </c>
      <c r="I1866" t="s">
        <v>3582</v>
      </c>
      <c r="J1866" s="2">
        <v>1</v>
      </c>
      <c r="K1866" t="s">
        <v>13</v>
      </c>
      <c r="L1866" t="s">
        <v>21</v>
      </c>
      <c r="M1866" t="s">
        <v>1165</v>
      </c>
    </row>
    <row r="1867" spans="1:13" x14ac:dyDescent="0.25">
      <c r="A1867" s="5">
        <v>44396</v>
      </c>
      <c r="B1867" s="2">
        <v>0</v>
      </c>
      <c r="C1867" t="s">
        <v>3583</v>
      </c>
      <c r="D1867" t="s">
        <v>1748</v>
      </c>
      <c r="E1867" t="s">
        <v>1840</v>
      </c>
      <c r="F1867" s="3">
        <v>44361</v>
      </c>
      <c r="G1867" s="2">
        <v>35</v>
      </c>
      <c r="H1867" s="1">
        <v>314.64</v>
      </c>
      <c r="I1867" t="s">
        <v>3584</v>
      </c>
      <c r="J1867" s="2">
        <v>1</v>
      </c>
      <c r="K1867" t="s">
        <v>13</v>
      </c>
      <c r="L1867" t="s">
        <v>1682</v>
      </c>
      <c r="M1867" t="s">
        <v>15</v>
      </c>
    </row>
    <row r="1868" spans="1:13" x14ac:dyDescent="0.25">
      <c r="A1868" s="5">
        <v>44396</v>
      </c>
      <c r="B1868" s="2">
        <v>0</v>
      </c>
      <c r="C1868" t="s">
        <v>3585</v>
      </c>
      <c r="D1868" t="s">
        <v>2047</v>
      </c>
      <c r="E1868" t="s">
        <v>2005</v>
      </c>
      <c r="F1868" s="3">
        <v>44326</v>
      </c>
      <c r="G1868" s="2">
        <v>70</v>
      </c>
      <c r="H1868" s="1">
        <v>238.38</v>
      </c>
      <c r="I1868" t="s">
        <v>3067</v>
      </c>
      <c r="J1868" s="2">
        <v>1</v>
      </c>
      <c r="K1868" t="s">
        <v>13</v>
      </c>
      <c r="L1868" t="s">
        <v>1682</v>
      </c>
      <c r="M1868" t="s">
        <v>15</v>
      </c>
    </row>
    <row r="1869" spans="1:13" x14ac:dyDescent="0.25">
      <c r="A1869" s="5">
        <v>44397</v>
      </c>
      <c r="B1869" s="2">
        <v>0</v>
      </c>
      <c r="C1869" t="s">
        <v>3586</v>
      </c>
      <c r="D1869" t="s">
        <v>2350</v>
      </c>
      <c r="E1869" t="s">
        <v>2351</v>
      </c>
      <c r="F1869" s="3">
        <v>44327</v>
      </c>
      <c r="G1869" s="2">
        <v>70</v>
      </c>
      <c r="H1869" s="1">
        <v>471.08</v>
      </c>
      <c r="I1869" t="s">
        <v>3069</v>
      </c>
      <c r="J1869" s="2">
        <v>1</v>
      </c>
      <c r="K1869" t="s">
        <v>13</v>
      </c>
      <c r="L1869" t="s">
        <v>695</v>
      </c>
      <c r="M1869" t="s">
        <v>15</v>
      </c>
    </row>
    <row r="1870" spans="1:13" x14ac:dyDescent="0.25">
      <c r="A1870" s="5">
        <v>44397</v>
      </c>
      <c r="B1870" s="2">
        <v>0</v>
      </c>
      <c r="C1870" t="s">
        <v>3587</v>
      </c>
      <c r="D1870" t="s">
        <v>2350</v>
      </c>
      <c r="E1870" t="s">
        <v>2351</v>
      </c>
      <c r="F1870" s="3">
        <v>44327</v>
      </c>
      <c r="G1870" s="2">
        <v>70</v>
      </c>
      <c r="H1870" s="1">
        <v>450.01</v>
      </c>
      <c r="I1870" t="s">
        <v>3071</v>
      </c>
      <c r="J1870" s="2">
        <v>1</v>
      </c>
      <c r="K1870" t="s">
        <v>13</v>
      </c>
      <c r="L1870" t="s">
        <v>695</v>
      </c>
      <c r="M1870" t="s">
        <v>15</v>
      </c>
    </row>
    <row r="1871" spans="1:13" x14ac:dyDescent="0.25">
      <c r="A1871" s="5">
        <v>44397</v>
      </c>
      <c r="B1871" s="2">
        <v>0</v>
      </c>
      <c r="C1871" t="s">
        <v>3588</v>
      </c>
      <c r="D1871" t="s">
        <v>2532</v>
      </c>
      <c r="E1871" t="s">
        <v>2533</v>
      </c>
      <c r="F1871" s="3">
        <v>44337</v>
      </c>
      <c r="G1871" s="2">
        <v>60</v>
      </c>
      <c r="H1871" s="1">
        <v>657.1</v>
      </c>
      <c r="I1871" t="s">
        <v>3072</v>
      </c>
      <c r="J1871" s="2">
        <v>1</v>
      </c>
      <c r="K1871" t="s">
        <v>13</v>
      </c>
      <c r="L1871" t="s">
        <v>554</v>
      </c>
      <c r="M1871" t="s">
        <v>81</v>
      </c>
    </row>
    <row r="1872" spans="1:13" x14ac:dyDescent="0.25">
      <c r="A1872" s="5">
        <v>44397</v>
      </c>
      <c r="B1872" s="2">
        <v>0</v>
      </c>
      <c r="C1872" t="s">
        <v>3589</v>
      </c>
      <c r="D1872" t="s">
        <v>2532</v>
      </c>
      <c r="E1872" t="s">
        <v>2533</v>
      </c>
      <c r="F1872" s="3">
        <v>44337</v>
      </c>
      <c r="G1872" s="2">
        <v>60</v>
      </c>
      <c r="H1872" s="1">
        <v>398.78</v>
      </c>
      <c r="I1872" t="s">
        <v>3590</v>
      </c>
      <c r="J1872" s="2">
        <v>1</v>
      </c>
      <c r="K1872" t="s">
        <v>13</v>
      </c>
      <c r="L1872" t="s">
        <v>554</v>
      </c>
      <c r="M1872" t="s">
        <v>81</v>
      </c>
    </row>
    <row r="1873" spans="1:13" x14ac:dyDescent="0.25">
      <c r="A1873" s="5">
        <v>44397</v>
      </c>
      <c r="B1873" s="2">
        <v>0</v>
      </c>
      <c r="C1873" t="s">
        <v>3591</v>
      </c>
      <c r="D1873" t="s">
        <v>1355</v>
      </c>
      <c r="E1873" t="s">
        <v>1356</v>
      </c>
      <c r="F1873" s="3">
        <v>44342</v>
      </c>
      <c r="G1873" s="2">
        <v>55</v>
      </c>
      <c r="H1873" s="1">
        <v>549.5</v>
      </c>
      <c r="I1873" t="s">
        <v>3335</v>
      </c>
      <c r="J1873" s="2">
        <v>1</v>
      </c>
      <c r="K1873" t="s">
        <v>13</v>
      </c>
      <c r="L1873" t="s">
        <v>1493</v>
      </c>
      <c r="M1873" t="s">
        <v>1357</v>
      </c>
    </row>
    <row r="1874" spans="1:13" x14ac:dyDescent="0.25">
      <c r="A1874" s="5">
        <v>44397</v>
      </c>
      <c r="B1874" s="2">
        <v>0</v>
      </c>
      <c r="C1874" t="s">
        <v>3592</v>
      </c>
      <c r="D1874" t="s">
        <v>1355</v>
      </c>
      <c r="E1874" t="s">
        <v>1356</v>
      </c>
      <c r="F1874" s="3">
        <v>44362</v>
      </c>
      <c r="G1874" s="2">
        <v>35</v>
      </c>
      <c r="H1874" s="1">
        <v>732.21</v>
      </c>
      <c r="I1874" t="s">
        <v>3593</v>
      </c>
      <c r="J1874" s="2">
        <v>1</v>
      </c>
      <c r="K1874" t="s">
        <v>13</v>
      </c>
      <c r="L1874" t="s">
        <v>1493</v>
      </c>
      <c r="M1874" t="s">
        <v>1357</v>
      </c>
    </row>
    <row r="1875" spans="1:13" x14ac:dyDescent="0.25">
      <c r="A1875" s="5">
        <v>44397</v>
      </c>
      <c r="B1875" s="2">
        <v>0</v>
      </c>
      <c r="C1875" t="s">
        <v>3594</v>
      </c>
      <c r="D1875" t="s">
        <v>1761</v>
      </c>
      <c r="E1875" t="s">
        <v>1762</v>
      </c>
      <c r="F1875" s="3">
        <v>44277</v>
      </c>
      <c r="G1875" s="2">
        <v>120</v>
      </c>
      <c r="H1875" s="1">
        <v>1225.3699999999999</v>
      </c>
      <c r="I1875" t="s">
        <v>2701</v>
      </c>
      <c r="J1875" s="2">
        <v>1</v>
      </c>
      <c r="K1875" t="s">
        <v>13</v>
      </c>
      <c r="L1875" t="s">
        <v>21</v>
      </c>
      <c r="M1875" t="s">
        <v>1165</v>
      </c>
    </row>
    <row r="1876" spans="1:13" x14ac:dyDescent="0.25">
      <c r="A1876" s="5">
        <v>44397</v>
      </c>
      <c r="B1876" s="2">
        <v>0</v>
      </c>
      <c r="C1876" t="s">
        <v>3595</v>
      </c>
      <c r="D1876" t="s">
        <v>1761</v>
      </c>
      <c r="E1876" t="s">
        <v>1762</v>
      </c>
      <c r="F1876" s="3">
        <v>44327</v>
      </c>
      <c r="G1876" s="2">
        <v>70</v>
      </c>
      <c r="H1876" s="1">
        <v>2377.79</v>
      </c>
      <c r="I1876" t="s">
        <v>3596</v>
      </c>
      <c r="J1876" s="2">
        <v>1</v>
      </c>
      <c r="K1876" t="s">
        <v>13</v>
      </c>
      <c r="L1876" t="s">
        <v>21</v>
      </c>
      <c r="M1876" t="s">
        <v>1165</v>
      </c>
    </row>
    <row r="1877" spans="1:13" x14ac:dyDescent="0.25">
      <c r="A1877" s="5">
        <v>44397</v>
      </c>
      <c r="B1877" s="2">
        <v>0</v>
      </c>
      <c r="C1877" t="s">
        <v>3597</v>
      </c>
      <c r="D1877" t="s">
        <v>3372</v>
      </c>
      <c r="E1877" t="s">
        <v>3373</v>
      </c>
      <c r="F1877" s="3">
        <v>44302</v>
      </c>
      <c r="G1877" s="2">
        <v>95</v>
      </c>
      <c r="H1877" s="1">
        <v>677.18</v>
      </c>
      <c r="I1877" t="s">
        <v>3598</v>
      </c>
      <c r="J1877" s="2">
        <v>1</v>
      </c>
      <c r="K1877" t="s">
        <v>13</v>
      </c>
      <c r="L1877" t="s">
        <v>21</v>
      </c>
      <c r="M1877" t="s">
        <v>3375</v>
      </c>
    </row>
    <row r="1878" spans="1:13" x14ac:dyDescent="0.25">
      <c r="A1878" s="5">
        <v>44397</v>
      </c>
      <c r="B1878" s="2">
        <v>0</v>
      </c>
      <c r="C1878" t="s">
        <v>3599</v>
      </c>
      <c r="D1878" t="s">
        <v>3372</v>
      </c>
      <c r="E1878" t="s">
        <v>3373</v>
      </c>
      <c r="F1878" s="3">
        <v>44322</v>
      </c>
      <c r="G1878" s="2">
        <v>75</v>
      </c>
      <c r="H1878" s="1">
        <v>1345.75</v>
      </c>
      <c r="I1878" t="s">
        <v>3600</v>
      </c>
      <c r="J1878" s="2">
        <v>1</v>
      </c>
      <c r="K1878" t="s">
        <v>13</v>
      </c>
      <c r="L1878" t="s">
        <v>21</v>
      </c>
      <c r="M1878" t="s">
        <v>3375</v>
      </c>
    </row>
    <row r="1879" spans="1:13" x14ac:dyDescent="0.25">
      <c r="A1879" s="5">
        <v>44397</v>
      </c>
      <c r="B1879" s="2">
        <v>0</v>
      </c>
      <c r="C1879" t="s">
        <v>3601</v>
      </c>
      <c r="D1879" t="s">
        <v>3372</v>
      </c>
      <c r="E1879" t="s">
        <v>3373</v>
      </c>
      <c r="F1879" s="3">
        <v>44337</v>
      </c>
      <c r="G1879" s="2">
        <v>60</v>
      </c>
      <c r="H1879" s="1">
        <v>1037.3900000000001</v>
      </c>
      <c r="I1879" t="s">
        <v>3602</v>
      </c>
      <c r="J1879" s="2">
        <v>1</v>
      </c>
      <c r="K1879" t="s">
        <v>13</v>
      </c>
      <c r="L1879" t="s">
        <v>21</v>
      </c>
      <c r="M1879" t="s">
        <v>3375</v>
      </c>
    </row>
    <row r="1880" spans="1:13" x14ac:dyDescent="0.25">
      <c r="A1880" s="5">
        <v>44397</v>
      </c>
      <c r="B1880" s="2">
        <v>0</v>
      </c>
      <c r="C1880" t="s">
        <v>3603</v>
      </c>
      <c r="D1880" t="s">
        <v>1421</v>
      </c>
      <c r="E1880" t="s">
        <v>1422</v>
      </c>
      <c r="F1880" s="3">
        <v>44337</v>
      </c>
      <c r="G1880" s="2">
        <v>60</v>
      </c>
      <c r="H1880" s="1">
        <v>308.75</v>
      </c>
      <c r="I1880" t="s">
        <v>3076</v>
      </c>
      <c r="J1880" s="2">
        <v>1</v>
      </c>
      <c r="K1880" t="s">
        <v>13</v>
      </c>
      <c r="L1880" t="s">
        <v>1493</v>
      </c>
      <c r="M1880" t="s">
        <v>1357</v>
      </c>
    </row>
    <row r="1881" spans="1:13" x14ac:dyDescent="0.25">
      <c r="A1881" s="5">
        <v>44397</v>
      </c>
      <c r="B1881" s="2">
        <v>0</v>
      </c>
      <c r="C1881" t="s">
        <v>3604</v>
      </c>
      <c r="D1881" t="s">
        <v>1892</v>
      </c>
      <c r="E1881" t="s">
        <v>1893</v>
      </c>
      <c r="F1881" s="3">
        <v>44327</v>
      </c>
      <c r="G1881" s="2">
        <v>70</v>
      </c>
      <c r="H1881" s="1">
        <v>1036.03</v>
      </c>
      <c r="I1881" t="s">
        <v>3080</v>
      </c>
      <c r="J1881" s="2">
        <v>1</v>
      </c>
      <c r="K1881" t="s">
        <v>1543</v>
      </c>
      <c r="L1881" t="s">
        <v>695</v>
      </c>
      <c r="M1881" t="s">
        <v>31</v>
      </c>
    </row>
    <row r="1882" spans="1:13" x14ac:dyDescent="0.25">
      <c r="A1882" s="5">
        <v>44397</v>
      </c>
      <c r="B1882" s="2">
        <v>0</v>
      </c>
      <c r="C1882" t="s">
        <v>3605</v>
      </c>
      <c r="D1882" t="s">
        <v>1716</v>
      </c>
      <c r="E1882" t="s">
        <v>1717</v>
      </c>
      <c r="F1882" s="3">
        <v>44337</v>
      </c>
      <c r="G1882" s="2">
        <v>60</v>
      </c>
      <c r="H1882" s="1">
        <v>306.51</v>
      </c>
      <c r="I1882" t="s">
        <v>3606</v>
      </c>
      <c r="J1882" s="2">
        <v>1</v>
      </c>
      <c r="K1882" t="s">
        <v>1543</v>
      </c>
      <c r="L1882" t="s">
        <v>695</v>
      </c>
      <c r="M1882" t="s">
        <v>15</v>
      </c>
    </row>
    <row r="1883" spans="1:13" x14ac:dyDescent="0.25">
      <c r="A1883" s="5">
        <v>44397</v>
      </c>
      <c r="B1883" s="2">
        <v>0</v>
      </c>
      <c r="C1883" t="s">
        <v>3607</v>
      </c>
      <c r="D1883" t="s">
        <v>1900</v>
      </c>
      <c r="E1883" t="s">
        <v>1901</v>
      </c>
      <c r="F1883" s="3">
        <v>44337</v>
      </c>
      <c r="G1883" s="2">
        <v>60</v>
      </c>
      <c r="H1883" s="1">
        <v>305.54000000000002</v>
      </c>
      <c r="I1883" t="s">
        <v>3608</v>
      </c>
      <c r="J1883" s="2">
        <v>1</v>
      </c>
      <c r="K1883" t="s">
        <v>1543</v>
      </c>
      <c r="L1883" t="s">
        <v>695</v>
      </c>
      <c r="M1883" t="s">
        <v>15</v>
      </c>
    </row>
    <row r="1884" spans="1:13" x14ac:dyDescent="0.25">
      <c r="A1884" s="5">
        <v>44397</v>
      </c>
      <c r="B1884" s="2">
        <v>0</v>
      </c>
      <c r="C1884" t="s">
        <v>3609</v>
      </c>
      <c r="D1884" t="s">
        <v>1748</v>
      </c>
      <c r="E1884" t="s">
        <v>1840</v>
      </c>
      <c r="F1884" s="3">
        <v>44347</v>
      </c>
      <c r="G1884" s="2">
        <v>50</v>
      </c>
      <c r="H1884" s="1">
        <v>222.78</v>
      </c>
      <c r="I1884" t="s">
        <v>3083</v>
      </c>
      <c r="J1884" s="2">
        <v>1</v>
      </c>
      <c r="K1884" t="s">
        <v>13</v>
      </c>
      <c r="L1884" t="s">
        <v>1682</v>
      </c>
      <c r="M1884" t="s">
        <v>15</v>
      </c>
    </row>
    <row r="1885" spans="1:13" x14ac:dyDescent="0.25">
      <c r="A1885" s="5">
        <v>44397</v>
      </c>
      <c r="B1885" s="2">
        <v>0</v>
      </c>
      <c r="C1885" t="s">
        <v>3610</v>
      </c>
      <c r="D1885" t="s">
        <v>2836</v>
      </c>
      <c r="E1885" t="s">
        <v>2837</v>
      </c>
      <c r="F1885" s="3">
        <v>44337</v>
      </c>
      <c r="G1885" s="2">
        <v>60</v>
      </c>
      <c r="H1885" s="1">
        <v>668.36</v>
      </c>
      <c r="I1885" t="s">
        <v>3611</v>
      </c>
      <c r="J1885" s="2">
        <v>1</v>
      </c>
      <c r="K1885" t="s">
        <v>13</v>
      </c>
      <c r="L1885" t="s">
        <v>671</v>
      </c>
      <c r="M1885" t="s">
        <v>15</v>
      </c>
    </row>
    <row r="1886" spans="1:13" x14ac:dyDescent="0.25">
      <c r="A1886" s="5">
        <v>44397</v>
      </c>
      <c r="B1886" s="2">
        <v>0</v>
      </c>
      <c r="C1886" t="s">
        <v>3612</v>
      </c>
      <c r="D1886" t="s">
        <v>3613</v>
      </c>
      <c r="E1886" t="s">
        <v>3614</v>
      </c>
      <c r="F1886" s="3">
        <v>44390</v>
      </c>
      <c r="G1886" s="2">
        <v>7</v>
      </c>
      <c r="H1886" s="1">
        <v>362.87</v>
      </c>
      <c r="I1886" t="s">
        <v>3615</v>
      </c>
      <c r="J1886" s="2">
        <v>1</v>
      </c>
      <c r="K1886" t="s">
        <v>13</v>
      </c>
      <c r="L1886" t="s">
        <v>554</v>
      </c>
      <c r="M1886" t="s">
        <v>3616</v>
      </c>
    </row>
    <row r="1887" spans="1:13" x14ac:dyDescent="0.25">
      <c r="A1887" s="5">
        <v>44397</v>
      </c>
      <c r="B1887" s="2">
        <v>0</v>
      </c>
      <c r="C1887" t="s">
        <v>3617</v>
      </c>
      <c r="D1887" t="s">
        <v>3618</v>
      </c>
      <c r="E1887" t="s">
        <v>3619</v>
      </c>
      <c r="F1887" s="3">
        <v>44337</v>
      </c>
      <c r="G1887" s="2">
        <v>60</v>
      </c>
      <c r="H1887" s="1">
        <v>265.22000000000003</v>
      </c>
      <c r="I1887" t="s">
        <v>3620</v>
      </c>
      <c r="J1887" s="2">
        <v>1</v>
      </c>
      <c r="K1887" t="s">
        <v>13</v>
      </c>
      <c r="L1887" t="s">
        <v>695</v>
      </c>
      <c r="M1887" t="s">
        <v>15</v>
      </c>
    </row>
    <row r="1888" spans="1:13" x14ac:dyDescent="0.25">
      <c r="A1888" s="5">
        <v>44397</v>
      </c>
      <c r="B1888" s="2">
        <v>0</v>
      </c>
      <c r="C1888" t="s">
        <v>3621</v>
      </c>
      <c r="D1888" t="s">
        <v>1563</v>
      </c>
      <c r="E1888" t="s">
        <v>1564</v>
      </c>
      <c r="F1888" s="3">
        <v>44337</v>
      </c>
      <c r="G1888" s="2">
        <v>60</v>
      </c>
      <c r="H1888" s="1">
        <v>390.87</v>
      </c>
      <c r="I1888" t="s">
        <v>3622</v>
      </c>
      <c r="J1888" s="2">
        <v>1</v>
      </c>
      <c r="K1888" t="s">
        <v>13</v>
      </c>
      <c r="L1888" t="s">
        <v>1682</v>
      </c>
      <c r="M1888" t="s">
        <v>1566</v>
      </c>
    </row>
    <row r="1889" spans="1:13" x14ac:dyDescent="0.25">
      <c r="A1889" s="5">
        <v>44397</v>
      </c>
      <c r="B1889" s="2">
        <v>0</v>
      </c>
      <c r="C1889" t="s">
        <v>3623</v>
      </c>
      <c r="D1889" t="s">
        <v>2519</v>
      </c>
      <c r="E1889" t="s">
        <v>2520</v>
      </c>
      <c r="F1889" s="3">
        <v>44337</v>
      </c>
      <c r="G1889" s="2">
        <v>60</v>
      </c>
      <c r="H1889" s="1">
        <v>561.88</v>
      </c>
      <c r="I1889" t="s">
        <v>3624</v>
      </c>
      <c r="J1889" s="2">
        <v>1</v>
      </c>
      <c r="K1889" t="s">
        <v>13</v>
      </c>
      <c r="L1889" t="s">
        <v>554</v>
      </c>
      <c r="M1889" t="s">
        <v>81</v>
      </c>
    </row>
    <row r="1890" spans="1:13" x14ac:dyDescent="0.25">
      <c r="A1890" s="5">
        <v>44397</v>
      </c>
      <c r="B1890" s="2">
        <v>0</v>
      </c>
      <c r="C1890" t="s">
        <v>3625</v>
      </c>
      <c r="D1890" t="s">
        <v>2521</v>
      </c>
      <c r="E1890" t="s">
        <v>2522</v>
      </c>
      <c r="F1890" s="3">
        <v>44327</v>
      </c>
      <c r="G1890" s="2">
        <v>70</v>
      </c>
      <c r="H1890" s="1">
        <v>337.25</v>
      </c>
      <c r="I1890" t="s">
        <v>3087</v>
      </c>
      <c r="J1890" s="2">
        <v>1</v>
      </c>
      <c r="K1890" t="s">
        <v>13</v>
      </c>
      <c r="L1890" t="s">
        <v>695</v>
      </c>
      <c r="M1890" t="s">
        <v>15</v>
      </c>
    </row>
    <row r="1891" spans="1:13" x14ac:dyDescent="0.25">
      <c r="A1891" s="5">
        <v>44397</v>
      </c>
      <c r="B1891" s="2">
        <v>0</v>
      </c>
      <c r="C1891" t="s">
        <v>3626</v>
      </c>
      <c r="D1891" t="s">
        <v>2521</v>
      </c>
      <c r="E1891" t="s">
        <v>2522</v>
      </c>
      <c r="F1891" s="3">
        <v>44337</v>
      </c>
      <c r="G1891" s="2">
        <v>60</v>
      </c>
      <c r="H1891" s="1">
        <v>608.48</v>
      </c>
      <c r="I1891" t="s">
        <v>3627</v>
      </c>
      <c r="J1891" s="2">
        <v>1</v>
      </c>
      <c r="K1891" t="s">
        <v>13</v>
      </c>
      <c r="L1891" t="s">
        <v>695</v>
      </c>
      <c r="M1891" t="s">
        <v>15</v>
      </c>
    </row>
    <row r="1892" spans="1:13" x14ac:dyDescent="0.25">
      <c r="A1892" s="5">
        <v>44398</v>
      </c>
      <c r="B1892" s="2">
        <v>0</v>
      </c>
      <c r="C1892" t="s">
        <v>3628</v>
      </c>
      <c r="D1892" t="s">
        <v>2932</v>
      </c>
      <c r="E1892" t="s">
        <v>2933</v>
      </c>
      <c r="F1892" s="3">
        <v>44328</v>
      </c>
      <c r="G1892" s="2">
        <v>70</v>
      </c>
      <c r="H1892" s="1">
        <v>343.32</v>
      </c>
      <c r="I1892" t="s">
        <v>2934</v>
      </c>
      <c r="J1892" s="2">
        <v>1</v>
      </c>
      <c r="K1892" t="s">
        <v>13</v>
      </c>
      <c r="L1892" t="s">
        <v>554</v>
      </c>
      <c r="M1892" t="s">
        <v>2741</v>
      </c>
    </row>
    <row r="1893" spans="1:13" x14ac:dyDescent="0.25">
      <c r="A1893" s="5">
        <v>44398</v>
      </c>
      <c r="B1893" s="2">
        <v>0</v>
      </c>
      <c r="C1893" t="s">
        <v>3629</v>
      </c>
      <c r="D1893" t="s">
        <v>3255</v>
      </c>
      <c r="E1893" t="s">
        <v>3256</v>
      </c>
      <c r="F1893" s="3">
        <v>44383</v>
      </c>
      <c r="G1893" s="2">
        <v>15</v>
      </c>
      <c r="H1893" s="1">
        <v>425.68</v>
      </c>
      <c r="I1893" t="s">
        <v>3630</v>
      </c>
      <c r="J1893" s="2">
        <v>1</v>
      </c>
      <c r="K1893" t="s">
        <v>13</v>
      </c>
      <c r="L1893" t="s">
        <v>2126</v>
      </c>
      <c r="M1893" t="s">
        <v>637</v>
      </c>
    </row>
    <row r="1894" spans="1:13" x14ac:dyDescent="0.25">
      <c r="A1894" s="5">
        <v>44398</v>
      </c>
      <c r="B1894" s="2">
        <v>0</v>
      </c>
      <c r="C1894" t="s">
        <v>3631</v>
      </c>
      <c r="D1894" t="s">
        <v>1952</v>
      </c>
      <c r="E1894" t="s">
        <v>1953</v>
      </c>
      <c r="F1894" s="3">
        <v>44308</v>
      </c>
      <c r="G1894" s="2">
        <v>90</v>
      </c>
      <c r="H1894" s="1">
        <v>2943.79</v>
      </c>
      <c r="I1894" t="s">
        <v>3632</v>
      </c>
      <c r="J1894" s="2">
        <v>1</v>
      </c>
      <c r="K1894" t="s">
        <v>13</v>
      </c>
      <c r="L1894" t="s">
        <v>671</v>
      </c>
      <c r="M1894" t="s">
        <v>15</v>
      </c>
    </row>
    <row r="1895" spans="1:13" x14ac:dyDescent="0.25">
      <c r="A1895" s="5">
        <v>44398</v>
      </c>
      <c r="B1895" s="2">
        <v>0</v>
      </c>
      <c r="C1895" t="s">
        <v>3633</v>
      </c>
      <c r="D1895" t="s">
        <v>1952</v>
      </c>
      <c r="E1895" t="s">
        <v>1953</v>
      </c>
      <c r="F1895" s="3">
        <v>44313</v>
      </c>
      <c r="G1895" s="2">
        <v>85</v>
      </c>
      <c r="H1895" s="1">
        <v>714.13</v>
      </c>
      <c r="I1895" t="s">
        <v>3634</v>
      </c>
      <c r="J1895" s="2">
        <v>1</v>
      </c>
      <c r="K1895" t="s">
        <v>13</v>
      </c>
      <c r="L1895" t="s">
        <v>671</v>
      </c>
      <c r="M1895" t="s">
        <v>15</v>
      </c>
    </row>
    <row r="1896" spans="1:13" x14ac:dyDescent="0.25">
      <c r="A1896" s="5">
        <v>44398</v>
      </c>
      <c r="B1896" s="2">
        <v>0</v>
      </c>
      <c r="C1896" t="s">
        <v>3635</v>
      </c>
      <c r="D1896" t="s">
        <v>2350</v>
      </c>
      <c r="E1896" t="s">
        <v>2351</v>
      </c>
      <c r="F1896" s="3">
        <v>44348</v>
      </c>
      <c r="G1896" s="2">
        <v>50</v>
      </c>
      <c r="H1896" s="1">
        <v>513.53</v>
      </c>
      <c r="I1896" t="s">
        <v>3636</v>
      </c>
      <c r="J1896" s="2">
        <v>1</v>
      </c>
      <c r="K1896" t="s">
        <v>13</v>
      </c>
      <c r="L1896" t="s">
        <v>695</v>
      </c>
      <c r="M1896" t="s">
        <v>15</v>
      </c>
    </row>
    <row r="1897" spans="1:13" x14ac:dyDescent="0.25">
      <c r="A1897" s="5">
        <v>44398</v>
      </c>
      <c r="B1897" s="2">
        <v>0</v>
      </c>
      <c r="C1897" t="s">
        <v>3637</v>
      </c>
      <c r="D1897" t="s">
        <v>3031</v>
      </c>
      <c r="E1897" t="s">
        <v>3032</v>
      </c>
      <c r="F1897" s="3">
        <v>44343</v>
      </c>
      <c r="G1897" s="2">
        <v>55</v>
      </c>
      <c r="H1897" s="1">
        <v>724.52</v>
      </c>
      <c r="I1897" t="s">
        <v>3091</v>
      </c>
      <c r="J1897" s="2">
        <v>1</v>
      </c>
      <c r="K1897" t="s">
        <v>13</v>
      </c>
      <c r="L1897" t="s">
        <v>21</v>
      </c>
      <c r="M1897" t="s">
        <v>33</v>
      </c>
    </row>
    <row r="1898" spans="1:13" x14ac:dyDescent="0.25">
      <c r="A1898" s="5">
        <v>44398</v>
      </c>
      <c r="B1898" s="2">
        <v>0</v>
      </c>
      <c r="C1898" t="s">
        <v>3638</v>
      </c>
      <c r="D1898" t="s">
        <v>1355</v>
      </c>
      <c r="E1898" t="s">
        <v>1356</v>
      </c>
      <c r="F1898" s="3">
        <v>44328</v>
      </c>
      <c r="G1898" s="2">
        <v>70</v>
      </c>
      <c r="H1898" s="1">
        <v>547.49</v>
      </c>
      <c r="I1898" t="s">
        <v>3092</v>
      </c>
      <c r="J1898" s="2">
        <v>1</v>
      </c>
      <c r="K1898" t="s">
        <v>13</v>
      </c>
      <c r="L1898" t="s">
        <v>1493</v>
      </c>
      <c r="M1898" t="s">
        <v>1357</v>
      </c>
    </row>
    <row r="1899" spans="1:13" x14ac:dyDescent="0.25">
      <c r="A1899" s="5">
        <v>44398</v>
      </c>
      <c r="B1899" s="2">
        <v>0</v>
      </c>
      <c r="C1899" t="s">
        <v>3639</v>
      </c>
      <c r="D1899" t="s">
        <v>1355</v>
      </c>
      <c r="E1899" t="s">
        <v>1356</v>
      </c>
      <c r="F1899" s="3">
        <v>44328</v>
      </c>
      <c r="G1899" s="2">
        <v>70</v>
      </c>
      <c r="H1899" s="1">
        <v>257.14999999999998</v>
      </c>
      <c r="I1899" t="s">
        <v>3093</v>
      </c>
      <c r="J1899" s="2">
        <v>1</v>
      </c>
      <c r="K1899" t="s">
        <v>13</v>
      </c>
      <c r="L1899" t="s">
        <v>1493</v>
      </c>
      <c r="M1899" t="s">
        <v>1357</v>
      </c>
    </row>
    <row r="1900" spans="1:13" x14ac:dyDescent="0.25">
      <c r="A1900" s="5">
        <v>44398</v>
      </c>
      <c r="B1900" s="2">
        <v>0</v>
      </c>
      <c r="C1900" t="s">
        <v>3640</v>
      </c>
      <c r="D1900" t="s">
        <v>1761</v>
      </c>
      <c r="E1900" t="s">
        <v>1762</v>
      </c>
      <c r="F1900" s="3">
        <v>44298</v>
      </c>
      <c r="G1900" s="2">
        <v>100</v>
      </c>
      <c r="H1900" s="1">
        <v>1752.32</v>
      </c>
      <c r="I1900" t="s">
        <v>2941</v>
      </c>
      <c r="J1900" s="2">
        <v>1</v>
      </c>
      <c r="K1900" t="s">
        <v>13</v>
      </c>
      <c r="L1900" t="s">
        <v>21</v>
      </c>
      <c r="M1900" t="s">
        <v>1165</v>
      </c>
    </row>
    <row r="1901" spans="1:13" x14ac:dyDescent="0.25">
      <c r="A1901" s="5">
        <v>44398</v>
      </c>
      <c r="B1901" s="2">
        <v>0</v>
      </c>
      <c r="C1901" t="s">
        <v>3641</v>
      </c>
      <c r="D1901" t="s">
        <v>3372</v>
      </c>
      <c r="E1901" t="s">
        <v>3373</v>
      </c>
      <c r="F1901" s="3">
        <v>44293</v>
      </c>
      <c r="G1901" s="2">
        <v>105</v>
      </c>
      <c r="H1901" s="1">
        <v>773.79</v>
      </c>
      <c r="I1901" t="s">
        <v>3374</v>
      </c>
      <c r="J1901" s="2">
        <v>1</v>
      </c>
      <c r="K1901" t="s">
        <v>13</v>
      </c>
      <c r="L1901" t="s">
        <v>21</v>
      </c>
      <c r="M1901" t="s">
        <v>3375</v>
      </c>
    </row>
    <row r="1902" spans="1:13" x14ac:dyDescent="0.25">
      <c r="A1902" s="5">
        <v>44398</v>
      </c>
      <c r="B1902" s="2">
        <v>0</v>
      </c>
      <c r="C1902" t="s">
        <v>3642</v>
      </c>
      <c r="D1902" t="s">
        <v>1983</v>
      </c>
      <c r="E1902" t="s">
        <v>1984</v>
      </c>
      <c r="F1902" s="3">
        <v>44313</v>
      </c>
      <c r="G1902" s="2">
        <v>85</v>
      </c>
      <c r="H1902" s="1">
        <v>1075.18</v>
      </c>
      <c r="I1902" t="s">
        <v>3377</v>
      </c>
      <c r="J1902" s="2">
        <v>1</v>
      </c>
      <c r="K1902" t="s">
        <v>13</v>
      </c>
      <c r="L1902" t="s">
        <v>21</v>
      </c>
      <c r="M1902" t="s">
        <v>1566</v>
      </c>
    </row>
    <row r="1903" spans="1:13" x14ac:dyDescent="0.25">
      <c r="A1903" s="5">
        <v>44398</v>
      </c>
      <c r="B1903" s="2">
        <v>0</v>
      </c>
      <c r="C1903" t="s">
        <v>3643</v>
      </c>
      <c r="D1903" t="s">
        <v>2211</v>
      </c>
      <c r="E1903" t="s">
        <v>2212</v>
      </c>
      <c r="F1903" s="3">
        <v>44323</v>
      </c>
      <c r="G1903" s="2">
        <v>75</v>
      </c>
      <c r="H1903" s="1">
        <v>490.74</v>
      </c>
      <c r="I1903" t="s">
        <v>3379</v>
      </c>
      <c r="J1903" s="2">
        <v>1</v>
      </c>
      <c r="K1903" t="s">
        <v>13</v>
      </c>
      <c r="L1903" t="s">
        <v>695</v>
      </c>
      <c r="M1903" t="s">
        <v>15</v>
      </c>
    </row>
    <row r="1904" spans="1:13" x14ac:dyDescent="0.25">
      <c r="A1904" s="5">
        <v>44398</v>
      </c>
      <c r="B1904" s="2">
        <v>0</v>
      </c>
      <c r="C1904" t="s">
        <v>3644</v>
      </c>
      <c r="D1904" t="s">
        <v>2211</v>
      </c>
      <c r="E1904" t="s">
        <v>2212</v>
      </c>
      <c r="F1904" s="3">
        <v>44358</v>
      </c>
      <c r="G1904" s="2">
        <v>40</v>
      </c>
      <c r="H1904" s="1">
        <v>889.51</v>
      </c>
      <c r="I1904" t="s">
        <v>3645</v>
      </c>
      <c r="J1904" s="2">
        <v>1</v>
      </c>
      <c r="K1904" t="s">
        <v>13</v>
      </c>
      <c r="L1904" t="s">
        <v>695</v>
      </c>
      <c r="M1904" t="s">
        <v>15</v>
      </c>
    </row>
    <row r="1905" spans="1:13" x14ac:dyDescent="0.25">
      <c r="A1905" s="5">
        <v>44398</v>
      </c>
      <c r="B1905" s="2">
        <v>0</v>
      </c>
      <c r="C1905" t="s">
        <v>3646</v>
      </c>
      <c r="D1905" t="s">
        <v>2038</v>
      </c>
      <c r="E1905" t="s">
        <v>1997</v>
      </c>
      <c r="F1905" s="3">
        <v>44323</v>
      </c>
      <c r="G1905" s="2">
        <v>75</v>
      </c>
      <c r="H1905" s="1">
        <v>450.76</v>
      </c>
      <c r="I1905" t="s">
        <v>3094</v>
      </c>
      <c r="J1905" s="2">
        <v>1</v>
      </c>
      <c r="K1905" t="s">
        <v>13</v>
      </c>
      <c r="L1905" t="s">
        <v>21</v>
      </c>
      <c r="M1905" t="s">
        <v>15</v>
      </c>
    </row>
    <row r="1906" spans="1:13" x14ac:dyDescent="0.25">
      <c r="A1906" s="5">
        <v>44398</v>
      </c>
      <c r="B1906" s="2">
        <v>0</v>
      </c>
      <c r="C1906" t="s">
        <v>3647</v>
      </c>
      <c r="D1906" t="s">
        <v>2038</v>
      </c>
      <c r="E1906" t="s">
        <v>1997</v>
      </c>
      <c r="F1906" s="3">
        <v>44333</v>
      </c>
      <c r="G1906" s="2">
        <v>65</v>
      </c>
      <c r="H1906" s="1">
        <v>358.62</v>
      </c>
      <c r="I1906" t="s">
        <v>3095</v>
      </c>
      <c r="J1906" s="2">
        <v>1</v>
      </c>
      <c r="K1906" t="s">
        <v>13</v>
      </c>
      <c r="L1906" t="s">
        <v>21</v>
      </c>
      <c r="M1906" t="s">
        <v>15</v>
      </c>
    </row>
    <row r="1907" spans="1:13" x14ac:dyDescent="0.25">
      <c r="A1907" s="5">
        <v>44398</v>
      </c>
      <c r="B1907" s="2">
        <v>0</v>
      </c>
      <c r="C1907" t="s">
        <v>3648</v>
      </c>
      <c r="D1907" t="s">
        <v>1757</v>
      </c>
      <c r="E1907" t="s">
        <v>1758</v>
      </c>
      <c r="F1907" s="3">
        <v>44328</v>
      </c>
      <c r="G1907" s="2">
        <v>70</v>
      </c>
      <c r="H1907" s="1">
        <v>1448.74</v>
      </c>
      <c r="I1907" t="s">
        <v>3649</v>
      </c>
      <c r="J1907" s="2">
        <v>1</v>
      </c>
      <c r="K1907" t="s">
        <v>13</v>
      </c>
      <c r="L1907" t="s">
        <v>21</v>
      </c>
      <c r="M1907" t="s">
        <v>1165</v>
      </c>
    </row>
    <row r="1908" spans="1:13" x14ac:dyDescent="0.25">
      <c r="A1908" s="5">
        <v>44398</v>
      </c>
      <c r="B1908" s="2">
        <v>0</v>
      </c>
      <c r="C1908" t="s">
        <v>3650</v>
      </c>
      <c r="D1908" t="s">
        <v>2215</v>
      </c>
      <c r="E1908" t="s">
        <v>2216</v>
      </c>
      <c r="F1908" s="3">
        <v>44293</v>
      </c>
      <c r="G1908" s="2">
        <v>105</v>
      </c>
      <c r="H1908" s="1">
        <v>958.12</v>
      </c>
      <c r="I1908" t="s">
        <v>3096</v>
      </c>
      <c r="J1908" s="2">
        <v>1</v>
      </c>
      <c r="K1908" t="s">
        <v>13</v>
      </c>
      <c r="L1908" t="s">
        <v>21</v>
      </c>
      <c r="M1908" t="s">
        <v>2217</v>
      </c>
    </row>
    <row r="1909" spans="1:13" x14ac:dyDescent="0.25">
      <c r="A1909" s="5">
        <v>44398</v>
      </c>
      <c r="B1909" s="2">
        <v>0</v>
      </c>
      <c r="C1909" t="s">
        <v>3651</v>
      </c>
      <c r="D1909" t="s">
        <v>2215</v>
      </c>
      <c r="E1909" t="s">
        <v>2216</v>
      </c>
      <c r="F1909" s="3">
        <v>44323</v>
      </c>
      <c r="G1909" s="2">
        <v>75</v>
      </c>
      <c r="H1909" s="1">
        <v>1254.26</v>
      </c>
      <c r="I1909" t="s">
        <v>3652</v>
      </c>
      <c r="J1909" s="2">
        <v>1</v>
      </c>
      <c r="K1909" t="s">
        <v>13</v>
      </c>
      <c r="L1909" t="s">
        <v>21</v>
      </c>
      <c r="M1909" t="s">
        <v>2217</v>
      </c>
    </row>
    <row r="1910" spans="1:13" x14ac:dyDescent="0.25">
      <c r="A1910" s="5">
        <v>44398</v>
      </c>
      <c r="B1910" s="2">
        <v>0</v>
      </c>
      <c r="C1910" t="s">
        <v>3653</v>
      </c>
      <c r="D1910" t="s">
        <v>1450</v>
      </c>
      <c r="E1910" t="s">
        <v>1451</v>
      </c>
      <c r="F1910" s="3">
        <v>44348</v>
      </c>
      <c r="G1910" s="2">
        <v>50</v>
      </c>
      <c r="H1910" s="1">
        <v>344.17</v>
      </c>
      <c r="I1910" t="s">
        <v>3097</v>
      </c>
      <c r="J1910" s="2">
        <v>1</v>
      </c>
      <c r="K1910" t="s">
        <v>13</v>
      </c>
      <c r="L1910" t="s">
        <v>21</v>
      </c>
      <c r="M1910" t="s">
        <v>15</v>
      </c>
    </row>
    <row r="1911" spans="1:13" x14ac:dyDescent="0.25">
      <c r="A1911" s="5">
        <v>44399</v>
      </c>
      <c r="B1911" s="2">
        <v>0</v>
      </c>
      <c r="C1911" t="s">
        <v>3654</v>
      </c>
      <c r="D1911" t="s">
        <v>2932</v>
      </c>
      <c r="E1911" t="s">
        <v>2933</v>
      </c>
      <c r="F1911" s="3">
        <v>44349</v>
      </c>
      <c r="G1911" s="2">
        <v>50</v>
      </c>
      <c r="H1911" s="1">
        <v>306.27</v>
      </c>
      <c r="I1911" t="s">
        <v>3655</v>
      </c>
      <c r="J1911" s="2">
        <v>1</v>
      </c>
      <c r="K1911" t="s">
        <v>13</v>
      </c>
      <c r="L1911" t="s">
        <v>554</v>
      </c>
      <c r="M1911" t="s">
        <v>2741</v>
      </c>
    </row>
    <row r="1912" spans="1:13" x14ac:dyDescent="0.25">
      <c r="A1912" s="5">
        <v>44399</v>
      </c>
      <c r="B1912" s="2">
        <v>0</v>
      </c>
      <c r="C1912" t="s">
        <v>3656</v>
      </c>
      <c r="D1912" t="s">
        <v>3657</v>
      </c>
      <c r="E1912" t="s">
        <v>3658</v>
      </c>
      <c r="F1912" s="3">
        <v>44349</v>
      </c>
      <c r="G1912" s="2">
        <v>50</v>
      </c>
      <c r="H1912" s="1">
        <v>238.36</v>
      </c>
      <c r="I1912" t="s">
        <v>3659</v>
      </c>
      <c r="J1912" s="2">
        <v>1</v>
      </c>
      <c r="K1912" t="s">
        <v>13</v>
      </c>
      <c r="L1912" t="s">
        <v>1493</v>
      </c>
      <c r="M1912" t="s">
        <v>2107</v>
      </c>
    </row>
    <row r="1913" spans="1:13" x14ac:dyDescent="0.25">
      <c r="A1913" s="5">
        <v>44399</v>
      </c>
      <c r="B1913" s="2">
        <v>0</v>
      </c>
      <c r="C1913" t="s">
        <v>3660</v>
      </c>
      <c r="D1913" t="s">
        <v>1355</v>
      </c>
      <c r="E1913" t="s">
        <v>1356</v>
      </c>
      <c r="F1913" s="3">
        <v>44329</v>
      </c>
      <c r="G1913" s="2">
        <v>70</v>
      </c>
      <c r="H1913" s="1">
        <v>303.7</v>
      </c>
      <c r="I1913" t="s">
        <v>2949</v>
      </c>
      <c r="J1913" s="2">
        <v>1</v>
      </c>
      <c r="K1913" t="s">
        <v>13</v>
      </c>
      <c r="L1913" t="s">
        <v>1493</v>
      </c>
      <c r="M1913" t="s">
        <v>1357</v>
      </c>
    </row>
    <row r="1914" spans="1:13" x14ac:dyDescent="0.25">
      <c r="A1914" s="5">
        <v>44399</v>
      </c>
      <c r="B1914" s="2">
        <v>0</v>
      </c>
      <c r="C1914" t="s">
        <v>3661</v>
      </c>
      <c r="D1914" t="s">
        <v>1355</v>
      </c>
      <c r="E1914" t="s">
        <v>1356</v>
      </c>
      <c r="F1914" s="3">
        <v>44349</v>
      </c>
      <c r="G1914" s="2">
        <v>50</v>
      </c>
      <c r="H1914" s="1">
        <v>717.56</v>
      </c>
      <c r="I1914" t="s">
        <v>3386</v>
      </c>
      <c r="J1914" s="2">
        <v>1</v>
      </c>
      <c r="K1914" t="s">
        <v>13</v>
      </c>
      <c r="L1914" t="s">
        <v>1493</v>
      </c>
      <c r="M1914" t="s">
        <v>1357</v>
      </c>
    </row>
    <row r="1915" spans="1:13" x14ac:dyDescent="0.25">
      <c r="A1915" s="5">
        <v>44399</v>
      </c>
      <c r="B1915" s="2">
        <v>0</v>
      </c>
      <c r="C1915" t="s">
        <v>3662</v>
      </c>
      <c r="D1915" t="s">
        <v>1355</v>
      </c>
      <c r="E1915" t="s">
        <v>1356</v>
      </c>
      <c r="F1915" s="3">
        <v>44349</v>
      </c>
      <c r="G1915" s="2">
        <v>50</v>
      </c>
      <c r="H1915" s="1">
        <v>386.95</v>
      </c>
      <c r="I1915" t="s">
        <v>3663</v>
      </c>
      <c r="J1915" s="2">
        <v>1</v>
      </c>
      <c r="K1915" t="s">
        <v>13</v>
      </c>
      <c r="L1915" t="s">
        <v>1493</v>
      </c>
      <c r="M1915" t="s">
        <v>1357</v>
      </c>
    </row>
    <row r="1916" spans="1:13" x14ac:dyDescent="0.25">
      <c r="A1916" s="5">
        <v>44399</v>
      </c>
      <c r="B1916" s="2">
        <v>0</v>
      </c>
      <c r="C1916" t="s">
        <v>3664</v>
      </c>
      <c r="D1916" t="s">
        <v>3372</v>
      </c>
      <c r="E1916" t="s">
        <v>3373</v>
      </c>
      <c r="F1916" s="3">
        <v>44314</v>
      </c>
      <c r="G1916" s="2">
        <v>85</v>
      </c>
      <c r="H1916" s="1">
        <v>637.46</v>
      </c>
      <c r="I1916" t="s">
        <v>3387</v>
      </c>
      <c r="J1916" s="2">
        <v>1</v>
      </c>
      <c r="K1916" t="s">
        <v>13</v>
      </c>
      <c r="L1916" t="s">
        <v>21</v>
      </c>
      <c r="M1916" t="s">
        <v>3375</v>
      </c>
    </row>
    <row r="1917" spans="1:13" x14ac:dyDescent="0.25">
      <c r="A1917" s="5">
        <v>44399</v>
      </c>
      <c r="B1917" s="2">
        <v>0</v>
      </c>
      <c r="C1917" t="s">
        <v>3665</v>
      </c>
      <c r="D1917" t="s">
        <v>3101</v>
      </c>
      <c r="E1917" t="s">
        <v>3102</v>
      </c>
      <c r="F1917" s="3">
        <v>44329</v>
      </c>
      <c r="G1917" s="2">
        <v>70</v>
      </c>
      <c r="H1917" s="1">
        <v>380.78</v>
      </c>
      <c r="I1917" t="s">
        <v>3666</v>
      </c>
      <c r="J1917" s="2">
        <v>1</v>
      </c>
      <c r="K1917" t="s">
        <v>13</v>
      </c>
      <c r="L1917" t="s">
        <v>2126</v>
      </c>
      <c r="M1917" t="s">
        <v>15</v>
      </c>
    </row>
    <row r="1918" spans="1:13" x14ac:dyDescent="0.25">
      <c r="A1918" s="5">
        <v>44399</v>
      </c>
      <c r="B1918" s="2">
        <v>0</v>
      </c>
      <c r="C1918" t="s">
        <v>3667</v>
      </c>
      <c r="D1918" t="s">
        <v>3101</v>
      </c>
      <c r="E1918" t="s">
        <v>3102</v>
      </c>
      <c r="F1918" s="3">
        <v>44329</v>
      </c>
      <c r="G1918" s="2">
        <v>70</v>
      </c>
      <c r="H1918" s="1">
        <v>323.33999999999997</v>
      </c>
      <c r="I1918" t="s">
        <v>3103</v>
      </c>
      <c r="J1918" s="2">
        <v>1</v>
      </c>
      <c r="K1918" t="s">
        <v>13</v>
      </c>
      <c r="L1918" t="s">
        <v>2126</v>
      </c>
      <c r="M1918" t="s">
        <v>15</v>
      </c>
    </row>
    <row r="1919" spans="1:13" x14ac:dyDescent="0.25">
      <c r="A1919" s="5">
        <v>44399</v>
      </c>
      <c r="B1919" s="2">
        <v>0</v>
      </c>
      <c r="C1919" t="s">
        <v>3668</v>
      </c>
      <c r="D1919" t="s">
        <v>3101</v>
      </c>
      <c r="E1919" t="s">
        <v>3102</v>
      </c>
      <c r="F1919" s="3">
        <v>44349</v>
      </c>
      <c r="G1919" s="2">
        <v>50</v>
      </c>
      <c r="H1919" s="1">
        <v>286.39</v>
      </c>
      <c r="I1919" t="s">
        <v>3669</v>
      </c>
      <c r="J1919" s="2">
        <v>1</v>
      </c>
      <c r="K1919" t="s">
        <v>13</v>
      </c>
      <c r="L1919" t="s">
        <v>2126</v>
      </c>
      <c r="M1919" t="s">
        <v>15</v>
      </c>
    </row>
    <row r="1920" spans="1:13" x14ac:dyDescent="0.25">
      <c r="A1920" s="5">
        <v>44399</v>
      </c>
      <c r="B1920" s="2">
        <v>0</v>
      </c>
      <c r="C1920" t="s">
        <v>3670</v>
      </c>
      <c r="D1920" t="s">
        <v>1421</v>
      </c>
      <c r="E1920" t="s">
        <v>1422</v>
      </c>
      <c r="F1920" s="3">
        <v>44329</v>
      </c>
      <c r="G1920" s="2">
        <v>70</v>
      </c>
      <c r="H1920" s="1">
        <v>219.61</v>
      </c>
      <c r="I1920" t="s">
        <v>3108</v>
      </c>
      <c r="J1920" s="2">
        <v>1</v>
      </c>
      <c r="K1920" t="s">
        <v>13</v>
      </c>
      <c r="L1920" t="s">
        <v>1493</v>
      </c>
      <c r="M1920" t="s">
        <v>1357</v>
      </c>
    </row>
    <row r="1921" spans="1:13" x14ac:dyDescent="0.25">
      <c r="A1921" s="5">
        <v>44399</v>
      </c>
      <c r="B1921" s="2">
        <v>0</v>
      </c>
      <c r="C1921" t="s">
        <v>3671</v>
      </c>
      <c r="D1921" t="s">
        <v>3018</v>
      </c>
      <c r="E1921" t="s">
        <v>3019</v>
      </c>
      <c r="F1921" s="3">
        <v>44329</v>
      </c>
      <c r="G1921" s="2">
        <v>70</v>
      </c>
      <c r="H1921" s="1">
        <v>465.91</v>
      </c>
      <c r="I1921" t="s">
        <v>3109</v>
      </c>
      <c r="J1921" s="2">
        <v>1</v>
      </c>
      <c r="K1921" t="s">
        <v>13</v>
      </c>
      <c r="L1921" t="s">
        <v>1682</v>
      </c>
      <c r="M1921" t="s">
        <v>15</v>
      </c>
    </row>
    <row r="1922" spans="1:13" x14ac:dyDescent="0.25">
      <c r="A1922" s="5">
        <v>44399</v>
      </c>
      <c r="B1922" s="2">
        <v>0</v>
      </c>
      <c r="C1922" t="s">
        <v>3672</v>
      </c>
      <c r="D1922" t="s">
        <v>2002</v>
      </c>
      <c r="E1922" t="s">
        <v>2003</v>
      </c>
      <c r="F1922" s="3">
        <v>44344</v>
      </c>
      <c r="G1922" s="2">
        <v>55</v>
      </c>
      <c r="H1922" s="1">
        <v>232.76</v>
      </c>
      <c r="I1922" t="s">
        <v>3394</v>
      </c>
      <c r="J1922" s="2">
        <v>1</v>
      </c>
      <c r="K1922" t="s">
        <v>13</v>
      </c>
      <c r="L1922" t="s">
        <v>1493</v>
      </c>
      <c r="M1922" t="s">
        <v>2004</v>
      </c>
    </row>
    <row r="1923" spans="1:13" x14ac:dyDescent="0.25">
      <c r="A1923" s="5">
        <v>44399</v>
      </c>
      <c r="B1923" s="2">
        <v>0</v>
      </c>
      <c r="C1923" t="s">
        <v>3673</v>
      </c>
      <c r="D1923" t="s">
        <v>1773</v>
      </c>
      <c r="E1923" t="s">
        <v>1938</v>
      </c>
      <c r="F1923" s="3">
        <v>44314</v>
      </c>
      <c r="G1923" s="2">
        <v>85</v>
      </c>
      <c r="H1923" s="1">
        <v>709.67</v>
      </c>
      <c r="I1923" t="s">
        <v>3397</v>
      </c>
      <c r="J1923" s="2">
        <v>1</v>
      </c>
      <c r="K1923" t="s">
        <v>13</v>
      </c>
      <c r="L1923" t="s">
        <v>21</v>
      </c>
      <c r="M1923" t="s">
        <v>1774</v>
      </c>
    </row>
    <row r="1924" spans="1:13" x14ac:dyDescent="0.25">
      <c r="A1924" s="5">
        <v>44399</v>
      </c>
      <c r="B1924" s="2">
        <v>0</v>
      </c>
      <c r="C1924" t="s">
        <v>3674</v>
      </c>
      <c r="D1924" t="s">
        <v>1773</v>
      </c>
      <c r="E1924" t="s">
        <v>1938</v>
      </c>
      <c r="F1924" s="3">
        <v>44329</v>
      </c>
      <c r="G1924" s="2">
        <v>70</v>
      </c>
      <c r="H1924" s="1">
        <v>1792.83</v>
      </c>
      <c r="I1924" t="s">
        <v>3675</v>
      </c>
      <c r="J1924" s="2">
        <v>1</v>
      </c>
      <c r="K1924" t="s">
        <v>13</v>
      </c>
      <c r="L1924" t="s">
        <v>21</v>
      </c>
      <c r="M1924" t="s">
        <v>1774</v>
      </c>
    </row>
    <row r="1925" spans="1:13" x14ac:dyDescent="0.25">
      <c r="A1925" s="5">
        <v>44399</v>
      </c>
      <c r="B1925" s="2">
        <v>0</v>
      </c>
      <c r="C1925" t="s">
        <v>3676</v>
      </c>
      <c r="D1925" t="s">
        <v>1757</v>
      </c>
      <c r="E1925" t="s">
        <v>1758</v>
      </c>
      <c r="F1925" s="3">
        <v>44299</v>
      </c>
      <c r="G1925" s="2">
        <v>100</v>
      </c>
      <c r="H1925" s="1">
        <v>1907.3</v>
      </c>
      <c r="I1925" t="s">
        <v>2804</v>
      </c>
      <c r="J1925" s="2">
        <v>1</v>
      </c>
      <c r="K1925" t="s">
        <v>13</v>
      </c>
      <c r="L1925" t="s">
        <v>21</v>
      </c>
      <c r="M1925" t="s">
        <v>1165</v>
      </c>
    </row>
    <row r="1926" spans="1:13" x14ac:dyDescent="0.25">
      <c r="A1926" s="5">
        <v>44399</v>
      </c>
      <c r="B1926" s="2">
        <v>0</v>
      </c>
      <c r="C1926" t="s">
        <v>3677</v>
      </c>
      <c r="D1926" t="s">
        <v>2215</v>
      </c>
      <c r="E1926" t="s">
        <v>2216</v>
      </c>
      <c r="F1926" s="3">
        <v>44314</v>
      </c>
      <c r="G1926" s="2">
        <v>85</v>
      </c>
      <c r="H1926" s="1">
        <v>670.62</v>
      </c>
      <c r="I1926" t="s">
        <v>3404</v>
      </c>
      <c r="J1926" s="2">
        <v>1</v>
      </c>
      <c r="K1926" t="s">
        <v>13</v>
      </c>
      <c r="L1926" t="s">
        <v>21</v>
      </c>
      <c r="M1926" t="s">
        <v>2217</v>
      </c>
    </row>
    <row r="1927" spans="1:13" x14ac:dyDescent="0.25">
      <c r="A1927" s="5">
        <v>44399</v>
      </c>
      <c r="B1927" s="2">
        <v>0</v>
      </c>
      <c r="C1927" t="s">
        <v>3678</v>
      </c>
      <c r="D1927" t="s">
        <v>1450</v>
      </c>
      <c r="E1927" t="s">
        <v>1451</v>
      </c>
      <c r="F1927" s="3">
        <v>44309</v>
      </c>
      <c r="G1927" s="2">
        <v>90</v>
      </c>
      <c r="H1927" s="1">
        <v>343.05</v>
      </c>
      <c r="I1927" t="s">
        <v>3111</v>
      </c>
      <c r="J1927" s="2">
        <v>1</v>
      </c>
      <c r="K1927" t="s">
        <v>13</v>
      </c>
      <c r="L1927" t="s">
        <v>21</v>
      </c>
      <c r="M1927" t="s">
        <v>15</v>
      </c>
    </row>
    <row r="1928" spans="1:13" x14ac:dyDescent="0.25">
      <c r="A1928" s="5">
        <v>44399</v>
      </c>
      <c r="B1928" s="2">
        <v>0</v>
      </c>
      <c r="C1928" t="s">
        <v>3679</v>
      </c>
      <c r="D1928" t="s">
        <v>1450</v>
      </c>
      <c r="E1928" t="s">
        <v>1451</v>
      </c>
      <c r="F1928" s="3">
        <v>44334</v>
      </c>
      <c r="G1928" s="2">
        <v>65</v>
      </c>
      <c r="H1928" s="1">
        <v>400.26</v>
      </c>
      <c r="I1928" t="s">
        <v>3112</v>
      </c>
      <c r="J1928" s="2">
        <v>1</v>
      </c>
      <c r="K1928" t="s">
        <v>13</v>
      </c>
      <c r="L1928" t="s">
        <v>21</v>
      </c>
      <c r="M1928" t="s">
        <v>15</v>
      </c>
    </row>
    <row r="1929" spans="1:13" x14ac:dyDescent="0.25">
      <c r="A1929" s="5">
        <v>44399</v>
      </c>
      <c r="B1929" s="2">
        <v>0</v>
      </c>
      <c r="C1929" t="s">
        <v>3680</v>
      </c>
      <c r="D1929" t="s">
        <v>1450</v>
      </c>
      <c r="E1929" t="s">
        <v>1451</v>
      </c>
      <c r="F1929" s="3">
        <v>44354</v>
      </c>
      <c r="G1929" s="2">
        <v>45</v>
      </c>
      <c r="H1929" s="1">
        <v>340</v>
      </c>
      <c r="I1929" t="s">
        <v>3113</v>
      </c>
      <c r="J1929" s="2">
        <v>1</v>
      </c>
      <c r="K1929" t="s">
        <v>13</v>
      </c>
      <c r="L1929" t="s">
        <v>21</v>
      </c>
      <c r="M1929" t="s">
        <v>15</v>
      </c>
    </row>
    <row r="1930" spans="1:13" x14ac:dyDescent="0.25">
      <c r="A1930" s="5">
        <v>44399</v>
      </c>
      <c r="B1930" s="2">
        <v>0</v>
      </c>
      <c r="C1930" t="s">
        <v>3681</v>
      </c>
      <c r="D1930" t="s">
        <v>1450</v>
      </c>
      <c r="E1930" t="s">
        <v>1451</v>
      </c>
      <c r="F1930" s="3">
        <v>44379</v>
      </c>
      <c r="G1930" s="2">
        <v>20</v>
      </c>
      <c r="H1930" s="1">
        <v>575.6</v>
      </c>
      <c r="I1930" t="s">
        <v>3682</v>
      </c>
      <c r="J1930" s="2">
        <v>1</v>
      </c>
      <c r="K1930" t="s">
        <v>13</v>
      </c>
      <c r="L1930" t="s">
        <v>21</v>
      </c>
      <c r="M1930" t="s">
        <v>15</v>
      </c>
    </row>
    <row r="1931" spans="1:13" x14ac:dyDescent="0.25">
      <c r="A1931" s="5">
        <v>44399</v>
      </c>
      <c r="B1931" s="2">
        <v>0</v>
      </c>
      <c r="C1931" t="s">
        <v>3683</v>
      </c>
      <c r="D1931" t="s">
        <v>1563</v>
      </c>
      <c r="E1931" t="s">
        <v>1564</v>
      </c>
      <c r="F1931" s="3">
        <v>44329</v>
      </c>
      <c r="G1931" s="2">
        <v>70</v>
      </c>
      <c r="H1931" s="1">
        <v>319.81</v>
      </c>
      <c r="I1931" t="s">
        <v>3114</v>
      </c>
      <c r="J1931" s="2">
        <v>1</v>
      </c>
      <c r="K1931" t="s">
        <v>13</v>
      </c>
      <c r="L1931" t="s">
        <v>1682</v>
      </c>
      <c r="M1931" t="s">
        <v>1566</v>
      </c>
    </row>
    <row r="1932" spans="1:13" x14ac:dyDescent="0.25">
      <c r="A1932" s="5">
        <v>44399</v>
      </c>
      <c r="B1932" s="2">
        <v>0</v>
      </c>
      <c r="C1932" t="s">
        <v>3684</v>
      </c>
      <c r="D1932" t="s">
        <v>1563</v>
      </c>
      <c r="E1932" t="s">
        <v>1564</v>
      </c>
      <c r="F1932" s="3">
        <v>44349</v>
      </c>
      <c r="G1932" s="2">
        <v>50</v>
      </c>
      <c r="H1932" s="1">
        <v>327.72</v>
      </c>
      <c r="I1932" t="s">
        <v>3685</v>
      </c>
      <c r="J1932" s="2">
        <v>1</v>
      </c>
      <c r="K1932" t="s">
        <v>13</v>
      </c>
      <c r="L1932" t="s">
        <v>1682</v>
      </c>
      <c r="M1932" t="s">
        <v>1566</v>
      </c>
    </row>
    <row r="1933" spans="1:13" x14ac:dyDescent="0.25">
      <c r="A1933" s="5">
        <v>44399</v>
      </c>
      <c r="B1933" s="2">
        <v>0</v>
      </c>
      <c r="C1933" t="s">
        <v>3686</v>
      </c>
      <c r="D1933" t="s">
        <v>2370</v>
      </c>
      <c r="E1933" t="s">
        <v>2371</v>
      </c>
      <c r="F1933" s="3">
        <v>44319</v>
      </c>
      <c r="G1933" s="2">
        <v>80</v>
      </c>
      <c r="H1933" s="1">
        <v>378.46</v>
      </c>
      <c r="I1933" t="s">
        <v>3687</v>
      </c>
      <c r="J1933" s="2">
        <v>1</v>
      </c>
      <c r="K1933" t="s">
        <v>13</v>
      </c>
      <c r="L1933" t="s">
        <v>695</v>
      </c>
      <c r="M1933" t="s">
        <v>90</v>
      </c>
    </row>
    <row r="1934" spans="1:13" x14ac:dyDescent="0.25">
      <c r="A1934" s="5">
        <v>44399</v>
      </c>
      <c r="B1934" s="2">
        <v>0</v>
      </c>
      <c r="C1934" t="s">
        <v>3688</v>
      </c>
      <c r="D1934" t="s">
        <v>2370</v>
      </c>
      <c r="E1934" t="s">
        <v>2371</v>
      </c>
      <c r="F1934" s="3">
        <v>44319</v>
      </c>
      <c r="G1934" s="2">
        <v>80</v>
      </c>
      <c r="H1934" s="1">
        <v>263.62</v>
      </c>
      <c r="I1934" t="s">
        <v>3689</v>
      </c>
      <c r="J1934" s="2">
        <v>1</v>
      </c>
      <c r="K1934" t="s">
        <v>13</v>
      </c>
      <c r="L1934" t="s">
        <v>695</v>
      </c>
      <c r="M1934" t="s">
        <v>90</v>
      </c>
    </row>
    <row r="1935" spans="1:13" x14ac:dyDescent="0.25">
      <c r="A1935" s="5">
        <v>44399</v>
      </c>
      <c r="B1935" s="2">
        <v>0</v>
      </c>
      <c r="C1935" t="s">
        <v>3690</v>
      </c>
      <c r="D1935" t="s">
        <v>2521</v>
      </c>
      <c r="E1935" t="s">
        <v>2522</v>
      </c>
      <c r="F1935" s="3">
        <v>44349</v>
      </c>
      <c r="G1935" s="2">
        <v>50</v>
      </c>
      <c r="H1935" s="1">
        <v>275.76</v>
      </c>
      <c r="I1935" t="s">
        <v>3691</v>
      </c>
      <c r="J1935" s="2">
        <v>1</v>
      </c>
      <c r="K1935" t="s">
        <v>13</v>
      </c>
      <c r="L1935" t="s">
        <v>695</v>
      </c>
      <c r="M1935" t="s">
        <v>15</v>
      </c>
    </row>
    <row r="1936" spans="1:13" x14ac:dyDescent="0.25">
      <c r="A1936" s="5">
        <v>44400</v>
      </c>
      <c r="B1936" s="2">
        <v>0</v>
      </c>
      <c r="C1936" t="s">
        <v>3692</v>
      </c>
      <c r="D1936" t="s">
        <v>1761</v>
      </c>
      <c r="E1936" t="s">
        <v>1762</v>
      </c>
      <c r="F1936" s="3">
        <v>44320</v>
      </c>
      <c r="G1936" s="2">
        <v>80</v>
      </c>
      <c r="H1936" s="1">
        <v>310.04000000000002</v>
      </c>
      <c r="I1936" t="s">
        <v>3693</v>
      </c>
      <c r="J1936" s="2">
        <v>1</v>
      </c>
      <c r="K1936" t="s">
        <v>13</v>
      </c>
      <c r="L1936" t="s">
        <v>21</v>
      </c>
      <c r="M1936" t="s">
        <v>1165</v>
      </c>
    </row>
    <row r="1937" spans="1:13" x14ac:dyDescent="0.25">
      <c r="A1937" s="5">
        <v>44400</v>
      </c>
      <c r="B1937" s="2">
        <v>0</v>
      </c>
      <c r="C1937" t="s">
        <v>3694</v>
      </c>
      <c r="D1937" t="s">
        <v>1983</v>
      </c>
      <c r="E1937" t="s">
        <v>1984</v>
      </c>
      <c r="F1937" s="3">
        <v>44305</v>
      </c>
      <c r="G1937" s="2">
        <v>95</v>
      </c>
      <c r="H1937" s="1">
        <v>1191.4100000000001</v>
      </c>
      <c r="I1937" t="s">
        <v>3118</v>
      </c>
      <c r="J1937" s="2">
        <v>1</v>
      </c>
      <c r="K1937" t="s">
        <v>13</v>
      </c>
      <c r="L1937" t="s">
        <v>21</v>
      </c>
      <c r="M1937" t="s">
        <v>1566</v>
      </c>
    </row>
    <row r="1938" spans="1:13" x14ac:dyDescent="0.25">
      <c r="A1938" s="5">
        <v>44400</v>
      </c>
      <c r="B1938" s="2">
        <v>0</v>
      </c>
      <c r="C1938" t="s">
        <v>3695</v>
      </c>
      <c r="D1938" t="s">
        <v>1983</v>
      </c>
      <c r="E1938" t="s">
        <v>1984</v>
      </c>
      <c r="F1938" s="3">
        <v>44315</v>
      </c>
      <c r="G1938" s="2">
        <v>85</v>
      </c>
      <c r="H1938" s="1">
        <v>497.68</v>
      </c>
      <c r="I1938" t="s">
        <v>3409</v>
      </c>
      <c r="J1938" s="2">
        <v>1</v>
      </c>
      <c r="K1938" t="s">
        <v>13</v>
      </c>
      <c r="L1938" t="s">
        <v>21</v>
      </c>
      <c r="M1938" t="s">
        <v>1566</v>
      </c>
    </row>
    <row r="1939" spans="1:13" x14ac:dyDescent="0.25">
      <c r="A1939" s="5">
        <v>44400</v>
      </c>
      <c r="B1939" s="2">
        <v>0</v>
      </c>
      <c r="C1939" t="s">
        <v>3696</v>
      </c>
      <c r="D1939" t="s">
        <v>1983</v>
      </c>
      <c r="E1939" t="s">
        <v>1984</v>
      </c>
      <c r="F1939" s="3">
        <v>44320</v>
      </c>
      <c r="G1939" s="2">
        <v>80</v>
      </c>
      <c r="H1939" s="1">
        <v>299.37</v>
      </c>
      <c r="I1939" t="s">
        <v>3697</v>
      </c>
      <c r="J1939" s="2">
        <v>1</v>
      </c>
      <c r="K1939" t="s">
        <v>13</v>
      </c>
      <c r="L1939" t="s">
        <v>21</v>
      </c>
      <c r="M1939" t="s">
        <v>1566</v>
      </c>
    </row>
    <row r="1940" spans="1:13" x14ac:dyDescent="0.25">
      <c r="A1940" s="5">
        <v>44400</v>
      </c>
      <c r="B1940" s="2">
        <v>0</v>
      </c>
      <c r="C1940" t="s">
        <v>3698</v>
      </c>
      <c r="D1940" t="s">
        <v>1983</v>
      </c>
      <c r="E1940" t="s">
        <v>1984</v>
      </c>
      <c r="F1940" s="3">
        <v>44330</v>
      </c>
      <c r="G1940" s="2">
        <v>70</v>
      </c>
      <c r="H1940" s="1">
        <v>194.25</v>
      </c>
      <c r="I1940" t="s">
        <v>3699</v>
      </c>
      <c r="J1940" s="2">
        <v>1</v>
      </c>
      <c r="K1940" t="s">
        <v>13</v>
      </c>
      <c r="L1940" t="s">
        <v>21</v>
      </c>
      <c r="M1940" t="s">
        <v>1566</v>
      </c>
    </row>
    <row r="1941" spans="1:13" x14ac:dyDescent="0.25">
      <c r="A1941" s="5">
        <v>44400</v>
      </c>
      <c r="B1941" s="2">
        <v>0</v>
      </c>
      <c r="C1941" t="s">
        <v>3700</v>
      </c>
      <c r="D1941" t="s">
        <v>1983</v>
      </c>
      <c r="E1941" t="s">
        <v>1984</v>
      </c>
      <c r="F1941" s="3">
        <v>44365</v>
      </c>
      <c r="G1941" s="2">
        <v>35</v>
      </c>
      <c r="H1941" s="1">
        <v>499.29</v>
      </c>
      <c r="I1941" t="s">
        <v>3701</v>
      </c>
      <c r="J1941" s="2">
        <v>1</v>
      </c>
      <c r="K1941" t="s">
        <v>13</v>
      </c>
      <c r="L1941" t="s">
        <v>21</v>
      </c>
      <c r="M1941" t="s">
        <v>1566</v>
      </c>
    </row>
    <row r="1942" spans="1:13" x14ac:dyDescent="0.25">
      <c r="A1942" s="5">
        <v>44400</v>
      </c>
      <c r="B1942" s="2">
        <v>0</v>
      </c>
      <c r="C1942" t="s">
        <v>3702</v>
      </c>
      <c r="D1942" t="s">
        <v>3101</v>
      </c>
      <c r="E1942" t="s">
        <v>3102</v>
      </c>
      <c r="F1942" s="3">
        <v>44340</v>
      </c>
      <c r="G1942" s="2">
        <v>60</v>
      </c>
      <c r="H1942" s="1">
        <v>586.65</v>
      </c>
      <c r="I1942" t="s">
        <v>3703</v>
      </c>
      <c r="J1942" s="2">
        <v>1</v>
      </c>
      <c r="K1942" t="s">
        <v>13</v>
      </c>
      <c r="L1942" t="s">
        <v>2126</v>
      </c>
      <c r="M1942" t="s">
        <v>15</v>
      </c>
    </row>
    <row r="1943" spans="1:13" x14ac:dyDescent="0.25">
      <c r="A1943" s="5">
        <v>44400</v>
      </c>
      <c r="B1943" s="2">
        <v>0</v>
      </c>
      <c r="C1943" t="s">
        <v>3704</v>
      </c>
      <c r="D1943" t="s">
        <v>2496</v>
      </c>
      <c r="E1943" t="s">
        <v>2497</v>
      </c>
      <c r="F1943" s="3">
        <v>43684</v>
      </c>
      <c r="G1943" s="2">
        <v>716</v>
      </c>
      <c r="H1943" s="1">
        <v>500</v>
      </c>
      <c r="I1943" t="s">
        <v>3705</v>
      </c>
      <c r="J1943" s="2">
        <v>1</v>
      </c>
      <c r="K1943" t="s">
        <v>13</v>
      </c>
      <c r="L1943" t="s">
        <v>1682</v>
      </c>
      <c r="M1943" t="s">
        <v>15</v>
      </c>
    </row>
    <row r="1944" spans="1:13" x14ac:dyDescent="0.25">
      <c r="A1944" s="5">
        <v>44400</v>
      </c>
      <c r="B1944" s="2">
        <v>0</v>
      </c>
      <c r="C1944" t="s">
        <v>3706</v>
      </c>
      <c r="D1944" t="s">
        <v>1773</v>
      </c>
      <c r="E1944" t="s">
        <v>1938</v>
      </c>
      <c r="F1944" s="3">
        <v>44315</v>
      </c>
      <c r="G1944" s="2">
        <v>85</v>
      </c>
      <c r="H1944" s="1">
        <v>332.66</v>
      </c>
      <c r="I1944" t="s">
        <v>3125</v>
      </c>
      <c r="J1944" s="2">
        <v>1</v>
      </c>
      <c r="K1944" t="s">
        <v>13</v>
      </c>
      <c r="L1944" t="s">
        <v>21</v>
      </c>
      <c r="M1944" t="s">
        <v>1774</v>
      </c>
    </row>
    <row r="1945" spans="1:13" x14ac:dyDescent="0.25">
      <c r="A1945" s="5">
        <v>44400</v>
      </c>
      <c r="B1945" s="2">
        <v>0</v>
      </c>
      <c r="C1945" t="s">
        <v>3707</v>
      </c>
      <c r="D1945" t="s">
        <v>1773</v>
      </c>
      <c r="E1945" t="s">
        <v>1938</v>
      </c>
      <c r="F1945" s="3">
        <v>44320</v>
      </c>
      <c r="G1945" s="2">
        <v>80</v>
      </c>
      <c r="H1945" s="1">
        <v>310.05</v>
      </c>
      <c r="I1945" t="s">
        <v>3708</v>
      </c>
      <c r="J1945" s="2">
        <v>1</v>
      </c>
      <c r="K1945" t="s">
        <v>13</v>
      </c>
      <c r="L1945" t="s">
        <v>21</v>
      </c>
      <c r="M1945" t="s">
        <v>1774</v>
      </c>
    </row>
    <row r="1946" spans="1:13" x14ac:dyDescent="0.25">
      <c r="A1946" s="5">
        <v>44400</v>
      </c>
      <c r="B1946" s="2">
        <v>0</v>
      </c>
      <c r="C1946" t="s">
        <v>3709</v>
      </c>
      <c r="D1946" t="s">
        <v>1773</v>
      </c>
      <c r="E1946" t="s">
        <v>1938</v>
      </c>
      <c r="F1946" s="3">
        <v>44330</v>
      </c>
      <c r="G1946" s="2">
        <v>70</v>
      </c>
      <c r="H1946" s="1">
        <v>194.25</v>
      </c>
      <c r="I1946" t="s">
        <v>3710</v>
      </c>
      <c r="J1946" s="2">
        <v>1</v>
      </c>
      <c r="K1946" t="s">
        <v>13</v>
      </c>
      <c r="L1946" t="s">
        <v>21</v>
      </c>
      <c r="M1946" t="s">
        <v>1774</v>
      </c>
    </row>
    <row r="1947" spans="1:13" x14ac:dyDescent="0.25">
      <c r="A1947" s="5">
        <v>44400</v>
      </c>
      <c r="B1947" s="2">
        <v>0</v>
      </c>
      <c r="C1947" t="s">
        <v>3711</v>
      </c>
      <c r="D1947" t="s">
        <v>1757</v>
      </c>
      <c r="E1947" t="s">
        <v>1758</v>
      </c>
      <c r="F1947" s="3">
        <v>44315</v>
      </c>
      <c r="G1947" s="2">
        <v>85</v>
      </c>
      <c r="H1947" s="1">
        <v>327.56</v>
      </c>
      <c r="I1947" t="s">
        <v>3418</v>
      </c>
      <c r="J1947" s="2">
        <v>1</v>
      </c>
      <c r="K1947" t="s">
        <v>13</v>
      </c>
      <c r="L1947" t="s">
        <v>21</v>
      </c>
      <c r="M1947" t="s">
        <v>1165</v>
      </c>
    </row>
    <row r="1948" spans="1:13" x14ac:dyDescent="0.25">
      <c r="A1948" s="5">
        <v>44400</v>
      </c>
      <c r="B1948" s="2">
        <v>0</v>
      </c>
      <c r="C1948" t="s">
        <v>3712</v>
      </c>
      <c r="D1948" t="s">
        <v>1757</v>
      </c>
      <c r="E1948" t="s">
        <v>1758</v>
      </c>
      <c r="F1948" s="3">
        <v>44320</v>
      </c>
      <c r="G1948" s="2">
        <v>80</v>
      </c>
      <c r="H1948" s="1">
        <v>308.97000000000003</v>
      </c>
      <c r="I1948" t="s">
        <v>3713</v>
      </c>
      <c r="J1948" s="2">
        <v>1</v>
      </c>
      <c r="K1948" t="s">
        <v>13</v>
      </c>
      <c r="L1948" t="s">
        <v>21</v>
      </c>
      <c r="M1948" t="s">
        <v>1165</v>
      </c>
    </row>
    <row r="1949" spans="1:13" x14ac:dyDescent="0.25">
      <c r="A1949" s="5">
        <v>44400</v>
      </c>
      <c r="B1949" s="2">
        <v>0</v>
      </c>
      <c r="C1949" t="s">
        <v>3714</v>
      </c>
      <c r="D1949" t="s">
        <v>1757</v>
      </c>
      <c r="E1949" t="s">
        <v>1758</v>
      </c>
      <c r="F1949" s="3">
        <v>44330</v>
      </c>
      <c r="G1949" s="2">
        <v>70</v>
      </c>
      <c r="H1949" s="1">
        <v>194.25</v>
      </c>
      <c r="I1949" t="s">
        <v>3715</v>
      </c>
      <c r="J1949" s="2">
        <v>1</v>
      </c>
      <c r="K1949" t="s">
        <v>13</v>
      </c>
      <c r="L1949" t="s">
        <v>21</v>
      </c>
      <c r="M1949" t="s">
        <v>1165</v>
      </c>
    </row>
    <row r="1950" spans="1:13" x14ac:dyDescent="0.25">
      <c r="A1950" s="5">
        <v>44400</v>
      </c>
      <c r="B1950" s="2">
        <v>0</v>
      </c>
      <c r="C1950" t="s">
        <v>3716</v>
      </c>
      <c r="D1950" t="s">
        <v>3400</v>
      </c>
      <c r="E1950" t="s">
        <v>3401</v>
      </c>
      <c r="F1950" s="3">
        <v>44305</v>
      </c>
      <c r="G1950" s="2">
        <v>95</v>
      </c>
      <c r="H1950" s="1">
        <v>627.54</v>
      </c>
      <c r="I1950" t="s">
        <v>3717</v>
      </c>
      <c r="J1950" s="2">
        <v>1</v>
      </c>
      <c r="K1950" t="s">
        <v>13</v>
      </c>
      <c r="L1950" t="s">
        <v>21</v>
      </c>
      <c r="M1950" t="s">
        <v>3402</v>
      </c>
    </row>
    <row r="1951" spans="1:13" x14ac:dyDescent="0.25">
      <c r="A1951" s="5">
        <v>44400</v>
      </c>
      <c r="B1951" s="2">
        <v>0</v>
      </c>
      <c r="C1951" t="s">
        <v>3718</v>
      </c>
      <c r="D1951" t="s">
        <v>3400</v>
      </c>
      <c r="E1951" t="s">
        <v>3401</v>
      </c>
      <c r="F1951" s="3">
        <v>44315</v>
      </c>
      <c r="G1951" s="2">
        <v>85</v>
      </c>
      <c r="H1951" s="1">
        <v>1279.31</v>
      </c>
      <c r="I1951" t="s">
        <v>3719</v>
      </c>
      <c r="J1951" s="2">
        <v>1</v>
      </c>
      <c r="K1951" t="s">
        <v>13</v>
      </c>
      <c r="L1951" t="s">
        <v>21</v>
      </c>
      <c r="M1951" t="s">
        <v>3402</v>
      </c>
    </row>
    <row r="1952" spans="1:13" x14ac:dyDescent="0.25">
      <c r="A1952" s="5">
        <v>44400</v>
      </c>
      <c r="B1952" s="2">
        <v>0</v>
      </c>
      <c r="C1952" t="s">
        <v>3720</v>
      </c>
      <c r="D1952" t="s">
        <v>3400</v>
      </c>
      <c r="E1952" t="s">
        <v>3401</v>
      </c>
      <c r="F1952" s="3">
        <v>44315</v>
      </c>
      <c r="G1952" s="2">
        <v>85</v>
      </c>
      <c r="H1952" s="1">
        <v>1463.41</v>
      </c>
      <c r="I1952" t="s">
        <v>3721</v>
      </c>
      <c r="J1952" s="2">
        <v>1</v>
      </c>
      <c r="K1952" t="s">
        <v>13</v>
      </c>
      <c r="L1952" t="s">
        <v>21</v>
      </c>
      <c r="M1952" t="s">
        <v>3402</v>
      </c>
    </row>
    <row r="1953" spans="1:13" x14ac:dyDescent="0.25">
      <c r="A1953" s="5">
        <v>44400</v>
      </c>
      <c r="B1953" s="2">
        <v>0</v>
      </c>
      <c r="C1953" t="s">
        <v>3722</v>
      </c>
      <c r="D1953" t="s">
        <v>1450</v>
      </c>
      <c r="E1953" t="s">
        <v>1451</v>
      </c>
      <c r="F1953" s="3">
        <v>44320</v>
      </c>
      <c r="G1953" s="2">
        <v>80</v>
      </c>
      <c r="H1953" s="1">
        <v>322.58999999999997</v>
      </c>
      <c r="I1953" t="s">
        <v>3126</v>
      </c>
      <c r="J1953" s="2">
        <v>1</v>
      </c>
      <c r="K1953" t="s">
        <v>13</v>
      </c>
      <c r="L1953" t="s">
        <v>21</v>
      </c>
      <c r="M1953" t="s">
        <v>15</v>
      </c>
    </row>
    <row r="1954" spans="1:13" x14ac:dyDescent="0.25">
      <c r="A1954" s="5">
        <v>44400</v>
      </c>
      <c r="B1954" s="2">
        <v>0</v>
      </c>
      <c r="C1954" t="s">
        <v>3723</v>
      </c>
      <c r="D1954" t="s">
        <v>1450</v>
      </c>
      <c r="E1954" t="s">
        <v>1451</v>
      </c>
      <c r="F1954" s="3">
        <v>44330</v>
      </c>
      <c r="G1954" s="2">
        <v>70</v>
      </c>
      <c r="H1954" s="1">
        <v>246.18</v>
      </c>
      <c r="I1954" t="s">
        <v>3724</v>
      </c>
      <c r="J1954" s="2">
        <v>1</v>
      </c>
      <c r="K1954" t="s">
        <v>13</v>
      </c>
      <c r="L1954" t="s">
        <v>21</v>
      </c>
      <c r="M1954" t="s">
        <v>15</v>
      </c>
    </row>
    <row r="1955" spans="1:13" x14ac:dyDescent="0.25">
      <c r="A1955" s="5">
        <v>44400</v>
      </c>
      <c r="B1955" s="2">
        <v>0</v>
      </c>
      <c r="C1955" t="s">
        <v>3725</v>
      </c>
      <c r="D1955" t="s">
        <v>2370</v>
      </c>
      <c r="E1955" t="s">
        <v>2371</v>
      </c>
      <c r="F1955" s="3">
        <v>44320</v>
      </c>
      <c r="G1955" s="2">
        <v>80</v>
      </c>
      <c r="H1955" s="1">
        <v>275.10000000000002</v>
      </c>
      <c r="I1955" t="s">
        <v>3726</v>
      </c>
      <c r="J1955" s="2">
        <v>1</v>
      </c>
      <c r="K1955" t="s">
        <v>13</v>
      </c>
      <c r="L1955" t="s">
        <v>695</v>
      </c>
      <c r="M1955" t="s">
        <v>90</v>
      </c>
    </row>
    <row r="1956" spans="1:13" x14ac:dyDescent="0.25">
      <c r="A1956" s="5">
        <v>44400</v>
      </c>
      <c r="B1956" s="2">
        <v>0</v>
      </c>
      <c r="C1956" t="s">
        <v>3727</v>
      </c>
      <c r="D1956" t="s">
        <v>2519</v>
      </c>
      <c r="E1956" t="s">
        <v>2520</v>
      </c>
      <c r="F1956" s="3">
        <v>44340</v>
      </c>
      <c r="G1956" s="2">
        <v>60</v>
      </c>
      <c r="H1956" s="1">
        <v>375.13</v>
      </c>
      <c r="I1956" t="s">
        <v>3728</v>
      </c>
      <c r="J1956" s="2">
        <v>1</v>
      </c>
      <c r="K1956" t="s">
        <v>13</v>
      </c>
      <c r="L1956" t="s">
        <v>554</v>
      </c>
      <c r="M1956" t="s">
        <v>81</v>
      </c>
    </row>
    <row r="1957" spans="1:13" x14ac:dyDescent="0.25">
      <c r="A1957" s="5">
        <v>44400</v>
      </c>
      <c r="B1957" s="2">
        <v>0</v>
      </c>
      <c r="C1957" t="s">
        <v>3729</v>
      </c>
      <c r="D1957" t="s">
        <v>3730</v>
      </c>
      <c r="E1957" t="s">
        <v>3731</v>
      </c>
      <c r="F1957" s="3">
        <v>44320</v>
      </c>
      <c r="G1957" s="2">
        <v>80</v>
      </c>
      <c r="H1957" s="1">
        <v>882.14</v>
      </c>
      <c r="I1957" t="s">
        <v>3732</v>
      </c>
      <c r="J1957" s="2">
        <v>1</v>
      </c>
      <c r="K1957" t="s">
        <v>13</v>
      </c>
      <c r="L1957" t="s">
        <v>830</v>
      </c>
      <c r="M1957" t="s">
        <v>172</v>
      </c>
    </row>
    <row r="1958" spans="1:13" x14ac:dyDescent="0.25">
      <c r="A1958" s="5">
        <v>44401</v>
      </c>
      <c r="B1958" s="2">
        <v>0</v>
      </c>
      <c r="C1958" t="s">
        <v>3733</v>
      </c>
      <c r="D1958" t="s">
        <v>2297</v>
      </c>
      <c r="E1958" t="s">
        <v>2298</v>
      </c>
      <c r="F1958" s="3">
        <v>44321</v>
      </c>
      <c r="G1958" s="2">
        <v>80</v>
      </c>
      <c r="H1958" s="1">
        <v>733.37</v>
      </c>
      <c r="I1958" t="s">
        <v>2907</v>
      </c>
      <c r="J1958" s="2">
        <v>1</v>
      </c>
      <c r="K1958" t="s">
        <v>13</v>
      </c>
      <c r="L1958" t="s">
        <v>21</v>
      </c>
      <c r="M1958" t="s">
        <v>31</v>
      </c>
    </row>
    <row r="1959" spans="1:13" x14ac:dyDescent="0.25">
      <c r="A1959" s="5">
        <v>44401</v>
      </c>
      <c r="B1959" s="2">
        <v>0</v>
      </c>
      <c r="C1959" t="s">
        <v>3734</v>
      </c>
      <c r="D1959" t="s">
        <v>2263</v>
      </c>
      <c r="E1959" t="s">
        <v>2264</v>
      </c>
      <c r="F1959" s="3">
        <v>44351</v>
      </c>
      <c r="G1959" s="2">
        <v>50</v>
      </c>
      <c r="H1959" s="1">
        <v>329.36</v>
      </c>
      <c r="I1959" t="s">
        <v>3735</v>
      </c>
      <c r="J1959" s="2">
        <v>1</v>
      </c>
      <c r="K1959" t="s">
        <v>13</v>
      </c>
      <c r="L1959" t="s">
        <v>554</v>
      </c>
      <c r="M1959" t="s">
        <v>2265</v>
      </c>
    </row>
    <row r="1960" spans="1:13" x14ac:dyDescent="0.25">
      <c r="A1960" s="5">
        <v>44401</v>
      </c>
      <c r="B1960" s="2">
        <v>0</v>
      </c>
      <c r="C1960" t="s">
        <v>3736</v>
      </c>
      <c r="D1960" t="s">
        <v>1355</v>
      </c>
      <c r="E1960" t="s">
        <v>1356</v>
      </c>
      <c r="F1960" s="3">
        <v>44321</v>
      </c>
      <c r="G1960" s="2">
        <v>80</v>
      </c>
      <c r="H1960" s="1">
        <v>601.73</v>
      </c>
      <c r="I1960" t="s">
        <v>2819</v>
      </c>
      <c r="J1960" s="2">
        <v>1</v>
      </c>
      <c r="K1960" t="s">
        <v>13</v>
      </c>
      <c r="L1960" t="s">
        <v>1493</v>
      </c>
      <c r="M1960" t="s">
        <v>1357</v>
      </c>
    </row>
    <row r="1961" spans="1:13" x14ac:dyDescent="0.25">
      <c r="A1961" s="5">
        <v>44401</v>
      </c>
      <c r="B1961" s="2">
        <v>0</v>
      </c>
      <c r="C1961" t="s">
        <v>3737</v>
      </c>
      <c r="D1961" t="s">
        <v>1355</v>
      </c>
      <c r="E1961" t="s">
        <v>1356</v>
      </c>
      <c r="F1961" s="3">
        <v>44356</v>
      </c>
      <c r="G1961" s="2">
        <v>45</v>
      </c>
      <c r="H1961" s="1">
        <v>626.89</v>
      </c>
      <c r="I1961" t="s">
        <v>3738</v>
      </c>
      <c r="J1961" s="2">
        <v>1</v>
      </c>
      <c r="K1961" t="s">
        <v>13</v>
      </c>
      <c r="L1961" t="s">
        <v>1493</v>
      </c>
      <c r="M1961" t="s">
        <v>1357</v>
      </c>
    </row>
    <row r="1962" spans="1:13" x14ac:dyDescent="0.25">
      <c r="A1962" s="5">
        <v>44401</v>
      </c>
      <c r="B1962" s="2">
        <v>0</v>
      </c>
      <c r="C1962" t="s">
        <v>3739</v>
      </c>
      <c r="D1962" t="s">
        <v>1355</v>
      </c>
      <c r="E1962" t="s">
        <v>1356</v>
      </c>
      <c r="F1962" s="3">
        <v>44356</v>
      </c>
      <c r="G1962" s="2">
        <v>45</v>
      </c>
      <c r="H1962" s="1">
        <v>528.48</v>
      </c>
      <c r="I1962" t="s">
        <v>3740</v>
      </c>
      <c r="J1962" s="2">
        <v>1</v>
      </c>
      <c r="K1962" t="s">
        <v>13</v>
      </c>
      <c r="L1962" t="s">
        <v>1493</v>
      </c>
      <c r="M1962" t="s">
        <v>1357</v>
      </c>
    </row>
    <row r="1963" spans="1:13" x14ac:dyDescent="0.25">
      <c r="A1963" s="5">
        <v>44401</v>
      </c>
      <c r="B1963" s="2">
        <v>0</v>
      </c>
      <c r="C1963" t="s">
        <v>3741</v>
      </c>
      <c r="D1963" t="s">
        <v>1355</v>
      </c>
      <c r="E1963" t="s">
        <v>1356</v>
      </c>
      <c r="F1963" s="3">
        <v>44356</v>
      </c>
      <c r="G1963" s="2">
        <v>45</v>
      </c>
      <c r="H1963" s="1">
        <v>590.87</v>
      </c>
      <c r="I1963" t="s">
        <v>3742</v>
      </c>
      <c r="J1963" s="2">
        <v>1</v>
      </c>
      <c r="K1963" t="s">
        <v>13</v>
      </c>
      <c r="L1963" t="s">
        <v>1493</v>
      </c>
      <c r="M1963" t="s">
        <v>1357</v>
      </c>
    </row>
    <row r="1964" spans="1:13" x14ac:dyDescent="0.25">
      <c r="A1964" s="5">
        <v>44401</v>
      </c>
      <c r="B1964" s="2">
        <v>0</v>
      </c>
      <c r="C1964" t="s">
        <v>3743</v>
      </c>
      <c r="D1964" t="s">
        <v>3116</v>
      </c>
      <c r="E1964" t="s">
        <v>3117</v>
      </c>
      <c r="F1964" s="3">
        <v>44351</v>
      </c>
      <c r="G1964" s="2">
        <v>50</v>
      </c>
      <c r="H1964" s="1">
        <v>866.68</v>
      </c>
      <c r="I1964" t="s">
        <v>3744</v>
      </c>
      <c r="J1964" s="2">
        <v>1</v>
      </c>
      <c r="K1964" t="s">
        <v>13</v>
      </c>
      <c r="L1964" t="s">
        <v>830</v>
      </c>
      <c r="M1964" t="s">
        <v>2122</v>
      </c>
    </row>
    <row r="1965" spans="1:13" x14ac:dyDescent="0.25">
      <c r="A1965" s="5">
        <v>44401</v>
      </c>
      <c r="B1965" s="2">
        <v>0</v>
      </c>
      <c r="C1965" t="s">
        <v>3745</v>
      </c>
      <c r="D1965" t="s">
        <v>1761</v>
      </c>
      <c r="E1965" t="s">
        <v>1762</v>
      </c>
      <c r="F1965" s="3">
        <v>44321</v>
      </c>
      <c r="G1965" s="2">
        <v>80</v>
      </c>
      <c r="H1965" s="1">
        <v>518.79</v>
      </c>
      <c r="I1965" t="s">
        <v>3746</v>
      </c>
      <c r="J1965" s="2">
        <v>1</v>
      </c>
      <c r="K1965" t="s">
        <v>13</v>
      </c>
      <c r="L1965" t="s">
        <v>21</v>
      </c>
      <c r="M1965" t="s">
        <v>1165</v>
      </c>
    </row>
    <row r="1966" spans="1:13" x14ac:dyDescent="0.25">
      <c r="A1966" s="5">
        <v>44401</v>
      </c>
      <c r="B1966" s="2">
        <v>0</v>
      </c>
      <c r="C1966" t="s">
        <v>3747</v>
      </c>
      <c r="D1966" t="s">
        <v>1761</v>
      </c>
      <c r="E1966" t="s">
        <v>1762</v>
      </c>
      <c r="F1966" s="3">
        <v>44321</v>
      </c>
      <c r="G1966" s="2">
        <v>80</v>
      </c>
      <c r="H1966" s="1">
        <v>631.70000000000005</v>
      </c>
      <c r="I1966" t="s">
        <v>3748</v>
      </c>
      <c r="J1966" s="2">
        <v>1</v>
      </c>
      <c r="K1966" t="s">
        <v>13</v>
      </c>
      <c r="L1966" t="s">
        <v>21</v>
      </c>
      <c r="M1966" t="s">
        <v>1165</v>
      </c>
    </row>
    <row r="1967" spans="1:13" x14ac:dyDescent="0.25">
      <c r="A1967" s="5">
        <v>44401</v>
      </c>
      <c r="B1967" s="2">
        <v>0</v>
      </c>
      <c r="C1967" t="s">
        <v>3749</v>
      </c>
      <c r="D1967" t="s">
        <v>1983</v>
      </c>
      <c r="E1967" t="s">
        <v>1984</v>
      </c>
      <c r="F1967" s="3">
        <v>44321</v>
      </c>
      <c r="G1967" s="2">
        <v>80</v>
      </c>
      <c r="H1967" s="1">
        <v>631.70000000000005</v>
      </c>
      <c r="I1967" t="s">
        <v>3750</v>
      </c>
      <c r="J1967" s="2">
        <v>1</v>
      </c>
      <c r="K1967" t="s">
        <v>13</v>
      </c>
      <c r="L1967" t="s">
        <v>21</v>
      </c>
      <c r="M1967" t="s">
        <v>1566</v>
      </c>
    </row>
    <row r="1968" spans="1:13" x14ac:dyDescent="0.25">
      <c r="A1968" s="5">
        <v>44401</v>
      </c>
      <c r="B1968" s="2">
        <v>0</v>
      </c>
      <c r="C1968" t="s">
        <v>3751</v>
      </c>
      <c r="D1968" t="s">
        <v>2211</v>
      </c>
      <c r="E1968" t="s">
        <v>2212</v>
      </c>
      <c r="F1968" s="3">
        <v>44336</v>
      </c>
      <c r="G1968" s="2">
        <v>65</v>
      </c>
      <c r="H1968" s="1">
        <v>656.91</v>
      </c>
      <c r="I1968" t="s">
        <v>3752</v>
      </c>
      <c r="J1968" s="2">
        <v>1</v>
      </c>
      <c r="K1968" t="s">
        <v>13</v>
      </c>
      <c r="L1968" t="s">
        <v>695</v>
      </c>
      <c r="M1968" t="s">
        <v>15</v>
      </c>
    </row>
    <row r="1969" spans="1:13" x14ac:dyDescent="0.25">
      <c r="A1969" s="5">
        <v>44401</v>
      </c>
      <c r="B1969" s="2">
        <v>0</v>
      </c>
      <c r="C1969" t="s">
        <v>3753</v>
      </c>
      <c r="D1969" t="s">
        <v>2286</v>
      </c>
      <c r="E1969" t="s">
        <v>2287</v>
      </c>
      <c r="F1969" s="3">
        <v>44341</v>
      </c>
      <c r="G1969" s="2">
        <v>60</v>
      </c>
      <c r="H1969" s="1">
        <v>439.72</v>
      </c>
      <c r="I1969" t="s">
        <v>3754</v>
      </c>
      <c r="J1969" s="2">
        <v>1</v>
      </c>
      <c r="K1969" t="s">
        <v>13</v>
      </c>
      <c r="L1969" t="s">
        <v>830</v>
      </c>
      <c r="M1969" t="s">
        <v>172</v>
      </c>
    </row>
    <row r="1970" spans="1:13" x14ac:dyDescent="0.25">
      <c r="A1970" s="5">
        <v>44401</v>
      </c>
      <c r="B1970" s="2">
        <v>0</v>
      </c>
      <c r="C1970" t="s">
        <v>3755</v>
      </c>
      <c r="D1970" t="s">
        <v>1773</v>
      </c>
      <c r="E1970" t="s">
        <v>1938</v>
      </c>
      <c r="F1970" s="3">
        <v>44321</v>
      </c>
      <c r="G1970" s="2">
        <v>80</v>
      </c>
      <c r="H1970" s="1">
        <v>518.79</v>
      </c>
      <c r="I1970" t="s">
        <v>3756</v>
      </c>
      <c r="J1970" s="2">
        <v>1</v>
      </c>
      <c r="K1970" t="s">
        <v>13</v>
      </c>
      <c r="L1970" t="s">
        <v>21</v>
      </c>
      <c r="M1970" t="s">
        <v>1774</v>
      </c>
    </row>
    <row r="1971" spans="1:13" x14ac:dyDescent="0.25">
      <c r="A1971" s="5">
        <v>44401</v>
      </c>
      <c r="B1971" s="2">
        <v>0</v>
      </c>
      <c r="C1971" t="s">
        <v>3757</v>
      </c>
      <c r="D1971" t="s">
        <v>1773</v>
      </c>
      <c r="E1971" t="s">
        <v>1938</v>
      </c>
      <c r="F1971" s="3">
        <v>44321</v>
      </c>
      <c r="G1971" s="2">
        <v>80</v>
      </c>
      <c r="H1971" s="1">
        <v>631.70000000000005</v>
      </c>
      <c r="I1971" t="s">
        <v>3758</v>
      </c>
      <c r="J1971" s="2">
        <v>1</v>
      </c>
      <c r="K1971" t="s">
        <v>13</v>
      </c>
      <c r="L1971" t="s">
        <v>21</v>
      </c>
      <c r="M1971" t="s">
        <v>1774</v>
      </c>
    </row>
    <row r="1972" spans="1:13" x14ac:dyDescent="0.25">
      <c r="A1972" s="5">
        <v>44401</v>
      </c>
      <c r="B1972" s="2">
        <v>0</v>
      </c>
      <c r="C1972" t="s">
        <v>3759</v>
      </c>
      <c r="D1972" t="s">
        <v>1757</v>
      </c>
      <c r="E1972" t="s">
        <v>1758</v>
      </c>
      <c r="F1972" s="3">
        <v>44291</v>
      </c>
      <c r="G1972" s="2">
        <v>110</v>
      </c>
      <c r="H1972" s="1">
        <v>2142.27</v>
      </c>
      <c r="I1972" t="s">
        <v>2832</v>
      </c>
      <c r="J1972" s="2">
        <v>1</v>
      </c>
      <c r="K1972" t="s">
        <v>13</v>
      </c>
      <c r="L1972" t="s">
        <v>21</v>
      </c>
      <c r="M1972" t="s">
        <v>1165</v>
      </c>
    </row>
    <row r="1973" spans="1:13" x14ac:dyDescent="0.25">
      <c r="A1973" s="5">
        <v>44401</v>
      </c>
      <c r="B1973" s="2">
        <v>0</v>
      </c>
      <c r="C1973" t="s">
        <v>3760</v>
      </c>
      <c r="D1973" t="s">
        <v>1757</v>
      </c>
      <c r="E1973" t="s">
        <v>1758</v>
      </c>
      <c r="F1973" s="3">
        <v>44321</v>
      </c>
      <c r="G1973" s="2">
        <v>80</v>
      </c>
      <c r="H1973" s="1">
        <v>631.70000000000005</v>
      </c>
      <c r="I1973" t="s">
        <v>3761</v>
      </c>
      <c r="J1973" s="2">
        <v>1</v>
      </c>
      <c r="K1973" t="s">
        <v>13</v>
      </c>
      <c r="L1973" t="s">
        <v>21</v>
      </c>
      <c r="M1973" t="s">
        <v>1165</v>
      </c>
    </row>
    <row r="1974" spans="1:13" x14ac:dyDescent="0.25">
      <c r="A1974" s="5">
        <v>44401</v>
      </c>
      <c r="B1974" s="2">
        <v>0</v>
      </c>
      <c r="C1974" t="s">
        <v>3762</v>
      </c>
      <c r="D1974" t="s">
        <v>1757</v>
      </c>
      <c r="E1974" t="s">
        <v>1758</v>
      </c>
      <c r="F1974" s="3">
        <v>44326</v>
      </c>
      <c r="G1974" s="2">
        <v>75</v>
      </c>
      <c r="H1974" s="1">
        <v>2189.81</v>
      </c>
      <c r="I1974" t="s">
        <v>3763</v>
      </c>
      <c r="J1974" s="2">
        <v>1</v>
      </c>
      <c r="K1974" t="s">
        <v>13</v>
      </c>
      <c r="L1974" t="s">
        <v>21</v>
      </c>
      <c r="M1974" t="s">
        <v>1165</v>
      </c>
    </row>
    <row r="1975" spans="1:13" x14ac:dyDescent="0.25">
      <c r="A1975" s="5">
        <v>44401</v>
      </c>
      <c r="B1975" s="2">
        <v>0</v>
      </c>
      <c r="C1975" t="s">
        <v>3764</v>
      </c>
      <c r="D1975" t="s">
        <v>3765</v>
      </c>
      <c r="E1975" t="s">
        <v>3766</v>
      </c>
      <c r="F1975" s="3">
        <v>44375</v>
      </c>
      <c r="G1975" s="2">
        <v>26</v>
      </c>
      <c r="H1975" s="1">
        <v>618.34</v>
      </c>
      <c r="I1975" t="s">
        <v>3767</v>
      </c>
      <c r="J1975" s="2">
        <v>1</v>
      </c>
      <c r="K1975" t="s">
        <v>13</v>
      </c>
      <c r="L1975" t="s">
        <v>2126</v>
      </c>
      <c r="M1975" t="s">
        <v>3768</v>
      </c>
    </row>
    <row r="1976" spans="1:13" x14ac:dyDescent="0.25">
      <c r="A1976" s="5">
        <v>44401</v>
      </c>
      <c r="B1976" s="2">
        <v>0</v>
      </c>
      <c r="C1976" t="s">
        <v>3769</v>
      </c>
      <c r="D1976" t="s">
        <v>1450</v>
      </c>
      <c r="E1976" t="s">
        <v>1451</v>
      </c>
      <c r="F1976" s="3">
        <v>44306</v>
      </c>
      <c r="G1976" s="2">
        <v>95</v>
      </c>
      <c r="H1976" s="1">
        <v>236.14</v>
      </c>
      <c r="I1976" t="s">
        <v>2517</v>
      </c>
      <c r="J1976" s="2">
        <v>1</v>
      </c>
      <c r="K1976" t="s">
        <v>13</v>
      </c>
      <c r="L1976" t="s">
        <v>21</v>
      </c>
      <c r="M1976" t="s">
        <v>15</v>
      </c>
    </row>
    <row r="1977" spans="1:13" x14ac:dyDescent="0.25">
      <c r="A1977" s="5">
        <v>44401</v>
      </c>
      <c r="B1977" s="2">
        <v>0</v>
      </c>
      <c r="C1977" t="s">
        <v>3770</v>
      </c>
      <c r="D1977" t="s">
        <v>1450</v>
      </c>
      <c r="E1977" t="s">
        <v>1451</v>
      </c>
      <c r="F1977" s="3">
        <v>44365</v>
      </c>
      <c r="G1977" s="2">
        <v>36</v>
      </c>
      <c r="H1977" s="1">
        <v>272.3</v>
      </c>
      <c r="I1977" t="s">
        <v>3127</v>
      </c>
      <c r="J1977" s="2">
        <v>1</v>
      </c>
      <c r="K1977" t="s">
        <v>13</v>
      </c>
      <c r="L1977" t="s">
        <v>21</v>
      </c>
      <c r="M1977" t="s">
        <v>15</v>
      </c>
    </row>
    <row r="1978" spans="1:13" x14ac:dyDescent="0.25">
      <c r="A1978" s="5">
        <v>44401</v>
      </c>
      <c r="B1978" s="2">
        <v>0</v>
      </c>
      <c r="C1978" t="s">
        <v>3771</v>
      </c>
      <c r="D1978" t="s">
        <v>3618</v>
      </c>
      <c r="E1978" t="s">
        <v>3619</v>
      </c>
      <c r="F1978" s="3">
        <v>44351</v>
      </c>
      <c r="G1978" s="2">
        <v>50</v>
      </c>
      <c r="H1978" s="1">
        <v>271.22000000000003</v>
      </c>
      <c r="I1978" t="s">
        <v>3772</v>
      </c>
      <c r="J1978" s="2">
        <v>1</v>
      </c>
      <c r="K1978" t="s">
        <v>13</v>
      </c>
      <c r="L1978" t="s">
        <v>695</v>
      </c>
      <c r="M1978" t="s">
        <v>15</v>
      </c>
    </row>
    <row r="1979" spans="1:13" x14ac:dyDescent="0.25">
      <c r="A1979" s="5">
        <v>44401</v>
      </c>
      <c r="B1979" s="2">
        <v>0</v>
      </c>
      <c r="C1979" t="s">
        <v>3773</v>
      </c>
      <c r="D1979" t="s">
        <v>1563</v>
      </c>
      <c r="E1979" t="s">
        <v>1564</v>
      </c>
      <c r="F1979" s="3">
        <v>44341</v>
      </c>
      <c r="G1979" s="2">
        <v>60</v>
      </c>
      <c r="H1979" s="1">
        <v>451.06</v>
      </c>
      <c r="I1979" t="s">
        <v>3774</v>
      </c>
      <c r="J1979" s="2">
        <v>1</v>
      </c>
      <c r="K1979" t="s">
        <v>13</v>
      </c>
      <c r="L1979" t="s">
        <v>1682</v>
      </c>
      <c r="M1979" t="s">
        <v>1566</v>
      </c>
    </row>
    <row r="1980" spans="1:13" x14ac:dyDescent="0.25">
      <c r="A1980" s="5">
        <v>44401</v>
      </c>
      <c r="B1980" s="2">
        <v>0</v>
      </c>
      <c r="C1980" t="s">
        <v>3775</v>
      </c>
      <c r="D1980" t="s">
        <v>2370</v>
      </c>
      <c r="E1980" t="s">
        <v>2371</v>
      </c>
      <c r="F1980" s="3">
        <v>44301</v>
      </c>
      <c r="G1980" s="2">
        <v>100</v>
      </c>
      <c r="H1980" s="1">
        <v>291</v>
      </c>
      <c r="I1980" t="s">
        <v>3144</v>
      </c>
      <c r="J1980" s="2">
        <v>1</v>
      </c>
      <c r="K1980" t="s">
        <v>13</v>
      </c>
      <c r="L1980" t="s">
        <v>695</v>
      </c>
      <c r="M1980" t="s">
        <v>90</v>
      </c>
    </row>
    <row r="1981" spans="1:13" x14ac:dyDescent="0.25">
      <c r="A1981" s="5">
        <v>44401</v>
      </c>
      <c r="B1981" s="2">
        <v>0</v>
      </c>
      <c r="C1981" t="s">
        <v>3776</v>
      </c>
      <c r="D1981" t="s">
        <v>2519</v>
      </c>
      <c r="E1981" t="s">
        <v>2520</v>
      </c>
      <c r="F1981" s="3">
        <v>44341</v>
      </c>
      <c r="G1981" s="2">
        <v>60</v>
      </c>
      <c r="H1981" s="1">
        <v>521.91</v>
      </c>
      <c r="I1981" t="s">
        <v>3777</v>
      </c>
      <c r="J1981" s="2">
        <v>1</v>
      </c>
      <c r="K1981" t="s">
        <v>13</v>
      </c>
      <c r="L1981" t="s">
        <v>554</v>
      </c>
      <c r="M1981" t="s">
        <v>81</v>
      </c>
    </row>
    <row r="1982" spans="1:13" x14ac:dyDescent="0.25">
      <c r="A1982" s="5">
        <v>44402</v>
      </c>
      <c r="B1982" s="2">
        <v>0</v>
      </c>
      <c r="C1982" t="s">
        <v>3778</v>
      </c>
      <c r="D1982" t="s">
        <v>3088</v>
      </c>
      <c r="E1982" t="s">
        <v>3089</v>
      </c>
      <c r="F1982" s="3">
        <v>44357</v>
      </c>
      <c r="G1982" s="2">
        <v>45</v>
      </c>
      <c r="H1982" s="1">
        <v>398.8</v>
      </c>
      <c r="I1982" t="s">
        <v>3779</v>
      </c>
      <c r="J1982" s="2">
        <v>1</v>
      </c>
      <c r="K1982" t="s">
        <v>13</v>
      </c>
      <c r="L1982" t="s">
        <v>2126</v>
      </c>
      <c r="M1982" t="s">
        <v>2713</v>
      </c>
    </row>
    <row r="1983" spans="1:13" x14ac:dyDescent="0.25">
      <c r="A1983" s="5">
        <v>44402</v>
      </c>
      <c r="B1983" s="2">
        <v>0</v>
      </c>
      <c r="C1983" t="s">
        <v>3780</v>
      </c>
      <c r="D1983" t="s">
        <v>2350</v>
      </c>
      <c r="E1983" t="s">
        <v>2351</v>
      </c>
      <c r="F1983" s="3">
        <v>44342</v>
      </c>
      <c r="G1983" s="2">
        <v>60</v>
      </c>
      <c r="H1983" s="1">
        <v>423.71</v>
      </c>
      <c r="I1983" t="s">
        <v>3781</v>
      </c>
      <c r="J1983" s="2">
        <v>1</v>
      </c>
      <c r="K1983" t="s">
        <v>13</v>
      </c>
      <c r="L1983" t="s">
        <v>695</v>
      </c>
      <c r="M1983" t="s">
        <v>15</v>
      </c>
    </row>
    <row r="1984" spans="1:13" x14ac:dyDescent="0.25">
      <c r="A1984" s="5">
        <v>44402</v>
      </c>
      <c r="B1984" s="2">
        <v>0</v>
      </c>
      <c r="C1984" t="s">
        <v>3782</v>
      </c>
      <c r="D1984" t="s">
        <v>3031</v>
      </c>
      <c r="E1984" t="s">
        <v>3032</v>
      </c>
      <c r="F1984" s="3">
        <v>44342</v>
      </c>
      <c r="G1984" s="2">
        <v>60</v>
      </c>
      <c r="H1984" s="1">
        <v>289.05</v>
      </c>
      <c r="I1984" t="s">
        <v>3783</v>
      </c>
      <c r="J1984" s="2">
        <v>1</v>
      </c>
      <c r="K1984" t="s">
        <v>13</v>
      </c>
      <c r="L1984" t="s">
        <v>21</v>
      </c>
      <c r="M1984" t="s">
        <v>33</v>
      </c>
    </row>
    <row r="1985" spans="1:13" x14ac:dyDescent="0.25">
      <c r="A1985" s="5">
        <v>44402</v>
      </c>
      <c r="B1985" s="2">
        <v>0</v>
      </c>
      <c r="C1985" t="s">
        <v>3784</v>
      </c>
      <c r="D1985" t="s">
        <v>3147</v>
      </c>
      <c r="E1985" t="s">
        <v>3148</v>
      </c>
      <c r="F1985" s="3">
        <v>44337</v>
      </c>
      <c r="G1985" s="2">
        <v>65</v>
      </c>
      <c r="H1985" s="1">
        <v>287.42</v>
      </c>
      <c r="I1985" t="s">
        <v>3149</v>
      </c>
      <c r="J1985" s="2">
        <v>1</v>
      </c>
      <c r="K1985" t="s">
        <v>13</v>
      </c>
      <c r="L1985" t="s">
        <v>830</v>
      </c>
      <c r="M1985" t="s">
        <v>1213</v>
      </c>
    </row>
    <row r="1986" spans="1:13" x14ac:dyDescent="0.25">
      <c r="A1986" s="5">
        <v>44402</v>
      </c>
      <c r="B1986" s="2">
        <v>0</v>
      </c>
      <c r="C1986" t="s">
        <v>3785</v>
      </c>
      <c r="D1986" t="s">
        <v>1355</v>
      </c>
      <c r="E1986" t="s">
        <v>1356</v>
      </c>
      <c r="F1986" s="3">
        <v>44342</v>
      </c>
      <c r="G1986" s="2">
        <v>60</v>
      </c>
      <c r="H1986" s="1">
        <v>444.97</v>
      </c>
      <c r="I1986" t="s">
        <v>3786</v>
      </c>
      <c r="J1986" s="2">
        <v>1</v>
      </c>
      <c r="K1986" t="s">
        <v>13</v>
      </c>
      <c r="L1986" t="s">
        <v>1493</v>
      </c>
      <c r="M1986" t="s">
        <v>1357</v>
      </c>
    </row>
    <row r="1987" spans="1:13" x14ac:dyDescent="0.25">
      <c r="A1987" s="5">
        <v>44402</v>
      </c>
      <c r="B1987" s="2">
        <v>0</v>
      </c>
      <c r="C1987" t="s">
        <v>3787</v>
      </c>
      <c r="D1987" t="s">
        <v>1761</v>
      </c>
      <c r="E1987" t="s">
        <v>1762</v>
      </c>
      <c r="F1987" s="3">
        <v>44292</v>
      </c>
      <c r="G1987" s="2">
        <v>110</v>
      </c>
      <c r="H1987" s="1">
        <v>1619.6</v>
      </c>
      <c r="I1987" t="s">
        <v>2848</v>
      </c>
      <c r="J1987" s="2">
        <v>1</v>
      </c>
      <c r="K1987" t="s">
        <v>13</v>
      </c>
      <c r="L1987" t="s">
        <v>21</v>
      </c>
      <c r="M1987" t="s">
        <v>1165</v>
      </c>
    </row>
    <row r="1988" spans="1:13" x14ac:dyDescent="0.25">
      <c r="A1988" s="5">
        <v>44402</v>
      </c>
      <c r="B1988" s="2">
        <v>0</v>
      </c>
      <c r="C1988" t="s">
        <v>3788</v>
      </c>
      <c r="D1988" t="s">
        <v>1761</v>
      </c>
      <c r="E1988" t="s">
        <v>1762</v>
      </c>
      <c r="F1988" s="3">
        <v>44312</v>
      </c>
      <c r="G1988" s="2">
        <v>90</v>
      </c>
      <c r="H1988" s="1">
        <v>1466.33</v>
      </c>
      <c r="I1988" t="s">
        <v>3155</v>
      </c>
      <c r="J1988" s="2">
        <v>1</v>
      </c>
      <c r="K1988" t="s">
        <v>13</v>
      </c>
      <c r="L1988" t="s">
        <v>21</v>
      </c>
      <c r="M1988" t="s">
        <v>1165</v>
      </c>
    </row>
    <row r="1989" spans="1:13" x14ac:dyDescent="0.25">
      <c r="A1989" s="5">
        <v>44402</v>
      </c>
      <c r="B1989" s="2">
        <v>0</v>
      </c>
      <c r="C1989" t="s">
        <v>3789</v>
      </c>
      <c r="D1989" t="s">
        <v>1761</v>
      </c>
      <c r="E1989" t="s">
        <v>1762</v>
      </c>
      <c r="F1989" s="3">
        <v>44342</v>
      </c>
      <c r="G1989" s="2">
        <v>60</v>
      </c>
      <c r="H1989" s="1">
        <v>833.95</v>
      </c>
      <c r="I1989" t="s">
        <v>3157</v>
      </c>
      <c r="J1989" s="2">
        <v>1</v>
      </c>
      <c r="K1989" t="s">
        <v>13</v>
      </c>
      <c r="L1989" t="s">
        <v>21</v>
      </c>
      <c r="M1989" t="s">
        <v>1165</v>
      </c>
    </row>
    <row r="1990" spans="1:13" x14ac:dyDescent="0.25">
      <c r="A1990" s="5">
        <v>44402</v>
      </c>
      <c r="B1990" s="2">
        <v>0</v>
      </c>
      <c r="C1990" t="s">
        <v>3790</v>
      </c>
      <c r="D1990" t="s">
        <v>1900</v>
      </c>
      <c r="E1990" t="s">
        <v>1901</v>
      </c>
      <c r="F1990" s="3">
        <v>44337</v>
      </c>
      <c r="G1990" s="2">
        <v>65</v>
      </c>
      <c r="H1990" s="1">
        <v>413.23</v>
      </c>
      <c r="I1990" t="s">
        <v>3791</v>
      </c>
      <c r="J1990" s="2">
        <v>1</v>
      </c>
      <c r="K1990" t="s">
        <v>1543</v>
      </c>
      <c r="L1990" t="s">
        <v>695</v>
      </c>
      <c r="M1990" t="s">
        <v>15</v>
      </c>
    </row>
    <row r="1991" spans="1:13" x14ac:dyDescent="0.25">
      <c r="A1991" s="5">
        <v>44402</v>
      </c>
      <c r="B1991" s="2">
        <v>0</v>
      </c>
      <c r="C1991" t="s">
        <v>3792</v>
      </c>
      <c r="D1991" t="s">
        <v>1757</v>
      </c>
      <c r="E1991" t="s">
        <v>1758</v>
      </c>
      <c r="F1991" s="3">
        <v>44357</v>
      </c>
      <c r="G1991" s="2">
        <v>45</v>
      </c>
      <c r="H1991" s="1">
        <v>578.30999999999995</v>
      </c>
      <c r="I1991" t="s">
        <v>3793</v>
      </c>
      <c r="J1991" s="2">
        <v>1</v>
      </c>
      <c r="K1991" t="s">
        <v>13</v>
      </c>
      <c r="L1991" t="s">
        <v>21</v>
      </c>
      <c r="M1991" t="s">
        <v>1165</v>
      </c>
    </row>
    <row r="1992" spans="1:13" x14ac:dyDescent="0.25">
      <c r="A1992" s="5">
        <v>44402</v>
      </c>
      <c r="B1992" s="2">
        <v>0</v>
      </c>
      <c r="C1992" t="s">
        <v>3794</v>
      </c>
      <c r="D1992" t="s">
        <v>2443</v>
      </c>
      <c r="E1992" t="s">
        <v>2444</v>
      </c>
      <c r="F1992" s="3">
        <v>44357</v>
      </c>
      <c r="G1992" s="2">
        <v>45</v>
      </c>
      <c r="H1992" s="1">
        <v>338.11</v>
      </c>
      <c r="I1992" t="s">
        <v>3795</v>
      </c>
      <c r="J1992" s="2">
        <v>1</v>
      </c>
      <c r="K1992" t="s">
        <v>13</v>
      </c>
      <c r="L1992" t="s">
        <v>14</v>
      </c>
      <c r="M1992" t="s">
        <v>15</v>
      </c>
    </row>
    <row r="1993" spans="1:13" x14ac:dyDescent="0.25">
      <c r="A1993" s="5">
        <v>44402</v>
      </c>
      <c r="B1993" s="2">
        <v>0</v>
      </c>
      <c r="C1993" t="s">
        <v>3796</v>
      </c>
      <c r="D1993" t="s">
        <v>2215</v>
      </c>
      <c r="E1993" t="s">
        <v>2216</v>
      </c>
      <c r="F1993" s="3">
        <v>44302</v>
      </c>
      <c r="G1993" s="2">
        <v>100</v>
      </c>
      <c r="H1993" s="1">
        <v>1368.74</v>
      </c>
      <c r="I1993" t="s">
        <v>3170</v>
      </c>
      <c r="J1993" s="2">
        <v>1</v>
      </c>
      <c r="K1993" t="s">
        <v>13</v>
      </c>
      <c r="L1993" t="s">
        <v>21</v>
      </c>
      <c r="M1993" t="s">
        <v>2217</v>
      </c>
    </row>
    <row r="1994" spans="1:13" x14ac:dyDescent="0.25">
      <c r="A1994" s="5">
        <v>44402</v>
      </c>
      <c r="B1994" s="2">
        <v>0</v>
      </c>
      <c r="C1994" t="s">
        <v>3797</v>
      </c>
      <c r="D1994" t="s">
        <v>1450</v>
      </c>
      <c r="E1994" t="s">
        <v>1451</v>
      </c>
      <c r="F1994" s="3">
        <v>44302</v>
      </c>
      <c r="G1994" s="2">
        <v>100</v>
      </c>
      <c r="H1994" s="1">
        <v>227.4</v>
      </c>
      <c r="I1994" t="s">
        <v>3177</v>
      </c>
      <c r="J1994" s="2">
        <v>1</v>
      </c>
      <c r="K1994" t="s">
        <v>13</v>
      </c>
      <c r="L1994" t="s">
        <v>21</v>
      </c>
      <c r="M1994" t="s">
        <v>15</v>
      </c>
    </row>
    <row r="1995" spans="1:13" x14ac:dyDescent="0.25">
      <c r="A1995" s="5">
        <v>44402</v>
      </c>
      <c r="B1995" s="2">
        <v>0</v>
      </c>
      <c r="C1995" t="s">
        <v>3798</v>
      </c>
      <c r="D1995" t="s">
        <v>1450</v>
      </c>
      <c r="E1995" t="s">
        <v>1451</v>
      </c>
      <c r="F1995" s="3">
        <v>44327</v>
      </c>
      <c r="G1995" s="2">
        <v>75</v>
      </c>
      <c r="H1995" s="1">
        <v>382.64</v>
      </c>
      <c r="I1995" t="s">
        <v>3085</v>
      </c>
      <c r="J1995" s="2">
        <v>1</v>
      </c>
      <c r="K1995" t="s">
        <v>13</v>
      </c>
      <c r="L1995" t="s">
        <v>21</v>
      </c>
      <c r="M1995" t="s">
        <v>15</v>
      </c>
    </row>
    <row r="1996" spans="1:13" x14ac:dyDescent="0.25">
      <c r="A1996" s="5">
        <v>44402</v>
      </c>
      <c r="B1996" s="2">
        <v>0</v>
      </c>
      <c r="C1996" t="s">
        <v>3799</v>
      </c>
      <c r="D1996" t="s">
        <v>1450</v>
      </c>
      <c r="E1996" t="s">
        <v>1451</v>
      </c>
      <c r="F1996" s="3">
        <v>44337</v>
      </c>
      <c r="G1996" s="2">
        <v>65</v>
      </c>
      <c r="H1996" s="1">
        <v>314.77</v>
      </c>
      <c r="I1996" t="s">
        <v>3086</v>
      </c>
      <c r="J1996" s="2">
        <v>1</v>
      </c>
      <c r="K1996" t="s">
        <v>13</v>
      </c>
      <c r="L1996" t="s">
        <v>21</v>
      </c>
      <c r="M1996" t="s">
        <v>15</v>
      </c>
    </row>
    <row r="1997" spans="1:13" x14ac:dyDescent="0.25">
      <c r="A1997" s="5">
        <v>44402</v>
      </c>
      <c r="B1997" s="2">
        <v>0</v>
      </c>
      <c r="C1997" t="s">
        <v>3800</v>
      </c>
      <c r="D1997" t="s">
        <v>1450</v>
      </c>
      <c r="E1997" t="s">
        <v>1451</v>
      </c>
      <c r="F1997" s="3">
        <v>44347</v>
      </c>
      <c r="G1997" s="2">
        <v>55</v>
      </c>
      <c r="H1997" s="1">
        <v>319.99</v>
      </c>
      <c r="I1997" t="s">
        <v>3181</v>
      </c>
      <c r="J1997" s="2">
        <v>1</v>
      </c>
      <c r="K1997" t="s">
        <v>13</v>
      </c>
      <c r="L1997" t="s">
        <v>21</v>
      </c>
      <c r="M1997" t="s">
        <v>15</v>
      </c>
    </row>
    <row r="1998" spans="1:13" x14ac:dyDescent="0.25">
      <c r="A1998" s="5">
        <v>44402</v>
      </c>
      <c r="B1998" s="2">
        <v>0</v>
      </c>
      <c r="C1998" t="s">
        <v>3801</v>
      </c>
      <c r="D1998" t="s">
        <v>3802</v>
      </c>
      <c r="E1998" t="s">
        <v>3803</v>
      </c>
      <c r="F1998" s="3">
        <v>44362</v>
      </c>
      <c r="G1998" s="2">
        <v>40</v>
      </c>
      <c r="H1998" s="1">
        <v>236.22</v>
      </c>
      <c r="I1998" t="s">
        <v>3804</v>
      </c>
      <c r="J1998" s="2">
        <v>1</v>
      </c>
      <c r="K1998" t="s">
        <v>13</v>
      </c>
      <c r="L1998" t="s">
        <v>21</v>
      </c>
      <c r="M1998" t="s">
        <v>3805</v>
      </c>
    </row>
    <row r="1999" spans="1:13" x14ac:dyDescent="0.25">
      <c r="A1999" s="5">
        <v>44402</v>
      </c>
      <c r="B1999" s="2">
        <v>0</v>
      </c>
      <c r="C1999" t="s">
        <v>3806</v>
      </c>
      <c r="D1999" t="s">
        <v>2370</v>
      </c>
      <c r="E1999" t="s">
        <v>2371</v>
      </c>
      <c r="F1999" s="3">
        <v>44312</v>
      </c>
      <c r="G1999" s="2">
        <v>90</v>
      </c>
      <c r="H1999" s="1">
        <v>489.81</v>
      </c>
      <c r="I1999" t="s">
        <v>3448</v>
      </c>
      <c r="J1999" s="2">
        <v>1</v>
      </c>
      <c r="K1999" t="s">
        <v>13</v>
      </c>
      <c r="L1999" t="s">
        <v>695</v>
      </c>
      <c r="M1999" t="s">
        <v>90</v>
      </c>
    </row>
    <row r="2000" spans="1:13" x14ac:dyDescent="0.25">
      <c r="A2000" s="5">
        <v>44402</v>
      </c>
      <c r="B2000" s="2">
        <v>0</v>
      </c>
      <c r="C2000" t="s">
        <v>3807</v>
      </c>
      <c r="D2000" t="s">
        <v>3128</v>
      </c>
      <c r="E2000" t="s">
        <v>3129</v>
      </c>
      <c r="F2000" s="3">
        <v>44357</v>
      </c>
      <c r="G2000" s="2">
        <v>45</v>
      </c>
      <c r="H2000" s="1">
        <v>467.69</v>
      </c>
      <c r="I2000" t="s">
        <v>3808</v>
      </c>
      <c r="J2000" s="2">
        <v>1</v>
      </c>
      <c r="K2000" t="s">
        <v>13</v>
      </c>
      <c r="L2000" t="s">
        <v>830</v>
      </c>
      <c r="M2000" t="s">
        <v>43</v>
      </c>
    </row>
    <row r="2001" spans="1:13" x14ac:dyDescent="0.25">
      <c r="A2001" s="5">
        <v>44403</v>
      </c>
      <c r="B2001" s="2">
        <v>0</v>
      </c>
      <c r="C2001" t="s">
        <v>3809</v>
      </c>
      <c r="D2001" t="s">
        <v>2297</v>
      </c>
      <c r="E2001" t="s">
        <v>2298</v>
      </c>
      <c r="F2001" s="3">
        <v>44348</v>
      </c>
      <c r="G2001" s="2">
        <v>55</v>
      </c>
      <c r="H2001" s="1">
        <v>577.58000000000004</v>
      </c>
      <c r="I2001" t="s">
        <v>2862</v>
      </c>
      <c r="J2001" s="2">
        <v>1</v>
      </c>
      <c r="K2001" t="s">
        <v>13</v>
      </c>
      <c r="L2001" t="s">
        <v>21</v>
      </c>
      <c r="M2001" t="s">
        <v>31</v>
      </c>
    </row>
    <row r="2002" spans="1:13" x14ac:dyDescent="0.25">
      <c r="A2002" s="5">
        <v>44403</v>
      </c>
      <c r="B2002" s="2">
        <v>0</v>
      </c>
      <c r="C2002" t="s">
        <v>3810</v>
      </c>
      <c r="D2002" t="s">
        <v>3332</v>
      </c>
      <c r="E2002" t="s">
        <v>3333</v>
      </c>
      <c r="F2002" s="3">
        <v>44343</v>
      </c>
      <c r="G2002" s="2">
        <v>60</v>
      </c>
      <c r="H2002" s="1">
        <v>583.59</v>
      </c>
      <c r="I2002" t="s">
        <v>3811</v>
      </c>
      <c r="J2002" s="2">
        <v>1</v>
      </c>
      <c r="K2002" t="s">
        <v>13</v>
      </c>
      <c r="L2002" t="s">
        <v>695</v>
      </c>
      <c r="M2002" t="s">
        <v>15</v>
      </c>
    </row>
    <row r="2003" spans="1:13" x14ac:dyDescent="0.25">
      <c r="A2003" s="5">
        <v>44403</v>
      </c>
      <c r="B2003" s="2">
        <v>0</v>
      </c>
      <c r="C2003" t="s">
        <v>3812</v>
      </c>
      <c r="D2003" t="s">
        <v>1680</v>
      </c>
      <c r="E2003" t="s">
        <v>1681</v>
      </c>
      <c r="F2003" s="3">
        <v>44343</v>
      </c>
      <c r="G2003" s="2">
        <v>60</v>
      </c>
      <c r="H2003" s="1">
        <v>300.63</v>
      </c>
      <c r="I2003" t="s">
        <v>3813</v>
      </c>
      <c r="J2003" s="2">
        <v>1</v>
      </c>
      <c r="K2003" t="s">
        <v>13</v>
      </c>
      <c r="L2003" t="s">
        <v>1682</v>
      </c>
      <c r="M2003" t="s">
        <v>15</v>
      </c>
    </row>
    <row r="2004" spans="1:13" x14ac:dyDescent="0.25">
      <c r="A2004" s="5">
        <v>44403</v>
      </c>
      <c r="B2004" s="2">
        <v>0</v>
      </c>
      <c r="C2004" t="s">
        <v>3814</v>
      </c>
      <c r="D2004" t="s">
        <v>1355</v>
      </c>
      <c r="E2004" t="s">
        <v>1356</v>
      </c>
      <c r="F2004" s="3">
        <v>44328</v>
      </c>
      <c r="G2004" s="2">
        <v>75</v>
      </c>
      <c r="H2004" s="1">
        <v>346.43</v>
      </c>
      <c r="I2004" t="s">
        <v>3000</v>
      </c>
      <c r="J2004" s="2">
        <v>1</v>
      </c>
      <c r="K2004" t="s">
        <v>13</v>
      </c>
      <c r="L2004" t="s">
        <v>1493</v>
      </c>
      <c r="M2004" t="s">
        <v>1357</v>
      </c>
    </row>
    <row r="2005" spans="1:13" x14ac:dyDescent="0.25">
      <c r="A2005" s="5">
        <v>44403</v>
      </c>
      <c r="B2005" s="2">
        <v>0</v>
      </c>
      <c r="C2005" t="s">
        <v>3815</v>
      </c>
      <c r="D2005" t="s">
        <v>1983</v>
      </c>
      <c r="E2005" t="s">
        <v>1984</v>
      </c>
      <c r="F2005" s="3">
        <v>44328</v>
      </c>
      <c r="G2005" s="2">
        <v>75</v>
      </c>
      <c r="H2005" s="1">
        <v>954.28</v>
      </c>
      <c r="I2005" t="s">
        <v>3816</v>
      </c>
      <c r="J2005" s="2">
        <v>1</v>
      </c>
      <c r="K2005" t="s">
        <v>13</v>
      </c>
      <c r="L2005" t="s">
        <v>21</v>
      </c>
      <c r="M2005" t="s">
        <v>1566</v>
      </c>
    </row>
    <row r="2006" spans="1:13" x14ac:dyDescent="0.25">
      <c r="A2006" s="5">
        <v>44403</v>
      </c>
      <c r="B2006" s="2">
        <v>0</v>
      </c>
      <c r="C2006" t="s">
        <v>3817</v>
      </c>
      <c r="D2006" t="s">
        <v>2211</v>
      </c>
      <c r="E2006" t="s">
        <v>2212</v>
      </c>
      <c r="F2006" s="3">
        <v>44328</v>
      </c>
      <c r="G2006" s="2">
        <v>75</v>
      </c>
      <c r="H2006" s="1">
        <v>364.71</v>
      </c>
      <c r="I2006" t="s">
        <v>3460</v>
      </c>
      <c r="J2006" s="2">
        <v>1</v>
      </c>
      <c r="K2006" t="s">
        <v>13</v>
      </c>
      <c r="L2006" t="s">
        <v>695</v>
      </c>
      <c r="M2006" t="s">
        <v>15</v>
      </c>
    </row>
    <row r="2007" spans="1:13" x14ac:dyDescent="0.25">
      <c r="A2007" s="5">
        <v>44403</v>
      </c>
      <c r="B2007" s="2">
        <v>0</v>
      </c>
      <c r="C2007" t="s">
        <v>3818</v>
      </c>
      <c r="D2007" t="s">
        <v>3295</v>
      </c>
      <c r="E2007" t="s">
        <v>3296</v>
      </c>
      <c r="F2007" s="3">
        <v>44358</v>
      </c>
      <c r="G2007" s="2">
        <v>45</v>
      </c>
      <c r="H2007" s="1">
        <v>427.85</v>
      </c>
      <c r="I2007" t="s">
        <v>3380</v>
      </c>
      <c r="J2007" s="2">
        <v>1</v>
      </c>
      <c r="K2007" t="s">
        <v>13</v>
      </c>
      <c r="L2007" t="s">
        <v>554</v>
      </c>
      <c r="M2007" t="s">
        <v>3115</v>
      </c>
    </row>
    <row r="2008" spans="1:13" x14ac:dyDescent="0.25">
      <c r="A2008" s="5">
        <v>44403</v>
      </c>
      <c r="B2008" s="2">
        <v>0</v>
      </c>
      <c r="C2008" t="s">
        <v>3819</v>
      </c>
      <c r="D2008" t="s">
        <v>2038</v>
      </c>
      <c r="E2008" t="s">
        <v>1997</v>
      </c>
      <c r="F2008" s="3">
        <v>44328</v>
      </c>
      <c r="G2008" s="2">
        <v>75</v>
      </c>
      <c r="H2008" s="1">
        <v>257.37</v>
      </c>
      <c r="I2008" t="s">
        <v>3004</v>
      </c>
      <c r="J2008" s="2">
        <v>1</v>
      </c>
      <c r="K2008" t="s">
        <v>13</v>
      </c>
      <c r="L2008" t="s">
        <v>21</v>
      </c>
      <c r="M2008" t="s">
        <v>15</v>
      </c>
    </row>
    <row r="2009" spans="1:13" x14ac:dyDescent="0.25">
      <c r="A2009" s="5">
        <v>44403</v>
      </c>
      <c r="B2009" s="2">
        <v>0</v>
      </c>
      <c r="C2009" t="s">
        <v>3820</v>
      </c>
      <c r="D2009" t="s">
        <v>2038</v>
      </c>
      <c r="E2009" t="s">
        <v>1997</v>
      </c>
      <c r="F2009" s="3">
        <v>44358</v>
      </c>
      <c r="G2009" s="2">
        <v>45</v>
      </c>
      <c r="H2009" s="1">
        <v>426.35</v>
      </c>
      <c r="I2009" t="s">
        <v>3821</v>
      </c>
      <c r="J2009" s="2">
        <v>1</v>
      </c>
      <c r="K2009" t="s">
        <v>13</v>
      </c>
      <c r="L2009" t="s">
        <v>21</v>
      </c>
      <c r="M2009" t="s">
        <v>15</v>
      </c>
    </row>
    <row r="2010" spans="1:13" x14ac:dyDescent="0.25">
      <c r="A2010" s="5">
        <v>44403</v>
      </c>
      <c r="B2010" s="2">
        <v>0</v>
      </c>
      <c r="C2010" t="s">
        <v>3822</v>
      </c>
      <c r="D2010" t="s">
        <v>1421</v>
      </c>
      <c r="E2010" t="s">
        <v>1422</v>
      </c>
      <c r="F2010" s="3">
        <v>44343</v>
      </c>
      <c r="G2010" s="2">
        <v>60</v>
      </c>
      <c r="H2010" s="1">
        <v>241.27</v>
      </c>
      <c r="I2010" t="s">
        <v>3465</v>
      </c>
      <c r="J2010" s="2">
        <v>1</v>
      </c>
      <c r="K2010" t="s">
        <v>13</v>
      </c>
      <c r="L2010" t="s">
        <v>1493</v>
      </c>
      <c r="M2010" t="s">
        <v>1357</v>
      </c>
    </row>
    <row r="2011" spans="1:13" x14ac:dyDescent="0.25">
      <c r="A2011" s="5">
        <v>44403</v>
      </c>
      <c r="B2011" s="2">
        <v>0</v>
      </c>
      <c r="C2011" t="s">
        <v>3823</v>
      </c>
      <c r="D2011" t="s">
        <v>2002</v>
      </c>
      <c r="E2011" t="s">
        <v>2003</v>
      </c>
      <c r="F2011" s="3">
        <v>44328</v>
      </c>
      <c r="G2011" s="2">
        <v>75</v>
      </c>
      <c r="H2011" s="1">
        <v>336.92</v>
      </c>
      <c r="I2011" t="s">
        <v>3005</v>
      </c>
      <c r="J2011" s="2">
        <v>1</v>
      </c>
      <c r="K2011" t="s">
        <v>13</v>
      </c>
      <c r="L2011" t="s">
        <v>1493</v>
      </c>
      <c r="M2011" t="s">
        <v>2004</v>
      </c>
    </row>
    <row r="2012" spans="1:13" x14ac:dyDescent="0.25">
      <c r="A2012" s="5">
        <v>44403</v>
      </c>
      <c r="B2012" s="2">
        <v>0</v>
      </c>
      <c r="C2012" t="s">
        <v>3824</v>
      </c>
      <c r="D2012" t="s">
        <v>1773</v>
      </c>
      <c r="E2012" t="s">
        <v>1938</v>
      </c>
      <c r="F2012" s="3">
        <v>44313</v>
      </c>
      <c r="G2012" s="2">
        <v>90</v>
      </c>
      <c r="H2012" s="1">
        <v>1935.78</v>
      </c>
      <c r="I2012" t="s">
        <v>3222</v>
      </c>
      <c r="J2012" s="2">
        <v>1</v>
      </c>
      <c r="K2012" t="s">
        <v>13</v>
      </c>
      <c r="L2012" t="s">
        <v>21</v>
      </c>
      <c r="M2012" t="s">
        <v>1774</v>
      </c>
    </row>
    <row r="2013" spans="1:13" x14ac:dyDescent="0.25">
      <c r="A2013" s="5">
        <v>44403</v>
      </c>
      <c r="B2013" s="2">
        <v>0</v>
      </c>
      <c r="C2013" t="s">
        <v>3825</v>
      </c>
      <c r="D2013" t="s">
        <v>1757</v>
      </c>
      <c r="E2013" t="s">
        <v>1758</v>
      </c>
      <c r="F2013" s="3">
        <v>44313</v>
      </c>
      <c r="G2013" s="2">
        <v>90</v>
      </c>
      <c r="H2013" s="1">
        <v>1882.8</v>
      </c>
      <c r="I2013" t="s">
        <v>3471</v>
      </c>
      <c r="J2013" s="2">
        <v>1</v>
      </c>
      <c r="K2013" t="s">
        <v>13</v>
      </c>
      <c r="L2013" t="s">
        <v>21</v>
      </c>
      <c r="M2013" t="s">
        <v>1165</v>
      </c>
    </row>
    <row r="2014" spans="1:13" x14ac:dyDescent="0.25">
      <c r="A2014" s="5">
        <v>44403</v>
      </c>
      <c r="B2014" s="2">
        <v>0</v>
      </c>
      <c r="C2014" t="s">
        <v>3826</v>
      </c>
      <c r="D2014" t="s">
        <v>2555</v>
      </c>
      <c r="E2014" t="s">
        <v>2556</v>
      </c>
      <c r="F2014" s="3">
        <v>44313</v>
      </c>
      <c r="G2014" s="2">
        <v>90</v>
      </c>
      <c r="H2014" s="1">
        <v>1980.73</v>
      </c>
      <c r="I2014" t="s">
        <v>3827</v>
      </c>
      <c r="J2014" s="2">
        <v>1</v>
      </c>
      <c r="K2014" t="s">
        <v>13</v>
      </c>
      <c r="L2014" t="s">
        <v>695</v>
      </c>
      <c r="M2014" t="s">
        <v>15</v>
      </c>
    </row>
    <row r="2015" spans="1:13" x14ac:dyDescent="0.25">
      <c r="A2015" s="5">
        <v>44403</v>
      </c>
      <c r="B2015" s="2">
        <v>0</v>
      </c>
      <c r="C2015" t="s">
        <v>3828</v>
      </c>
      <c r="D2015" t="s">
        <v>3829</v>
      </c>
      <c r="E2015" t="s">
        <v>3830</v>
      </c>
      <c r="F2015" s="3">
        <v>44343</v>
      </c>
      <c r="G2015" s="2">
        <v>60</v>
      </c>
      <c r="H2015" s="1">
        <v>585.80999999999995</v>
      </c>
      <c r="I2015" t="s">
        <v>3831</v>
      </c>
      <c r="J2015" s="2">
        <v>1</v>
      </c>
      <c r="K2015" t="s">
        <v>13</v>
      </c>
      <c r="L2015" t="s">
        <v>554</v>
      </c>
      <c r="M2015" t="s">
        <v>81</v>
      </c>
    </row>
    <row r="2016" spans="1:13" x14ac:dyDescent="0.25">
      <c r="A2016" s="5">
        <v>44403</v>
      </c>
      <c r="B2016" s="2">
        <v>0</v>
      </c>
      <c r="C2016" t="s">
        <v>3832</v>
      </c>
      <c r="D2016" t="s">
        <v>1450</v>
      </c>
      <c r="E2016" t="s">
        <v>1451</v>
      </c>
      <c r="F2016" s="3">
        <v>44358</v>
      </c>
      <c r="G2016" s="2">
        <v>45</v>
      </c>
      <c r="H2016" s="1">
        <v>363.45</v>
      </c>
      <c r="I2016" t="s">
        <v>3098</v>
      </c>
      <c r="J2016" s="2">
        <v>1</v>
      </c>
      <c r="K2016" t="s">
        <v>13</v>
      </c>
      <c r="L2016" t="s">
        <v>21</v>
      </c>
      <c r="M2016" t="s">
        <v>15</v>
      </c>
    </row>
    <row r="2017" spans="1:13" x14ac:dyDescent="0.25">
      <c r="A2017" s="5">
        <v>44403</v>
      </c>
      <c r="B2017" s="2">
        <v>0</v>
      </c>
      <c r="C2017" t="s">
        <v>3833</v>
      </c>
      <c r="D2017" t="s">
        <v>1450</v>
      </c>
      <c r="E2017" t="s">
        <v>1451</v>
      </c>
      <c r="F2017" s="3">
        <v>44383</v>
      </c>
      <c r="G2017" s="2">
        <v>20</v>
      </c>
      <c r="H2017" s="1">
        <v>590.89</v>
      </c>
      <c r="I2017" t="s">
        <v>3834</v>
      </c>
      <c r="J2017" s="2">
        <v>1</v>
      </c>
      <c r="K2017" t="s">
        <v>13</v>
      </c>
      <c r="L2017" t="s">
        <v>21</v>
      </c>
      <c r="M2017" t="s">
        <v>15</v>
      </c>
    </row>
    <row r="2018" spans="1:13" x14ac:dyDescent="0.25">
      <c r="A2018" s="5">
        <v>44403</v>
      </c>
      <c r="B2018" s="2">
        <v>0</v>
      </c>
      <c r="C2018" t="s">
        <v>3835</v>
      </c>
      <c r="D2018" t="s">
        <v>1563</v>
      </c>
      <c r="E2018" t="s">
        <v>1564</v>
      </c>
      <c r="F2018" s="3">
        <v>44323</v>
      </c>
      <c r="G2018" s="2">
        <v>80</v>
      </c>
      <c r="H2018" s="1">
        <v>325.76</v>
      </c>
      <c r="I2018" t="s">
        <v>3836</v>
      </c>
      <c r="J2018" s="2">
        <v>1</v>
      </c>
      <c r="K2018" t="s">
        <v>13</v>
      </c>
      <c r="L2018" t="s">
        <v>1682</v>
      </c>
      <c r="M2018" t="s">
        <v>1566</v>
      </c>
    </row>
    <row r="2019" spans="1:13" x14ac:dyDescent="0.25">
      <c r="A2019" s="5">
        <v>44403</v>
      </c>
      <c r="B2019" s="2">
        <v>0</v>
      </c>
      <c r="C2019" t="s">
        <v>3837</v>
      </c>
      <c r="D2019" t="s">
        <v>2370</v>
      </c>
      <c r="E2019" t="s">
        <v>2371</v>
      </c>
      <c r="F2019" s="3">
        <v>44313</v>
      </c>
      <c r="G2019" s="2">
        <v>90</v>
      </c>
      <c r="H2019" s="1">
        <v>354.87</v>
      </c>
      <c r="I2019" t="s">
        <v>3838</v>
      </c>
      <c r="J2019" s="2">
        <v>1</v>
      </c>
      <c r="K2019" t="s">
        <v>13</v>
      </c>
      <c r="L2019" t="s">
        <v>695</v>
      </c>
      <c r="M2019" t="s">
        <v>90</v>
      </c>
    </row>
    <row r="2020" spans="1:13" x14ac:dyDescent="0.25">
      <c r="A2020" s="5">
        <v>44404</v>
      </c>
      <c r="B2020" s="2">
        <v>0</v>
      </c>
      <c r="C2020" t="s">
        <v>3839</v>
      </c>
      <c r="D2020" t="s">
        <v>2297</v>
      </c>
      <c r="E2020" t="s">
        <v>2298</v>
      </c>
      <c r="F2020" s="3">
        <v>44309</v>
      </c>
      <c r="G2020" s="2">
        <v>95</v>
      </c>
      <c r="H2020" s="1">
        <v>523.13</v>
      </c>
      <c r="I2020" t="s">
        <v>3840</v>
      </c>
      <c r="J2020" s="2">
        <v>1</v>
      </c>
      <c r="K2020" t="s">
        <v>13</v>
      </c>
      <c r="L2020" t="s">
        <v>21</v>
      </c>
      <c r="M2020" t="s">
        <v>31</v>
      </c>
    </row>
    <row r="2021" spans="1:13" x14ac:dyDescent="0.25">
      <c r="A2021" s="5">
        <v>44404</v>
      </c>
      <c r="B2021" s="2">
        <v>0</v>
      </c>
      <c r="C2021" t="s">
        <v>3841</v>
      </c>
      <c r="D2021" t="s">
        <v>3332</v>
      </c>
      <c r="E2021" t="s">
        <v>3333</v>
      </c>
      <c r="F2021" s="3">
        <v>44309</v>
      </c>
      <c r="G2021" s="2">
        <v>95</v>
      </c>
      <c r="H2021" s="1">
        <v>384.41</v>
      </c>
      <c r="I2021" t="s">
        <v>3842</v>
      </c>
      <c r="J2021" s="2">
        <v>1</v>
      </c>
      <c r="K2021" t="s">
        <v>13</v>
      </c>
      <c r="L2021" t="s">
        <v>695</v>
      </c>
      <c r="M2021" t="s">
        <v>15</v>
      </c>
    </row>
    <row r="2022" spans="1:13" x14ac:dyDescent="0.25">
      <c r="A2022" s="5">
        <v>44404</v>
      </c>
      <c r="B2022" s="2">
        <v>0</v>
      </c>
      <c r="C2022" t="s">
        <v>3843</v>
      </c>
      <c r="D2022" t="s">
        <v>3332</v>
      </c>
      <c r="E2022" t="s">
        <v>3333</v>
      </c>
      <c r="F2022" s="3">
        <v>44319</v>
      </c>
      <c r="G2022" s="2">
        <v>85</v>
      </c>
      <c r="H2022" s="1">
        <v>440.22</v>
      </c>
      <c r="I2022" t="s">
        <v>3844</v>
      </c>
      <c r="J2022" s="2">
        <v>1</v>
      </c>
      <c r="K2022" t="s">
        <v>13</v>
      </c>
      <c r="L2022" t="s">
        <v>695</v>
      </c>
      <c r="M2022" t="s">
        <v>15</v>
      </c>
    </row>
    <row r="2023" spans="1:13" x14ac:dyDescent="0.25">
      <c r="A2023" s="5">
        <v>44404</v>
      </c>
      <c r="B2023" s="2">
        <v>0</v>
      </c>
      <c r="C2023" t="s">
        <v>3845</v>
      </c>
      <c r="D2023" t="s">
        <v>3332</v>
      </c>
      <c r="E2023" t="s">
        <v>3333</v>
      </c>
      <c r="F2023" s="3">
        <v>44354</v>
      </c>
      <c r="G2023" s="2">
        <v>50</v>
      </c>
      <c r="H2023" s="1">
        <v>508.44</v>
      </c>
      <c r="I2023" t="s">
        <v>3846</v>
      </c>
      <c r="J2023" s="2">
        <v>1</v>
      </c>
      <c r="K2023" t="s">
        <v>13</v>
      </c>
      <c r="L2023" t="s">
        <v>695</v>
      </c>
      <c r="M2023" t="s">
        <v>15</v>
      </c>
    </row>
    <row r="2024" spans="1:13" x14ac:dyDescent="0.25">
      <c r="A2024" s="5">
        <v>44404</v>
      </c>
      <c r="B2024" s="2">
        <v>0</v>
      </c>
      <c r="C2024" t="s">
        <v>3847</v>
      </c>
      <c r="D2024" t="s">
        <v>1680</v>
      </c>
      <c r="E2024" t="s">
        <v>1681</v>
      </c>
      <c r="F2024" s="3">
        <v>44294</v>
      </c>
      <c r="G2024" s="2">
        <v>110</v>
      </c>
      <c r="H2024" s="1">
        <v>278.55</v>
      </c>
      <c r="I2024" t="s">
        <v>3848</v>
      </c>
      <c r="J2024" s="2">
        <v>1</v>
      </c>
      <c r="K2024" t="s">
        <v>13</v>
      </c>
      <c r="L2024" t="s">
        <v>1682</v>
      </c>
      <c r="M2024" t="s">
        <v>15</v>
      </c>
    </row>
    <row r="2025" spans="1:13" x14ac:dyDescent="0.25">
      <c r="A2025" s="5">
        <v>44404</v>
      </c>
      <c r="B2025" s="2">
        <v>0</v>
      </c>
      <c r="C2025" t="s">
        <v>3849</v>
      </c>
      <c r="D2025" t="s">
        <v>1680</v>
      </c>
      <c r="E2025" t="s">
        <v>1681</v>
      </c>
      <c r="F2025" s="3">
        <v>44334</v>
      </c>
      <c r="G2025" s="2">
        <v>70</v>
      </c>
      <c r="H2025" s="1">
        <v>279.24</v>
      </c>
      <c r="I2025" t="s">
        <v>3850</v>
      </c>
      <c r="J2025" s="2">
        <v>1</v>
      </c>
      <c r="K2025" t="s">
        <v>13</v>
      </c>
      <c r="L2025" t="s">
        <v>1682</v>
      </c>
      <c r="M2025" t="s">
        <v>15</v>
      </c>
    </row>
    <row r="2026" spans="1:13" x14ac:dyDescent="0.25">
      <c r="A2026" s="5">
        <v>44404</v>
      </c>
      <c r="B2026" s="2">
        <v>0</v>
      </c>
      <c r="C2026" t="s">
        <v>3851</v>
      </c>
      <c r="D2026" t="s">
        <v>1680</v>
      </c>
      <c r="E2026" t="s">
        <v>1681</v>
      </c>
      <c r="F2026" s="3">
        <v>44344</v>
      </c>
      <c r="G2026" s="2">
        <v>60</v>
      </c>
      <c r="H2026" s="1">
        <v>340.99</v>
      </c>
      <c r="I2026" t="s">
        <v>3852</v>
      </c>
      <c r="J2026" s="2">
        <v>1</v>
      </c>
      <c r="K2026" t="s">
        <v>13</v>
      </c>
      <c r="L2026" t="s">
        <v>1682</v>
      </c>
      <c r="M2026" t="s">
        <v>15</v>
      </c>
    </row>
    <row r="2027" spans="1:13" x14ac:dyDescent="0.25">
      <c r="A2027" s="5">
        <v>44404</v>
      </c>
      <c r="B2027" s="2">
        <v>0</v>
      </c>
      <c r="C2027" t="s">
        <v>3853</v>
      </c>
      <c r="D2027" t="s">
        <v>2890</v>
      </c>
      <c r="E2027" t="s">
        <v>2891</v>
      </c>
      <c r="F2027" s="3">
        <v>44364</v>
      </c>
      <c r="G2027" s="2">
        <v>40</v>
      </c>
      <c r="H2027" s="1">
        <v>468.24</v>
      </c>
      <c r="I2027" t="s">
        <v>3854</v>
      </c>
      <c r="J2027" s="2">
        <v>1</v>
      </c>
      <c r="K2027" t="s">
        <v>13</v>
      </c>
      <c r="L2027" t="s">
        <v>554</v>
      </c>
      <c r="M2027" t="s">
        <v>81</v>
      </c>
    </row>
    <row r="2028" spans="1:13" x14ac:dyDescent="0.25">
      <c r="A2028" s="5">
        <v>44404</v>
      </c>
      <c r="B2028" s="2">
        <v>0</v>
      </c>
      <c r="C2028" t="s">
        <v>3855</v>
      </c>
      <c r="D2028" t="s">
        <v>2532</v>
      </c>
      <c r="E2028" t="s">
        <v>2533</v>
      </c>
      <c r="F2028" s="3">
        <v>44364</v>
      </c>
      <c r="G2028" s="2">
        <v>40</v>
      </c>
      <c r="H2028" s="1">
        <v>468.24</v>
      </c>
      <c r="I2028" t="s">
        <v>3856</v>
      </c>
      <c r="J2028" s="2">
        <v>1</v>
      </c>
      <c r="K2028" t="s">
        <v>13</v>
      </c>
      <c r="L2028" t="s">
        <v>554</v>
      </c>
      <c r="M2028" t="s">
        <v>81</v>
      </c>
    </row>
    <row r="2029" spans="1:13" x14ac:dyDescent="0.25">
      <c r="A2029" s="5">
        <v>44404</v>
      </c>
      <c r="B2029" s="2">
        <v>0</v>
      </c>
      <c r="C2029" t="s">
        <v>3857</v>
      </c>
      <c r="D2029" t="s">
        <v>1355</v>
      </c>
      <c r="E2029" t="s">
        <v>1356</v>
      </c>
      <c r="F2029" s="3">
        <v>44329</v>
      </c>
      <c r="G2029" s="2">
        <v>75</v>
      </c>
      <c r="H2029" s="1">
        <v>259.14</v>
      </c>
      <c r="I2029" t="s">
        <v>3015</v>
      </c>
      <c r="J2029" s="2">
        <v>1</v>
      </c>
      <c r="K2029" t="s">
        <v>13</v>
      </c>
      <c r="L2029" t="s">
        <v>1493</v>
      </c>
      <c r="M2029" t="s">
        <v>1357</v>
      </c>
    </row>
    <row r="2030" spans="1:13" x14ac:dyDescent="0.25">
      <c r="A2030" s="5">
        <v>44404</v>
      </c>
      <c r="B2030" s="2">
        <v>0</v>
      </c>
      <c r="C2030" t="s">
        <v>3858</v>
      </c>
      <c r="D2030" t="s">
        <v>2464</v>
      </c>
      <c r="E2030" t="s">
        <v>2465</v>
      </c>
      <c r="F2030" s="3">
        <v>44384</v>
      </c>
      <c r="G2030" s="2">
        <v>20</v>
      </c>
      <c r="H2030" s="1">
        <v>399.35</v>
      </c>
      <c r="I2030" t="s">
        <v>3489</v>
      </c>
      <c r="J2030" s="2">
        <v>1</v>
      </c>
      <c r="K2030" t="s">
        <v>13</v>
      </c>
      <c r="L2030" t="s">
        <v>1682</v>
      </c>
      <c r="M2030" t="s">
        <v>2310</v>
      </c>
    </row>
    <row r="2031" spans="1:13" x14ac:dyDescent="0.25">
      <c r="A2031" s="5">
        <v>44404</v>
      </c>
      <c r="B2031" s="2">
        <v>0</v>
      </c>
      <c r="C2031" t="s">
        <v>3859</v>
      </c>
      <c r="D2031" t="s">
        <v>1761</v>
      </c>
      <c r="E2031" t="s">
        <v>1762</v>
      </c>
      <c r="F2031" s="3">
        <v>44319</v>
      </c>
      <c r="G2031" s="2">
        <v>85</v>
      </c>
      <c r="H2031" s="1">
        <v>2015.67</v>
      </c>
      <c r="I2031" t="s">
        <v>3493</v>
      </c>
      <c r="J2031" s="2">
        <v>1</v>
      </c>
      <c r="K2031" t="s">
        <v>13</v>
      </c>
      <c r="L2031" t="s">
        <v>21</v>
      </c>
      <c r="M2031" t="s">
        <v>1165</v>
      </c>
    </row>
    <row r="2032" spans="1:13" x14ac:dyDescent="0.25">
      <c r="A2032" s="5">
        <v>44404</v>
      </c>
      <c r="B2032" s="2">
        <v>0</v>
      </c>
      <c r="C2032" t="s">
        <v>3860</v>
      </c>
      <c r="D2032" t="s">
        <v>1761</v>
      </c>
      <c r="E2032" t="s">
        <v>1762</v>
      </c>
      <c r="F2032" s="3">
        <v>44334</v>
      </c>
      <c r="G2032" s="2">
        <v>70</v>
      </c>
      <c r="H2032" s="1">
        <v>1657.75</v>
      </c>
      <c r="I2032" t="s">
        <v>3495</v>
      </c>
      <c r="J2032" s="2">
        <v>1</v>
      </c>
      <c r="K2032" t="s">
        <v>13</v>
      </c>
      <c r="L2032" t="s">
        <v>21</v>
      </c>
      <c r="M2032" t="s">
        <v>1165</v>
      </c>
    </row>
    <row r="2033" spans="1:13" x14ac:dyDescent="0.25">
      <c r="A2033" s="5">
        <v>44404</v>
      </c>
      <c r="B2033" s="2">
        <v>0</v>
      </c>
      <c r="C2033" t="s">
        <v>3861</v>
      </c>
      <c r="D2033" t="s">
        <v>3372</v>
      </c>
      <c r="E2033" t="s">
        <v>3373</v>
      </c>
      <c r="F2033" s="3">
        <v>44314</v>
      </c>
      <c r="G2033" s="2">
        <v>90</v>
      </c>
      <c r="H2033" s="1">
        <v>1424.16</v>
      </c>
      <c r="I2033" t="s">
        <v>3862</v>
      </c>
      <c r="J2033" s="2">
        <v>1</v>
      </c>
      <c r="K2033" t="s">
        <v>13</v>
      </c>
      <c r="L2033" t="s">
        <v>21</v>
      </c>
      <c r="M2033" t="s">
        <v>3375</v>
      </c>
    </row>
    <row r="2034" spans="1:13" x14ac:dyDescent="0.25">
      <c r="A2034" s="5">
        <v>44404</v>
      </c>
      <c r="B2034" s="2">
        <v>0</v>
      </c>
      <c r="C2034" t="s">
        <v>3863</v>
      </c>
      <c r="D2034" t="s">
        <v>3101</v>
      </c>
      <c r="E2034" t="s">
        <v>3102</v>
      </c>
      <c r="F2034" s="3">
        <v>44319</v>
      </c>
      <c r="G2034" s="2">
        <v>85</v>
      </c>
      <c r="H2034" s="1">
        <v>386.41</v>
      </c>
      <c r="I2034" t="s">
        <v>3231</v>
      </c>
      <c r="J2034" s="2">
        <v>1</v>
      </c>
      <c r="K2034" t="s">
        <v>13</v>
      </c>
      <c r="L2034" t="s">
        <v>2126</v>
      </c>
      <c r="M2034" t="s">
        <v>15</v>
      </c>
    </row>
    <row r="2035" spans="1:13" x14ac:dyDescent="0.25">
      <c r="A2035" s="5">
        <v>44404</v>
      </c>
      <c r="B2035" s="2">
        <v>0</v>
      </c>
      <c r="C2035" t="s">
        <v>3864</v>
      </c>
      <c r="D2035" t="s">
        <v>3101</v>
      </c>
      <c r="E2035" t="s">
        <v>3102</v>
      </c>
      <c r="F2035" s="3">
        <v>44354</v>
      </c>
      <c r="G2035" s="2">
        <v>50</v>
      </c>
      <c r="H2035" s="1">
        <v>430.79</v>
      </c>
      <c r="I2035" t="s">
        <v>3865</v>
      </c>
      <c r="J2035" s="2">
        <v>1</v>
      </c>
      <c r="K2035" t="s">
        <v>13</v>
      </c>
      <c r="L2035" t="s">
        <v>2126</v>
      </c>
      <c r="M2035" t="s">
        <v>15</v>
      </c>
    </row>
    <row r="2036" spans="1:13" x14ac:dyDescent="0.25">
      <c r="A2036" s="5">
        <v>44404</v>
      </c>
      <c r="B2036" s="2">
        <v>0</v>
      </c>
      <c r="C2036" t="s">
        <v>3866</v>
      </c>
      <c r="D2036" t="s">
        <v>1421</v>
      </c>
      <c r="E2036" t="s">
        <v>1422</v>
      </c>
      <c r="F2036" s="3">
        <v>44334</v>
      </c>
      <c r="G2036" s="2">
        <v>70</v>
      </c>
      <c r="H2036" s="1">
        <v>191.99</v>
      </c>
      <c r="I2036" t="s">
        <v>3235</v>
      </c>
      <c r="J2036" s="2">
        <v>1</v>
      </c>
      <c r="K2036" t="s">
        <v>13</v>
      </c>
      <c r="L2036" t="s">
        <v>1493</v>
      </c>
      <c r="M2036" t="s">
        <v>1357</v>
      </c>
    </row>
    <row r="2037" spans="1:13" x14ac:dyDescent="0.25">
      <c r="A2037" s="5">
        <v>44404</v>
      </c>
      <c r="B2037" s="2">
        <v>0</v>
      </c>
      <c r="C2037" t="s">
        <v>3867</v>
      </c>
      <c r="D2037" t="s">
        <v>1421</v>
      </c>
      <c r="E2037" t="s">
        <v>1422</v>
      </c>
      <c r="F2037" s="3">
        <v>44344</v>
      </c>
      <c r="G2037" s="2">
        <v>60</v>
      </c>
      <c r="H2037" s="1">
        <v>351.49</v>
      </c>
      <c r="I2037" t="s">
        <v>3868</v>
      </c>
      <c r="J2037" s="2">
        <v>1</v>
      </c>
      <c r="K2037" t="s">
        <v>13</v>
      </c>
      <c r="L2037" t="s">
        <v>1493</v>
      </c>
      <c r="M2037" t="s">
        <v>1357</v>
      </c>
    </row>
    <row r="2038" spans="1:13" x14ac:dyDescent="0.25">
      <c r="A2038" s="5">
        <v>44404</v>
      </c>
      <c r="B2038" s="2">
        <v>0</v>
      </c>
      <c r="C2038" t="s">
        <v>3869</v>
      </c>
      <c r="D2038" t="s">
        <v>3018</v>
      </c>
      <c r="E2038" t="s">
        <v>3019</v>
      </c>
      <c r="F2038" s="3">
        <v>44349</v>
      </c>
      <c r="G2038" s="2">
        <v>55</v>
      </c>
      <c r="H2038" s="1">
        <v>304.52</v>
      </c>
      <c r="I2038" t="s">
        <v>3500</v>
      </c>
      <c r="J2038" s="2">
        <v>1</v>
      </c>
      <c r="K2038" t="s">
        <v>13</v>
      </c>
      <c r="L2038" t="s">
        <v>1682</v>
      </c>
      <c r="M2038" t="s">
        <v>15</v>
      </c>
    </row>
    <row r="2039" spans="1:13" x14ac:dyDescent="0.25">
      <c r="A2039" s="5">
        <v>44404</v>
      </c>
      <c r="B2039" s="2">
        <v>0</v>
      </c>
      <c r="C2039" t="s">
        <v>3870</v>
      </c>
      <c r="D2039" t="s">
        <v>1890</v>
      </c>
      <c r="E2039" t="s">
        <v>1891</v>
      </c>
      <c r="F2039" s="3">
        <v>44334</v>
      </c>
      <c r="G2039" s="2">
        <v>70</v>
      </c>
      <c r="H2039" s="1">
        <v>940.09</v>
      </c>
      <c r="I2039" t="s">
        <v>3502</v>
      </c>
      <c r="J2039" s="2">
        <v>1</v>
      </c>
      <c r="K2039" t="s">
        <v>1543</v>
      </c>
      <c r="L2039" t="s">
        <v>695</v>
      </c>
      <c r="M2039" t="s">
        <v>15</v>
      </c>
    </row>
    <row r="2040" spans="1:13" x14ac:dyDescent="0.25">
      <c r="A2040" s="5">
        <v>44404</v>
      </c>
      <c r="B2040" s="2">
        <v>0</v>
      </c>
      <c r="C2040" t="s">
        <v>3871</v>
      </c>
      <c r="D2040" t="s">
        <v>1900</v>
      </c>
      <c r="E2040" t="s">
        <v>1901</v>
      </c>
      <c r="F2040" s="3">
        <v>44334</v>
      </c>
      <c r="G2040" s="2">
        <v>70</v>
      </c>
      <c r="H2040" s="1">
        <v>1419.72</v>
      </c>
      <c r="I2040" t="s">
        <v>3505</v>
      </c>
      <c r="J2040" s="2">
        <v>1</v>
      </c>
      <c r="K2040" t="s">
        <v>1543</v>
      </c>
      <c r="L2040" t="s">
        <v>695</v>
      </c>
      <c r="M2040" t="s">
        <v>15</v>
      </c>
    </row>
    <row r="2041" spans="1:13" x14ac:dyDescent="0.25">
      <c r="A2041" s="5">
        <v>44404</v>
      </c>
      <c r="B2041" s="2">
        <v>0</v>
      </c>
      <c r="C2041" t="s">
        <v>3872</v>
      </c>
      <c r="D2041" t="s">
        <v>1900</v>
      </c>
      <c r="E2041" t="s">
        <v>1901</v>
      </c>
      <c r="F2041" s="3">
        <v>44344</v>
      </c>
      <c r="G2041" s="2">
        <v>60</v>
      </c>
      <c r="H2041" s="1">
        <v>386.45</v>
      </c>
      <c r="I2041" t="s">
        <v>3873</v>
      </c>
      <c r="J2041" s="2">
        <v>1</v>
      </c>
      <c r="K2041" t="s">
        <v>1543</v>
      </c>
      <c r="L2041" t="s">
        <v>695</v>
      </c>
      <c r="M2041" t="s">
        <v>15</v>
      </c>
    </row>
    <row r="2042" spans="1:13" x14ac:dyDescent="0.25">
      <c r="A2042" s="5">
        <v>44404</v>
      </c>
      <c r="B2042" s="2">
        <v>0</v>
      </c>
      <c r="C2042" t="s">
        <v>3874</v>
      </c>
      <c r="D2042" t="s">
        <v>1773</v>
      </c>
      <c r="E2042" t="s">
        <v>1938</v>
      </c>
      <c r="F2042" s="3">
        <v>44294</v>
      </c>
      <c r="G2042" s="2">
        <v>110</v>
      </c>
      <c r="H2042" s="1">
        <v>1338.68</v>
      </c>
      <c r="I2042" t="s">
        <v>2881</v>
      </c>
      <c r="J2042" s="2">
        <v>1</v>
      </c>
      <c r="K2042" t="s">
        <v>13</v>
      </c>
      <c r="L2042" t="s">
        <v>21</v>
      </c>
      <c r="M2042" t="s">
        <v>1774</v>
      </c>
    </row>
    <row r="2043" spans="1:13" x14ac:dyDescent="0.25">
      <c r="A2043" s="5">
        <v>44404</v>
      </c>
      <c r="B2043" s="2">
        <v>0</v>
      </c>
      <c r="C2043" t="s">
        <v>3875</v>
      </c>
      <c r="D2043" t="s">
        <v>1757</v>
      </c>
      <c r="E2043" t="s">
        <v>1758</v>
      </c>
      <c r="F2043" s="3">
        <v>44284</v>
      </c>
      <c r="G2043" s="2">
        <v>120</v>
      </c>
      <c r="H2043" s="1">
        <v>1154.6199999999999</v>
      </c>
      <c r="I2043" t="s">
        <v>2885</v>
      </c>
      <c r="J2043" s="2">
        <v>1</v>
      </c>
      <c r="K2043" t="s">
        <v>13</v>
      </c>
      <c r="L2043" t="s">
        <v>21</v>
      </c>
      <c r="M2043" t="s">
        <v>1165</v>
      </c>
    </row>
    <row r="2044" spans="1:13" x14ac:dyDescent="0.25">
      <c r="A2044" s="5">
        <v>44404</v>
      </c>
      <c r="B2044" s="2">
        <v>0</v>
      </c>
      <c r="C2044" t="s">
        <v>3876</v>
      </c>
      <c r="D2044" t="s">
        <v>1757</v>
      </c>
      <c r="E2044" t="s">
        <v>1758</v>
      </c>
      <c r="F2044" s="3">
        <v>44314</v>
      </c>
      <c r="G2044" s="2">
        <v>90</v>
      </c>
      <c r="H2044" s="1">
        <v>827.51</v>
      </c>
      <c r="I2044" t="s">
        <v>3246</v>
      </c>
      <c r="J2044" s="2">
        <v>1</v>
      </c>
      <c r="K2044" t="s">
        <v>13</v>
      </c>
      <c r="L2044" t="s">
        <v>21</v>
      </c>
      <c r="M2044" t="s">
        <v>1165</v>
      </c>
    </row>
    <row r="2045" spans="1:13" x14ac:dyDescent="0.25">
      <c r="A2045" s="5">
        <v>44404</v>
      </c>
      <c r="B2045" s="2">
        <v>0</v>
      </c>
      <c r="C2045" t="s">
        <v>3877</v>
      </c>
      <c r="D2045" t="s">
        <v>1757</v>
      </c>
      <c r="E2045" t="s">
        <v>1758</v>
      </c>
      <c r="F2045" s="3">
        <v>44334</v>
      </c>
      <c r="G2045" s="2">
        <v>70</v>
      </c>
      <c r="H2045" s="1">
        <v>2569.48</v>
      </c>
      <c r="I2045" t="s">
        <v>3878</v>
      </c>
      <c r="J2045" s="2">
        <v>1</v>
      </c>
      <c r="K2045" t="s">
        <v>13</v>
      </c>
      <c r="L2045" t="s">
        <v>21</v>
      </c>
      <c r="M2045" t="s">
        <v>1165</v>
      </c>
    </row>
    <row r="2046" spans="1:13" x14ac:dyDescent="0.25">
      <c r="A2046" s="5">
        <v>44404</v>
      </c>
      <c r="B2046" s="2">
        <v>0</v>
      </c>
      <c r="C2046" t="s">
        <v>3879</v>
      </c>
      <c r="D2046" t="s">
        <v>3880</v>
      </c>
      <c r="E2046" t="s">
        <v>3881</v>
      </c>
      <c r="F2046" s="3">
        <v>44344</v>
      </c>
      <c r="G2046" s="2">
        <v>60</v>
      </c>
      <c r="H2046" s="1">
        <v>678.91</v>
      </c>
      <c r="I2046" t="s">
        <v>3882</v>
      </c>
      <c r="J2046" s="2">
        <v>1</v>
      </c>
      <c r="K2046" t="s">
        <v>13</v>
      </c>
      <c r="L2046" t="s">
        <v>554</v>
      </c>
      <c r="M2046" t="s">
        <v>81</v>
      </c>
    </row>
    <row r="2047" spans="1:13" x14ac:dyDescent="0.25">
      <c r="A2047" s="5">
        <v>44404</v>
      </c>
      <c r="B2047" s="2">
        <v>0</v>
      </c>
      <c r="C2047" t="s">
        <v>3883</v>
      </c>
      <c r="D2047" t="s">
        <v>2944</v>
      </c>
      <c r="E2047" t="s">
        <v>2945</v>
      </c>
      <c r="F2047" s="3">
        <v>44334</v>
      </c>
      <c r="G2047" s="2">
        <v>70</v>
      </c>
      <c r="H2047" s="1">
        <v>226.83</v>
      </c>
      <c r="I2047" t="s">
        <v>3247</v>
      </c>
      <c r="J2047" s="2">
        <v>1</v>
      </c>
      <c r="K2047" t="s">
        <v>13</v>
      </c>
      <c r="L2047" t="s">
        <v>1493</v>
      </c>
      <c r="M2047" t="s">
        <v>2516</v>
      </c>
    </row>
    <row r="2048" spans="1:13" x14ac:dyDescent="0.25">
      <c r="A2048" s="5">
        <v>44404</v>
      </c>
      <c r="B2048" s="2">
        <v>0</v>
      </c>
      <c r="C2048" t="s">
        <v>3884</v>
      </c>
      <c r="D2048" t="s">
        <v>3400</v>
      </c>
      <c r="E2048" t="s">
        <v>3401</v>
      </c>
      <c r="F2048" s="3">
        <v>44319</v>
      </c>
      <c r="G2048" s="2">
        <v>85</v>
      </c>
      <c r="H2048" s="1">
        <v>341.38</v>
      </c>
      <c r="I2048" t="s">
        <v>3885</v>
      </c>
      <c r="J2048" s="2">
        <v>1</v>
      </c>
      <c r="K2048" t="s">
        <v>13</v>
      </c>
      <c r="L2048" t="s">
        <v>21</v>
      </c>
      <c r="M2048" t="s">
        <v>3402</v>
      </c>
    </row>
    <row r="2049" spans="1:13" x14ac:dyDescent="0.25">
      <c r="A2049" s="5">
        <v>44404</v>
      </c>
      <c r="B2049" s="2">
        <v>0</v>
      </c>
      <c r="C2049" t="s">
        <v>3886</v>
      </c>
      <c r="D2049" t="s">
        <v>3400</v>
      </c>
      <c r="E2049" t="s">
        <v>3401</v>
      </c>
      <c r="F2049" s="3">
        <v>44319</v>
      </c>
      <c r="G2049" s="2">
        <v>85</v>
      </c>
      <c r="H2049" s="1">
        <v>667.08</v>
      </c>
      <c r="I2049" t="s">
        <v>3887</v>
      </c>
      <c r="J2049" s="2">
        <v>1</v>
      </c>
      <c r="K2049" t="s">
        <v>13</v>
      </c>
      <c r="L2049" t="s">
        <v>21</v>
      </c>
      <c r="M2049" t="s">
        <v>3402</v>
      </c>
    </row>
    <row r="2050" spans="1:13" x14ac:dyDescent="0.25">
      <c r="A2050" s="5">
        <v>44404</v>
      </c>
      <c r="B2050" s="2">
        <v>0</v>
      </c>
      <c r="C2050" t="s">
        <v>3888</v>
      </c>
      <c r="D2050" t="s">
        <v>2215</v>
      </c>
      <c r="E2050" t="s">
        <v>2216</v>
      </c>
      <c r="F2050" s="3">
        <v>44314</v>
      </c>
      <c r="G2050" s="2">
        <v>90</v>
      </c>
      <c r="H2050" s="1">
        <v>1440.85</v>
      </c>
      <c r="I2050" t="s">
        <v>3249</v>
      </c>
      <c r="J2050" s="2">
        <v>1</v>
      </c>
      <c r="K2050" t="s">
        <v>13</v>
      </c>
      <c r="L2050" t="s">
        <v>21</v>
      </c>
      <c r="M2050" t="s">
        <v>2217</v>
      </c>
    </row>
    <row r="2051" spans="1:13" x14ac:dyDescent="0.25">
      <c r="A2051" s="5">
        <v>44404</v>
      </c>
      <c r="B2051" s="2">
        <v>0</v>
      </c>
      <c r="C2051" t="s">
        <v>3889</v>
      </c>
      <c r="D2051" t="s">
        <v>1450</v>
      </c>
      <c r="E2051" t="s">
        <v>1451</v>
      </c>
      <c r="F2051" s="3">
        <v>44314</v>
      </c>
      <c r="G2051" s="2">
        <v>90</v>
      </c>
      <c r="H2051" s="1">
        <v>422.25</v>
      </c>
      <c r="I2051" t="s">
        <v>3890</v>
      </c>
      <c r="J2051" s="2">
        <v>1</v>
      </c>
      <c r="K2051" t="s">
        <v>13</v>
      </c>
      <c r="L2051" t="s">
        <v>21</v>
      </c>
      <c r="M2051" t="s">
        <v>15</v>
      </c>
    </row>
    <row r="2052" spans="1:13" x14ac:dyDescent="0.25">
      <c r="A2052" s="5">
        <v>44404</v>
      </c>
      <c r="B2052" s="2">
        <v>0</v>
      </c>
      <c r="C2052" t="s">
        <v>3891</v>
      </c>
      <c r="D2052" t="s">
        <v>1450</v>
      </c>
      <c r="E2052" t="s">
        <v>1451</v>
      </c>
      <c r="F2052" s="3">
        <v>44334</v>
      </c>
      <c r="G2052" s="2">
        <v>70</v>
      </c>
      <c r="H2052" s="1">
        <v>400.26</v>
      </c>
      <c r="I2052" t="s">
        <v>3112</v>
      </c>
      <c r="J2052" s="2">
        <v>1</v>
      </c>
      <c r="K2052" t="s">
        <v>13</v>
      </c>
      <c r="L2052" t="s">
        <v>21</v>
      </c>
      <c r="M2052" t="s">
        <v>15</v>
      </c>
    </row>
    <row r="2053" spans="1:13" x14ac:dyDescent="0.25">
      <c r="A2053" s="5">
        <v>44404</v>
      </c>
      <c r="B2053" s="2">
        <v>0</v>
      </c>
      <c r="C2053" t="s">
        <v>3892</v>
      </c>
      <c r="D2053" t="s">
        <v>1450</v>
      </c>
      <c r="E2053" t="s">
        <v>1451</v>
      </c>
      <c r="F2053" s="3">
        <v>44349</v>
      </c>
      <c r="G2053" s="2">
        <v>55</v>
      </c>
      <c r="H2053" s="1">
        <v>403.13</v>
      </c>
      <c r="I2053" t="s">
        <v>3250</v>
      </c>
      <c r="J2053" s="2">
        <v>1</v>
      </c>
      <c r="K2053" t="s">
        <v>13</v>
      </c>
      <c r="L2053" t="s">
        <v>21</v>
      </c>
      <c r="M2053" t="s">
        <v>15</v>
      </c>
    </row>
    <row r="2054" spans="1:13" x14ac:dyDescent="0.25">
      <c r="A2054" s="5">
        <v>44404</v>
      </c>
      <c r="B2054" s="2">
        <v>0</v>
      </c>
      <c r="C2054" t="s">
        <v>3893</v>
      </c>
      <c r="D2054" t="s">
        <v>1450</v>
      </c>
      <c r="E2054" t="s">
        <v>1451</v>
      </c>
      <c r="F2054" s="3">
        <v>44354</v>
      </c>
      <c r="G2054" s="2">
        <v>50</v>
      </c>
      <c r="H2054" s="1">
        <v>340</v>
      </c>
      <c r="I2054" t="s">
        <v>3113</v>
      </c>
      <c r="J2054" s="2">
        <v>1</v>
      </c>
      <c r="K2054" t="s">
        <v>13</v>
      </c>
      <c r="L2054" t="s">
        <v>21</v>
      </c>
      <c r="M2054" t="s">
        <v>15</v>
      </c>
    </row>
    <row r="2055" spans="1:13" x14ac:dyDescent="0.25">
      <c r="A2055" s="5">
        <v>44404</v>
      </c>
      <c r="B2055" s="2">
        <v>0</v>
      </c>
      <c r="C2055" t="s">
        <v>3894</v>
      </c>
      <c r="D2055" t="s">
        <v>3895</v>
      </c>
      <c r="E2055" t="s">
        <v>3896</v>
      </c>
      <c r="F2055" s="3">
        <v>44369</v>
      </c>
      <c r="G2055" s="2">
        <v>35</v>
      </c>
      <c r="H2055" s="1">
        <v>288.41000000000003</v>
      </c>
      <c r="I2055" t="s">
        <v>3897</v>
      </c>
      <c r="J2055" s="2">
        <v>1</v>
      </c>
      <c r="K2055" t="s">
        <v>13</v>
      </c>
      <c r="L2055" t="s">
        <v>554</v>
      </c>
      <c r="M2055" t="s">
        <v>1972</v>
      </c>
    </row>
    <row r="2056" spans="1:13" x14ac:dyDescent="0.25">
      <c r="A2056" s="5">
        <v>44404</v>
      </c>
      <c r="B2056" s="2">
        <v>0</v>
      </c>
      <c r="C2056" t="s">
        <v>3898</v>
      </c>
      <c r="D2056" t="s">
        <v>3899</v>
      </c>
      <c r="E2056" t="s">
        <v>3900</v>
      </c>
      <c r="F2056" s="3">
        <v>44344</v>
      </c>
      <c r="G2056" s="2">
        <v>60</v>
      </c>
      <c r="H2056" s="1">
        <v>422.19</v>
      </c>
      <c r="I2056" t="s">
        <v>3901</v>
      </c>
      <c r="J2056" s="2">
        <v>1</v>
      </c>
      <c r="K2056" t="s">
        <v>13</v>
      </c>
      <c r="L2056" t="s">
        <v>554</v>
      </c>
      <c r="M2056" t="s">
        <v>81</v>
      </c>
    </row>
    <row r="2057" spans="1:13" x14ac:dyDescent="0.25">
      <c r="A2057" s="5">
        <v>44404</v>
      </c>
      <c r="B2057" s="2">
        <v>0</v>
      </c>
      <c r="C2057" t="s">
        <v>3902</v>
      </c>
      <c r="D2057" t="s">
        <v>3903</v>
      </c>
      <c r="E2057" t="s">
        <v>3904</v>
      </c>
      <c r="F2057" s="3">
        <v>44334</v>
      </c>
      <c r="G2057" s="2">
        <v>70</v>
      </c>
      <c r="H2057" s="1">
        <v>475.97</v>
      </c>
      <c r="I2057" t="s">
        <v>3905</v>
      </c>
      <c r="J2057" s="2">
        <v>1</v>
      </c>
      <c r="K2057" t="s">
        <v>13</v>
      </c>
      <c r="L2057" t="s">
        <v>554</v>
      </c>
      <c r="M2057" t="s">
        <v>3906</v>
      </c>
    </row>
    <row r="2058" spans="1:13" x14ac:dyDescent="0.25">
      <c r="A2058" s="5">
        <v>44404</v>
      </c>
      <c r="B2058" s="2">
        <v>0</v>
      </c>
      <c r="C2058" t="s">
        <v>3907</v>
      </c>
      <c r="D2058" t="s">
        <v>3193</v>
      </c>
      <c r="E2058" t="s">
        <v>2284</v>
      </c>
      <c r="F2058" s="3">
        <v>44334</v>
      </c>
      <c r="G2058" s="2">
        <v>70</v>
      </c>
      <c r="H2058" s="1">
        <v>338.61</v>
      </c>
      <c r="I2058" t="s">
        <v>3252</v>
      </c>
      <c r="J2058" s="2">
        <v>1</v>
      </c>
      <c r="K2058" t="s">
        <v>13</v>
      </c>
      <c r="L2058" t="s">
        <v>1682</v>
      </c>
      <c r="M2058" t="s">
        <v>3195</v>
      </c>
    </row>
    <row r="2059" spans="1:13" x14ac:dyDescent="0.25">
      <c r="A2059" s="5">
        <v>44404</v>
      </c>
      <c r="B2059" s="2">
        <v>0</v>
      </c>
      <c r="C2059" t="s">
        <v>3908</v>
      </c>
      <c r="D2059" t="s">
        <v>3193</v>
      </c>
      <c r="E2059" t="s">
        <v>2284</v>
      </c>
      <c r="F2059" s="3">
        <v>44334</v>
      </c>
      <c r="G2059" s="2">
        <v>70</v>
      </c>
      <c r="H2059" s="1">
        <v>385.23</v>
      </c>
      <c r="I2059" t="s">
        <v>3253</v>
      </c>
      <c r="J2059" s="2">
        <v>1</v>
      </c>
      <c r="K2059" t="s">
        <v>13</v>
      </c>
      <c r="L2059" t="s">
        <v>1682</v>
      </c>
      <c r="M2059" t="s">
        <v>3195</v>
      </c>
    </row>
    <row r="2060" spans="1:13" x14ac:dyDescent="0.25">
      <c r="A2060" s="5">
        <v>44404</v>
      </c>
      <c r="B2060" s="2">
        <v>0</v>
      </c>
      <c r="C2060" t="s">
        <v>3909</v>
      </c>
      <c r="D2060" t="s">
        <v>3193</v>
      </c>
      <c r="E2060" t="s">
        <v>2284</v>
      </c>
      <c r="F2060" s="3">
        <v>44344</v>
      </c>
      <c r="G2060" s="2">
        <v>60</v>
      </c>
      <c r="H2060" s="1">
        <v>814.79</v>
      </c>
      <c r="I2060" t="s">
        <v>3910</v>
      </c>
      <c r="J2060" s="2">
        <v>1</v>
      </c>
      <c r="K2060" t="s">
        <v>13</v>
      </c>
      <c r="L2060" t="s">
        <v>1682</v>
      </c>
      <c r="M2060" t="s">
        <v>3195</v>
      </c>
    </row>
    <row r="2061" spans="1:13" x14ac:dyDescent="0.25">
      <c r="A2061" s="5">
        <v>44404</v>
      </c>
      <c r="B2061" s="2">
        <v>0</v>
      </c>
      <c r="C2061" t="s">
        <v>3911</v>
      </c>
      <c r="D2061" t="s">
        <v>1563</v>
      </c>
      <c r="E2061" t="s">
        <v>1564</v>
      </c>
      <c r="F2061" s="3">
        <v>44334</v>
      </c>
      <c r="G2061" s="2">
        <v>70</v>
      </c>
      <c r="H2061" s="1">
        <v>223.9</v>
      </c>
      <c r="I2061" t="s">
        <v>3912</v>
      </c>
      <c r="J2061" s="2">
        <v>1</v>
      </c>
      <c r="K2061" t="s">
        <v>13</v>
      </c>
      <c r="L2061" t="s">
        <v>1682</v>
      </c>
      <c r="M2061" t="s">
        <v>1566</v>
      </c>
    </row>
    <row r="2062" spans="1:13" x14ac:dyDescent="0.25">
      <c r="A2062" s="5">
        <v>44404</v>
      </c>
      <c r="B2062" s="2">
        <v>0</v>
      </c>
      <c r="C2062" t="s">
        <v>3913</v>
      </c>
      <c r="D2062" t="s">
        <v>1563</v>
      </c>
      <c r="E2062" t="s">
        <v>1564</v>
      </c>
      <c r="F2062" s="3">
        <v>44354</v>
      </c>
      <c r="G2062" s="2">
        <v>50</v>
      </c>
      <c r="H2062" s="1">
        <v>386.33</v>
      </c>
      <c r="I2062" t="s">
        <v>3914</v>
      </c>
      <c r="J2062" s="2">
        <v>1</v>
      </c>
      <c r="K2062" t="s">
        <v>13</v>
      </c>
      <c r="L2062" t="s">
        <v>1682</v>
      </c>
      <c r="M2062" t="s">
        <v>1566</v>
      </c>
    </row>
    <row r="2063" spans="1:13" x14ac:dyDescent="0.25">
      <c r="A2063" s="5">
        <v>44404</v>
      </c>
      <c r="B2063" s="2">
        <v>0</v>
      </c>
      <c r="C2063" t="s">
        <v>3915</v>
      </c>
      <c r="D2063" t="s">
        <v>2047</v>
      </c>
      <c r="E2063" t="s">
        <v>2005</v>
      </c>
      <c r="F2063" s="3">
        <v>44319</v>
      </c>
      <c r="G2063" s="2">
        <v>85</v>
      </c>
      <c r="H2063" s="1">
        <v>313.73</v>
      </c>
      <c r="I2063" t="s">
        <v>2744</v>
      </c>
      <c r="J2063" s="2">
        <v>1</v>
      </c>
      <c r="K2063" t="s">
        <v>13</v>
      </c>
      <c r="L2063" t="s">
        <v>1682</v>
      </c>
      <c r="M2063" t="s">
        <v>15</v>
      </c>
    </row>
    <row r="2064" spans="1:13" x14ac:dyDescent="0.25">
      <c r="A2064" s="5">
        <v>44405</v>
      </c>
      <c r="B2064" s="2">
        <v>0</v>
      </c>
      <c r="C2064" t="s">
        <v>3916</v>
      </c>
      <c r="D2064" t="s">
        <v>1680</v>
      </c>
      <c r="E2064" t="s">
        <v>1681</v>
      </c>
      <c r="F2064" s="3">
        <v>44330</v>
      </c>
      <c r="G2064" s="2">
        <v>75</v>
      </c>
      <c r="H2064" s="1">
        <v>346.33</v>
      </c>
      <c r="I2064" t="s">
        <v>3917</v>
      </c>
      <c r="J2064" s="2">
        <v>1</v>
      </c>
      <c r="K2064" t="s">
        <v>13</v>
      </c>
      <c r="L2064" t="s">
        <v>1682</v>
      </c>
      <c r="M2064" t="s">
        <v>15</v>
      </c>
    </row>
    <row r="2065" spans="1:13" x14ac:dyDescent="0.25">
      <c r="A2065" s="5">
        <v>44405</v>
      </c>
      <c r="B2065" s="2">
        <v>0</v>
      </c>
      <c r="C2065" t="s">
        <v>3918</v>
      </c>
      <c r="D2065" t="s">
        <v>3031</v>
      </c>
      <c r="E2065" t="s">
        <v>3032</v>
      </c>
      <c r="F2065" s="3">
        <v>44330</v>
      </c>
      <c r="G2065" s="2">
        <v>75</v>
      </c>
      <c r="H2065" s="1">
        <v>478.15</v>
      </c>
      <c r="I2065" t="s">
        <v>3033</v>
      </c>
      <c r="J2065" s="2">
        <v>1</v>
      </c>
      <c r="K2065" t="s">
        <v>13</v>
      </c>
      <c r="L2065" t="s">
        <v>21</v>
      </c>
      <c r="M2065" t="s">
        <v>33</v>
      </c>
    </row>
    <row r="2066" spans="1:13" x14ac:dyDescent="0.25">
      <c r="A2066" s="5">
        <v>44405</v>
      </c>
      <c r="B2066" s="2">
        <v>0</v>
      </c>
      <c r="C2066" t="s">
        <v>3919</v>
      </c>
      <c r="D2066" t="s">
        <v>1355</v>
      </c>
      <c r="E2066" t="s">
        <v>1356</v>
      </c>
      <c r="F2066" s="3">
        <v>44335</v>
      </c>
      <c r="G2066" s="2">
        <v>70</v>
      </c>
      <c r="H2066" s="1">
        <v>350.26</v>
      </c>
      <c r="I2066" t="s">
        <v>3034</v>
      </c>
      <c r="J2066" s="2">
        <v>1</v>
      </c>
      <c r="K2066" t="s">
        <v>13</v>
      </c>
      <c r="L2066" t="s">
        <v>1493</v>
      </c>
      <c r="M2066" t="s">
        <v>1357</v>
      </c>
    </row>
    <row r="2067" spans="1:13" x14ac:dyDescent="0.25">
      <c r="A2067" s="5">
        <v>44405</v>
      </c>
      <c r="B2067" s="2">
        <v>0</v>
      </c>
      <c r="C2067" t="s">
        <v>3920</v>
      </c>
      <c r="D2067" t="s">
        <v>1355</v>
      </c>
      <c r="E2067" t="s">
        <v>1356</v>
      </c>
      <c r="F2067" s="3">
        <v>44398</v>
      </c>
      <c r="G2067" s="2">
        <v>7</v>
      </c>
      <c r="H2067" s="1">
        <v>350.99</v>
      </c>
      <c r="I2067" t="s">
        <v>3921</v>
      </c>
      <c r="J2067" s="2">
        <v>1</v>
      </c>
      <c r="K2067" t="s">
        <v>13</v>
      </c>
      <c r="L2067" t="s">
        <v>1493</v>
      </c>
      <c r="M2067" t="s">
        <v>1357</v>
      </c>
    </row>
    <row r="2068" spans="1:13" x14ac:dyDescent="0.25">
      <c r="A2068" s="5">
        <v>44405</v>
      </c>
      <c r="B2068" s="2">
        <v>0</v>
      </c>
      <c r="C2068" t="s">
        <v>3922</v>
      </c>
      <c r="D2068" t="s">
        <v>1983</v>
      </c>
      <c r="E2068" t="s">
        <v>1984</v>
      </c>
      <c r="F2068" s="3">
        <v>44295</v>
      </c>
      <c r="G2068" s="2">
        <v>110</v>
      </c>
      <c r="H2068" s="1">
        <v>1073.96</v>
      </c>
      <c r="I2068" t="s">
        <v>2893</v>
      </c>
      <c r="J2068" s="2">
        <v>1</v>
      </c>
      <c r="K2068" t="s">
        <v>13</v>
      </c>
      <c r="L2068" t="s">
        <v>21</v>
      </c>
      <c r="M2068" t="s">
        <v>1566</v>
      </c>
    </row>
    <row r="2069" spans="1:13" x14ac:dyDescent="0.25">
      <c r="A2069" s="5">
        <v>44405</v>
      </c>
      <c r="B2069" s="2">
        <v>0</v>
      </c>
      <c r="C2069" t="s">
        <v>3923</v>
      </c>
      <c r="D2069" t="s">
        <v>2211</v>
      </c>
      <c r="E2069" t="s">
        <v>2212</v>
      </c>
      <c r="F2069" s="3">
        <v>44330</v>
      </c>
      <c r="G2069" s="2">
        <v>75</v>
      </c>
      <c r="H2069" s="1">
        <v>488.17</v>
      </c>
      <c r="I2069" t="s">
        <v>3527</v>
      </c>
      <c r="J2069" s="2">
        <v>1</v>
      </c>
      <c r="K2069" t="s">
        <v>13</v>
      </c>
      <c r="L2069" t="s">
        <v>695</v>
      </c>
      <c r="M2069" t="s">
        <v>15</v>
      </c>
    </row>
    <row r="2070" spans="1:13" x14ac:dyDescent="0.25">
      <c r="A2070" s="5">
        <v>44405</v>
      </c>
      <c r="B2070" s="2">
        <v>0</v>
      </c>
      <c r="C2070" t="s">
        <v>3924</v>
      </c>
      <c r="D2070" t="s">
        <v>3925</v>
      </c>
      <c r="E2070" t="s">
        <v>3926</v>
      </c>
      <c r="F2070" s="3">
        <v>44335</v>
      </c>
      <c r="G2070" s="2">
        <v>70</v>
      </c>
      <c r="H2070" s="1">
        <v>197.56</v>
      </c>
      <c r="I2070" t="s">
        <v>3927</v>
      </c>
      <c r="J2070" s="2">
        <v>1</v>
      </c>
      <c r="K2070" t="s">
        <v>13</v>
      </c>
      <c r="L2070" t="s">
        <v>1493</v>
      </c>
      <c r="M2070" t="s">
        <v>2198</v>
      </c>
    </row>
    <row r="2071" spans="1:13" x14ac:dyDescent="0.25">
      <c r="A2071" s="5">
        <v>44405</v>
      </c>
      <c r="B2071" s="2">
        <v>0</v>
      </c>
      <c r="C2071" t="s">
        <v>3928</v>
      </c>
      <c r="D2071" t="s">
        <v>1421</v>
      </c>
      <c r="E2071" t="s">
        <v>1422</v>
      </c>
      <c r="F2071" s="3">
        <v>44355</v>
      </c>
      <c r="G2071" s="2">
        <v>50</v>
      </c>
      <c r="H2071" s="1">
        <v>214.14</v>
      </c>
      <c r="I2071" t="s">
        <v>3929</v>
      </c>
      <c r="J2071" s="2">
        <v>1</v>
      </c>
      <c r="K2071" t="s">
        <v>13</v>
      </c>
      <c r="L2071" t="s">
        <v>1493</v>
      </c>
      <c r="M2071" t="s">
        <v>1357</v>
      </c>
    </row>
    <row r="2072" spans="1:13" x14ac:dyDescent="0.25">
      <c r="A2072" s="5">
        <v>44405</v>
      </c>
      <c r="B2072" s="2">
        <v>0</v>
      </c>
      <c r="C2072" t="s">
        <v>3930</v>
      </c>
      <c r="D2072" t="s">
        <v>1421</v>
      </c>
      <c r="E2072" t="s">
        <v>1422</v>
      </c>
      <c r="F2072" s="3">
        <v>44355</v>
      </c>
      <c r="G2072" s="2">
        <v>50</v>
      </c>
      <c r="H2072" s="1">
        <v>294.44</v>
      </c>
      <c r="I2072" t="s">
        <v>3931</v>
      </c>
      <c r="J2072" s="2">
        <v>1</v>
      </c>
      <c r="K2072" t="s">
        <v>13</v>
      </c>
      <c r="L2072" t="s">
        <v>1493</v>
      </c>
      <c r="M2072" t="s">
        <v>1357</v>
      </c>
    </row>
    <row r="2073" spans="1:13" x14ac:dyDescent="0.25">
      <c r="A2073" s="5">
        <v>44405</v>
      </c>
      <c r="B2073" s="2">
        <v>0</v>
      </c>
      <c r="C2073" t="s">
        <v>3932</v>
      </c>
      <c r="D2073" t="s">
        <v>1890</v>
      </c>
      <c r="E2073" t="s">
        <v>1891</v>
      </c>
      <c r="F2073" s="3">
        <v>44335</v>
      </c>
      <c r="G2073" s="2">
        <v>70</v>
      </c>
      <c r="H2073" s="1">
        <v>363.56</v>
      </c>
      <c r="I2073" t="s">
        <v>3933</v>
      </c>
      <c r="J2073" s="2">
        <v>1</v>
      </c>
      <c r="K2073" t="s">
        <v>1543</v>
      </c>
      <c r="L2073" t="s">
        <v>695</v>
      </c>
      <c r="M2073" t="s">
        <v>15</v>
      </c>
    </row>
    <row r="2074" spans="1:13" x14ac:dyDescent="0.25">
      <c r="A2074" s="5">
        <v>44405</v>
      </c>
      <c r="B2074" s="2">
        <v>0</v>
      </c>
      <c r="C2074" t="s">
        <v>3934</v>
      </c>
      <c r="D2074" t="s">
        <v>1716</v>
      </c>
      <c r="E2074" t="s">
        <v>1717</v>
      </c>
      <c r="F2074" s="3">
        <v>44335</v>
      </c>
      <c r="G2074" s="2">
        <v>70</v>
      </c>
      <c r="H2074" s="1">
        <v>1437.37</v>
      </c>
      <c r="I2074" t="s">
        <v>3531</v>
      </c>
      <c r="J2074" s="2">
        <v>1</v>
      </c>
      <c r="K2074" t="s">
        <v>1543</v>
      </c>
      <c r="L2074" t="s">
        <v>695</v>
      </c>
      <c r="M2074" t="s">
        <v>15</v>
      </c>
    </row>
    <row r="2075" spans="1:13" x14ac:dyDescent="0.25">
      <c r="A2075" s="5">
        <v>44405</v>
      </c>
      <c r="B2075" s="2">
        <v>0</v>
      </c>
      <c r="C2075" t="s">
        <v>3935</v>
      </c>
      <c r="D2075" t="s">
        <v>2002</v>
      </c>
      <c r="E2075" t="s">
        <v>2003</v>
      </c>
      <c r="F2075" s="3">
        <v>44355</v>
      </c>
      <c r="G2075" s="2">
        <v>50</v>
      </c>
      <c r="H2075" s="1">
        <v>389.3</v>
      </c>
      <c r="I2075" t="s">
        <v>3936</v>
      </c>
      <c r="J2075" s="2">
        <v>1</v>
      </c>
      <c r="K2075" t="s">
        <v>13</v>
      </c>
      <c r="L2075" t="s">
        <v>1493</v>
      </c>
      <c r="M2075" t="s">
        <v>2004</v>
      </c>
    </row>
    <row r="2076" spans="1:13" x14ac:dyDescent="0.25">
      <c r="A2076" s="5">
        <v>44405</v>
      </c>
      <c r="B2076" s="2">
        <v>0</v>
      </c>
      <c r="C2076" t="s">
        <v>3937</v>
      </c>
      <c r="D2076" t="s">
        <v>1900</v>
      </c>
      <c r="E2076" t="s">
        <v>1901</v>
      </c>
      <c r="F2076" s="3">
        <v>44335</v>
      </c>
      <c r="G2076" s="2">
        <v>70</v>
      </c>
      <c r="H2076" s="1">
        <v>1360.93</v>
      </c>
      <c r="I2076" t="s">
        <v>3274</v>
      </c>
      <c r="J2076" s="2">
        <v>1</v>
      </c>
      <c r="K2076" t="s">
        <v>1543</v>
      </c>
      <c r="L2076" t="s">
        <v>695</v>
      </c>
      <c r="M2076" t="s">
        <v>15</v>
      </c>
    </row>
    <row r="2077" spans="1:13" x14ac:dyDescent="0.25">
      <c r="A2077" s="5">
        <v>44405</v>
      </c>
      <c r="B2077" s="2">
        <v>0</v>
      </c>
      <c r="C2077" t="s">
        <v>3938</v>
      </c>
      <c r="D2077" t="s">
        <v>1757</v>
      </c>
      <c r="E2077" t="s">
        <v>1758</v>
      </c>
      <c r="F2077" s="3">
        <v>44320</v>
      </c>
      <c r="G2077" s="2">
        <v>85</v>
      </c>
      <c r="H2077" s="1">
        <v>2101.56</v>
      </c>
      <c r="I2077" t="s">
        <v>3540</v>
      </c>
      <c r="J2077" s="2">
        <v>1</v>
      </c>
      <c r="K2077" t="s">
        <v>13</v>
      </c>
      <c r="L2077" t="s">
        <v>21</v>
      </c>
      <c r="M2077" t="s">
        <v>1165</v>
      </c>
    </row>
    <row r="2078" spans="1:13" x14ac:dyDescent="0.25">
      <c r="A2078" s="5">
        <v>44405</v>
      </c>
      <c r="B2078" s="2">
        <v>0</v>
      </c>
      <c r="C2078" t="s">
        <v>3939</v>
      </c>
      <c r="D2078" t="s">
        <v>3940</v>
      </c>
      <c r="E2078" t="s">
        <v>3941</v>
      </c>
      <c r="F2078" s="3">
        <v>44355</v>
      </c>
      <c r="G2078" s="2">
        <v>50</v>
      </c>
      <c r="H2078" s="1">
        <v>391.59</v>
      </c>
      <c r="I2078" t="s">
        <v>3942</v>
      </c>
      <c r="J2078" s="2">
        <v>1</v>
      </c>
      <c r="K2078" t="s">
        <v>13</v>
      </c>
      <c r="L2078" t="s">
        <v>554</v>
      </c>
      <c r="M2078" t="s">
        <v>3943</v>
      </c>
    </row>
    <row r="2079" spans="1:13" x14ac:dyDescent="0.25">
      <c r="A2079" s="5">
        <v>44405</v>
      </c>
      <c r="B2079" s="2">
        <v>0</v>
      </c>
      <c r="C2079" t="s">
        <v>3944</v>
      </c>
      <c r="D2079" t="s">
        <v>3945</v>
      </c>
      <c r="E2079" t="s">
        <v>3946</v>
      </c>
      <c r="F2079" s="3">
        <v>44305</v>
      </c>
      <c r="G2079" s="2">
        <v>100</v>
      </c>
      <c r="H2079" s="1">
        <v>258.97000000000003</v>
      </c>
      <c r="I2079" t="s">
        <v>3947</v>
      </c>
      <c r="J2079" s="2">
        <v>1</v>
      </c>
      <c r="K2079" t="s">
        <v>13</v>
      </c>
      <c r="L2079" t="s">
        <v>830</v>
      </c>
      <c r="M2079" t="s">
        <v>172</v>
      </c>
    </row>
    <row r="2080" spans="1:13" x14ac:dyDescent="0.25">
      <c r="A2080" s="5">
        <v>44405</v>
      </c>
      <c r="B2080" s="2">
        <v>0</v>
      </c>
      <c r="C2080" t="s">
        <v>3948</v>
      </c>
      <c r="D2080" t="s">
        <v>1748</v>
      </c>
      <c r="E2080" t="s">
        <v>1840</v>
      </c>
      <c r="F2080" s="3">
        <v>44375</v>
      </c>
      <c r="G2080" s="2">
        <v>30</v>
      </c>
      <c r="H2080" s="1">
        <v>266.49</v>
      </c>
      <c r="I2080" t="s">
        <v>3949</v>
      </c>
      <c r="J2080" s="2">
        <v>1</v>
      </c>
      <c r="K2080" t="s">
        <v>13</v>
      </c>
      <c r="L2080" t="s">
        <v>1682</v>
      </c>
      <c r="M2080" t="s">
        <v>15</v>
      </c>
    </row>
    <row r="2081" spans="1:13" x14ac:dyDescent="0.25">
      <c r="A2081" s="5">
        <v>44405</v>
      </c>
      <c r="B2081" s="2">
        <v>0</v>
      </c>
      <c r="C2081" t="s">
        <v>3950</v>
      </c>
      <c r="D2081" t="s">
        <v>2514</v>
      </c>
      <c r="E2081" t="s">
        <v>2515</v>
      </c>
      <c r="F2081" s="3">
        <v>44335</v>
      </c>
      <c r="G2081" s="2">
        <v>70</v>
      </c>
      <c r="H2081" s="1">
        <v>367.52</v>
      </c>
      <c r="I2081" t="s">
        <v>3951</v>
      </c>
      <c r="J2081" s="2">
        <v>1</v>
      </c>
      <c r="K2081" t="s">
        <v>13</v>
      </c>
      <c r="L2081" t="s">
        <v>1493</v>
      </c>
      <c r="M2081" t="s">
        <v>2516</v>
      </c>
    </row>
    <row r="2082" spans="1:13" x14ac:dyDescent="0.25">
      <c r="A2082" s="5">
        <v>44405</v>
      </c>
      <c r="B2082" s="2">
        <v>0</v>
      </c>
      <c r="C2082" t="s">
        <v>3952</v>
      </c>
      <c r="D2082" t="s">
        <v>3953</v>
      </c>
      <c r="E2082" t="s">
        <v>3954</v>
      </c>
      <c r="F2082" s="3">
        <v>44335</v>
      </c>
      <c r="G2082" s="2">
        <v>70</v>
      </c>
      <c r="H2082" s="1">
        <v>281.61</v>
      </c>
      <c r="I2082" t="s">
        <v>3955</v>
      </c>
      <c r="J2082" s="2">
        <v>1</v>
      </c>
      <c r="K2082" t="s">
        <v>13</v>
      </c>
      <c r="L2082" t="s">
        <v>554</v>
      </c>
      <c r="M2082" t="s">
        <v>81</v>
      </c>
    </row>
    <row r="2083" spans="1:13" x14ac:dyDescent="0.25">
      <c r="A2083" s="5">
        <v>44405</v>
      </c>
      <c r="B2083" s="2">
        <v>0</v>
      </c>
      <c r="C2083" t="s">
        <v>3956</v>
      </c>
      <c r="D2083" t="s">
        <v>3957</v>
      </c>
      <c r="E2083" t="s">
        <v>3958</v>
      </c>
      <c r="F2083" s="3">
        <v>44335</v>
      </c>
      <c r="G2083" s="2">
        <v>70</v>
      </c>
      <c r="H2083" s="1">
        <v>235.34</v>
      </c>
      <c r="I2083" t="s">
        <v>3959</v>
      </c>
      <c r="J2083" s="2">
        <v>1</v>
      </c>
      <c r="K2083" t="s">
        <v>13</v>
      </c>
      <c r="L2083" t="s">
        <v>21</v>
      </c>
      <c r="M2083" t="s">
        <v>3960</v>
      </c>
    </row>
    <row r="2084" spans="1:13" x14ac:dyDescent="0.25">
      <c r="A2084" s="5">
        <v>44405</v>
      </c>
      <c r="B2084" s="2">
        <v>0</v>
      </c>
      <c r="C2084" t="s">
        <v>3961</v>
      </c>
      <c r="D2084" t="s">
        <v>3962</v>
      </c>
      <c r="E2084" t="s">
        <v>3963</v>
      </c>
      <c r="F2084" s="3">
        <v>44355</v>
      </c>
      <c r="G2084" s="2">
        <v>50</v>
      </c>
      <c r="H2084" s="1">
        <v>308.04000000000002</v>
      </c>
      <c r="I2084" t="s">
        <v>3964</v>
      </c>
      <c r="J2084" s="2">
        <v>1</v>
      </c>
      <c r="K2084" t="s">
        <v>13</v>
      </c>
      <c r="L2084" t="s">
        <v>554</v>
      </c>
      <c r="M2084" t="s">
        <v>3965</v>
      </c>
    </row>
    <row r="2085" spans="1:13" x14ac:dyDescent="0.25">
      <c r="A2085" s="5">
        <v>44405</v>
      </c>
      <c r="B2085" s="2">
        <v>0</v>
      </c>
      <c r="C2085" t="s">
        <v>3966</v>
      </c>
      <c r="D2085" t="s">
        <v>1450</v>
      </c>
      <c r="E2085" t="s">
        <v>1451</v>
      </c>
      <c r="F2085" s="3">
        <v>44320</v>
      </c>
      <c r="G2085" s="2">
        <v>85</v>
      </c>
      <c r="H2085" s="1">
        <v>322.58999999999997</v>
      </c>
      <c r="I2085" t="s">
        <v>3126</v>
      </c>
      <c r="J2085" s="2">
        <v>1</v>
      </c>
      <c r="K2085" t="s">
        <v>13</v>
      </c>
      <c r="L2085" t="s">
        <v>21</v>
      </c>
      <c r="M2085" t="s">
        <v>15</v>
      </c>
    </row>
    <row r="2086" spans="1:13" x14ac:dyDescent="0.25">
      <c r="A2086" s="5">
        <v>44405</v>
      </c>
      <c r="B2086" s="2">
        <v>0</v>
      </c>
      <c r="C2086" t="s">
        <v>3967</v>
      </c>
      <c r="D2086" t="s">
        <v>1450</v>
      </c>
      <c r="E2086" t="s">
        <v>1451</v>
      </c>
      <c r="F2086" s="3">
        <v>44362</v>
      </c>
      <c r="G2086" s="2">
        <v>43</v>
      </c>
      <c r="H2086" s="1">
        <v>286.11</v>
      </c>
      <c r="I2086" t="s">
        <v>3968</v>
      </c>
      <c r="J2086" s="2">
        <v>1</v>
      </c>
      <c r="K2086" t="s">
        <v>13</v>
      </c>
      <c r="L2086" t="s">
        <v>21</v>
      </c>
      <c r="M2086" t="s">
        <v>15</v>
      </c>
    </row>
    <row r="2087" spans="1:13" x14ac:dyDescent="0.25">
      <c r="A2087" s="5">
        <v>44405</v>
      </c>
      <c r="B2087" s="2">
        <v>0</v>
      </c>
      <c r="C2087" t="s">
        <v>3969</v>
      </c>
      <c r="D2087" t="s">
        <v>1450</v>
      </c>
      <c r="E2087" t="s">
        <v>1451</v>
      </c>
      <c r="F2087" s="3">
        <v>44369</v>
      </c>
      <c r="G2087" s="2">
        <v>36</v>
      </c>
      <c r="H2087" s="1">
        <v>338.2</v>
      </c>
      <c r="I2087" t="s">
        <v>3251</v>
      </c>
      <c r="J2087" s="2">
        <v>1</v>
      </c>
      <c r="K2087" t="s">
        <v>13</v>
      </c>
      <c r="L2087" t="s">
        <v>21</v>
      </c>
      <c r="M2087" t="s">
        <v>15</v>
      </c>
    </row>
    <row r="2088" spans="1:13" x14ac:dyDescent="0.25">
      <c r="A2088" s="5">
        <v>44405</v>
      </c>
      <c r="B2088" s="2">
        <v>0</v>
      </c>
      <c r="C2088" t="s">
        <v>3970</v>
      </c>
      <c r="D2088" t="s">
        <v>3361</v>
      </c>
      <c r="E2088" t="s">
        <v>3362</v>
      </c>
      <c r="F2088" s="3">
        <v>44355</v>
      </c>
      <c r="G2088" s="2">
        <v>50</v>
      </c>
      <c r="H2088" s="1">
        <v>632.62</v>
      </c>
      <c r="I2088" t="s">
        <v>3971</v>
      </c>
      <c r="J2088" s="2">
        <v>1</v>
      </c>
      <c r="K2088" t="s">
        <v>13</v>
      </c>
      <c r="L2088" t="s">
        <v>695</v>
      </c>
      <c r="M2088" t="s">
        <v>90</v>
      </c>
    </row>
    <row r="2089" spans="1:13" x14ac:dyDescent="0.25">
      <c r="A2089" s="5">
        <v>44405</v>
      </c>
      <c r="B2089" s="2">
        <v>0</v>
      </c>
      <c r="C2089" t="s">
        <v>3972</v>
      </c>
      <c r="D2089" t="s">
        <v>3973</v>
      </c>
      <c r="E2089" t="s">
        <v>3974</v>
      </c>
      <c r="F2089" s="3">
        <v>44315</v>
      </c>
      <c r="G2089" s="2">
        <v>90</v>
      </c>
      <c r="H2089" s="1">
        <v>562.64</v>
      </c>
      <c r="I2089" t="s">
        <v>3975</v>
      </c>
      <c r="J2089" s="2">
        <v>1</v>
      </c>
      <c r="K2089" t="s">
        <v>13</v>
      </c>
      <c r="L2089" t="s">
        <v>830</v>
      </c>
      <c r="M2089" t="s">
        <v>172</v>
      </c>
    </row>
    <row r="2090" spans="1:13" x14ac:dyDescent="0.25">
      <c r="A2090" s="5">
        <v>44405</v>
      </c>
      <c r="B2090" s="2">
        <v>0</v>
      </c>
      <c r="C2090" t="s">
        <v>3976</v>
      </c>
      <c r="D2090" t="s">
        <v>1852</v>
      </c>
      <c r="E2090" t="s">
        <v>1853</v>
      </c>
      <c r="F2090" s="3">
        <v>44355</v>
      </c>
      <c r="G2090" s="2">
        <v>50</v>
      </c>
      <c r="H2090" s="1">
        <v>308.63</v>
      </c>
      <c r="I2090" t="s">
        <v>3284</v>
      </c>
      <c r="J2090" s="2">
        <v>1</v>
      </c>
      <c r="K2090" t="s">
        <v>13</v>
      </c>
      <c r="L2090" t="s">
        <v>830</v>
      </c>
      <c r="M2090" t="s">
        <v>172</v>
      </c>
    </row>
    <row r="2091" spans="1:13" x14ac:dyDescent="0.25">
      <c r="A2091" s="5">
        <v>44405</v>
      </c>
      <c r="B2091" s="2">
        <v>0</v>
      </c>
      <c r="C2091" t="s">
        <v>3977</v>
      </c>
      <c r="D2091" t="s">
        <v>1852</v>
      </c>
      <c r="E2091" t="s">
        <v>1853</v>
      </c>
      <c r="F2091" s="3">
        <v>44355</v>
      </c>
      <c r="G2091" s="2">
        <v>50</v>
      </c>
      <c r="H2091" s="1">
        <v>993.7</v>
      </c>
      <c r="I2091" t="s">
        <v>3550</v>
      </c>
      <c r="J2091" s="2">
        <v>1</v>
      </c>
      <c r="K2091" t="s">
        <v>13</v>
      </c>
      <c r="L2091" t="s">
        <v>830</v>
      </c>
      <c r="M2091" t="s">
        <v>172</v>
      </c>
    </row>
    <row r="2092" spans="1:13" x14ac:dyDescent="0.25">
      <c r="A2092" s="5">
        <v>44405</v>
      </c>
      <c r="B2092" s="2">
        <v>0</v>
      </c>
      <c r="C2092" t="s">
        <v>3978</v>
      </c>
      <c r="D2092" t="s">
        <v>3979</v>
      </c>
      <c r="E2092" t="s">
        <v>3980</v>
      </c>
      <c r="F2092" s="3">
        <v>44335</v>
      </c>
      <c r="G2092" s="2">
        <v>70</v>
      </c>
      <c r="H2092" s="1">
        <v>264.91000000000003</v>
      </c>
      <c r="I2092" t="s">
        <v>3981</v>
      </c>
      <c r="J2092" s="2">
        <v>1</v>
      </c>
      <c r="K2092" t="s">
        <v>13</v>
      </c>
      <c r="L2092" t="s">
        <v>830</v>
      </c>
      <c r="M2092" t="s">
        <v>1988</v>
      </c>
    </row>
    <row r="2093" spans="1:13" x14ac:dyDescent="0.25">
      <c r="A2093" s="5">
        <v>44406</v>
      </c>
      <c r="B2093" s="2">
        <v>0</v>
      </c>
      <c r="C2093" t="s">
        <v>3982</v>
      </c>
      <c r="D2093" t="s">
        <v>3382</v>
      </c>
      <c r="E2093" t="s">
        <v>3383</v>
      </c>
      <c r="F2093" s="3">
        <v>44356</v>
      </c>
      <c r="G2093" s="2">
        <v>50</v>
      </c>
      <c r="H2093" s="1">
        <v>450.65</v>
      </c>
      <c r="I2093" t="s">
        <v>3983</v>
      </c>
      <c r="J2093" s="2">
        <v>1</v>
      </c>
      <c r="K2093" t="s">
        <v>13</v>
      </c>
      <c r="L2093" t="s">
        <v>1493</v>
      </c>
      <c r="M2093" t="s">
        <v>2737</v>
      </c>
    </row>
    <row r="2094" spans="1:13" x14ac:dyDescent="0.25">
      <c r="A2094" s="5">
        <v>44406</v>
      </c>
      <c r="B2094" s="2">
        <v>0</v>
      </c>
      <c r="C2094" t="s">
        <v>3984</v>
      </c>
      <c r="D2094" t="s">
        <v>3985</v>
      </c>
      <c r="E2094" t="s">
        <v>3986</v>
      </c>
      <c r="F2094" s="3">
        <v>44385</v>
      </c>
      <c r="G2094" s="2">
        <v>21</v>
      </c>
      <c r="H2094" s="1">
        <v>170.85</v>
      </c>
      <c r="I2094" t="s">
        <v>3987</v>
      </c>
      <c r="J2094" s="2">
        <v>1</v>
      </c>
      <c r="K2094" t="s">
        <v>13</v>
      </c>
      <c r="L2094" t="s">
        <v>1682</v>
      </c>
      <c r="M2094" t="s">
        <v>2296</v>
      </c>
    </row>
    <row r="2095" spans="1:13" x14ac:dyDescent="0.25">
      <c r="A2095" s="5">
        <v>44406</v>
      </c>
      <c r="B2095" s="2">
        <v>0</v>
      </c>
      <c r="C2095" t="s">
        <v>3988</v>
      </c>
      <c r="D2095" t="s">
        <v>3989</v>
      </c>
      <c r="E2095" t="s">
        <v>3990</v>
      </c>
      <c r="F2095" s="3">
        <v>44216</v>
      </c>
      <c r="G2095" s="2">
        <v>190</v>
      </c>
      <c r="H2095" s="1">
        <v>798.64</v>
      </c>
      <c r="I2095" t="s">
        <v>3991</v>
      </c>
      <c r="J2095" s="2">
        <v>1</v>
      </c>
      <c r="K2095" t="s">
        <v>13</v>
      </c>
      <c r="L2095" t="s">
        <v>21</v>
      </c>
      <c r="M2095" t="s">
        <v>3992</v>
      </c>
    </row>
    <row r="2096" spans="1:13" x14ac:dyDescent="0.25">
      <c r="A2096" s="5">
        <v>44406</v>
      </c>
      <c r="B2096" s="2">
        <v>0</v>
      </c>
      <c r="C2096" t="s">
        <v>3993</v>
      </c>
      <c r="D2096" t="s">
        <v>3989</v>
      </c>
      <c r="E2096" t="s">
        <v>3990</v>
      </c>
      <c r="F2096" s="3">
        <v>44356</v>
      </c>
      <c r="G2096" s="2">
        <v>50</v>
      </c>
      <c r="H2096" s="1">
        <v>558.46</v>
      </c>
      <c r="I2096" t="s">
        <v>3994</v>
      </c>
      <c r="J2096" s="2">
        <v>1</v>
      </c>
      <c r="K2096" t="s">
        <v>13</v>
      </c>
      <c r="L2096" t="s">
        <v>21</v>
      </c>
      <c r="M2096" t="s">
        <v>3992</v>
      </c>
    </row>
    <row r="2097" spans="1:13" x14ac:dyDescent="0.25">
      <c r="A2097" s="5">
        <v>44406</v>
      </c>
      <c r="B2097" s="2">
        <v>0</v>
      </c>
      <c r="C2097" t="s">
        <v>3995</v>
      </c>
      <c r="D2097" t="s">
        <v>1952</v>
      </c>
      <c r="E2097" t="s">
        <v>1953</v>
      </c>
      <c r="F2097" s="3">
        <v>44281</v>
      </c>
      <c r="G2097" s="2">
        <v>125</v>
      </c>
      <c r="H2097" s="1">
        <v>2427.4299999999998</v>
      </c>
      <c r="I2097" t="s">
        <v>3996</v>
      </c>
      <c r="J2097" s="2">
        <v>1</v>
      </c>
      <c r="K2097" t="s">
        <v>13</v>
      </c>
      <c r="L2097" t="s">
        <v>671</v>
      </c>
      <c r="M2097" t="s">
        <v>15</v>
      </c>
    </row>
    <row r="2098" spans="1:13" x14ac:dyDescent="0.25">
      <c r="A2098" s="5">
        <v>44406</v>
      </c>
      <c r="B2098" s="2">
        <v>0</v>
      </c>
      <c r="C2098" t="s">
        <v>3997</v>
      </c>
      <c r="D2098" t="s">
        <v>1952</v>
      </c>
      <c r="E2098" t="s">
        <v>1953</v>
      </c>
      <c r="F2098" s="3">
        <v>44316</v>
      </c>
      <c r="G2098" s="2">
        <v>90</v>
      </c>
      <c r="H2098" s="1">
        <v>744.8</v>
      </c>
      <c r="I2098" t="s">
        <v>3998</v>
      </c>
      <c r="J2098" s="2">
        <v>1</v>
      </c>
      <c r="K2098" t="s">
        <v>13</v>
      </c>
      <c r="L2098" t="s">
        <v>671</v>
      </c>
      <c r="M2098" t="s">
        <v>15</v>
      </c>
    </row>
    <row r="2099" spans="1:13" x14ac:dyDescent="0.25">
      <c r="A2099" s="5">
        <v>44406</v>
      </c>
      <c r="B2099" s="2">
        <v>0</v>
      </c>
      <c r="C2099" t="s">
        <v>3999</v>
      </c>
      <c r="D2099" t="s">
        <v>2297</v>
      </c>
      <c r="E2099" t="s">
        <v>2298</v>
      </c>
      <c r="F2099" s="3">
        <v>44321</v>
      </c>
      <c r="G2099" s="2">
        <v>85</v>
      </c>
      <c r="H2099" s="1">
        <v>733.37</v>
      </c>
      <c r="I2099" t="s">
        <v>2907</v>
      </c>
      <c r="J2099" s="2">
        <v>1</v>
      </c>
      <c r="K2099" t="s">
        <v>13</v>
      </c>
      <c r="L2099" t="s">
        <v>21</v>
      </c>
      <c r="M2099" t="s">
        <v>31</v>
      </c>
    </row>
    <row r="2100" spans="1:13" x14ac:dyDescent="0.25">
      <c r="A2100" s="5">
        <v>44406</v>
      </c>
      <c r="B2100" s="2">
        <v>0</v>
      </c>
      <c r="C2100" t="s">
        <v>4000</v>
      </c>
      <c r="D2100" t="s">
        <v>4001</v>
      </c>
      <c r="E2100" t="s">
        <v>4002</v>
      </c>
      <c r="F2100" s="3">
        <v>44316</v>
      </c>
      <c r="G2100" s="2">
        <v>90</v>
      </c>
      <c r="H2100" s="1">
        <v>1652.33</v>
      </c>
      <c r="I2100" t="s">
        <v>4003</v>
      </c>
      <c r="J2100" s="2">
        <v>1</v>
      </c>
      <c r="K2100" t="s">
        <v>13</v>
      </c>
      <c r="L2100" t="s">
        <v>830</v>
      </c>
      <c r="M2100" t="s">
        <v>15</v>
      </c>
    </row>
    <row r="2101" spans="1:13" x14ac:dyDescent="0.25">
      <c r="A2101" s="5">
        <v>44406</v>
      </c>
      <c r="B2101" s="2">
        <v>0</v>
      </c>
      <c r="C2101" t="s">
        <v>4004</v>
      </c>
      <c r="D2101" t="s">
        <v>4005</v>
      </c>
      <c r="E2101" t="s">
        <v>4006</v>
      </c>
      <c r="F2101" s="3">
        <v>44356</v>
      </c>
      <c r="G2101" s="2">
        <v>50</v>
      </c>
      <c r="H2101" s="1">
        <v>247.81</v>
      </c>
      <c r="I2101" t="s">
        <v>4007</v>
      </c>
      <c r="J2101" s="2">
        <v>1</v>
      </c>
      <c r="K2101" t="s">
        <v>13</v>
      </c>
      <c r="L2101" t="s">
        <v>1682</v>
      </c>
      <c r="M2101" t="s">
        <v>62</v>
      </c>
    </row>
    <row r="2102" spans="1:13" x14ac:dyDescent="0.25">
      <c r="A2102" s="5">
        <v>44406</v>
      </c>
      <c r="B2102" s="2">
        <v>0</v>
      </c>
      <c r="C2102" t="s">
        <v>4008</v>
      </c>
      <c r="D2102" t="s">
        <v>1680</v>
      </c>
      <c r="E2102" t="s">
        <v>1681</v>
      </c>
      <c r="F2102" s="3">
        <v>44316</v>
      </c>
      <c r="G2102" s="2">
        <v>90</v>
      </c>
      <c r="H2102" s="1">
        <v>311.52999999999997</v>
      </c>
      <c r="I2102" t="s">
        <v>4009</v>
      </c>
      <c r="J2102" s="2">
        <v>1</v>
      </c>
      <c r="K2102" t="s">
        <v>13</v>
      </c>
      <c r="L2102" t="s">
        <v>1682</v>
      </c>
      <c r="M2102" t="s">
        <v>15</v>
      </c>
    </row>
    <row r="2103" spans="1:13" x14ac:dyDescent="0.25">
      <c r="A2103" s="5">
        <v>44406</v>
      </c>
      <c r="B2103" s="2">
        <v>0</v>
      </c>
      <c r="C2103" t="s">
        <v>4010</v>
      </c>
      <c r="D2103" t="s">
        <v>1680</v>
      </c>
      <c r="E2103" t="s">
        <v>1681</v>
      </c>
      <c r="F2103" s="3">
        <v>44326</v>
      </c>
      <c r="G2103" s="2">
        <v>80</v>
      </c>
      <c r="H2103" s="1">
        <v>204.8</v>
      </c>
      <c r="I2103" t="s">
        <v>4011</v>
      </c>
      <c r="J2103" s="2">
        <v>1</v>
      </c>
      <c r="K2103" t="s">
        <v>13</v>
      </c>
      <c r="L2103" t="s">
        <v>1682</v>
      </c>
      <c r="M2103" t="s">
        <v>15</v>
      </c>
    </row>
    <row r="2104" spans="1:13" x14ac:dyDescent="0.25">
      <c r="A2104" s="5">
        <v>44406</v>
      </c>
      <c r="B2104" s="2">
        <v>0</v>
      </c>
      <c r="C2104" t="s">
        <v>4012</v>
      </c>
      <c r="D2104" t="s">
        <v>4013</v>
      </c>
      <c r="E2104" t="s">
        <v>4014</v>
      </c>
      <c r="F2104" s="3">
        <v>44341</v>
      </c>
      <c r="G2104" s="2">
        <v>65</v>
      </c>
      <c r="H2104" s="1">
        <v>226.09</v>
      </c>
      <c r="I2104" t="s">
        <v>4015</v>
      </c>
      <c r="J2104" s="2">
        <v>1</v>
      </c>
      <c r="K2104" t="s">
        <v>13</v>
      </c>
      <c r="L2104" t="s">
        <v>1493</v>
      </c>
      <c r="M2104" t="s">
        <v>2107</v>
      </c>
    </row>
    <row r="2105" spans="1:13" x14ac:dyDescent="0.25">
      <c r="A2105" s="5">
        <v>44406</v>
      </c>
      <c r="B2105" s="2">
        <v>0</v>
      </c>
      <c r="C2105" t="s">
        <v>4016</v>
      </c>
      <c r="D2105" t="s">
        <v>1355</v>
      </c>
      <c r="E2105" t="s">
        <v>1356</v>
      </c>
      <c r="F2105" s="3">
        <v>44356</v>
      </c>
      <c r="G2105" s="2">
        <v>50</v>
      </c>
      <c r="H2105" s="1">
        <v>289.31</v>
      </c>
      <c r="I2105" t="s">
        <v>4017</v>
      </c>
      <c r="J2105" s="2">
        <v>1</v>
      </c>
      <c r="K2105" t="s">
        <v>13</v>
      </c>
      <c r="L2105" t="s">
        <v>1493</v>
      </c>
      <c r="M2105" t="s">
        <v>1357</v>
      </c>
    </row>
    <row r="2106" spans="1:13" x14ac:dyDescent="0.25">
      <c r="A2106" s="5">
        <v>44406</v>
      </c>
      <c r="B2106" s="2">
        <v>0</v>
      </c>
      <c r="C2106" t="s">
        <v>4018</v>
      </c>
      <c r="D2106" t="s">
        <v>1355</v>
      </c>
      <c r="E2106" t="s">
        <v>1356</v>
      </c>
      <c r="F2106" s="3">
        <v>44356</v>
      </c>
      <c r="G2106" s="2">
        <v>50</v>
      </c>
      <c r="H2106" s="1">
        <v>370.66</v>
      </c>
      <c r="I2106" t="s">
        <v>4019</v>
      </c>
      <c r="J2106" s="2">
        <v>1</v>
      </c>
      <c r="K2106" t="s">
        <v>13</v>
      </c>
      <c r="L2106" t="s">
        <v>1493</v>
      </c>
      <c r="M2106" t="s">
        <v>1357</v>
      </c>
    </row>
    <row r="2107" spans="1:13" x14ac:dyDescent="0.25">
      <c r="A2107" s="5">
        <v>44406</v>
      </c>
      <c r="B2107" s="2">
        <v>0</v>
      </c>
      <c r="C2107" t="s">
        <v>4020</v>
      </c>
      <c r="D2107" t="s">
        <v>1355</v>
      </c>
      <c r="E2107" t="s">
        <v>1356</v>
      </c>
      <c r="F2107" s="3">
        <v>44356</v>
      </c>
      <c r="G2107" s="2">
        <v>50</v>
      </c>
      <c r="H2107" s="1">
        <v>368.41</v>
      </c>
      <c r="I2107" t="s">
        <v>4021</v>
      </c>
      <c r="J2107" s="2">
        <v>1</v>
      </c>
      <c r="K2107" t="s">
        <v>13</v>
      </c>
      <c r="L2107" t="s">
        <v>1493</v>
      </c>
      <c r="M2107" t="s">
        <v>1357</v>
      </c>
    </row>
    <row r="2108" spans="1:13" x14ac:dyDescent="0.25">
      <c r="A2108" s="5">
        <v>44406</v>
      </c>
      <c r="B2108" s="2">
        <v>0</v>
      </c>
      <c r="C2108" t="s">
        <v>4022</v>
      </c>
      <c r="D2108" t="s">
        <v>3116</v>
      </c>
      <c r="E2108" t="s">
        <v>3117</v>
      </c>
      <c r="F2108" s="3">
        <v>44351</v>
      </c>
      <c r="G2108" s="2">
        <v>55</v>
      </c>
      <c r="H2108" s="1">
        <v>627.69000000000005</v>
      </c>
      <c r="I2108" t="s">
        <v>4023</v>
      </c>
      <c r="J2108" s="2">
        <v>1</v>
      </c>
      <c r="K2108" t="s">
        <v>13</v>
      </c>
      <c r="L2108" t="s">
        <v>830</v>
      </c>
      <c r="M2108" t="s">
        <v>2122</v>
      </c>
    </row>
    <row r="2109" spans="1:13" x14ac:dyDescent="0.25">
      <c r="A2109" s="5">
        <v>44406</v>
      </c>
      <c r="B2109" s="2">
        <v>0</v>
      </c>
      <c r="C2109" t="s">
        <v>4024</v>
      </c>
      <c r="D2109" t="s">
        <v>1761</v>
      </c>
      <c r="E2109" t="s">
        <v>1762</v>
      </c>
      <c r="F2109" s="3">
        <v>44306</v>
      </c>
      <c r="G2109" s="2">
        <v>100</v>
      </c>
      <c r="H2109" s="1">
        <v>1837.55</v>
      </c>
      <c r="I2109" t="s">
        <v>3056</v>
      </c>
      <c r="J2109" s="2">
        <v>1</v>
      </c>
      <c r="K2109" t="s">
        <v>13</v>
      </c>
      <c r="L2109" t="s">
        <v>21</v>
      </c>
      <c r="M2109" t="s">
        <v>1165</v>
      </c>
    </row>
    <row r="2110" spans="1:13" x14ac:dyDescent="0.25">
      <c r="A2110" s="5">
        <v>44406</v>
      </c>
      <c r="B2110" s="2">
        <v>0</v>
      </c>
      <c r="C2110" t="s">
        <v>4025</v>
      </c>
      <c r="D2110" t="s">
        <v>1761</v>
      </c>
      <c r="E2110" t="s">
        <v>1762</v>
      </c>
      <c r="F2110" s="3">
        <v>44326</v>
      </c>
      <c r="G2110" s="2">
        <v>80</v>
      </c>
      <c r="H2110" s="1">
        <v>550.73</v>
      </c>
      <c r="I2110" t="s">
        <v>4026</v>
      </c>
      <c r="J2110" s="2">
        <v>1</v>
      </c>
      <c r="K2110" t="s">
        <v>13</v>
      </c>
      <c r="L2110" t="s">
        <v>21</v>
      </c>
      <c r="M2110" t="s">
        <v>1165</v>
      </c>
    </row>
    <row r="2111" spans="1:13" x14ac:dyDescent="0.25">
      <c r="A2111" s="5">
        <v>44406</v>
      </c>
      <c r="B2111" s="2">
        <v>0</v>
      </c>
      <c r="C2111" t="s">
        <v>4027</v>
      </c>
      <c r="D2111" t="s">
        <v>1761</v>
      </c>
      <c r="E2111" t="s">
        <v>1762</v>
      </c>
      <c r="F2111" s="3">
        <v>44361</v>
      </c>
      <c r="G2111" s="2">
        <v>45</v>
      </c>
      <c r="H2111" s="1">
        <v>796.71</v>
      </c>
      <c r="I2111" t="s">
        <v>4028</v>
      </c>
      <c r="J2111" s="2">
        <v>1</v>
      </c>
      <c r="K2111" t="s">
        <v>13</v>
      </c>
      <c r="L2111" t="s">
        <v>21</v>
      </c>
      <c r="M2111" t="s">
        <v>1165</v>
      </c>
    </row>
    <row r="2112" spans="1:13" x14ac:dyDescent="0.25">
      <c r="A2112" s="5">
        <v>44406</v>
      </c>
      <c r="B2112" s="2">
        <v>0</v>
      </c>
      <c r="C2112" t="s">
        <v>4029</v>
      </c>
      <c r="D2112" t="s">
        <v>1983</v>
      </c>
      <c r="E2112" t="s">
        <v>1984</v>
      </c>
      <c r="F2112" s="3">
        <v>44326</v>
      </c>
      <c r="G2112" s="2">
        <v>80</v>
      </c>
      <c r="H2112" s="1">
        <v>519.78</v>
      </c>
      <c r="I2112" t="s">
        <v>4030</v>
      </c>
      <c r="J2112" s="2">
        <v>1</v>
      </c>
      <c r="K2112" t="s">
        <v>13</v>
      </c>
      <c r="L2112" t="s">
        <v>21</v>
      </c>
      <c r="M2112" t="s">
        <v>1566</v>
      </c>
    </row>
    <row r="2113" spans="1:13" x14ac:dyDescent="0.25">
      <c r="A2113" s="5">
        <v>44406</v>
      </c>
      <c r="B2113" s="2">
        <v>0</v>
      </c>
      <c r="C2113" t="s">
        <v>4031</v>
      </c>
      <c r="D2113" t="s">
        <v>1983</v>
      </c>
      <c r="E2113" t="s">
        <v>1984</v>
      </c>
      <c r="F2113" s="3">
        <v>44326</v>
      </c>
      <c r="G2113" s="2">
        <v>80</v>
      </c>
      <c r="H2113" s="1">
        <v>1001.29</v>
      </c>
      <c r="I2113" t="s">
        <v>3290</v>
      </c>
      <c r="J2113" s="2">
        <v>1</v>
      </c>
      <c r="K2113" t="s">
        <v>13</v>
      </c>
      <c r="L2113" t="s">
        <v>21</v>
      </c>
      <c r="M2113" t="s">
        <v>1566</v>
      </c>
    </row>
    <row r="2114" spans="1:13" x14ac:dyDescent="0.25">
      <c r="A2114" s="5">
        <v>44406</v>
      </c>
      <c r="B2114" s="2">
        <v>0</v>
      </c>
      <c r="C2114" t="s">
        <v>4032</v>
      </c>
      <c r="D2114" t="s">
        <v>2211</v>
      </c>
      <c r="E2114" t="s">
        <v>2212</v>
      </c>
      <c r="F2114" s="3">
        <v>44286</v>
      </c>
      <c r="G2114" s="2">
        <v>120</v>
      </c>
      <c r="H2114" s="1">
        <v>1110.56</v>
      </c>
      <c r="I2114" t="s">
        <v>2429</v>
      </c>
      <c r="J2114" s="2">
        <v>1</v>
      </c>
      <c r="K2114" t="s">
        <v>13</v>
      </c>
      <c r="L2114" t="s">
        <v>695</v>
      </c>
      <c r="M2114" t="s">
        <v>15</v>
      </c>
    </row>
    <row r="2115" spans="1:13" x14ac:dyDescent="0.25">
      <c r="A2115" s="5">
        <v>44406</v>
      </c>
      <c r="B2115" s="2">
        <v>0</v>
      </c>
      <c r="C2115" t="s">
        <v>4033</v>
      </c>
      <c r="D2115" t="s">
        <v>2211</v>
      </c>
      <c r="E2115" t="s">
        <v>2212</v>
      </c>
      <c r="F2115" s="3">
        <v>44343</v>
      </c>
      <c r="G2115" s="2">
        <v>63</v>
      </c>
      <c r="H2115" s="1">
        <v>442.89</v>
      </c>
      <c r="I2115" t="s">
        <v>4034</v>
      </c>
      <c r="J2115" s="2">
        <v>1</v>
      </c>
      <c r="K2115" t="s">
        <v>13</v>
      </c>
      <c r="L2115" t="s">
        <v>695</v>
      </c>
      <c r="M2115" t="s">
        <v>15</v>
      </c>
    </row>
    <row r="2116" spans="1:13" x14ac:dyDescent="0.25">
      <c r="A2116" s="5">
        <v>44406</v>
      </c>
      <c r="B2116" s="2">
        <v>0</v>
      </c>
      <c r="C2116" t="s">
        <v>4035</v>
      </c>
      <c r="D2116" t="s">
        <v>3236</v>
      </c>
      <c r="E2116" t="s">
        <v>3237</v>
      </c>
      <c r="F2116" s="3">
        <v>44356</v>
      </c>
      <c r="G2116" s="2">
        <v>50</v>
      </c>
      <c r="H2116" s="1">
        <v>269.88</v>
      </c>
      <c r="I2116" t="s">
        <v>3300</v>
      </c>
      <c r="J2116" s="2">
        <v>1</v>
      </c>
      <c r="K2116" t="s">
        <v>13</v>
      </c>
      <c r="L2116" t="s">
        <v>2126</v>
      </c>
      <c r="M2116" t="s">
        <v>3238</v>
      </c>
    </row>
    <row r="2117" spans="1:13" x14ac:dyDescent="0.25">
      <c r="A2117" s="5">
        <v>44406</v>
      </c>
      <c r="B2117" s="2">
        <v>0</v>
      </c>
      <c r="C2117" t="s">
        <v>4036</v>
      </c>
      <c r="D2117" t="s">
        <v>3216</v>
      </c>
      <c r="E2117" t="s">
        <v>3217</v>
      </c>
      <c r="F2117" s="3">
        <v>44336</v>
      </c>
      <c r="G2117" s="2">
        <v>70</v>
      </c>
      <c r="H2117" s="1">
        <v>368.76</v>
      </c>
      <c r="I2117" t="s">
        <v>4037</v>
      </c>
      <c r="J2117" s="2">
        <v>1</v>
      </c>
      <c r="K2117" t="s">
        <v>13</v>
      </c>
      <c r="L2117" t="s">
        <v>830</v>
      </c>
      <c r="M2117" t="s">
        <v>172</v>
      </c>
    </row>
    <row r="2118" spans="1:13" x14ac:dyDescent="0.25">
      <c r="A2118" s="5">
        <v>44406</v>
      </c>
      <c r="B2118" s="2">
        <v>0</v>
      </c>
      <c r="C2118" t="s">
        <v>4038</v>
      </c>
      <c r="D2118" t="s">
        <v>1773</v>
      </c>
      <c r="E2118" t="s">
        <v>1938</v>
      </c>
      <c r="F2118" s="3">
        <v>44321</v>
      </c>
      <c r="G2118" s="2">
        <v>85</v>
      </c>
      <c r="H2118" s="1">
        <v>1176.67</v>
      </c>
      <c r="I2118" t="s">
        <v>3580</v>
      </c>
      <c r="J2118" s="2">
        <v>1</v>
      </c>
      <c r="K2118" t="s">
        <v>13</v>
      </c>
      <c r="L2118" t="s">
        <v>21</v>
      </c>
      <c r="M2118" t="s">
        <v>1774</v>
      </c>
    </row>
    <row r="2119" spans="1:13" x14ac:dyDescent="0.25">
      <c r="A2119" s="5">
        <v>44406</v>
      </c>
      <c r="B2119" s="2">
        <v>0</v>
      </c>
      <c r="C2119" t="s">
        <v>4039</v>
      </c>
      <c r="D2119" t="s">
        <v>1773</v>
      </c>
      <c r="E2119" t="s">
        <v>1938</v>
      </c>
      <c r="F2119" s="3">
        <v>44326</v>
      </c>
      <c r="G2119" s="2">
        <v>80</v>
      </c>
      <c r="H2119" s="1">
        <v>519.78</v>
      </c>
      <c r="I2119" t="s">
        <v>4040</v>
      </c>
      <c r="J2119" s="2">
        <v>1</v>
      </c>
      <c r="K2119" t="s">
        <v>13</v>
      </c>
      <c r="L2119" t="s">
        <v>21</v>
      </c>
      <c r="M2119" t="s">
        <v>1774</v>
      </c>
    </row>
    <row r="2120" spans="1:13" x14ac:dyDescent="0.25">
      <c r="A2120" s="5">
        <v>44406</v>
      </c>
      <c r="B2120" s="2">
        <v>0</v>
      </c>
      <c r="C2120" t="s">
        <v>4041</v>
      </c>
      <c r="D2120" t="s">
        <v>1757</v>
      </c>
      <c r="E2120" t="s">
        <v>1758</v>
      </c>
      <c r="F2120" s="3">
        <v>44321</v>
      </c>
      <c r="G2120" s="2">
        <v>85</v>
      </c>
      <c r="H2120" s="1">
        <v>483.49</v>
      </c>
      <c r="I2120" t="s">
        <v>3582</v>
      </c>
      <c r="J2120" s="2">
        <v>1</v>
      </c>
      <c r="K2120" t="s">
        <v>13</v>
      </c>
      <c r="L2120" t="s">
        <v>21</v>
      </c>
      <c r="M2120" t="s">
        <v>1165</v>
      </c>
    </row>
    <row r="2121" spans="1:13" x14ac:dyDescent="0.25">
      <c r="A2121" s="5">
        <v>44406</v>
      </c>
      <c r="B2121" s="2">
        <v>0</v>
      </c>
      <c r="C2121" t="s">
        <v>4042</v>
      </c>
      <c r="D2121" t="s">
        <v>1757</v>
      </c>
      <c r="E2121" t="s">
        <v>1758</v>
      </c>
      <c r="F2121" s="3">
        <v>44326</v>
      </c>
      <c r="G2121" s="2">
        <v>80</v>
      </c>
      <c r="H2121" s="1">
        <v>251.67</v>
      </c>
      <c r="I2121" t="s">
        <v>4043</v>
      </c>
      <c r="J2121" s="2">
        <v>1</v>
      </c>
      <c r="K2121" t="s">
        <v>13</v>
      </c>
      <c r="L2121" t="s">
        <v>21</v>
      </c>
      <c r="M2121" t="s">
        <v>1165</v>
      </c>
    </row>
    <row r="2122" spans="1:13" x14ac:dyDescent="0.25">
      <c r="A2122" s="5">
        <v>44406</v>
      </c>
      <c r="B2122" s="2">
        <v>0</v>
      </c>
      <c r="C2122" t="s">
        <v>4044</v>
      </c>
      <c r="D2122" t="s">
        <v>3317</v>
      </c>
      <c r="E2122" t="s">
        <v>3318</v>
      </c>
      <c r="F2122" s="3">
        <v>44336</v>
      </c>
      <c r="G2122" s="2">
        <v>70</v>
      </c>
      <c r="H2122" s="1">
        <v>205.74</v>
      </c>
      <c r="I2122" t="s">
        <v>3319</v>
      </c>
      <c r="J2122" s="2">
        <v>1</v>
      </c>
      <c r="K2122" t="s">
        <v>13</v>
      </c>
      <c r="L2122" t="s">
        <v>21</v>
      </c>
      <c r="M2122" t="s">
        <v>15</v>
      </c>
    </row>
    <row r="2123" spans="1:13" x14ac:dyDescent="0.25">
      <c r="A2123" s="5">
        <v>44406</v>
      </c>
      <c r="B2123" s="2">
        <v>0</v>
      </c>
      <c r="C2123" t="s">
        <v>4045</v>
      </c>
      <c r="D2123" t="s">
        <v>1748</v>
      </c>
      <c r="E2123" t="s">
        <v>1840</v>
      </c>
      <c r="F2123" s="3">
        <v>44361</v>
      </c>
      <c r="G2123" s="2">
        <v>45</v>
      </c>
      <c r="H2123" s="1">
        <v>272.56</v>
      </c>
      <c r="I2123" t="s">
        <v>3584</v>
      </c>
      <c r="J2123" s="2">
        <v>1</v>
      </c>
      <c r="K2123" t="s">
        <v>13</v>
      </c>
      <c r="L2123" t="s">
        <v>1682</v>
      </c>
      <c r="M2123" t="s">
        <v>15</v>
      </c>
    </row>
    <row r="2124" spans="1:13" x14ac:dyDescent="0.25">
      <c r="A2124" s="5">
        <v>44406</v>
      </c>
      <c r="B2124" s="2">
        <v>0</v>
      </c>
      <c r="C2124" t="s">
        <v>4046</v>
      </c>
      <c r="D2124" t="s">
        <v>1748</v>
      </c>
      <c r="E2124" t="s">
        <v>1840</v>
      </c>
      <c r="F2124" s="3">
        <v>44376</v>
      </c>
      <c r="G2124" s="2">
        <v>30</v>
      </c>
      <c r="H2124" s="1">
        <v>579.55999999999995</v>
      </c>
      <c r="I2124" t="s">
        <v>4047</v>
      </c>
      <c r="J2124" s="2">
        <v>1</v>
      </c>
      <c r="K2124" t="s">
        <v>13</v>
      </c>
      <c r="L2124" t="s">
        <v>1682</v>
      </c>
      <c r="M2124" t="s">
        <v>15</v>
      </c>
    </row>
    <row r="2125" spans="1:13" x14ac:dyDescent="0.25">
      <c r="A2125" s="5">
        <v>44406</v>
      </c>
      <c r="B2125" s="2">
        <v>0</v>
      </c>
      <c r="C2125" t="s">
        <v>4048</v>
      </c>
      <c r="D2125" t="s">
        <v>2746</v>
      </c>
      <c r="E2125" t="s">
        <v>2747</v>
      </c>
      <c r="F2125" s="3">
        <v>44356</v>
      </c>
      <c r="G2125" s="2">
        <v>50</v>
      </c>
      <c r="H2125" s="1">
        <v>362.17</v>
      </c>
      <c r="I2125" t="s">
        <v>4049</v>
      </c>
      <c r="J2125" s="2">
        <v>1</v>
      </c>
      <c r="K2125" t="s">
        <v>13</v>
      </c>
      <c r="L2125" t="s">
        <v>830</v>
      </c>
      <c r="M2125" t="s">
        <v>2748</v>
      </c>
    </row>
    <row r="2126" spans="1:13" x14ac:dyDescent="0.25">
      <c r="A2126" s="5">
        <v>44406</v>
      </c>
      <c r="B2126" s="2">
        <v>0</v>
      </c>
      <c r="C2126" t="s">
        <v>4050</v>
      </c>
      <c r="D2126" t="s">
        <v>3400</v>
      </c>
      <c r="E2126" t="s">
        <v>3401</v>
      </c>
      <c r="F2126" s="3">
        <v>44326</v>
      </c>
      <c r="G2126" s="2">
        <v>80</v>
      </c>
      <c r="H2126" s="1">
        <v>525.47</v>
      </c>
      <c r="I2126" t="s">
        <v>4051</v>
      </c>
      <c r="J2126" s="2">
        <v>1</v>
      </c>
      <c r="K2126" t="s">
        <v>13</v>
      </c>
      <c r="L2126" t="s">
        <v>21</v>
      </c>
      <c r="M2126" t="s">
        <v>3402</v>
      </c>
    </row>
    <row r="2127" spans="1:13" x14ac:dyDescent="0.25">
      <c r="A2127" s="5">
        <v>44406</v>
      </c>
      <c r="B2127" s="2">
        <v>0</v>
      </c>
      <c r="C2127" t="s">
        <v>4052</v>
      </c>
      <c r="D2127" t="s">
        <v>3063</v>
      </c>
      <c r="E2127" t="s">
        <v>3064</v>
      </c>
      <c r="F2127" s="3">
        <v>44336</v>
      </c>
      <c r="G2127" s="2">
        <v>70</v>
      </c>
      <c r="H2127" s="1">
        <v>236.13</v>
      </c>
      <c r="I2127" t="s">
        <v>3065</v>
      </c>
      <c r="J2127" s="2">
        <v>1</v>
      </c>
      <c r="K2127" t="s">
        <v>13</v>
      </c>
      <c r="L2127" t="s">
        <v>21</v>
      </c>
      <c r="M2127" t="s">
        <v>15</v>
      </c>
    </row>
    <row r="2128" spans="1:13" x14ac:dyDescent="0.25">
      <c r="A2128" s="5">
        <v>44406</v>
      </c>
      <c r="B2128" s="2">
        <v>0</v>
      </c>
      <c r="C2128" t="s">
        <v>4053</v>
      </c>
      <c r="D2128" t="s">
        <v>2215</v>
      </c>
      <c r="E2128" t="s">
        <v>2216</v>
      </c>
      <c r="F2128" s="3">
        <v>44336</v>
      </c>
      <c r="G2128" s="2">
        <v>70</v>
      </c>
      <c r="H2128" s="1">
        <v>1704.88</v>
      </c>
      <c r="I2128" t="s">
        <v>4054</v>
      </c>
      <c r="J2128" s="2">
        <v>1</v>
      </c>
      <c r="K2128" t="s">
        <v>13</v>
      </c>
      <c r="L2128" t="s">
        <v>21</v>
      </c>
      <c r="M2128" t="s">
        <v>2217</v>
      </c>
    </row>
    <row r="2129" spans="1:13" x14ac:dyDescent="0.25">
      <c r="A2129" s="5">
        <v>44406</v>
      </c>
      <c r="B2129" s="2">
        <v>0</v>
      </c>
      <c r="C2129" t="s">
        <v>4055</v>
      </c>
      <c r="D2129" t="s">
        <v>2215</v>
      </c>
      <c r="E2129" t="s">
        <v>2216</v>
      </c>
      <c r="F2129" s="3">
        <v>44336</v>
      </c>
      <c r="G2129" s="2">
        <v>70</v>
      </c>
      <c r="H2129" s="1">
        <v>1705.66</v>
      </c>
      <c r="I2129" t="s">
        <v>4056</v>
      </c>
      <c r="J2129" s="2">
        <v>1</v>
      </c>
      <c r="K2129" t="s">
        <v>13</v>
      </c>
      <c r="L2129" t="s">
        <v>21</v>
      </c>
      <c r="M2129" t="s">
        <v>2217</v>
      </c>
    </row>
    <row r="2130" spans="1:13" x14ac:dyDescent="0.25">
      <c r="A2130" s="5">
        <v>44406</v>
      </c>
      <c r="B2130" s="2">
        <v>0</v>
      </c>
      <c r="C2130" t="s">
        <v>4057</v>
      </c>
      <c r="D2130" t="s">
        <v>1450</v>
      </c>
      <c r="E2130" t="s">
        <v>1451</v>
      </c>
      <c r="F2130" s="3">
        <v>44341</v>
      </c>
      <c r="G2130" s="2">
        <v>65</v>
      </c>
      <c r="H2130" s="1">
        <v>263.26</v>
      </c>
      <c r="I2130" t="s">
        <v>3320</v>
      </c>
      <c r="J2130" s="2">
        <v>1</v>
      </c>
      <c r="K2130" t="s">
        <v>13</v>
      </c>
      <c r="L2130" t="s">
        <v>21</v>
      </c>
      <c r="M2130" t="s">
        <v>15</v>
      </c>
    </row>
    <row r="2131" spans="1:13" x14ac:dyDescent="0.25">
      <c r="A2131" s="5">
        <v>44406</v>
      </c>
      <c r="B2131" s="2">
        <v>0</v>
      </c>
      <c r="C2131" t="s">
        <v>4058</v>
      </c>
      <c r="D2131" t="s">
        <v>1450</v>
      </c>
      <c r="E2131" t="s">
        <v>1451</v>
      </c>
      <c r="F2131" s="3">
        <v>44351</v>
      </c>
      <c r="G2131" s="2">
        <v>55</v>
      </c>
      <c r="H2131" s="1">
        <v>302.08</v>
      </c>
      <c r="I2131" t="s">
        <v>3321</v>
      </c>
      <c r="J2131" s="2">
        <v>1</v>
      </c>
      <c r="K2131" t="s">
        <v>13</v>
      </c>
      <c r="L2131" t="s">
        <v>21</v>
      </c>
      <c r="M2131" t="s">
        <v>15</v>
      </c>
    </row>
    <row r="2132" spans="1:13" x14ac:dyDescent="0.25">
      <c r="A2132" s="5">
        <v>44406</v>
      </c>
      <c r="B2132" s="2">
        <v>0</v>
      </c>
      <c r="C2132" t="s">
        <v>4059</v>
      </c>
      <c r="D2132" t="s">
        <v>1450</v>
      </c>
      <c r="E2132" t="s">
        <v>1451</v>
      </c>
      <c r="F2132" s="3">
        <v>44376</v>
      </c>
      <c r="G2132" s="2">
        <v>30</v>
      </c>
      <c r="H2132" s="1">
        <v>790.17</v>
      </c>
      <c r="I2132" t="s">
        <v>4060</v>
      </c>
      <c r="J2132" s="2">
        <v>1</v>
      </c>
      <c r="K2132" t="s">
        <v>13</v>
      </c>
      <c r="L2132" t="s">
        <v>21</v>
      </c>
      <c r="M2132" t="s">
        <v>15</v>
      </c>
    </row>
    <row r="2133" spans="1:13" x14ac:dyDescent="0.25">
      <c r="A2133" s="5">
        <v>44406</v>
      </c>
      <c r="B2133" s="2">
        <v>0</v>
      </c>
      <c r="C2133" t="s">
        <v>4061</v>
      </c>
      <c r="D2133" t="s">
        <v>1450</v>
      </c>
      <c r="E2133" t="s">
        <v>1451</v>
      </c>
      <c r="F2133" s="3">
        <v>44386</v>
      </c>
      <c r="G2133" s="2">
        <v>20</v>
      </c>
      <c r="H2133" s="1">
        <v>735.16</v>
      </c>
      <c r="I2133" t="s">
        <v>4062</v>
      </c>
      <c r="J2133" s="2">
        <v>1</v>
      </c>
      <c r="K2133" t="s">
        <v>13</v>
      </c>
      <c r="L2133" t="s">
        <v>21</v>
      </c>
      <c r="M2133" t="s">
        <v>15</v>
      </c>
    </row>
    <row r="2134" spans="1:13" x14ac:dyDescent="0.25">
      <c r="A2134" s="5">
        <v>44406</v>
      </c>
      <c r="B2134" s="2">
        <v>0</v>
      </c>
      <c r="C2134" t="s">
        <v>4063</v>
      </c>
      <c r="D2134" t="s">
        <v>3183</v>
      </c>
      <c r="E2134" t="s">
        <v>3184</v>
      </c>
      <c r="F2134" s="3">
        <v>44356</v>
      </c>
      <c r="G2134" s="2">
        <v>50</v>
      </c>
      <c r="H2134" s="1">
        <v>329.79</v>
      </c>
      <c r="I2134" t="s">
        <v>4064</v>
      </c>
      <c r="J2134" s="2">
        <v>1</v>
      </c>
      <c r="K2134" t="s">
        <v>13</v>
      </c>
      <c r="L2134" t="s">
        <v>554</v>
      </c>
      <c r="M2134" t="s">
        <v>2288</v>
      </c>
    </row>
    <row r="2135" spans="1:13" x14ac:dyDescent="0.25">
      <c r="A2135" s="5">
        <v>44406</v>
      </c>
      <c r="B2135" s="2">
        <v>0</v>
      </c>
      <c r="C2135" t="s">
        <v>4065</v>
      </c>
      <c r="D2135" t="s">
        <v>3193</v>
      </c>
      <c r="E2135" t="s">
        <v>2284</v>
      </c>
      <c r="F2135" s="3">
        <v>44326</v>
      </c>
      <c r="G2135" s="2">
        <v>80</v>
      </c>
      <c r="H2135" s="1">
        <v>286.26</v>
      </c>
      <c r="I2135" t="s">
        <v>3322</v>
      </c>
      <c r="J2135" s="2">
        <v>1</v>
      </c>
      <c r="K2135" t="s">
        <v>13</v>
      </c>
      <c r="L2135" t="s">
        <v>1682</v>
      </c>
      <c r="M2135" t="s">
        <v>3195</v>
      </c>
    </row>
    <row r="2136" spans="1:13" x14ac:dyDescent="0.25">
      <c r="A2136" s="5">
        <v>44406</v>
      </c>
      <c r="B2136" s="2">
        <v>0</v>
      </c>
      <c r="C2136" t="s">
        <v>4066</v>
      </c>
      <c r="D2136" t="s">
        <v>1563</v>
      </c>
      <c r="E2136" t="s">
        <v>1564</v>
      </c>
      <c r="F2136" s="3">
        <v>44356</v>
      </c>
      <c r="G2136" s="2">
        <v>50</v>
      </c>
      <c r="H2136" s="1">
        <v>256.18</v>
      </c>
      <c r="I2136" t="s">
        <v>4067</v>
      </c>
      <c r="J2136" s="2">
        <v>1</v>
      </c>
      <c r="K2136" t="s">
        <v>13</v>
      </c>
      <c r="L2136" t="s">
        <v>1682</v>
      </c>
      <c r="M2136" t="s">
        <v>1566</v>
      </c>
    </row>
    <row r="2137" spans="1:13" x14ac:dyDescent="0.25">
      <c r="A2137" s="5">
        <v>44407</v>
      </c>
      <c r="B2137" s="2">
        <v>0</v>
      </c>
      <c r="C2137" t="s">
        <v>4068</v>
      </c>
      <c r="D2137" t="s">
        <v>4069</v>
      </c>
      <c r="E2137" t="s">
        <v>4070</v>
      </c>
      <c r="F2137" s="3">
        <v>44377</v>
      </c>
      <c r="G2137" s="2">
        <v>30</v>
      </c>
      <c r="H2137" s="1">
        <v>305.20999999999998</v>
      </c>
      <c r="I2137" t="s">
        <v>4071</v>
      </c>
      <c r="J2137" s="2">
        <v>1</v>
      </c>
      <c r="K2137" t="s">
        <v>13</v>
      </c>
      <c r="L2137" t="s">
        <v>2126</v>
      </c>
      <c r="M2137" t="s">
        <v>4072</v>
      </c>
    </row>
    <row r="2138" spans="1:13" x14ac:dyDescent="0.25">
      <c r="A2138" s="5">
        <v>44407</v>
      </c>
      <c r="B2138" s="2">
        <v>0</v>
      </c>
      <c r="C2138" t="s">
        <v>4073</v>
      </c>
      <c r="D2138" t="s">
        <v>3328</v>
      </c>
      <c r="E2138" t="s">
        <v>3329</v>
      </c>
      <c r="F2138" s="3">
        <v>44337</v>
      </c>
      <c r="G2138" s="2">
        <v>70</v>
      </c>
      <c r="H2138" s="1">
        <v>224.86</v>
      </c>
      <c r="I2138" t="s">
        <v>3330</v>
      </c>
      <c r="J2138" s="2">
        <v>1</v>
      </c>
      <c r="K2138" t="s">
        <v>13</v>
      </c>
      <c r="L2138" t="s">
        <v>695</v>
      </c>
      <c r="M2138" t="s">
        <v>90</v>
      </c>
    </row>
    <row r="2139" spans="1:13" x14ac:dyDescent="0.25">
      <c r="A2139" s="5">
        <v>44407</v>
      </c>
      <c r="B2139" s="2">
        <v>0</v>
      </c>
      <c r="C2139" t="s">
        <v>4074</v>
      </c>
      <c r="D2139" t="s">
        <v>2350</v>
      </c>
      <c r="E2139" t="s">
        <v>2351</v>
      </c>
      <c r="F2139" s="3">
        <v>44327</v>
      </c>
      <c r="G2139" s="2">
        <v>80</v>
      </c>
      <c r="H2139" s="1">
        <v>471.08</v>
      </c>
      <c r="I2139" t="s">
        <v>3069</v>
      </c>
      <c r="J2139" s="2">
        <v>1</v>
      </c>
      <c r="K2139" t="s">
        <v>13</v>
      </c>
      <c r="L2139" t="s">
        <v>695</v>
      </c>
      <c r="M2139" t="s">
        <v>15</v>
      </c>
    </row>
    <row r="2140" spans="1:13" x14ac:dyDescent="0.25">
      <c r="A2140" s="5">
        <v>44407</v>
      </c>
      <c r="B2140" s="2">
        <v>0</v>
      </c>
      <c r="C2140" t="s">
        <v>4075</v>
      </c>
      <c r="D2140" t="s">
        <v>4076</v>
      </c>
      <c r="E2140" t="s">
        <v>4077</v>
      </c>
      <c r="F2140" s="3">
        <v>44347</v>
      </c>
      <c r="G2140" s="2">
        <v>60</v>
      </c>
      <c r="H2140" s="1">
        <v>385.21</v>
      </c>
      <c r="I2140" t="s">
        <v>4078</v>
      </c>
      <c r="J2140" s="2">
        <v>1</v>
      </c>
      <c r="K2140" t="s">
        <v>13</v>
      </c>
      <c r="L2140" t="s">
        <v>695</v>
      </c>
      <c r="M2140" t="s">
        <v>15</v>
      </c>
    </row>
    <row r="2141" spans="1:13" x14ac:dyDescent="0.25">
      <c r="A2141" s="5">
        <v>44407</v>
      </c>
      <c r="B2141" s="2">
        <v>0</v>
      </c>
      <c r="C2141" t="s">
        <v>4079</v>
      </c>
      <c r="D2141" t="s">
        <v>3332</v>
      </c>
      <c r="E2141" t="s">
        <v>3333</v>
      </c>
      <c r="F2141" s="3">
        <v>44337</v>
      </c>
      <c r="G2141" s="2">
        <v>70</v>
      </c>
      <c r="H2141" s="1">
        <v>373.07</v>
      </c>
      <c r="I2141" t="s">
        <v>4080</v>
      </c>
      <c r="J2141" s="2">
        <v>1</v>
      </c>
      <c r="K2141" t="s">
        <v>13</v>
      </c>
      <c r="L2141" t="s">
        <v>695</v>
      </c>
      <c r="M2141" t="s">
        <v>15</v>
      </c>
    </row>
    <row r="2142" spans="1:13" x14ac:dyDescent="0.25">
      <c r="A2142" s="5">
        <v>44407</v>
      </c>
      <c r="B2142" s="2">
        <v>0</v>
      </c>
      <c r="C2142" t="s">
        <v>4081</v>
      </c>
      <c r="D2142" t="s">
        <v>3332</v>
      </c>
      <c r="E2142" t="s">
        <v>3333</v>
      </c>
      <c r="F2142" s="3">
        <v>44357</v>
      </c>
      <c r="G2142" s="2">
        <v>50</v>
      </c>
      <c r="H2142" s="1">
        <v>565.62</v>
      </c>
      <c r="I2142" t="s">
        <v>4082</v>
      </c>
      <c r="J2142" s="2">
        <v>1</v>
      </c>
      <c r="K2142" t="s">
        <v>13</v>
      </c>
      <c r="L2142" t="s">
        <v>695</v>
      </c>
      <c r="M2142" t="s">
        <v>15</v>
      </c>
    </row>
    <row r="2143" spans="1:13" x14ac:dyDescent="0.25">
      <c r="A2143" s="5">
        <v>44407</v>
      </c>
      <c r="B2143" s="2">
        <v>0</v>
      </c>
      <c r="C2143" t="s">
        <v>4083</v>
      </c>
      <c r="D2143" t="s">
        <v>1680</v>
      </c>
      <c r="E2143" t="s">
        <v>1681</v>
      </c>
      <c r="F2143" s="3">
        <v>44337</v>
      </c>
      <c r="G2143" s="2">
        <v>70</v>
      </c>
      <c r="H2143" s="1">
        <v>311.22000000000003</v>
      </c>
      <c r="I2143" t="s">
        <v>4084</v>
      </c>
      <c r="J2143" s="2">
        <v>1</v>
      </c>
      <c r="K2143" t="s">
        <v>13</v>
      </c>
      <c r="L2143" t="s">
        <v>1682</v>
      </c>
      <c r="M2143" t="s">
        <v>15</v>
      </c>
    </row>
    <row r="2144" spans="1:13" x14ac:dyDescent="0.25">
      <c r="A2144" s="5">
        <v>44407</v>
      </c>
      <c r="B2144" s="2">
        <v>0</v>
      </c>
      <c r="C2144" t="s">
        <v>4085</v>
      </c>
      <c r="D2144" t="s">
        <v>2532</v>
      </c>
      <c r="E2144" t="s">
        <v>2533</v>
      </c>
      <c r="F2144" s="3">
        <v>44337</v>
      </c>
      <c r="G2144" s="2">
        <v>70</v>
      </c>
      <c r="H2144" s="1">
        <v>657.1</v>
      </c>
      <c r="I2144" t="s">
        <v>3072</v>
      </c>
      <c r="J2144" s="2">
        <v>1</v>
      </c>
      <c r="K2144" t="s">
        <v>13</v>
      </c>
      <c r="L2144" t="s">
        <v>554</v>
      </c>
      <c r="M2144" t="s">
        <v>81</v>
      </c>
    </row>
    <row r="2145" spans="1:13" x14ac:dyDescent="0.25">
      <c r="A2145" s="5">
        <v>44407</v>
      </c>
      <c r="B2145" s="2">
        <v>0</v>
      </c>
      <c r="C2145" t="s">
        <v>4086</v>
      </c>
      <c r="D2145" t="s">
        <v>1355</v>
      </c>
      <c r="E2145" t="s">
        <v>1356</v>
      </c>
      <c r="F2145" s="3">
        <v>44342</v>
      </c>
      <c r="G2145" s="2">
        <v>65</v>
      </c>
      <c r="H2145" s="1">
        <v>549.5</v>
      </c>
      <c r="I2145" t="s">
        <v>3335</v>
      </c>
      <c r="J2145" s="2">
        <v>1</v>
      </c>
      <c r="K2145" t="s">
        <v>13</v>
      </c>
      <c r="L2145" t="s">
        <v>1493</v>
      </c>
      <c r="M2145" t="s">
        <v>1357</v>
      </c>
    </row>
    <row r="2146" spans="1:13" x14ac:dyDescent="0.25">
      <c r="A2146" s="5">
        <v>44407</v>
      </c>
      <c r="B2146" s="2">
        <v>0</v>
      </c>
      <c r="C2146" t="s">
        <v>4087</v>
      </c>
      <c r="D2146" t="s">
        <v>1355</v>
      </c>
      <c r="E2146" t="s">
        <v>1356</v>
      </c>
      <c r="F2146" s="3">
        <v>44362</v>
      </c>
      <c r="G2146" s="2">
        <v>45</v>
      </c>
      <c r="H2146" s="1">
        <v>513.02</v>
      </c>
      <c r="I2146" t="s">
        <v>3593</v>
      </c>
      <c r="J2146" s="2">
        <v>1</v>
      </c>
      <c r="K2146" t="s">
        <v>13</v>
      </c>
      <c r="L2146" t="s">
        <v>1493</v>
      </c>
      <c r="M2146" t="s">
        <v>1357</v>
      </c>
    </row>
    <row r="2147" spans="1:13" x14ac:dyDescent="0.25">
      <c r="A2147" s="5">
        <v>44407</v>
      </c>
      <c r="B2147" s="2">
        <v>0</v>
      </c>
      <c r="C2147" t="s">
        <v>4088</v>
      </c>
      <c r="D2147" t="s">
        <v>1761</v>
      </c>
      <c r="E2147" t="s">
        <v>1762</v>
      </c>
      <c r="F2147" s="3">
        <v>44277</v>
      </c>
      <c r="G2147" s="2">
        <v>130</v>
      </c>
      <c r="H2147" s="1">
        <v>1225.4000000000001</v>
      </c>
      <c r="I2147" t="s">
        <v>2701</v>
      </c>
      <c r="J2147" s="2">
        <v>1</v>
      </c>
      <c r="K2147" t="s">
        <v>13</v>
      </c>
      <c r="L2147" t="s">
        <v>21</v>
      </c>
      <c r="M2147" t="s">
        <v>1165</v>
      </c>
    </row>
    <row r="2148" spans="1:13" x14ac:dyDescent="0.25">
      <c r="A2148" s="5">
        <v>44407</v>
      </c>
      <c r="B2148" s="2">
        <v>0</v>
      </c>
      <c r="C2148" t="s">
        <v>4089</v>
      </c>
      <c r="D2148" t="s">
        <v>1761</v>
      </c>
      <c r="E2148" t="s">
        <v>1762</v>
      </c>
      <c r="F2148" s="3">
        <v>44327</v>
      </c>
      <c r="G2148" s="2">
        <v>80</v>
      </c>
      <c r="H2148" s="1">
        <v>1607.2</v>
      </c>
      <c r="I2148" t="s">
        <v>3596</v>
      </c>
      <c r="J2148" s="2">
        <v>1</v>
      </c>
      <c r="K2148" t="s">
        <v>13</v>
      </c>
      <c r="L2148" t="s">
        <v>21</v>
      </c>
      <c r="M2148" t="s">
        <v>1165</v>
      </c>
    </row>
    <row r="2149" spans="1:13" x14ac:dyDescent="0.25">
      <c r="A2149" s="5">
        <v>44407</v>
      </c>
      <c r="B2149" s="2">
        <v>0</v>
      </c>
      <c r="C2149" t="s">
        <v>4090</v>
      </c>
      <c r="D2149" t="s">
        <v>3372</v>
      </c>
      <c r="E2149" t="s">
        <v>3373</v>
      </c>
      <c r="F2149" s="3">
        <v>44302</v>
      </c>
      <c r="G2149" s="2">
        <v>105</v>
      </c>
      <c r="H2149" s="1">
        <v>677.17</v>
      </c>
      <c r="I2149" t="s">
        <v>3598</v>
      </c>
      <c r="J2149" s="2">
        <v>1</v>
      </c>
      <c r="K2149" t="s">
        <v>13</v>
      </c>
      <c r="L2149" t="s">
        <v>21</v>
      </c>
      <c r="M2149" t="s">
        <v>3375</v>
      </c>
    </row>
    <row r="2150" spans="1:13" x14ac:dyDescent="0.25">
      <c r="A2150" s="5">
        <v>44407</v>
      </c>
      <c r="B2150" s="2">
        <v>0</v>
      </c>
      <c r="C2150" t="s">
        <v>4091</v>
      </c>
      <c r="D2150" t="s">
        <v>3372</v>
      </c>
      <c r="E2150" t="s">
        <v>3373</v>
      </c>
      <c r="F2150" s="3">
        <v>44322</v>
      </c>
      <c r="G2150" s="2">
        <v>85</v>
      </c>
      <c r="H2150" s="1">
        <v>1033.24</v>
      </c>
      <c r="I2150" t="s">
        <v>3600</v>
      </c>
      <c r="J2150" s="2">
        <v>1</v>
      </c>
      <c r="K2150" t="s">
        <v>13</v>
      </c>
      <c r="L2150" t="s">
        <v>21</v>
      </c>
      <c r="M2150" t="s">
        <v>3375</v>
      </c>
    </row>
    <row r="2151" spans="1:13" x14ac:dyDescent="0.25">
      <c r="A2151" s="5">
        <v>44407</v>
      </c>
      <c r="B2151" s="2">
        <v>0</v>
      </c>
      <c r="C2151" t="s">
        <v>4092</v>
      </c>
      <c r="D2151" t="s">
        <v>3372</v>
      </c>
      <c r="E2151" t="s">
        <v>3373</v>
      </c>
      <c r="F2151" s="3">
        <v>44337</v>
      </c>
      <c r="G2151" s="2">
        <v>70</v>
      </c>
      <c r="H2151" s="1">
        <v>1037.3900000000001</v>
      </c>
      <c r="I2151" t="s">
        <v>3602</v>
      </c>
      <c r="J2151" s="2">
        <v>1</v>
      </c>
      <c r="K2151" t="s">
        <v>13</v>
      </c>
      <c r="L2151" t="s">
        <v>21</v>
      </c>
      <c r="M2151" t="s">
        <v>3375</v>
      </c>
    </row>
    <row r="2152" spans="1:13" x14ac:dyDescent="0.25">
      <c r="A2152" s="5">
        <v>44407</v>
      </c>
      <c r="B2152" s="2">
        <v>0</v>
      </c>
      <c r="C2152" t="s">
        <v>4093</v>
      </c>
      <c r="D2152" t="s">
        <v>3372</v>
      </c>
      <c r="E2152" t="s">
        <v>3373</v>
      </c>
      <c r="F2152" s="3">
        <v>44347</v>
      </c>
      <c r="G2152" s="2">
        <v>60</v>
      </c>
      <c r="H2152" s="1">
        <v>1954.64</v>
      </c>
      <c r="I2152" t="s">
        <v>4094</v>
      </c>
      <c r="J2152" s="2">
        <v>1</v>
      </c>
      <c r="K2152" t="s">
        <v>13</v>
      </c>
      <c r="L2152" t="s">
        <v>21</v>
      </c>
      <c r="M2152" t="s">
        <v>3375</v>
      </c>
    </row>
    <row r="2153" spans="1:13" x14ac:dyDescent="0.25">
      <c r="A2153" s="5">
        <v>44407</v>
      </c>
      <c r="B2153" s="2">
        <v>0</v>
      </c>
      <c r="C2153" t="s">
        <v>4095</v>
      </c>
      <c r="D2153" t="s">
        <v>1983</v>
      </c>
      <c r="E2153" t="s">
        <v>1984</v>
      </c>
      <c r="F2153" s="3">
        <v>44337</v>
      </c>
      <c r="G2153" s="2">
        <v>70</v>
      </c>
      <c r="H2153" s="1">
        <v>1503.77</v>
      </c>
      <c r="I2153" t="s">
        <v>4096</v>
      </c>
      <c r="J2153" s="2">
        <v>1</v>
      </c>
      <c r="K2153" t="s">
        <v>13</v>
      </c>
      <c r="L2153" t="s">
        <v>21</v>
      </c>
      <c r="M2153" t="s">
        <v>1566</v>
      </c>
    </row>
    <row r="2154" spans="1:13" x14ac:dyDescent="0.25">
      <c r="A2154" s="5">
        <v>44407</v>
      </c>
      <c r="B2154" s="2">
        <v>0</v>
      </c>
      <c r="C2154" t="s">
        <v>4097</v>
      </c>
      <c r="D2154" t="s">
        <v>718</v>
      </c>
      <c r="E2154" t="s">
        <v>719</v>
      </c>
      <c r="F2154" s="3">
        <v>44337</v>
      </c>
      <c r="G2154" s="2">
        <v>70</v>
      </c>
      <c r="H2154" s="1">
        <v>443.71</v>
      </c>
      <c r="I2154" t="s">
        <v>4098</v>
      </c>
      <c r="J2154" s="2">
        <v>1</v>
      </c>
      <c r="K2154" t="s">
        <v>13</v>
      </c>
      <c r="L2154" t="s">
        <v>1682</v>
      </c>
      <c r="M2154" t="s">
        <v>15</v>
      </c>
    </row>
    <row r="2155" spans="1:13" x14ac:dyDescent="0.25">
      <c r="A2155" s="5">
        <v>44407</v>
      </c>
      <c r="B2155" s="2">
        <v>0</v>
      </c>
      <c r="C2155" t="s">
        <v>4099</v>
      </c>
      <c r="D2155" t="s">
        <v>2038</v>
      </c>
      <c r="E2155" t="s">
        <v>1997</v>
      </c>
      <c r="F2155" s="3">
        <v>44357</v>
      </c>
      <c r="G2155" s="2">
        <v>50</v>
      </c>
      <c r="H2155" s="1">
        <v>359.88</v>
      </c>
      <c r="I2155" t="s">
        <v>4100</v>
      </c>
      <c r="J2155" s="2">
        <v>1</v>
      </c>
      <c r="K2155" t="s">
        <v>13</v>
      </c>
      <c r="L2155" t="s">
        <v>21</v>
      </c>
      <c r="M2155" t="s">
        <v>15</v>
      </c>
    </row>
    <row r="2156" spans="1:13" x14ac:dyDescent="0.25">
      <c r="A2156" s="5">
        <v>44407</v>
      </c>
      <c r="B2156" s="2">
        <v>0</v>
      </c>
      <c r="C2156" t="s">
        <v>4101</v>
      </c>
      <c r="D2156" t="s">
        <v>1421</v>
      </c>
      <c r="E2156" t="s">
        <v>1422</v>
      </c>
      <c r="F2156" s="3">
        <v>44337</v>
      </c>
      <c r="G2156" s="2">
        <v>70</v>
      </c>
      <c r="H2156" s="1">
        <v>308.75</v>
      </c>
      <c r="I2156" t="s">
        <v>3076</v>
      </c>
      <c r="J2156" s="2">
        <v>1</v>
      </c>
      <c r="K2156" t="s">
        <v>13</v>
      </c>
      <c r="L2156" t="s">
        <v>1493</v>
      </c>
      <c r="M2156" t="s">
        <v>1357</v>
      </c>
    </row>
    <row r="2157" spans="1:13" x14ac:dyDescent="0.25">
      <c r="A2157" s="5">
        <v>44407</v>
      </c>
      <c r="B2157" s="2">
        <v>0</v>
      </c>
      <c r="C2157" t="s">
        <v>4102</v>
      </c>
      <c r="D2157" t="s">
        <v>1421</v>
      </c>
      <c r="E2157" t="s">
        <v>1422</v>
      </c>
      <c r="F2157" s="3">
        <v>44347</v>
      </c>
      <c r="G2157" s="2">
        <v>60</v>
      </c>
      <c r="H2157" s="1">
        <v>397.89</v>
      </c>
      <c r="I2157" t="s">
        <v>4103</v>
      </c>
      <c r="J2157" s="2">
        <v>1</v>
      </c>
      <c r="K2157" t="s">
        <v>13</v>
      </c>
      <c r="L2157" t="s">
        <v>1493</v>
      </c>
      <c r="M2157" t="s">
        <v>1357</v>
      </c>
    </row>
    <row r="2158" spans="1:13" x14ac:dyDescent="0.25">
      <c r="A2158" s="5">
        <v>44407</v>
      </c>
      <c r="B2158" s="2">
        <v>0</v>
      </c>
      <c r="C2158" t="s">
        <v>4104</v>
      </c>
      <c r="D2158" t="s">
        <v>1421</v>
      </c>
      <c r="E2158" t="s">
        <v>1422</v>
      </c>
      <c r="F2158" s="3">
        <v>44362</v>
      </c>
      <c r="G2158" s="2">
        <v>45</v>
      </c>
      <c r="H2158" s="1">
        <v>387.13</v>
      </c>
      <c r="I2158" t="s">
        <v>4105</v>
      </c>
      <c r="J2158" s="2">
        <v>1</v>
      </c>
      <c r="K2158" t="s">
        <v>13</v>
      </c>
      <c r="L2158" t="s">
        <v>1493</v>
      </c>
      <c r="M2158" t="s">
        <v>1357</v>
      </c>
    </row>
    <row r="2159" spans="1:13" x14ac:dyDescent="0.25">
      <c r="A2159" s="5">
        <v>44407</v>
      </c>
      <c r="B2159" s="2">
        <v>0</v>
      </c>
      <c r="C2159" t="s">
        <v>4106</v>
      </c>
      <c r="D2159" t="s">
        <v>2496</v>
      </c>
      <c r="E2159" t="s">
        <v>2497</v>
      </c>
      <c r="F2159" s="3">
        <v>43690</v>
      </c>
      <c r="G2159" s="2">
        <v>717</v>
      </c>
      <c r="H2159" s="1">
        <v>500</v>
      </c>
      <c r="I2159" t="s">
        <v>4107</v>
      </c>
      <c r="J2159" s="2">
        <v>1</v>
      </c>
      <c r="K2159" t="s">
        <v>13</v>
      </c>
      <c r="L2159" t="s">
        <v>1682</v>
      </c>
      <c r="M2159" t="s">
        <v>15</v>
      </c>
    </row>
    <row r="2160" spans="1:13" x14ac:dyDescent="0.25">
      <c r="A2160" s="5">
        <v>44407</v>
      </c>
      <c r="B2160" s="2">
        <v>0</v>
      </c>
      <c r="C2160" t="s">
        <v>4108</v>
      </c>
      <c r="D2160" t="s">
        <v>4109</v>
      </c>
      <c r="E2160" t="s">
        <v>4110</v>
      </c>
      <c r="F2160" s="3">
        <v>44312</v>
      </c>
      <c r="G2160" s="2">
        <v>95</v>
      </c>
      <c r="H2160" s="1">
        <v>410.61</v>
      </c>
      <c r="I2160" t="s">
        <v>4111</v>
      </c>
      <c r="J2160" s="2">
        <v>1</v>
      </c>
      <c r="K2160" t="s">
        <v>13</v>
      </c>
      <c r="L2160" t="s">
        <v>830</v>
      </c>
      <c r="M2160" t="s">
        <v>2289</v>
      </c>
    </row>
    <row r="2161" spans="1:13" x14ac:dyDescent="0.25">
      <c r="A2161" s="5">
        <v>44407</v>
      </c>
      <c r="B2161" s="2">
        <v>0</v>
      </c>
      <c r="C2161" t="s">
        <v>4112</v>
      </c>
      <c r="D2161" t="s">
        <v>2112</v>
      </c>
      <c r="E2161" t="s">
        <v>2204</v>
      </c>
      <c r="F2161" s="3">
        <v>44322</v>
      </c>
      <c r="G2161" s="2">
        <v>85</v>
      </c>
      <c r="H2161" s="1">
        <v>772.21</v>
      </c>
      <c r="I2161" t="s">
        <v>4113</v>
      </c>
      <c r="J2161" s="2">
        <v>1</v>
      </c>
      <c r="K2161" t="s">
        <v>13</v>
      </c>
      <c r="L2161" t="s">
        <v>830</v>
      </c>
      <c r="M2161" t="s">
        <v>1213</v>
      </c>
    </row>
    <row r="2162" spans="1:13" x14ac:dyDescent="0.25">
      <c r="A2162" s="5">
        <v>44407</v>
      </c>
      <c r="B2162" s="2">
        <v>0</v>
      </c>
      <c r="C2162" t="s">
        <v>4114</v>
      </c>
      <c r="D2162" t="s">
        <v>2112</v>
      </c>
      <c r="E2162" t="s">
        <v>2204</v>
      </c>
      <c r="F2162" s="3">
        <v>44337</v>
      </c>
      <c r="G2162" s="2">
        <v>70</v>
      </c>
      <c r="H2162" s="1">
        <v>1460.94</v>
      </c>
      <c r="I2162" t="s">
        <v>4115</v>
      </c>
      <c r="J2162" s="2">
        <v>1</v>
      </c>
      <c r="K2162" t="s">
        <v>13</v>
      </c>
      <c r="L2162" t="s">
        <v>830</v>
      </c>
      <c r="M2162" t="s">
        <v>1213</v>
      </c>
    </row>
    <row r="2163" spans="1:13" x14ac:dyDescent="0.25">
      <c r="A2163" s="5">
        <v>44407</v>
      </c>
      <c r="B2163" s="2">
        <v>0</v>
      </c>
      <c r="C2163" t="s">
        <v>4116</v>
      </c>
      <c r="D2163" t="s">
        <v>2112</v>
      </c>
      <c r="E2163" t="s">
        <v>2204</v>
      </c>
      <c r="F2163" s="3">
        <v>44337</v>
      </c>
      <c r="G2163" s="2">
        <v>70</v>
      </c>
      <c r="H2163" s="1">
        <v>2443</v>
      </c>
      <c r="I2163" t="s">
        <v>4117</v>
      </c>
      <c r="J2163" s="2">
        <v>1</v>
      </c>
      <c r="K2163" t="s">
        <v>13</v>
      </c>
      <c r="L2163" t="s">
        <v>830</v>
      </c>
      <c r="M2163" t="s">
        <v>1213</v>
      </c>
    </row>
    <row r="2164" spans="1:13" x14ac:dyDescent="0.25">
      <c r="A2164" s="5">
        <v>44407</v>
      </c>
      <c r="B2164" s="2">
        <v>0</v>
      </c>
      <c r="C2164" t="s">
        <v>4118</v>
      </c>
      <c r="D2164" t="s">
        <v>2112</v>
      </c>
      <c r="E2164" t="s">
        <v>2204</v>
      </c>
      <c r="F2164" s="3">
        <v>44347</v>
      </c>
      <c r="G2164" s="2">
        <v>60</v>
      </c>
      <c r="H2164" s="1">
        <v>2232.5300000000002</v>
      </c>
      <c r="I2164" t="s">
        <v>4119</v>
      </c>
      <c r="J2164" s="2">
        <v>1</v>
      </c>
      <c r="K2164" t="s">
        <v>13</v>
      </c>
      <c r="L2164" t="s">
        <v>830</v>
      </c>
      <c r="M2164" t="s">
        <v>1213</v>
      </c>
    </row>
    <row r="2165" spans="1:13" x14ac:dyDescent="0.25">
      <c r="A2165" s="5">
        <v>44407</v>
      </c>
      <c r="B2165" s="2">
        <v>0</v>
      </c>
      <c r="C2165" t="s">
        <v>4120</v>
      </c>
      <c r="D2165" t="s">
        <v>4121</v>
      </c>
      <c r="E2165" t="s">
        <v>4122</v>
      </c>
      <c r="F2165" s="3">
        <v>44377</v>
      </c>
      <c r="G2165" s="2">
        <v>30</v>
      </c>
      <c r="H2165" s="1">
        <v>289.60000000000002</v>
      </c>
      <c r="I2165" t="s">
        <v>4123</v>
      </c>
      <c r="J2165" s="2">
        <v>1</v>
      </c>
      <c r="K2165" t="s">
        <v>13</v>
      </c>
      <c r="L2165" t="s">
        <v>695</v>
      </c>
      <c r="M2165" t="s">
        <v>15</v>
      </c>
    </row>
    <row r="2166" spans="1:13" x14ac:dyDescent="0.25">
      <c r="A2166" s="5">
        <v>44407</v>
      </c>
      <c r="B2166" s="2">
        <v>0</v>
      </c>
      <c r="C2166" t="s">
        <v>4124</v>
      </c>
      <c r="D2166" t="s">
        <v>2746</v>
      </c>
      <c r="E2166" t="s">
        <v>2747</v>
      </c>
      <c r="F2166" s="3">
        <v>44357</v>
      </c>
      <c r="G2166" s="2">
        <v>50</v>
      </c>
      <c r="H2166" s="1">
        <v>545.71</v>
      </c>
      <c r="I2166" t="s">
        <v>4125</v>
      </c>
      <c r="J2166" s="2">
        <v>1</v>
      </c>
      <c r="K2166" t="s">
        <v>13</v>
      </c>
      <c r="L2166" t="s">
        <v>830</v>
      </c>
      <c r="M2166" t="s">
        <v>2748</v>
      </c>
    </row>
    <row r="2167" spans="1:13" x14ac:dyDescent="0.25">
      <c r="A2167" s="5">
        <v>44407</v>
      </c>
      <c r="B2167" s="2">
        <v>0</v>
      </c>
      <c r="C2167" t="s">
        <v>4126</v>
      </c>
      <c r="D2167" t="s">
        <v>4127</v>
      </c>
      <c r="E2167" t="s">
        <v>4128</v>
      </c>
      <c r="F2167" s="3">
        <v>44347</v>
      </c>
      <c r="G2167" s="2">
        <v>60</v>
      </c>
      <c r="H2167" s="1">
        <v>400.22</v>
      </c>
      <c r="I2167" t="s">
        <v>4129</v>
      </c>
      <c r="J2167" s="2">
        <v>1</v>
      </c>
      <c r="K2167" t="s">
        <v>13</v>
      </c>
      <c r="L2167" t="s">
        <v>830</v>
      </c>
      <c r="M2167" t="s">
        <v>4130</v>
      </c>
    </row>
    <row r="2168" spans="1:13" x14ac:dyDescent="0.25">
      <c r="A2168" s="5">
        <v>44407</v>
      </c>
      <c r="B2168" s="2">
        <v>0</v>
      </c>
      <c r="C2168" t="s">
        <v>4131</v>
      </c>
      <c r="D2168" t="s">
        <v>2806</v>
      </c>
      <c r="E2168" t="s">
        <v>2807</v>
      </c>
      <c r="F2168" s="3">
        <v>44327</v>
      </c>
      <c r="G2168" s="2">
        <v>80</v>
      </c>
      <c r="H2168" s="1">
        <v>544.26</v>
      </c>
      <c r="I2168" t="s">
        <v>2931</v>
      </c>
      <c r="J2168" s="2">
        <v>1</v>
      </c>
      <c r="K2168" t="s">
        <v>13</v>
      </c>
      <c r="L2168" t="s">
        <v>830</v>
      </c>
      <c r="M2168" t="s">
        <v>2748</v>
      </c>
    </row>
    <row r="2169" spans="1:13" x14ac:dyDescent="0.25">
      <c r="A2169" s="5">
        <v>44407</v>
      </c>
      <c r="B2169" s="2">
        <v>0</v>
      </c>
      <c r="C2169" t="s">
        <v>4132</v>
      </c>
      <c r="D2169" t="s">
        <v>4133</v>
      </c>
      <c r="E2169" t="s">
        <v>4134</v>
      </c>
      <c r="F2169" s="3">
        <v>44357</v>
      </c>
      <c r="G2169" s="2">
        <v>50</v>
      </c>
      <c r="H2169" s="1">
        <v>258.60000000000002</v>
      </c>
      <c r="I2169" t="s">
        <v>4135</v>
      </c>
      <c r="J2169" s="2">
        <v>1</v>
      </c>
      <c r="K2169" t="s">
        <v>13</v>
      </c>
      <c r="L2169" t="s">
        <v>1493</v>
      </c>
      <c r="M2169" t="s">
        <v>20</v>
      </c>
    </row>
    <row r="2170" spans="1:13" x14ac:dyDescent="0.25">
      <c r="A2170" s="5">
        <v>44407</v>
      </c>
      <c r="B2170" s="2">
        <v>0</v>
      </c>
      <c r="C2170" t="s">
        <v>4136</v>
      </c>
      <c r="D2170" t="s">
        <v>3012</v>
      </c>
      <c r="E2170" t="s">
        <v>2253</v>
      </c>
      <c r="F2170" s="3">
        <v>44327</v>
      </c>
      <c r="G2170" s="2">
        <v>80</v>
      </c>
      <c r="H2170" s="1">
        <v>485.26</v>
      </c>
      <c r="I2170" t="s">
        <v>4137</v>
      </c>
      <c r="J2170" s="2">
        <v>1</v>
      </c>
      <c r="K2170" t="s">
        <v>13</v>
      </c>
      <c r="L2170" t="s">
        <v>830</v>
      </c>
      <c r="M2170" t="s">
        <v>2254</v>
      </c>
    </row>
    <row r="2171" spans="1:13" x14ac:dyDescent="0.25">
      <c r="A2171" s="5">
        <v>44407</v>
      </c>
      <c r="B2171" s="2">
        <v>0</v>
      </c>
      <c r="C2171" t="s">
        <v>4138</v>
      </c>
      <c r="D2171" t="s">
        <v>3765</v>
      </c>
      <c r="E2171" t="s">
        <v>3766</v>
      </c>
      <c r="F2171" s="3">
        <v>44392</v>
      </c>
      <c r="G2171" s="2">
        <v>15</v>
      </c>
      <c r="H2171" s="1">
        <v>1190.3399999999999</v>
      </c>
      <c r="I2171" t="s">
        <v>4139</v>
      </c>
      <c r="J2171" s="2">
        <v>1</v>
      </c>
      <c r="K2171" t="s">
        <v>13</v>
      </c>
      <c r="L2171" t="s">
        <v>2126</v>
      </c>
      <c r="M2171" t="s">
        <v>3768</v>
      </c>
    </row>
    <row r="2172" spans="1:13" x14ac:dyDescent="0.25">
      <c r="A2172" s="5">
        <v>44407</v>
      </c>
      <c r="B2172" s="2">
        <v>0</v>
      </c>
      <c r="C2172" t="s">
        <v>4140</v>
      </c>
      <c r="D2172" t="s">
        <v>2836</v>
      </c>
      <c r="E2172" t="s">
        <v>2837</v>
      </c>
      <c r="F2172" s="3">
        <v>44337</v>
      </c>
      <c r="G2172" s="2">
        <v>70</v>
      </c>
      <c r="H2172" s="1">
        <v>766.35</v>
      </c>
      <c r="I2172" t="s">
        <v>3611</v>
      </c>
      <c r="J2172" s="2">
        <v>1</v>
      </c>
      <c r="K2172" t="s">
        <v>13</v>
      </c>
      <c r="L2172" t="s">
        <v>671</v>
      </c>
      <c r="M2172" t="s">
        <v>15</v>
      </c>
    </row>
    <row r="2173" spans="1:13" x14ac:dyDescent="0.25">
      <c r="A2173" s="5">
        <v>44407</v>
      </c>
      <c r="B2173" s="2">
        <v>0</v>
      </c>
      <c r="C2173" t="s">
        <v>4141</v>
      </c>
      <c r="D2173" t="s">
        <v>1450</v>
      </c>
      <c r="E2173" t="s">
        <v>1451</v>
      </c>
      <c r="F2173" s="3">
        <v>44327</v>
      </c>
      <c r="G2173" s="2">
        <v>80</v>
      </c>
      <c r="H2173" s="1">
        <v>382.64</v>
      </c>
      <c r="I2173" t="s">
        <v>3085</v>
      </c>
      <c r="J2173" s="2">
        <v>1</v>
      </c>
      <c r="K2173" t="s">
        <v>13</v>
      </c>
      <c r="L2173" t="s">
        <v>21</v>
      </c>
      <c r="M2173" t="s">
        <v>15</v>
      </c>
    </row>
    <row r="2174" spans="1:13" x14ac:dyDescent="0.25">
      <c r="A2174" s="5">
        <v>44407</v>
      </c>
      <c r="B2174" s="2">
        <v>0</v>
      </c>
      <c r="C2174" t="s">
        <v>4142</v>
      </c>
      <c r="D2174" t="s">
        <v>1450</v>
      </c>
      <c r="E2174" t="s">
        <v>1451</v>
      </c>
      <c r="F2174" s="3">
        <v>44337</v>
      </c>
      <c r="G2174" s="2">
        <v>70</v>
      </c>
      <c r="H2174" s="1">
        <v>314.77</v>
      </c>
      <c r="I2174" t="s">
        <v>3086</v>
      </c>
      <c r="J2174" s="2">
        <v>1</v>
      </c>
      <c r="K2174" t="s">
        <v>13</v>
      </c>
      <c r="L2174" t="s">
        <v>21</v>
      </c>
      <c r="M2174" t="s">
        <v>15</v>
      </c>
    </row>
    <row r="2175" spans="1:13" x14ac:dyDescent="0.25">
      <c r="A2175" s="5">
        <v>44407</v>
      </c>
      <c r="B2175" s="2">
        <v>0</v>
      </c>
      <c r="C2175" t="s">
        <v>4143</v>
      </c>
      <c r="D2175" t="s">
        <v>1450</v>
      </c>
      <c r="E2175" t="s">
        <v>1451</v>
      </c>
      <c r="F2175" s="3">
        <v>44342</v>
      </c>
      <c r="G2175" s="2">
        <v>65</v>
      </c>
      <c r="H2175" s="1">
        <v>240.15</v>
      </c>
      <c r="I2175" t="s">
        <v>3360</v>
      </c>
      <c r="J2175" s="2">
        <v>1</v>
      </c>
      <c r="K2175" t="s">
        <v>13</v>
      </c>
      <c r="L2175" t="s">
        <v>21</v>
      </c>
      <c r="M2175" t="s">
        <v>15</v>
      </c>
    </row>
    <row r="2176" spans="1:13" x14ac:dyDescent="0.25">
      <c r="A2176" s="5">
        <v>44407</v>
      </c>
      <c r="B2176" s="2">
        <v>0</v>
      </c>
      <c r="C2176" t="s">
        <v>4144</v>
      </c>
      <c r="D2176" t="s">
        <v>4145</v>
      </c>
      <c r="E2176" t="s">
        <v>4146</v>
      </c>
      <c r="F2176" s="3">
        <v>44347</v>
      </c>
      <c r="G2176" s="2">
        <v>60</v>
      </c>
      <c r="H2176" s="1">
        <v>118.32</v>
      </c>
      <c r="I2176" t="s">
        <v>4147</v>
      </c>
      <c r="J2176" s="2">
        <v>1</v>
      </c>
      <c r="K2176" t="s">
        <v>13</v>
      </c>
      <c r="L2176" t="s">
        <v>830</v>
      </c>
      <c r="M2176" t="s">
        <v>4148</v>
      </c>
    </row>
    <row r="2177" spans="1:13" x14ac:dyDescent="0.25">
      <c r="A2177" s="5">
        <v>44407</v>
      </c>
      <c r="B2177" s="2">
        <v>0</v>
      </c>
      <c r="C2177" t="s">
        <v>4149</v>
      </c>
      <c r="D2177" t="s">
        <v>3361</v>
      </c>
      <c r="E2177" t="s">
        <v>3362</v>
      </c>
      <c r="F2177" s="3">
        <v>44347</v>
      </c>
      <c r="G2177" s="2">
        <v>60</v>
      </c>
      <c r="H2177" s="1">
        <v>451.87</v>
      </c>
      <c r="I2177" t="s">
        <v>4150</v>
      </c>
      <c r="J2177" s="2">
        <v>1</v>
      </c>
      <c r="K2177" t="s">
        <v>13</v>
      </c>
      <c r="L2177" t="s">
        <v>695</v>
      </c>
      <c r="M2177" t="s">
        <v>90</v>
      </c>
    </row>
    <row r="2178" spans="1:13" x14ac:dyDescent="0.25">
      <c r="A2178" s="5">
        <v>44407</v>
      </c>
      <c r="B2178" s="2">
        <v>0</v>
      </c>
      <c r="C2178" t="s">
        <v>4151</v>
      </c>
      <c r="D2178" t="s">
        <v>4152</v>
      </c>
      <c r="E2178" t="s">
        <v>4153</v>
      </c>
      <c r="F2178" s="3">
        <v>44362</v>
      </c>
      <c r="G2178" s="2">
        <v>45</v>
      </c>
      <c r="H2178" s="1">
        <v>683.67</v>
      </c>
      <c r="I2178" t="s">
        <v>4154</v>
      </c>
      <c r="J2178" s="2">
        <v>1</v>
      </c>
      <c r="K2178" t="s">
        <v>13</v>
      </c>
      <c r="L2178" t="s">
        <v>2126</v>
      </c>
      <c r="M2178" t="s">
        <v>637</v>
      </c>
    </row>
    <row r="2179" spans="1:13" x14ac:dyDescent="0.25">
      <c r="A2179" s="5">
        <v>44407</v>
      </c>
      <c r="B2179" s="2">
        <v>0</v>
      </c>
      <c r="C2179" t="s">
        <v>4155</v>
      </c>
      <c r="D2179" t="s">
        <v>3405</v>
      </c>
      <c r="E2179" t="s">
        <v>3406</v>
      </c>
      <c r="F2179" s="3">
        <v>44347</v>
      </c>
      <c r="G2179" s="2">
        <v>60</v>
      </c>
      <c r="H2179" s="1">
        <v>469.49</v>
      </c>
      <c r="I2179" t="s">
        <v>4156</v>
      </c>
      <c r="J2179" s="2">
        <v>1</v>
      </c>
      <c r="K2179" t="s">
        <v>13</v>
      </c>
      <c r="L2179" t="s">
        <v>1493</v>
      </c>
      <c r="M2179" t="s">
        <v>2107</v>
      </c>
    </row>
    <row r="2180" spans="1:13" x14ac:dyDescent="0.25">
      <c r="A2180" s="5">
        <v>44407</v>
      </c>
      <c r="B2180" s="2">
        <v>0</v>
      </c>
      <c r="C2180" t="s">
        <v>4157</v>
      </c>
      <c r="D2180" t="s">
        <v>4158</v>
      </c>
      <c r="E2180" t="s">
        <v>4159</v>
      </c>
      <c r="F2180" s="3">
        <v>44393</v>
      </c>
      <c r="G2180" s="2">
        <v>14</v>
      </c>
      <c r="H2180" s="1">
        <v>292.22000000000003</v>
      </c>
      <c r="I2180" t="s">
        <v>4160</v>
      </c>
      <c r="J2180" s="2">
        <v>1</v>
      </c>
      <c r="K2180" t="s">
        <v>13</v>
      </c>
      <c r="L2180" t="s">
        <v>695</v>
      </c>
      <c r="M2180" t="s">
        <v>15</v>
      </c>
    </row>
    <row r="2181" spans="1:13" x14ac:dyDescent="0.25">
      <c r="A2181" s="5">
        <v>44407</v>
      </c>
      <c r="B2181" s="2">
        <v>0</v>
      </c>
      <c r="C2181" t="s">
        <v>4161</v>
      </c>
      <c r="D2181" t="s">
        <v>3323</v>
      </c>
      <c r="E2181" t="s">
        <v>3324</v>
      </c>
      <c r="F2181" s="3">
        <v>44347</v>
      </c>
      <c r="G2181" s="2">
        <v>60</v>
      </c>
      <c r="H2181" s="1">
        <v>380.26</v>
      </c>
      <c r="I2181" t="s">
        <v>4162</v>
      </c>
      <c r="J2181" s="2">
        <v>1</v>
      </c>
      <c r="K2181" t="s">
        <v>13</v>
      </c>
      <c r="L2181" t="s">
        <v>554</v>
      </c>
      <c r="M2181" t="s">
        <v>1407</v>
      </c>
    </row>
    <row r="2182" spans="1:13" x14ac:dyDescent="0.25">
      <c r="A2182" s="5">
        <v>44407</v>
      </c>
      <c r="B2182" s="2">
        <v>0</v>
      </c>
      <c r="C2182" t="s">
        <v>4163</v>
      </c>
      <c r="D2182" t="s">
        <v>2370</v>
      </c>
      <c r="E2182" t="s">
        <v>2371</v>
      </c>
      <c r="F2182" s="3">
        <v>44327</v>
      </c>
      <c r="G2182" s="2">
        <v>80</v>
      </c>
      <c r="H2182" s="1">
        <v>395.32</v>
      </c>
      <c r="I2182" t="s">
        <v>4164</v>
      </c>
      <c r="J2182" s="2">
        <v>1</v>
      </c>
      <c r="K2182" t="s">
        <v>13</v>
      </c>
      <c r="L2182" t="s">
        <v>695</v>
      </c>
      <c r="M2182" t="s">
        <v>90</v>
      </c>
    </row>
    <row r="2183" spans="1:13" x14ac:dyDescent="0.25">
      <c r="A2183" s="5">
        <v>44407</v>
      </c>
      <c r="B2183" s="2">
        <v>0</v>
      </c>
      <c r="C2183" t="s">
        <v>4165</v>
      </c>
      <c r="D2183" t="s">
        <v>2370</v>
      </c>
      <c r="E2183" t="s">
        <v>2371</v>
      </c>
      <c r="F2183" s="3">
        <v>44337</v>
      </c>
      <c r="G2183" s="2">
        <v>70</v>
      </c>
      <c r="H2183" s="1">
        <v>327.68</v>
      </c>
      <c r="I2183" t="s">
        <v>4166</v>
      </c>
      <c r="J2183" s="2">
        <v>1</v>
      </c>
      <c r="K2183" t="s">
        <v>13</v>
      </c>
      <c r="L2183" t="s">
        <v>695</v>
      </c>
      <c r="M2183" t="s">
        <v>90</v>
      </c>
    </row>
    <row r="2184" spans="1:13" x14ac:dyDescent="0.25">
      <c r="A2184" s="5">
        <v>44407</v>
      </c>
      <c r="B2184" s="2">
        <v>0</v>
      </c>
      <c r="C2184" t="s">
        <v>4167</v>
      </c>
      <c r="D2184" t="s">
        <v>3128</v>
      </c>
      <c r="E2184" t="s">
        <v>3129</v>
      </c>
      <c r="F2184" s="3">
        <v>44347</v>
      </c>
      <c r="G2184" s="2">
        <v>60</v>
      </c>
      <c r="H2184" s="1">
        <v>441.02</v>
      </c>
      <c r="I2184" t="s">
        <v>4168</v>
      </c>
      <c r="J2184" s="2">
        <v>1</v>
      </c>
      <c r="K2184" t="s">
        <v>13</v>
      </c>
      <c r="L2184" t="s">
        <v>830</v>
      </c>
      <c r="M2184" t="s">
        <v>43</v>
      </c>
    </row>
    <row r="2185" spans="1:13" x14ac:dyDescent="0.25">
      <c r="A2185" s="5">
        <v>44407</v>
      </c>
      <c r="B2185" s="2">
        <v>0</v>
      </c>
      <c r="C2185" t="s">
        <v>4169</v>
      </c>
      <c r="D2185" t="s">
        <v>3128</v>
      </c>
      <c r="E2185" t="s">
        <v>3129</v>
      </c>
      <c r="F2185" s="3">
        <v>44357</v>
      </c>
      <c r="G2185" s="2">
        <v>50</v>
      </c>
      <c r="H2185" s="1">
        <v>317.23</v>
      </c>
      <c r="I2185" t="s">
        <v>4170</v>
      </c>
      <c r="J2185" s="2">
        <v>1</v>
      </c>
      <c r="K2185" t="s">
        <v>13</v>
      </c>
      <c r="L2185" t="s">
        <v>830</v>
      </c>
      <c r="M2185" t="s">
        <v>43</v>
      </c>
    </row>
    <row r="2186" spans="1:13" x14ac:dyDescent="0.25">
      <c r="A2186" s="5">
        <v>44407</v>
      </c>
      <c r="B2186" s="2">
        <v>0</v>
      </c>
      <c r="C2186" t="s">
        <v>4171</v>
      </c>
      <c r="D2186" t="s">
        <v>4172</v>
      </c>
      <c r="E2186" t="s">
        <v>4173</v>
      </c>
      <c r="F2186" s="3">
        <v>44357</v>
      </c>
      <c r="G2186" s="2">
        <v>50</v>
      </c>
      <c r="H2186" s="1">
        <v>1203.33</v>
      </c>
      <c r="I2186" t="s">
        <v>4174</v>
      </c>
      <c r="J2186" s="2">
        <v>1</v>
      </c>
      <c r="K2186" t="s">
        <v>13</v>
      </c>
      <c r="L2186" t="s">
        <v>695</v>
      </c>
      <c r="M2186" t="s">
        <v>90</v>
      </c>
    </row>
    <row r="2187" spans="1:13" x14ac:dyDescent="0.25">
      <c r="A2187" s="5">
        <v>44407</v>
      </c>
      <c r="B2187" s="2">
        <v>0</v>
      </c>
      <c r="C2187" t="s">
        <v>4175</v>
      </c>
      <c r="D2187" t="s">
        <v>3363</v>
      </c>
      <c r="E2187" t="s">
        <v>3364</v>
      </c>
      <c r="F2187" s="3">
        <v>44347</v>
      </c>
      <c r="G2187" s="2">
        <v>60</v>
      </c>
      <c r="H2187" s="1">
        <v>468.11</v>
      </c>
      <c r="I2187" t="s">
        <v>4176</v>
      </c>
      <c r="J2187" s="2">
        <v>1</v>
      </c>
      <c r="K2187" t="s">
        <v>13</v>
      </c>
      <c r="L2187" t="s">
        <v>830</v>
      </c>
      <c r="M2187" t="s">
        <v>2254</v>
      </c>
    </row>
    <row r="2188" spans="1:13" x14ac:dyDescent="0.25">
      <c r="A2188" s="5">
        <v>44407</v>
      </c>
      <c r="B2188" s="2">
        <v>0</v>
      </c>
      <c r="C2188" t="s">
        <v>4177</v>
      </c>
      <c r="D2188" t="s">
        <v>3363</v>
      </c>
      <c r="E2188" t="s">
        <v>3364</v>
      </c>
      <c r="F2188" s="3">
        <v>44347</v>
      </c>
      <c r="G2188" s="2">
        <v>60</v>
      </c>
      <c r="H2188" s="1">
        <v>433.15</v>
      </c>
      <c r="I2188" t="s">
        <v>4178</v>
      </c>
      <c r="J2188" s="2">
        <v>1</v>
      </c>
      <c r="K2188" t="s">
        <v>13</v>
      </c>
      <c r="L2188" t="s">
        <v>830</v>
      </c>
      <c r="M2188" t="s">
        <v>2254</v>
      </c>
    </row>
    <row r="2189" spans="1:13" x14ac:dyDescent="0.25">
      <c r="A2189" s="5">
        <v>44407</v>
      </c>
      <c r="B2189" s="2">
        <v>0</v>
      </c>
      <c r="C2189" t="s">
        <v>4179</v>
      </c>
      <c r="D2189" t="s">
        <v>2519</v>
      </c>
      <c r="E2189" t="s">
        <v>2520</v>
      </c>
      <c r="F2189" s="3">
        <v>44347</v>
      </c>
      <c r="G2189" s="2">
        <v>60</v>
      </c>
      <c r="H2189" s="1">
        <v>406.04</v>
      </c>
      <c r="I2189" t="s">
        <v>4180</v>
      </c>
      <c r="J2189" s="2">
        <v>1</v>
      </c>
      <c r="K2189" t="s">
        <v>13</v>
      </c>
      <c r="L2189" t="s">
        <v>554</v>
      </c>
      <c r="M2189" t="s">
        <v>81</v>
      </c>
    </row>
    <row r="2197" spans="1:13" x14ac:dyDescent="0.25">
      <c r="A2197" s="5">
        <v>44382</v>
      </c>
      <c r="B2197" s="2">
        <v>0</v>
      </c>
      <c r="C2197" t="s">
        <v>3169</v>
      </c>
      <c r="D2197" t="s">
        <v>2215</v>
      </c>
      <c r="E2197" t="s">
        <v>2216</v>
      </c>
      <c r="F2197" s="3">
        <v>44302</v>
      </c>
      <c r="G2197" s="2">
        <v>80</v>
      </c>
      <c r="H2197" s="1">
        <v>1368.74</v>
      </c>
      <c r="I2197" t="s">
        <v>3170</v>
      </c>
      <c r="J2197" s="2">
        <v>1</v>
      </c>
      <c r="K2197" t="s">
        <v>13</v>
      </c>
      <c r="L2197" t="s">
        <v>21</v>
      </c>
      <c r="M2197" t="s">
        <v>2217</v>
      </c>
    </row>
    <row r="2198" spans="1:13" x14ac:dyDescent="0.25">
      <c r="A2198" s="5">
        <v>44382</v>
      </c>
      <c r="B2198" s="2">
        <v>0</v>
      </c>
      <c r="C2198" t="s">
        <v>3171</v>
      </c>
      <c r="D2198" t="s">
        <v>1450</v>
      </c>
      <c r="E2198" t="s">
        <v>1451</v>
      </c>
      <c r="F2198" s="3">
        <v>44267</v>
      </c>
      <c r="G2198" s="2">
        <v>115</v>
      </c>
      <c r="H2198" s="1">
        <v>253.32</v>
      </c>
      <c r="I2198" t="s">
        <v>3172</v>
      </c>
      <c r="J2198" s="2">
        <v>1</v>
      </c>
      <c r="K2198" t="s">
        <v>13</v>
      </c>
      <c r="L2198" t="s">
        <v>21</v>
      </c>
      <c r="M2198" t="s">
        <v>15</v>
      </c>
    </row>
    <row r="2199" spans="1:13" x14ac:dyDescent="0.25">
      <c r="A2199" s="5">
        <v>44382</v>
      </c>
      <c r="B2199" s="2">
        <v>0</v>
      </c>
      <c r="C2199" t="s">
        <v>3173</v>
      </c>
      <c r="D2199" t="s">
        <v>1450</v>
      </c>
      <c r="E2199" t="s">
        <v>1451</v>
      </c>
      <c r="F2199" s="3">
        <v>44292</v>
      </c>
      <c r="G2199" s="2">
        <v>90</v>
      </c>
      <c r="H2199" s="1">
        <v>485.98</v>
      </c>
      <c r="I2199" t="s">
        <v>3084</v>
      </c>
      <c r="J2199" s="2">
        <v>1</v>
      </c>
      <c r="K2199" t="s">
        <v>13</v>
      </c>
      <c r="L2199" t="s">
        <v>21</v>
      </c>
      <c r="M2199" t="s">
        <v>15</v>
      </c>
    </row>
    <row r="2200" spans="1:13" x14ac:dyDescent="0.25">
      <c r="A2200" s="5">
        <v>44382</v>
      </c>
      <c r="B2200" s="2">
        <v>0</v>
      </c>
      <c r="C2200" t="s">
        <v>3174</v>
      </c>
      <c r="D2200" t="s">
        <v>1450</v>
      </c>
      <c r="E2200" t="s">
        <v>1451</v>
      </c>
      <c r="F2200" s="3">
        <v>44302</v>
      </c>
      <c r="G2200" s="2">
        <v>80</v>
      </c>
      <c r="H2200" s="1">
        <v>386.19</v>
      </c>
      <c r="I2200" t="s">
        <v>3175</v>
      </c>
      <c r="J2200" s="2">
        <v>1</v>
      </c>
      <c r="K2200" t="s">
        <v>13</v>
      </c>
      <c r="L2200" t="s">
        <v>21</v>
      </c>
      <c r="M2200" t="s">
        <v>15</v>
      </c>
    </row>
    <row r="2201" spans="1:13" x14ac:dyDescent="0.25">
      <c r="A2201" s="5">
        <v>44382</v>
      </c>
      <c r="B2201" s="2">
        <v>0</v>
      </c>
      <c r="C2201" t="s">
        <v>3176</v>
      </c>
      <c r="D2201" t="s">
        <v>1450</v>
      </c>
      <c r="E2201" t="s">
        <v>1451</v>
      </c>
      <c r="F2201" s="3">
        <v>44302</v>
      </c>
      <c r="G2201" s="2">
        <v>80</v>
      </c>
      <c r="H2201" s="1">
        <v>227.42</v>
      </c>
      <c r="I2201" t="s">
        <v>3177</v>
      </c>
      <c r="J2201" s="2">
        <v>1</v>
      </c>
      <c r="K2201" t="s">
        <v>13</v>
      </c>
      <c r="L2201" t="s">
        <v>21</v>
      </c>
      <c r="M2201" t="s">
        <v>15</v>
      </c>
    </row>
    <row r="2202" spans="1:13" x14ac:dyDescent="0.25">
      <c r="A2202" s="5">
        <v>44382</v>
      </c>
      <c r="B2202" s="2">
        <v>0</v>
      </c>
      <c r="C2202" t="s">
        <v>3178</v>
      </c>
      <c r="D2202" t="s">
        <v>1450</v>
      </c>
      <c r="E2202" t="s">
        <v>1451</v>
      </c>
      <c r="F2202" s="3">
        <v>44327</v>
      </c>
      <c r="G2202" s="2">
        <v>55</v>
      </c>
      <c r="H2202" s="1">
        <v>382.64</v>
      </c>
      <c r="I2202" t="s">
        <v>3085</v>
      </c>
      <c r="J2202" s="2">
        <v>1</v>
      </c>
      <c r="K2202" t="s">
        <v>13</v>
      </c>
      <c r="L2202" t="s">
        <v>21</v>
      </c>
      <c r="M2202" t="s">
        <v>15</v>
      </c>
    </row>
    <row r="2203" spans="1:13" x14ac:dyDescent="0.25">
      <c r="A2203" s="5">
        <v>44382</v>
      </c>
      <c r="B2203" s="2">
        <v>0</v>
      </c>
      <c r="C2203" t="s">
        <v>3179</v>
      </c>
      <c r="D2203" t="s">
        <v>1450</v>
      </c>
      <c r="E2203" t="s">
        <v>1451</v>
      </c>
      <c r="F2203" s="3">
        <v>44337</v>
      </c>
      <c r="G2203" s="2">
        <v>45</v>
      </c>
      <c r="H2203" s="1">
        <v>314.77</v>
      </c>
      <c r="I2203" t="s">
        <v>3086</v>
      </c>
      <c r="J2203" s="2">
        <v>1</v>
      </c>
      <c r="K2203" t="s">
        <v>13</v>
      </c>
      <c r="L2203" t="s">
        <v>21</v>
      </c>
      <c r="M2203" t="s">
        <v>15</v>
      </c>
    </row>
    <row r="2204" spans="1:13" x14ac:dyDescent="0.25">
      <c r="A2204" s="5">
        <v>44382</v>
      </c>
      <c r="B2204" s="2">
        <v>0</v>
      </c>
      <c r="C2204" t="s">
        <v>3180</v>
      </c>
      <c r="D2204" t="s">
        <v>1450</v>
      </c>
      <c r="E2204" t="s">
        <v>1451</v>
      </c>
      <c r="F2204" s="3">
        <v>44347</v>
      </c>
      <c r="G2204" s="2">
        <v>35</v>
      </c>
      <c r="H2204" s="1">
        <v>319.99</v>
      </c>
      <c r="I2204" t="s">
        <v>3181</v>
      </c>
      <c r="J2204" s="2">
        <v>1</v>
      </c>
      <c r="K2204" t="s">
        <v>13</v>
      </c>
      <c r="L2204" t="s">
        <v>21</v>
      </c>
      <c r="M2204" t="s">
        <v>15</v>
      </c>
    </row>
    <row r="2205" spans="1:13" x14ac:dyDescent="0.25">
      <c r="A2205" s="5">
        <v>44382</v>
      </c>
      <c r="B2205" s="2">
        <v>0</v>
      </c>
      <c r="C2205" t="s">
        <v>3182</v>
      </c>
      <c r="D2205" t="s">
        <v>3183</v>
      </c>
      <c r="E2205" t="s">
        <v>3184</v>
      </c>
      <c r="F2205" s="3">
        <v>44302</v>
      </c>
      <c r="G2205" s="2">
        <v>80</v>
      </c>
      <c r="H2205" s="1">
        <v>396.57</v>
      </c>
      <c r="I2205" t="s">
        <v>3185</v>
      </c>
      <c r="J2205" s="2">
        <v>1</v>
      </c>
      <c r="K2205" t="s">
        <v>13</v>
      </c>
      <c r="L2205" t="s">
        <v>554</v>
      </c>
      <c r="M2205" t="s">
        <v>2288</v>
      </c>
    </row>
    <row r="2206" spans="1:13" x14ac:dyDescent="0.25">
      <c r="A2206" s="5">
        <v>44382</v>
      </c>
      <c r="B2206" s="2">
        <v>0</v>
      </c>
      <c r="C2206" t="s">
        <v>3186</v>
      </c>
      <c r="D2206" t="s">
        <v>3183</v>
      </c>
      <c r="E2206" t="s">
        <v>3184</v>
      </c>
      <c r="F2206" s="3">
        <v>44342</v>
      </c>
      <c r="G2206" s="2">
        <v>40</v>
      </c>
      <c r="H2206" s="1">
        <v>448.71</v>
      </c>
      <c r="I2206" t="s">
        <v>3187</v>
      </c>
      <c r="J2206" s="2">
        <v>1</v>
      </c>
      <c r="K2206" t="s">
        <v>13</v>
      </c>
      <c r="L2206" t="s">
        <v>554</v>
      </c>
      <c r="M2206" t="s">
        <v>2288</v>
      </c>
    </row>
    <row r="2207" spans="1:13" x14ac:dyDescent="0.25">
      <c r="A2207" s="5">
        <v>44382</v>
      </c>
      <c r="B2207" s="2">
        <v>0</v>
      </c>
      <c r="C2207" t="s">
        <v>3188</v>
      </c>
      <c r="D2207" t="s">
        <v>3189</v>
      </c>
      <c r="E2207" t="s">
        <v>3190</v>
      </c>
      <c r="F2207" s="3">
        <v>44322</v>
      </c>
      <c r="G2207" s="2">
        <v>60</v>
      </c>
      <c r="H2207" s="1">
        <v>402.99</v>
      </c>
      <c r="I2207" t="s">
        <v>3191</v>
      </c>
      <c r="J2207" s="2">
        <v>1</v>
      </c>
      <c r="K2207" t="s">
        <v>13</v>
      </c>
      <c r="L2207" t="s">
        <v>2126</v>
      </c>
      <c r="M2207" t="s">
        <v>2713</v>
      </c>
    </row>
    <row r="2208" spans="1:13" x14ac:dyDescent="0.25">
      <c r="A2208" s="5">
        <v>44382</v>
      </c>
      <c r="B2208" s="2">
        <v>0</v>
      </c>
      <c r="C2208" t="s">
        <v>3192</v>
      </c>
      <c r="D2208" t="s">
        <v>3193</v>
      </c>
      <c r="E2208" t="s">
        <v>2284</v>
      </c>
      <c r="F2208" s="3">
        <v>44292</v>
      </c>
      <c r="G2208" s="2">
        <v>90</v>
      </c>
      <c r="H2208" s="1">
        <v>438.85</v>
      </c>
      <c r="I2208" t="s">
        <v>3194</v>
      </c>
      <c r="J2208" s="2">
        <v>1</v>
      </c>
      <c r="K2208" t="s">
        <v>13</v>
      </c>
      <c r="L2208" t="s">
        <v>1682</v>
      </c>
      <c r="M2208" t="s">
        <v>3195</v>
      </c>
    </row>
    <row r="2209" spans="1:13" x14ac:dyDescent="0.25">
      <c r="A2209" s="5">
        <v>44382</v>
      </c>
      <c r="B2209" s="2">
        <v>0</v>
      </c>
      <c r="C2209" t="s">
        <v>3196</v>
      </c>
      <c r="D2209" t="s">
        <v>2370</v>
      </c>
      <c r="E2209" t="s">
        <v>2371</v>
      </c>
      <c r="F2209" s="3">
        <v>44292</v>
      </c>
      <c r="G2209" s="2">
        <v>90</v>
      </c>
      <c r="H2209" s="1">
        <v>464.3</v>
      </c>
      <c r="I2209" t="s">
        <v>3197</v>
      </c>
      <c r="J2209" s="2">
        <v>1</v>
      </c>
      <c r="K2209" t="s">
        <v>13</v>
      </c>
      <c r="L2209" t="s">
        <v>695</v>
      </c>
      <c r="M2209" t="s">
        <v>90</v>
      </c>
    </row>
    <row r="2210" spans="1:13" x14ac:dyDescent="0.25">
      <c r="A2210" s="5">
        <v>44382</v>
      </c>
      <c r="B2210" s="2">
        <v>0</v>
      </c>
      <c r="C2210" t="s">
        <v>3198</v>
      </c>
      <c r="D2210" t="s">
        <v>2370</v>
      </c>
      <c r="E2210" t="s">
        <v>2371</v>
      </c>
      <c r="F2210" s="3">
        <v>44292</v>
      </c>
      <c r="G2210" s="2">
        <v>90</v>
      </c>
      <c r="H2210" s="1">
        <v>472.18</v>
      </c>
      <c r="I2210" t="s">
        <v>3199</v>
      </c>
      <c r="J2210" s="2">
        <v>1</v>
      </c>
      <c r="K2210" t="s">
        <v>13</v>
      </c>
      <c r="L2210" t="s">
        <v>695</v>
      </c>
      <c r="M2210" t="s">
        <v>90</v>
      </c>
    </row>
    <row r="2211" spans="1:13" x14ac:dyDescent="0.25">
      <c r="A2211" s="5">
        <v>44382</v>
      </c>
      <c r="B2211" s="2">
        <v>0</v>
      </c>
      <c r="C2211" t="s">
        <v>3200</v>
      </c>
      <c r="D2211" t="s">
        <v>3128</v>
      </c>
      <c r="E2211" t="s">
        <v>3129</v>
      </c>
      <c r="F2211" s="3">
        <v>44342</v>
      </c>
      <c r="G2211" s="2">
        <v>40</v>
      </c>
      <c r="H2211" s="1">
        <v>367.15</v>
      </c>
      <c r="I2211" t="s">
        <v>3201</v>
      </c>
      <c r="J2211" s="2">
        <v>1</v>
      </c>
      <c r="K2211" t="s">
        <v>13</v>
      </c>
      <c r="L2211" t="s">
        <v>830</v>
      </c>
      <c r="M2211" t="s">
        <v>43</v>
      </c>
    </row>
    <row r="2212" spans="1:13" x14ac:dyDescent="0.25">
      <c r="A2212" s="5">
        <v>44382</v>
      </c>
      <c r="B2212" s="2">
        <v>0</v>
      </c>
      <c r="C2212" t="s">
        <v>3202</v>
      </c>
      <c r="D2212" t="s">
        <v>3203</v>
      </c>
      <c r="E2212" t="s">
        <v>3204</v>
      </c>
      <c r="F2212" s="3">
        <v>44368</v>
      </c>
      <c r="G2212" s="2">
        <v>14</v>
      </c>
      <c r="H2212" s="1">
        <v>711.61</v>
      </c>
      <c r="I2212" t="s">
        <v>3205</v>
      </c>
      <c r="J2212" s="2">
        <v>1</v>
      </c>
      <c r="K2212" t="s">
        <v>13</v>
      </c>
      <c r="L2212" t="s">
        <v>830</v>
      </c>
      <c r="M2212" t="s">
        <v>3206</v>
      </c>
    </row>
    <row r="2232" spans="1:10" x14ac:dyDescent="0.25">
      <c r="A2232" s="5"/>
      <c r="B2232" s="2"/>
      <c r="F2232" s="3"/>
      <c r="G2232" s="2"/>
      <c r="H2232" s="1"/>
      <c r="J2232" s="2"/>
    </row>
    <row r="2233" spans="1:10" x14ac:dyDescent="0.25">
      <c r="A2233" s="5"/>
      <c r="B2233" s="2"/>
      <c r="F2233" s="3"/>
      <c r="G2233" s="2"/>
      <c r="H2233" s="1"/>
      <c r="J2233" s="2"/>
    </row>
    <row r="2234" spans="1:10" x14ac:dyDescent="0.25">
      <c r="A2234" s="5"/>
      <c r="B2234" s="2"/>
      <c r="F2234" s="3"/>
      <c r="G2234" s="2"/>
      <c r="H2234" s="1"/>
      <c r="J2234" s="2"/>
    </row>
    <row r="2235" spans="1:10" x14ac:dyDescent="0.25">
      <c r="A2235" s="5"/>
      <c r="B2235" s="2"/>
      <c r="F2235" s="3"/>
      <c r="G2235" s="2"/>
      <c r="H2235" s="1"/>
      <c r="J2235" s="2"/>
    </row>
    <row r="2236" spans="1:10" x14ac:dyDescent="0.25">
      <c r="A2236" s="5"/>
      <c r="B2236" s="2"/>
      <c r="F2236" s="3"/>
      <c r="G2236" s="2"/>
      <c r="H2236" s="1"/>
      <c r="J2236" s="2"/>
    </row>
    <row r="2237" spans="1:10" x14ac:dyDescent="0.25">
      <c r="A2237" s="5"/>
      <c r="B2237" s="2"/>
      <c r="F2237" s="3"/>
      <c r="G2237" s="2"/>
      <c r="H2237" s="1"/>
      <c r="J2237" s="2"/>
    </row>
    <row r="2238" spans="1:10" x14ac:dyDescent="0.25">
      <c r="A2238" s="5"/>
      <c r="B2238" s="2"/>
      <c r="F2238" s="3"/>
      <c r="G2238" s="2"/>
      <c r="H2238" s="1"/>
      <c r="J2238" s="2"/>
    </row>
    <row r="2239" spans="1:10" x14ac:dyDescent="0.25">
      <c r="A2239" s="5"/>
      <c r="B2239" s="2"/>
      <c r="F2239" s="3"/>
      <c r="G2239" s="2"/>
      <c r="H2239" s="1"/>
      <c r="J2239" s="2"/>
    </row>
    <row r="2240" spans="1:10" x14ac:dyDescent="0.25">
      <c r="A2240" s="5"/>
      <c r="B2240" s="2"/>
      <c r="F2240" s="3"/>
      <c r="G2240" s="2"/>
      <c r="H2240" s="1"/>
      <c r="J2240" s="2"/>
    </row>
    <row r="2241" spans="1:10" x14ac:dyDescent="0.25">
      <c r="A2241" s="5"/>
      <c r="B2241" s="2"/>
      <c r="F2241" s="3"/>
      <c r="G2241" s="2"/>
      <c r="H2241" s="1"/>
      <c r="J2241" s="2"/>
    </row>
    <row r="2242" spans="1:10" x14ac:dyDescent="0.25">
      <c r="A2242" s="5"/>
      <c r="B2242" s="2"/>
      <c r="F2242" s="3"/>
      <c r="G2242" s="2"/>
      <c r="H2242" s="1"/>
      <c r="J2242" s="2"/>
    </row>
    <row r="2243" spans="1:10" x14ac:dyDescent="0.25">
      <c r="A2243" s="5"/>
      <c r="B2243" s="2"/>
      <c r="F2243" s="3"/>
      <c r="G2243" s="2"/>
      <c r="H2243" s="1"/>
      <c r="J2243" s="2"/>
    </row>
    <row r="2244" spans="1:10" x14ac:dyDescent="0.25">
      <c r="A2244" s="5"/>
      <c r="B2244" s="2"/>
      <c r="F2244" s="3"/>
      <c r="G2244" s="2"/>
      <c r="H2244" s="1"/>
      <c r="J2244" s="2"/>
    </row>
    <row r="2245" spans="1:10" x14ac:dyDescent="0.25">
      <c r="A2245" s="5"/>
      <c r="B2245" s="2"/>
      <c r="F2245" s="3"/>
      <c r="G2245" s="2"/>
      <c r="H2245" s="1"/>
      <c r="J2245" s="2"/>
    </row>
    <row r="2246" spans="1:10" x14ac:dyDescent="0.25">
      <c r="A2246" s="5"/>
      <c r="B2246" s="2"/>
      <c r="F2246" s="3"/>
      <c r="G2246" s="2"/>
      <c r="H2246" s="1"/>
      <c r="J2246" s="2"/>
    </row>
    <row r="2247" spans="1:10" x14ac:dyDescent="0.25">
      <c r="A2247" s="5"/>
      <c r="B2247" s="2"/>
      <c r="F2247" s="3"/>
      <c r="G2247" s="2"/>
      <c r="H2247" s="1"/>
      <c r="J2247" s="2"/>
    </row>
    <row r="2248" spans="1:10" x14ac:dyDescent="0.25">
      <c r="A2248" s="5"/>
      <c r="B2248" s="2"/>
      <c r="F2248" s="3"/>
      <c r="G2248" s="2"/>
      <c r="H2248" s="1"/>
      <c r="J2248" s="2"/>
    </row>
    <row r="2249" spans="1:10" x14ac:dyDescent="0.25">
      <c r="A2249" s="5"/>
      <c r="B2249" s="2"/>
      <c r="F2249" s="3"/>
      <c r="G2249" s="2"/>
      <c r="H2249" s="1"/>
      <c r="J2249" s="2"/>
    </row>
    <row r="2250" spans="1:10" x14ac:dyDescent="0.25">
      <c r="A2250" s="5"/>
      <c r="B2250" s="2"/>
      <c r="F2250" s="3"/>
      <c r="G2250" s="2"/>
      <c r="H2250" s="1"/>
      <c r="J2250" s="2"/>
    </row>
    <row r="2251" spans="1:10" x14ac:dyDescent="0.25">
      <c r="A2251" s="5"/>
      <c r="B2251" s="2"/>
      <c r="F2251" s="3"/>
      <c r="G2251" s="2"/>
      <c r="H2251" s="1"/>
      <c r="J2251" s="2"/>
    </row>
    <row r="2252" spans="1:10" x14ac:dyDescent="0.25">
      <c r="A2252" s="5"/>
      <c r="B2252" s="2"/>
      <c r="F2252" s="3"/>
      <c r="G2252" s="2"/>
      <c r="H2252" s="1"/>
      <c r="J2252" s="2"/>
    </row>
    <row r="2253" spans="1:10" x14ac:dyDescent="0.25">
      <c r="A2253" s="5"/>
      <c r="B2253" s="2"/>
      <c r="F2253" s="3"/>
      <c r="G2253" s="2"/>
      <c r="H2253" s="1"/>
      <c r="J2253" s="2"/>
    </row>
    <row r="2254" spans="1:10" x14ac:dyDescent="0.25">
      <c r="A2254" s="5"/>
      <c r="B2254" s="2"/>
      <c r="F2254" s="3"/>
      <c r="G2254" s="2"/>
      <c r="H2254" s="1"/>
      <c r="J2254" s="2"/>
    </row>
    <row r="2255" spans="1:10" x14ac:dyDescent="0.25">
      <c r="A2255" s="5"/>
      <c r="B2255" s="2"/>
      <c r="F2255" s="3"/>
      <c r="G2255" s="2"/>
      <c r="H2255" s="1"/>
      <c r="J2255" s="2"/>
    </row>
    <row r="2256" spans="1:10" x14ac:dyDescent="0.25">
      <c r="A2256" s="5"/>
      <c r="B2256" s="2"/>
      <c r="F2256" s="3"/>
      <c r="G2256" s="2"/>
      <c r="H2256" s="1"/>
      <c r="J2256" s="2"/>
    </row>
    <row r="2257" spans="1:10" x14ac:dyDescent="0.25">
      <c r="A2257" s="5"/>
      <c r="B2257" s="2"/>
      <c r="F2257" s="3"/>
      <c r="G2257" s="2"/>
      <c r="H2257" s="1"/>
      <c r="J2257" s="2"/>
    </row>
    <row r="2258" spans="1:10" x14ac:dyDescent="0.25">
      <c r="A2258" s="5"/>
      <c r="B2258" s="2"/>
      <c r="F2258" s="3"/>
      <c r="G2258" s="2"/>
      <c r="H2258" s="1"/>
      <c r="J2258" s="2"/>
    </row>
    <row r="2259" spans="1:10" x14ac:dyDescent="0.25">
      <c r="A2259" s="5"/>
      <c r="B2259" s="2"/>
      <c r="F2259" s="3"/>
      <c r="G2259" s="2"/>
      <c r="H2259" s="1"/>
      <c r="J2259" s="2"/>
    </row>
    <row r="2260" spans="1:10" x14ac:dyDescent="0.25">
      <c r="A2260" s="5"/>
      <c r="B2260" s="2"/>
      <c r="F2260" s="3"/>
      <c r="G2260" s="2"/>
      <c r="H2260" s="1"/>
      <c r="J2260" s="2"/>
    </row>
    <row r="2261" spans="1:10" x14ac:dyDescent="0.25">
      <c r="A2261" s="5"/>
      <c r="B2261" s="2"/>
      <c r="F2261" s="3"/>
      <c r="G2261" s="2"/>
      <c r="H2261" s="1"/>
      <c r="J2261" s="2"/>
    </row>
    <row r="2262" spans="1:10" x14ac:dyDescent="0.25">
      <c r="A2262" s="5"/>
      <c r="B2262" s="2"/>
      <c r="F2262" s="3"/>
      <c r="G2262" s="2"/>
      <c r="H2262" s="1"/>
      <c r="J2262" s="2"/>
    </row>
    <row r="2263" spans="1:10" x14ac:dyDescent="0.25">
      <c r="A2263" s="5"/>
      <c r="B2263" s="2"/>
      <c r="F2263" s="3"/>
      <c r="G2263" s="2"/>
      <c r="H2263" s="1"/>
      <c r="J2263" s="2"/>
    </row>
    <row r="2264" spans="1:10" x14ac:dyDescent="0.25">
      <c r="A2264" s="5"/>
      <c r="B2264" s="2"/>
      <c r="F2264" s="3"/>
      <c r="G2264" s="2"/>
      <c r="H2264" s="1"/>
      <c r="J2264" s="2"/>
    </row>
    <row r="2265" spans="1:10" x14ac:dyDescent="0.25">
      <c r="A2265" s="5"/>
      <c r="B2265" s="2"/>
      <c r="F2265" s="3"/>
      <c r="G2265" s="2"/>
      <c r="H2265" s="1"/>
      <c r="J2265" s="2"/>
    </row>
    <row r="2266" spans="1:10" x14ac:dyDescent="0.25">
      <c r="A2266" s="5"/>
      <c r="B2266" s="2"/>
      <c r="F2266" s="3"/>
      <c r="G2266" s="2"/>
      <c r="H2266" s="1"/>
      <c r="J2266" s="2"/>
    </row>
    <row r="2267" spans="1:10" x14ac:dyDescent="0.25">
      <c r="A2267" s="5"/>
      <c r="B2267" s="2"/>
      <c r="F2267" s="3"/>
      <c r="G2267" s="2"/>
      <c r="H2267" s="1"/>
      <c r="J2267" s="2"/>
    </row>
    <row r="2268" spans="1:10" x14ac:dyDescent="0.25">
      <c r="A2268" s="5"/>
      <c r="B2268" s="2"/>
      <c r="F2268" s="3"/>
      <c r="G2268" s="2"/>
      <c r="H2268" s="1"/>
      <c r="J2268" s="2"/>
    </row>
    <row r="2269" spans="1:10" x14ac:dyDescent="0.25">
      <c r="A2269" s="5"/>
      <c r="B2269" s="2"/>
      <c r="F2269" s="3"/>
      <c r="G2269" s="2"/>
      <c r="H2269" s="1"/>
      <c r="J2269" s="2"/>
    </row>
    <row r="2270" spans="1:10" x14ac:dyDescent="0.25">
      <c r="A2270" s="5"/>
      <c r="B2270" s="2"/>
      <c r="F2270" s="3"/>
      <c r="G2270" s="2"/>
      <c r="H2270" s="1"/>
      <c r="J2270" s="2"/>
    </row>
    <row r="2271" spans="1:10" x14ac:dyDescent="0.25">
      <c r="A2271" s="5"/>
      <c r="B2271" s="2"/>
      <c r="F2271" s="3"/>
      <c r="G2271" s="2"/>
      <c r="H2271" s="1"/>
      <c r="J2271" s="2"/>
    </row>
    <row r="2272" spans="1:10" x14ac:dyDescent="0.25">
      <c r="A2272" s="5"/>
      <c r="B2272" s="2"/>
      <c r="F2272" s="3"/>
      <c r="G2272" s="2"/>
      <c r="H2272" s="1"/>
      <c r="J2272" s="2"/>
    </row>
    <row r="2273" spans="1:10" x14ac:dyDescent="0.25">
      <c r="A2273" s="5"/>
      <c r="B2273" s="2"/>
      <c r="F2273" s="3"/>
      <c r="G2273" s="2"/>
      <c r="H2273" s="1"/>
      <c r="J2273" s="2"/>
    </row>
    <row r="2274" spans="1:10" x14ac:dyDescent="0.25">
      <c r="A2274" s="5"/>
      <c r="B2274" s="2"/>
      <c r="F2274" s="3"/>
      <c r="G2274" s="2"/>
      <c r="H2274" s="1"/>
      <c r="J2274" s="2"/>
    </row>
    <row r="2275" spans="1:10" x14ac:dyDescent="0.25">
      <c r="A2275" s="5"/>
      <c r="B2275" s="2"/>
      <c r="F2275" s="3"/>
      <c r="G2275" s="2"/>
      <c r="H2275" s="1"/>
      <c r="J2275" s="2"/>
    </row>
    <row r="2276" spans="1:10" x14ac:dyDescent="0.25">
      <c r="A2276" s="5"/>
      <c r="B2276" s="2"/>
      <c r="F2276" s="3"/>
      <c r="G2276" s="2"/>
      <c r="H2276" s="1"/>
      <c r="J2276" s="2"/>
    </row>
    <row r="2277" spans="1:10" x14ac:dyDescent="0.25">
      <c r="A2277" s="5"/>
      <c r="B2277" s="2"/>
      <c r="F2277" s="3"/>
      <c r="G2277" s="2"/>
      <c r="H2277" s="1"/>
      <c r="J2277" s="2"/>
    </row>
    <row r="2278" spans="1:10" x14ac:dyDescent="0.25">
      <c r="A2278" s="5"/>
      <c r="B2278" s="2"/>
      <c r="F2278" s="3"/>
      <c r="G2278" s="2"/>
      <c r="H2278" s="1"/>
      <c r="J2278" s="2"/>
    </row>
    <row r="2279" spans="1:10" x14ac:dyDescent="0.25">
      <c r="A2279" s="5"/>
      <c r="B2279" s="2"/>
      <c r="F2279" s="3"/>
      <c r="G2279" s="2"/>
      <c r="H2279" s="1"/>
      <c r="J2279" s="2"/>
    </row>
    <row r="2280" spans="1:10" x14ac:dyDescent="0.25">
      <c r="A2280" s="5"/>
      <c r="B2280" s="2"/>
      <c r="F2280" s="3"/>
      <c r="G2280" s="2"/>
      <c r="H2280" s="1"/>
      <c r="J2280" s="2"/>
    </row>
    <row r="2281" spans="1:10" x14ac:dyDescent="0.25">
      <c r="A2281" s="5"/>
      <c r="B2281" s="2"/>
      <c r="F2281" s="3"/>
      <c r="G2281" s="2"/>
      <c r="H2281" s="1"/>
      <c r="J2281" s="2"/>
    </row>
    <row r="2282" spans="1:10" x14ac:dyDescent="0.25">
      <c r="A2282" s="5"/>
      <c r="B2282" s="2"/>
      <c r="F2282" s="3"/>
      <c r="G2282" s="2"/>
      <c r="H2282" s="1"/>
      <c r="J2282" s="2"/>
    </row>
    <row r="2283" spans="1:10" x14ac:dyDescent="0.25">
      <c r="A2283" s="5"/>
      <c r="B2283" s="2"/>
      <c r="F2283" s="3"/>
      <c r="G2283" s="2"/>
      <c r="H2283" s="1"/>
      <c r="J2283" s="2"/>
    </row>
    <row r="2284" spans="1:10" x14ac:dyDescent="0.25">
      <c r="A2284" s="5"/>
      <c r="B2284" s="2"/>
      <c r="F2284" s="3"/>
      <c r="G2284" s="2"/>
      <c r="H2284" s="1"/>
      <c r="J2284" s="2"/>
    </row>
    <row r="2285" spans="1:10" x14ac:dyDescent="0.25">
      <c r="A2285" s="5"/>
      <c r="B2285" s="2"/>
      <c r="F2285" s="3"/>
      <c r="G2285" s="2"/>
      <c r="H2285" s="1"/>
      <c r="J2285" s="2"/>
    </row>
    <row r="2286" spans="1:10" x14ac:dyDescent="0.25">
      <c r="A2286" s="5"/>
      <c r="B2286" s="2"/>
      <c r="F2286" s="3"/>
      <c r="G2286" s="2"/>
      <c r="H2286" s="1"/>
      <c r="J2286" s="2"/>
    </row>
    <row r="2287" spans="1:10" x14ac:dyDescent="0.25">
      <c r="A2287" s="5"/>
      <c r="B2287" s="2"/>
      <c r="F2287" s="3"/>
      <c r="G2287" s="2"/>
      <c r="H2287" s="1"/>
      <c r="J2287" s="2"/>
    </row>
    <row r="2288" spans="1:10" x14ac:dyDescent="0.25">
      <c r="A2288" s="5"/>
      <c r="B2288" s="2"/>
      <c r="F2288" s="3"/>
      <c r="G2288" s="2"/>
      <c r="H2288" s="1"/>
      <c r="J2288" s="2"/>
    </row>
    <row r="2289" spans="1:10" x14ac:dyDescent="0.25">
      <c r="A2289" s="5"/>
      <c r="B2289" s="2"/>
      <c r="F2289" s="3"/>
      <c r="G2289" s="2"/>
      <c r="H2289" s="1"/>
      <c r="J2289" s="2"/>
    </row>
    <row r="2290" spans="1:10" x14ac:dyDescent="0.25">
      <c r="A2290" s="5"/>
      <c r="B2290" s="2"/>
      <c r="F2290" s="3"/>
      <c r="G2290" s="2"/>
      <c r="H2290" s="1"/>
      <c r="J2290" s="2"/>
    </row>
    <row r="2291" spans="1:10" x14ac:dyDescent="0.25">
      <c r="A2291" s="5"/>
      <c r="B2291" s="2"/>
      <c r="F2291" s="3"/>
      <c r="G2291" s="2"/>
      <c r="H2291" s="1"/>
      <c r="J2291" s="2"/>
    </row>
    <row r="2292" spans="1:10" x14ac:dyDescent="0.25">
      <c r="A2292" s="5"/>
      <c r="B2292" s="2"/>
      <c r="F2292" s="3"/>
      <c r="G2292" s="2"/>
      <c r="H2292" s="1"/>
      <c r="J2292" s="2"/>
    </row>
    <row r="2293" spans="1:10" x14ac:dyDescent="0.25">
      <c r="A2293" s="5"/>
      <c r="B2293" s="2"/>
      <c r="F2293" s="3"/>
      <c r="G2293" s="2"/>
      <c r="H2293" s="1"/>
      <c r="J2293" s="2"/>
    </row>
    <row r="2294" spans="1:10" x14ac:dyDescent="0.25">
      <c r="A2294" s="5"/>
      <c r="B2294" s="2"/>
      <c r="F2294" s="3"/>
      <c r="G2294" s="2"/>
      <c r="H2294" s="1"/>
      <c r="J2294" s="2"/>
    </row>
    <row r="2295" spans="1:10" x14ac:dyDescent="0.25">
      <c r="A2295" s="5"/>
      <c r="B2295" s="2"/>
      <c r="F2295" s="3"/>
      <c r="G2295" s="2"/>
      <c r="H2295" s="1"/>
      <c r="J2295" s="2"/>
    </row>
    <row r="2296" spans="1:10" x14ac:dyDescent="0.25">
      <c r="A2296" s="5"/>
      <c r="B2296" s="2"/>
      <c r="F2296" s="3"/>
      <c r="G2296" s="2"/>
      <c r="H2296" s="1"/>
      <c r="J2296" s="2"/>
    </row>
    <row r="2297" spans="1:10" x14ac:dyDescent="0.25">
      <c r="A2297" s="5"/>
      <c r="B2297" s="2"/>
      <c r="F2297" s="3"/>
      <c r="G2297" s="2"/>
      <c r="H2297" s="1"/>
      <c r="J2297" s="2"/>
    </row>
    <row r="2298" spans="1:10" x14ac:dyDescent="0.25">
      <c r="A2298" s="5"/>
      <c r="B2298" s="2"/>
      <c r="F2298" s="3"/>
      <c r="G2298" s="2"/>
      <c r="H2298" s="1"/>
      <c r="J2298" s="2"/>
    </row>
    <row r="2299" spans="1:10" x14ac:dyDescent="0.25">
      <c r="A2299" s="5"/>
      <c r="B2299" s="2"/>
      <c r="F2299" s="3"/>
      <c r="G2299" s="2"/>
      <c r="H2299" s="1"/>
      <c r="J2299" s="2"/>
    </row>
    <row r="2300" spans="1:10" x14ac:dyDescent="0.25">
      <c r="A2300" s="5"/>
      <c r="B2300" s="2"/>
      <c r="F2300" s="3"/>
      <c r="G2300" s="2"/>
      <c r="H2300" s="1"/>
      <c r="J2300" s="2"/>
    </row>
    <row r="2301" spans="1:10" x14ac:dyDescent="0.25">
      <c r="A2301" s="5"/>
      <c r="B2301" s="2"/>
      <c r="F2301" s="3"/>
      <c r="G2301" s="2"/>
      <c r="H2301" s="1"/>
      <c r="J2301" s="2"/>
    </row>
    <row r="2302" spans="1:10" x14ac:dyDescent="0.25">
      <c r="A2302" s="5"/>
      <c r="B2302" s="2"/>
      <c r="F2302" s="3"/>
      <c r="G2302" s="2"/>
      <c r="H2302" s="1"/>
      <c r="J2302" s="2"/>
    </row>
    <row r="2303" spans="1:10" x14ac:dyDescent="0.25">
      <c r="A2303" s="5"/>
      <c r="B2303" s="2"/>
      <c r="F2303" s="3"/>
      <c r="G2303" s="2"/>
      <c r="H2303" s="1"/>
      <c r="J2303" s="2"/>
    </row>
    <row r="2304" spans="1:10" x14ac:dyDescent="0.25">
      <c r="A2304" s="5"/>
      <c r="B2304" s="2"/>
      <c r="F2304" s="3"/>
      <c r="G2304" s="2"/>
      <c r="H2304" s="1"/>
      <c r="J2304" s="2"/>
    </row>
    <row r="2305" spans="1:10" x14ac:dyDescent="0.25">
      <c r="A2305" s="5"/>
      <c r="B2305" s="2"/>
      <c r="F2305" s="3"/>
      <c r="G2305" s="2"/>
      <c r="H2305" s="1"/>
      <c r="J2305" s="2"/>
    </row>
    <row r="2306" spans="1:10" x14ac:dyDescent="0.25">
      <c r="A2306" s="5"/>
      <c r="B2306" s="2"/>
      <c r="F2306" s="3"/>
      <c r="G2306" s="2"/>
      <c r="H2306" s="1"/>
      <c r="J2306" s="2"/>
    </row>
    <row r="2307" spans="1:10" x14ac:dyDescent="0.25">
      <c r="A2307" s="5"/>
      <c r="B2307" s="2"/>
      <c r="F2307" s="3"/>
      <c r="G2307" s="2"/>
      <c r="H2307" s="1"/>
      <c r="J2307" s="2"/>
    </row>
    <row r="2308" spans="1:10" x14ac:dyDescent="0.25">
      <c r="A2308" s="5"/>
      <c r="B2308" s="2"/>
      <c r="F2308" s="3"/>
      <c r="G2308" s="2"/>
      <c r="H2308" s="1"/>
      <c r="J2308" s="2"/>
    </row>
    <row r="2309" spans="1:10" x14ac:dyDescent="0.25">
      <c r="A2309" s="5"/>
      <c r="B2309" s="2"/>
      <c r="F2309" s="3"/>
      <c r="G2309" s="2"/>
      <c r="H2309" s="1"/>
      <c r="J2309" s="2"/>
    </row>
    <row r="2310" spans="1:10" x14ac:dyDescent="0.25">
      <c r="A2310" s="5"/>
      <c r="B2310" s="2"/>
      <c r="F2310" s="3"/>
      <c r="G2310" s="2"/>
      <c r="H2310" s="1"/>
      <c r="J2310" s="2"/>
    </row>
    <row r="2311" spans="1:10" x14ac:dyDescent="0.25">
      <c r="A2311" s="5"/>
      <c r="B2311" s="2"/>
      <c r="F2311" s="3"/>
      <c r="G2311" s="2"/>
      <c r="H2311" s="1"/>
      <c r="J2311" s="2"/>
    </row>
    <row r="2312" spans="1:10" x14ac:dyDescent="0.25">
      <c r="A2312" s="5"/>
      <c r="B2312" s="2"/>
      <c r="F2312" s="3"/>
      <c r="G2312" s="2"/>
      <c r="H2312" s="1"/>
      <c r="J2312" s="2"/>
    </row>
    <row r="2313" spans="1:10" x14ac:dyDescent="0.25">
      <c r="A2313" s="5"/>
      <c r="B2313" s="2"/>
      <c r="F2313" s="3"/>
      <c r="G2313" s="2"/>
      <c r="H2313" s="1"/>
      <c r="J2313" s="2"/>
    </row>
    <row r="2314" spans="1:10" x14ac:dyDescent="0.25">
      <c r="A2314" s="5"/>
      <c r="B2314" s="2"/>
      <c r="F2314" s="3"/>
      <c r="G2314" s="2"/>
      <c r="H2314" s="1"/>
      <c r="J2314" s="2"/>
    </row>
    <row r="2315" spans="1:10" x14ac:dyDescent="0.25">
      <c r="A2315" s="5"/>
      <c r="B2315" s="2"/>
      <c r="F2315" s="3"/>
      <c r="G2315" s="2"/>
      <c r="H2315" s="1"/>
      <c r="J2315" s="2"/>
    </row>
    <row r="2316" spans="1:10" x14ac:dyDescent="0.25">
      <c r="A2316" s="5"/>
      <c r="B2316" s="2"/>
      <c r="F2316" s="3"/>
      <c r="G2316" s="2"/>
      <c r="H2316" s="1"/>
      <c r="J2316" s="2"/>
    </row>
    <row r="2317" spans="1:10" x14ac:dyDescent="0.25">
      <c r="A2317" s="5"/>
      <c r="B2317" s="2"/>
      <c r="F2317" s="3"/>
      <c r="G2317" s="2"/>
      <c r="H2317" s="1"/>
      <c r="J2317" s="2"/>
    </row>
    <row r="2318" spans="1:10" x14ac:dyDescent="0.25">
      <c r="A2318" s="5"/>
      <c r="B2318" s="2"/>
      <c r="F2318" s="3"/>
      <c r="G2318" s="2"/>
      <c r="H2318" s="1"/>
      <c r="J2318" s="2"/>
    </row>
    <row r="2319" spans="1:10" x14ac:dyDescent="0.25">
      <c r="A2319" s="5"/>
      <c r="B2319" s="2"/>
      <c r="F2319" s="3"/>
      <c r="G2319" s="2"/>
      <c r="H2319" s="1"/>
      <c r="J2319" s="2"/>
    </row>
    <row r="2320" spans="1:10" x14ac:dyDescent="0.25">
      <c r="A2320" s="5"/>
      <c r="B2320" s="2"/>
      <c r="F2320" s="3"/>
      <c r="G2320" s="2"/>
      <c r="H2320" s="1"/>
      <c r="J2320" s="2"/>
    </row>
    <row r="2321" spans="1:10" x14ac:dyDescent="0.25">
      <c r="A2321" s="5"/>
      <c r="B2321" s="2"/>
      <c r="F2321" s="3"/>
      <c r="G2321" s="2"/>
      <c r="H2321" s="1"/>
      <c r="J2321" s="2"/>
    </row>
    <row r="2322" spans="1:10" x14ac:dyDescent="0.25">
      <c r="A2322" s="5"/>
      <c r="B2322" s="2"/>
      <c r="F2322" s="3"/>
      <c r="G2322" s="2"/>
      <c r="H2322" s="1"/>
      <c r="J2322" s="2"/>
    </row>
    <row r="2323" spans="1:10" x14ac:dyDescent="0.25">
      <c r="A2323" s="5"/>
      <c r="B2323" s="2"/>
      <c r="F2323" s="3"/>
      <c r="G2323" s="2"/>
      <c r="H2323" s="1"/>
      <c r="J2323" s="2"/>
    </row>
    <row r="2324" spans="1:10" x14ac:dyDescent="0.25">
      <c r="A2324" s="5"/>
      <c r="B2324" s="2"/>
      <c r="F2324" s="3"/>
      <c r="G2324" s="2"/>
      <c r="H2324" s="1"/>
      <c r="J2324" s="2"/>
    </row>
    <row r="2325" spans="1:10" x14ac:dyDescent="0.25">
      <c r="A2325" s="5"/>
      <c r="B2325" s="2"/>
      <c r="F2325" s="3"/>
      <c r="G2325" s="2"/>
      <c r="H2325" s="1"/>
      <c r="J2325" s="2"/>
    </row>
    <row r="2326" spans="1:10" x14ac:dyDescent="0.25">
      <c r="A2326" s="5"/>
      <c r="B2326" s="2"/>
      <c r="F2326" s="3"/>
      <c r="G2326" s="2"/>
      <c r="H2326" s="1"/>
      <c r="J2326" s="2"/>
    </row>
    <row r="2327" spans="1:10" x14ac:dyDescent="0.25">
      <c r="A2327" s="5"/>
      <c r="B2327" s="2"/>
      <c r="F2327" s="3"/>
      <c r="G2327" s="2"/>
      <c r="H2327" s="1"/>
      <c r="J2327" s="2"/>
    </row>
    <row r="2328" spans="1:10" x14ac:dyDescent="0.25">
      <c r="A2328" s="5"/>
      <c r="B2328" s="2"/>
      <c r="F2328" s="3"/>
      <c r="G2328" s="2"/>
      <c r="H2328" s="1"/>
      <c r="J2328" s="2"/>
    </row>
    <row r="2329" spans="1:10" x14ac:dyDescent="0.25">
      <c r="A2329" s="5"/>
      <c r="B2329" s="2"/>
      <c r="F2329" s="3"/>
      <c r="G2329" s="2"/>
      <c r="H2329" s="1"/>
      <c r="J2329" s="2"/>
    </row>
    <row r="2330" spans="1:10" x14ac:dyDescent="0.25">
      <c r="A2330" s="5"/>
      <c r="B2330" s="2"/>
      <c r="F2330" s="3"/>
      <c r="G2330" s="2"/>
      <c r="H2330" s="1"/>
      <c r="J2330" s="2"/>
    </row>
    <row r="2331" spans="1:10" x14ac:dyDescent="0.25">
      <c r="A2331" s="5"/>
      <c r="B2331" s="2"/>
      <c r="F2331" s="3"/>
      <c r="G2331" s="2"/>
      <c r="H2331" s="1"/>
      <c r="J2331" s="2"/>
    </row>
    <row r="2332" spans="1:10" x14ac:dyDescent="0.25">
      <c r="A2332" s="5"/>
      <c r="B2332" s="2"/>
      <c r="F2332" s="3"/>
      <c r="G2332" s="2"/>
      <c r="H2332" s="1"/>
      <c r="J2332" s="2"/>
    </row>
    <row r="2333" spans="1:10" x14ac:dyDescent="0.25">
      <c r="A2333" s="5"/>
      <c r="B2333" s="2"/>
      <c r="F2333" s="3"/>
      <c r="G2333" s="2"/>
      <c r="H2333" s="1"/>
      <c r="J2333" s="2"/>
    </row>
    <row r="2334" spans="1:10" x14ac:dyDescent="0.25">
      <c r="A2334" s="5"/>
      <c r="B2334" s="2"/>
      <c r="F2334" s="3"/>
      <c r="G2334" s="2"/>
      <c r="H2334" s="1"/>
      <c r="J2334" s="2"/>
    </row>
    <row r="2335" spans="1:10" x14ac:dyDescent="0.25">
      <c r="A2335" s="5"/>
      <c r="B2335" s="2"/>
      <c r="F2335" s="3"/>
      <c r="G2335" s="2"/>
      <c r="H2335" s="1"/>
      <c r="J2335" s="2"/>
    </row>
    <row r="2336" spans="1:10" x14ac:dyDescent="0.25">
      <c r="A2336" s="5"/>
      <c r="B2336" s="2"/>
      <c r="F2336" s="3"/>
      <c r="G2336" s="2"/>
      <c r="H2336" s="1"/>
      <c r="J2336" s="2"/>
    </row>
    <row r="2337" spans="1:10" x14ac:dyDescent="0.25">
      <c r="A2337" s="5"/>
      <c r="B2337" s="2"/>
      <c r="F2337" s="3"/>
      <c r="G2337" s="2"/>
      <c r="H2337" s="1"/>
      <c r="J2337" s="2"/>
    </row>
    <row r="2338" spans="1:10" x14ac:dyDescent="0.25">
      <c r="A2338" s="5"/>
      <c r="B2338" s="2"/>
      <c r="F2338" s="3"/>
      <c r="G2338" s="2"/>
      <c r="H2338" s="1"/>
      <c r="J2338" s="2"/>
    </row>
    <row r="2339" spans="1:10" x14ac:dyDescent="0.25">
      <c r="A2339" s="5"/>
      <c r="B2339" s="2"/>
      <c r="F2339" s="3"/>
      <c r="G2339" s="2"/>
      <c r="H2339" s="1"/>
      <c r="J2339" s="2"/>
    </row>
    <row r="2340" spans="1:10" x14ac:dyDescent="0.25">
      <c r="A2340" s="5"/>
      <c r="B2340" s="2"/>
      <c r="F2340" s="3"/>
      <c r="G2340" s="2"/>
      <c r="H2340" s="1"/>
      <c r="J2340" s="2"/>
    </row>
    <row r="2341" spans="1:10" x14ac:dyDescent="0.25">
      <c r="A2341" s="5"/>
      <c r="B2341" s="2"/>
      <c r="F2341" s="3"/>
      <c r="G2341" s="2"/>
      <c r="H2341" s="1"/>
      <c r="J2341" s="2"/>
    </row>
    <row r="2342" spans="1:10" x14ac:dyDescent="0.25">
      <c r="A2342" s="5"/>
      <c r="B2342" s="2"/>
      <c r="F2342" s="3"/>
      <c r="G2342" s="2"/>
      <c r="H2342" s="1"/>
      <c r="J2342" s="2"/>
    </row>
    <row r="2343" spans="1:10" x14ac:dyDescent="0.25">
      <c r="A2343" s="5"/>
      <c r="B2343" s="2"/>
      <c r="F2343" s="3"/>
      <c r="G2343" s="2"/>
      <c r="H2343" s="1"/>
      <c r="J2343" s="2"/>
    </row>
    <row r="2344" spans="1:10" x14ac:dyDescent="0.25">
      <c r="A2344" s="5"/>
      <c r="B2344" s="2"/>
      <c r="F2344" s="3"/>
      <c r="G2344" s="2"/>
      <c r="H2344" s="1"/>
      <c r="J2344" s="2"/>
    </row>
    <row r="2345" spans="1:10" x14ac:dyDescent="0.25">
      <c r="A2345" s="5"/>
      <c r="B2345" s="2"/>
      <c r="F2345" s="3"/>
      <c r="G2345" s="2"/>
      <c r="H2345" s="1"/>
      <c r="J2345" s="2"/>
    </row>
    <row r="2346" spans="1:10" x14ac:dyDescent="0.25">
      <c r="A2346" s="5"/>
      <c r="B2346" s="2"/>
      <c r="F2346" s="3"/>
      <c r="G2346" s="2"/>
      <c r="H2346" s="1"/>
      <c r="J2346" s="2"/>
    </row>
    <row r="2347" spans="1:10" x14ac:dyDescent="0.25">
      <c r="A2347" s="5"/>
      <c r="B2347" s="2"/>
      <c r="F2347" s="3"/>
      <c r="G2347" s="2"/>
      <c r="H2347" s="1"/>
      <c r="J2347" s="2"/>
    </row>
    <row r="2348" spans="1:10" x14ac:dyDescent="0.25">
      <c r="A2348" s="5"/>
      <c r="B2348" s="2"/>
      <c r="F2348" s="3"/>
      <c r="G2348" s="2"/>
      <c r="H2348" s="1"/>
      <c r="J2348" s="2"/>
    </row>
    <row r="2349" spans="1:10" x14ac:dyDescent="0.25">
      <c r="A2349" s="5"/>
      <c r="B2349" s="2"/>
      <c r="F2349" s="3"/>
      <c r="G2349" s="2"/>
      <c r="H2349" s="1"/>
      <c r="J2349" s="2"/>
    </row>
    <row r="2350" spans="1:10" x14ac:dyDescent="0.25">
      <c r="A2350" s="5"/>
      <c r="B2350" s="2"/>
      <c r="F2350" s="3"/>
      <c r="G2350" s="2"/>
      <c r="H2350" s="1"/>
      <c r="J2350" s="2"/>
    </row>
    <row r="2351" spans="1:10" x14ac:dyDescent="0.25">
      <c r="A2351" s="5"/>
      <c r="B2351" s="2"/>
      <c r="F2351" s="3"/>
      <c r="G2351" s="2"/>
      <c r="H2351" s="1"/>
      <c r="J2351" s="2"/>
    </row>
    <row r="2352" spans="1:10" x14ac:dyDescent="0.25">
      <c r="A2352" s="5"/>
      <c r="B2352" s="2"/>
      <c r="F2352" s="3"/>
      <c r="G2352" s="2"/>
      <c r="H2352" s="1"/>
      <c r="J2352" s="2"/>
    </row>
    <row r="2353" spans="1:10" x14ac:dyDescent="0.25">
      <c r="A2353" s="5"/>
      <c r="B2353" s="2"/>
      <c r="F2353" s="3"/>
      <c r="G2353" s="2"/>
      <c r="H2353" s="1"/>
      <c r="J2353" s="2"/>
    </row>
    <row r="2354" spans="1:10" x14ac:dyDescent="0.25">
      <c r="A2354" s="5"/>
      <c r="B2354" s="2"/>
      <c r="F2354" s="3"/>
      <c r="G2354" s="2"/>
      <c r="H2354" s="1"/>
      <c r="J2354" s="2"/>
    </row>
    <row r="2355" spans="1:10" x14ac:dyDescent="0.25">
      <c r="A2355" s="5"/>
      <c r="B2355" s="2"/>
      <c r="F2355" s="3"/>
      <c r="G2355" s="2"/>
      <c r="H2355" s="1"/>
      <c r="J2355" s="2"/>
    </row>
    <row r="2356" spans="1:10" x14ac:dyDescent="0.25">
      <c r="A2356" s="5"/>
      <c r="B2356" s="2"/>
      <c r="F2356" s="3"/>
      <c r="G2356" s="2"/>
      <c r="H2356" s="1"/>
      <c r="J2356" s="2"/>
    </row>
    <row r="2357" spans="1:10" x14ac:dyDescent="0.25">
      <c r="A2357" s="5"/>
      <c r="B2357" s="2"/>
      <c r="F2357" s="3"/>
      <c r="G2357" s="2"/>
      <c r="H2357" s="1"/>
      <c r="J2357" s="2"/>
    </row>
    <row r="2358" spans="1:10" x14ac:dyDescent="0.25">
      <c r="A2358" s="5"/>
      <c r="B2358" s="2"/>
      <c r="F2358" s="3"/>
      <c r="G2358" s="2"/>
      <c r="H2358" s="1"/>
      <c r="J2358" s="2"/>
    </row>
    <row r="2359" spans="1:10" x14ac:dyDescent="0.25">
      <c r="A2359" s="5"/>
      <c r="B2359" s="2"/>
      <c r="F2359" s="3"/>
      <c r="G2359" s="2"/>
      <c r="H2359" s="1"/>
      <c r="J2359" s="2"/>
    </row>
    <row r="2360" spans="1:10" x14ac:dyDescent="0.25">
      <c r="A2360" s="5"/>
      <c r="B2360" s="2"/>
      <c r="F2360" s="3"/>
      <c r="G2360" s="2"/>
      <c r="H2360" s="1"/>
      <c r="J2360" s="2"/>
    </row>
    <row r="2361" spans="1:10" x14ac:dyDescent="0.25">
      <c r="A2361" s="5"/>
      <c r="B2361" s="2"/>
      <c r="F2361" s="3"/>
      <c r="G2361" s="2"/>
      <c r="H2361" s="1"/>
      <c r="J2361" s="2"/>
    </row>
    <row r="2362" spans="1:10" x14ac:dyDescent="0.25">
      <c r="A2362" s="5"/>
      <c r="B2362" s="2"/>
      <c r="F2362" s="3"/>
      <c r="G2362" s="2"/>
      <c r="H2362" s="1"/>
      <c r="J2362" s="2"/>
    </row>
    <row r="2363" spans="1:10" x14ac:dyDescent="0.25">
      <c r="A2363" s="5"/>
      <c r="B2363" s="2"/>
      <c r="F2363" s="3"/>
      <c r="G2363" s="2"/>
      <c r="H2363" s="1"/>
      <c r="J2363" s="2"/>
    </row>
    <row r="2364" spans="1:10" x14ac:dyDescent="0.25">
      <c r="A2364" s="5"/>
      <c r="B2364" s="2"/>
      <c r="F2364" s="3"/>
      <c r="G2364" s="2"/>
      <c r="H2364" s="1"/>
      <c r="J2364" s="2"/>
    </row>
    <row r="2365" spans="1:10" x14ac:dyDescent="0.25">
      <c r="A2365" s="5"/>
      <c r="B2365" s="2"/>
      <c r="F2365" s="3"/>
      <c r="G2365" s="2"/>
      <c r="H2365" s="1"/>
      <c r="J2365" s="2"/>
    </row>
    <row r="2366" spans="1:10" x14ac:dyDescent="0.25">
      <c r="A2366" s="5"/>
      <c r="B2366" s="2"/>
      <c r="F2366" s="3"/>
      <c r="G2366" s="2"/>
      <c r="H2366" s="1"/>
      <c r="J2366" s="2"/>
    </row>
    <row r="2367" spans="1:10" x14ac:dyDescent="0.25">
      <c r="A2367" s="5"/>
      <c r="B2367" s="2"/>
      <c r="F2367" s="3"/>
      <c r="G2367" s="2"/>
      <c r="H2367" s="1"/>
      <c r="J2367" s="2"/>
    </row>
    <row r="2368" spans="1:10" x14ac:dyDescent="0.25">
      <c r="A2368" s="5"/>
      <c r="B2368" s="2"/>
      <c r="F2368" s="3"/>
      <c r="G2368" s="2"/>
      <c r="H2368" s="1"/>
      <c r="J2368" s="2"/>
    </row>
    <row r="2369" spans="1:10" x14ac:dyDescent="0.25">
      <c r="A2369" s="5"/>
      <c r="B2369" s="2"/>
      <c r="F2369" s="3"/>
      <c r="G2369" s="2"/>
      <c r="H2369" s="1"/>
      <c r="J2369" s="2"/>
    </row>
    <row r="2370" spans="1:10" x14ac:dyDescent="0.25">
      <c r="A2370" s="5"/>
      <c r="B2370" s="2"/>
      <c r="F2370" s="3"/>
      <c r="G2370" s="2"/>
      <c r="H2370" s="1"/>
      <c r="J2370" s="2"/>
    </row>
    <row r="2371" spans="1:10" x14ac:dyDescent="0.25">
      <c r="A2371" s="5"/>
      <c r="B2371" s="2"/>
      <c r="F2371" s="3"/>
      <c r="G2371" s="2"/>
      <c r="H2371" s="1"/>
      <c r="J2371" s="2"/>
    </row>
    <row r="2372" spans="1:10" x14ac:dyDescent="0.25">
      <c r="A2372" s="5"/>
      <c r="B2372" s="2"/>
      <c r="F2372" s="3"/>
      <c r="G2372" s="2"/>
      <c r="H2372" s="1"/>
      <c r="J2372" s="2"/>
    </row>
    <row r="2373" spans="1:10" x14ac:dyDescent="0.25">
      <c r="A2373" s="5"/>
      <c r="B2373" s="2"/>
      <c r="F2373" s="3"/>
      <c r="G2373" s="2"/>
      <c r="H2373" s="1"/>
      <c r="J2373" s="2"/>
    </row>
    <row r="2374" spans="1:10" x14ac:dyDescent="0.25">
      <c r="A2374" s="5"/>
      <c r="B2374" s="2"/>
      <c r="F2374" s="3"/>
      <c r="G2374" s="2"/>
      <c r="H2374" s="1"/>
      <c r="J2374" s="2"/>
    </row>
    <row r="2375" spans="1:10" x14ac:dyDescent="0.25">
      <c r="A2375" s="5"/>
      <c r="B2375" s="2"/>
      <c r="F2375" s="3"/>
      <c r="G2375" s="2"/>
      <c r="H2375" s="1"/>
      <c r="J2375" s="2"/>
    </row>
    <row r="2376" spans="1:10" x14ac:dyDescent="0.25">
      <c r="A2376" s="5"/>
      <c r="B2376" s="2"/>
      <c r="F2376" s="3"/>
      <c r="G2376" s="2"/>
      <c r="H2376" s="1"/>
      <c r="J2376" s="2"/>
    </row>
    <row r="2377" spans="1:10" x14ac:dyDescent="0.25">
      <c r="A2377" s="5"/>
      <c r="B2377" s="2"/>
      <c r="F2377" s="3"/>
      <c r="G2377" s="2"/>
      <c r="H2377" s="1"/>
      <c r="J2377" s="2"/>
    </row>
    <row r="2378" spans="1:10" x14ac:dyDescent="0.25">
      <c r="A2378" s="5"/>
      <c r="B2378" s="2"/>
      <c r="F2378" s="3"/>
      <c r="G2378" s="2"/>
      <c r="H2378" s="1"/>
      <c r="J2378" s="2"/>
    </row>
    <row r="2379" spans="1:10" x14ac:dyDescent="0.25">
      <c r="A2379" s="5"/>
      <c r="B2379" s="2"/>
      <c r="F2379" s="3"/>
      <c r="G2379" s="2"/>
      <c r="H2379" s="1"/>
      <c r="J2379" s="2"/>
    </row>
    <row r="2380" spans="1:10" x14ac:dyDescent="0.25">
      <c r="A2380" s="5"/>
      <c r="B2380" s="2"/>
      <c r="F2380" s="3"/>
      <c r="G2380" s="2"/>
      <c r="H2380" s="1"/>
      <c r="J2380" s="2"/>
    </row>
    <row r="2381" spans="1:10" x14ac:dyDescent="0.25">
      <c r="A2381" s="5"/>
      <c r="B2381" s="2"/>
      <c r="F2381" s="3"/>
      <c r="G2381" s="2"/>
      <c r="H2381" s="1"/>
      <c r="J2381" s="2"/>
    </row>
    <row r="2382" spans="1:10" x14ac:dyDescent="0.25">
      <c r="A2382" s="5"/>
      <c r="B2382" s="2"/>
      <c r="F2382" s="3"/>
      <c r="G2382" s="2"/>
      <c r="H2382" s="1"/>
      <c r="J2382" s="2"/>
    </row>
    <row r="2383" spans="1:10" x14ac:dyDescent="0.25">
      <c r="A2383" s="5"/>
      <c r="B2383" s="2"/>
      <c r="F2383" s="3"/>
      <c r="G2383" s="2"/>
      <c r="H2383" s="1"/>
      <c r="J2383" s="2"/>
    </row>
    <row r="2384" spans="1:10" x14ac:dyDescent="0.25">
      <c r="A2384" s="5"/>
      <c r="B2384" s="2"/>
      <c r="F2384" s="3"/>
      <c r="G2384" s="2"/>
      <c r="H2384" s="1"/>
      <c r="J2384" s="2"/>
    </row>
    <row r="2385" spans="1:10" x14ac:dyDescent="0.25">
      <c r="A2385" s="5"/>
      <c r="B2385" s="2"/>
      <c r="F2385" s="3"/>
      <c r="G2385" s="2"/>
      <c r="H2385" s="1"/>
      <c r="J2385" s="2"/>
    </row>
    <row r="2386" spans="1:10" x14ac:dyDescent="0.25">
      <c r="A2386" s="5"/>
      <c r="B2386" s="2"/>
      <c r="F2386" s="3"/>
      <c r="G2386" s="2"/>
      <c r="H2386" s="1"/>
      <c r="J2386" s="2"/>
    </row>
    <row r="2387" spans="1:10" x14ac:dyDescent="0.25">
      <c r="A2387" s="5"/>
      <c r="B2387" s="2"/>
      <c r="F2387" s="3"/>
      <c r="G2387" s="2"/>
      <c r="H2387" s="1"/>
      <c r="J2387" s="2"/>
    </row>
    <row r="2388" spans="1:10" x14ac:dyDescent="0.25">
      <c r="A2388" s="5"/>
      <c r="B2388" s="2"/>
      <c r="F2388" s="3"/>
      <c r="G2388" s="2"/>
      <c r="H2388" s="1"/>
      <c r="J2388" s="2"/>
    </row>
    <row r="2389" spans="1:10" x14ac:dyDescent="0.25">
      <c r="A2389" s="5"/>
      <c r="B2389" s="2"/>
      <c r="F2389" s="3"/>
      <c r="G2389" s="2"/>
      <c r="H2389" s="1"/>
      <c r="J2389" s="2"/>
    </row>
    <row r="2390" spans="1:10" x14ac:dyDescent="0.25">
      <c r="A2390" s="5"/>
      <c r="B2390" s="2"/>
      <c r="F2390" s="3"/>
      <c r="G2390" s="2"/>
      <c r="H2390" s="1"/>
      <c r="J2390" s="2"/>
    </row>
    <row r="2391" spans="1:10" x14ac:dyDescent="0.25">
      <c r="A2391" s="5"/>
      <c r="B2391" s="2"/>
      <c r="F2391" s="3"/>
      <c r="G2391" s="2"/>
      <c r="H2391" s="1"/>
      <c r="J2391" s="2"/>
    </row>
    <row r="2392" spans="1:10" x14ac:dyDescent="0.25">
      <c r="A2392" s="5"/>
      <c r="B2392" s="2"/>
      <c r="F2392" s="3"/>
      <c r="G2392" s="2"/>
      <c r="H2392" s="1"/>
      <c r="J2392" s="2"/>
    </row>
    <row r="2393" spans="1:10" x14ac:dyDescent="0.25">
      <c r="A2393" s="5"/>
      <c r="B2393" s="2"/>
      <c r="F2393" s="3"/>
      <c r="G2393" s="2"/>
      <c r="H2393" s="1"/>
      <c r="J2393" s="2"/>
    </row>
    <row r="2394" spans="1:10" x14ac:dyDescent="0.25">
      <c r="A2394" s="5"/>
      <c r="B2394" s="2"/>
      <c r="F2394" s="3"/>
      <c r="G2394" s="2"/>
      <c r="H2394" s="1"/>
      <c r="J2394" s="2"/>
    </row>
    <row r="2395" spans="1:10" x14ac:dyDescent="0.25">
      <c r="A2395" s="5"/>
      <c r="B2395" s="2"/>
      <c r="F2395" s="3"/>
      <c r="G2395" s="2"/>
      <c r="H2395" s="1"/>
      <c r="J2395" s="2"/>
    </row>
    <row r="2396" spans="1:10" x14ac:dyDescent="0.25">
      <c r="A2396" s="5"/>
      <c r="B2396" s="2"/>
      <c r="F2396" s="3"/>
      <c r="G2396" s="2"/>
      <c r="H2396" s="1"/>
      <c r="J2396" s="2"/>
    </row>
    <row r="2397" spans="1:10" x14ac:dyDescent="0.25">
      <c r="A2397" s="5"/>
      <c r="B2397" s="2"/>
      <c r="F2397" s="3"/>
      <c r="G2397" s="2"/>
      <c r="H2397" s="1"/>
      <c r="J2397" s="2"/>
    </row>
    <row r="2398" spans="1:10" x14ac:dyDescent="0.25">
      <c r="A2398" s="5"/>
      <c r="B2398" s="2"/>
      <c r="F2398" s="3"/>
      <c r="G2398" s="2"/>
      <c r="H2398" s="1"/>
      <c r="J2398" s="2"/>
    </row>
    <row r="2399" spans="1:10" x14ac:dyDescent="0.25">
      <c r="A2399" s="5"/>
      <c r="B2399" s="2"/>
      <c r="F2399" s="3"/>
      <c r="G2399" s="2"/>
      <c r="H2399" s="1"/>
      <c r="J2399" s="2"/>
    </row>
    <row r="2400" spans="1:10" x14ac:dyDescent="0.25">
      <c r="A2400" s="5"/>
      <c r="B2400" s="2"/>
      <c r="F2400" s="3"/>
      <c r="G2400" s="2"/>
      <c r="H2400" s="1"/>
      <c r="J2400" s="2"/>
    </row>
    <row r="2401" spans="1:10" x14ac:dyDescent="0.25">
      <c r="A2401" s="5"/>
      <c r="B2401" s="2"/>
      <c r="F2401" s="3"/>
      <c r="G2401" s="2"/>
      <c r="H2401" s="1"/>
      <c r="J2401" s="2"/>
    </row>
    <row r="2402" spans="1:10" x14ac:dyDescent="0.25">
      <c r="A2402" s="5"/>
      <c r="B2402" s="2"/>
      <c r="F2402" s="3"/>
      <c r="G2402" s="2"/>
      <c r="H2402" s="1"/>
      <c r="J2402" s="2"/>
    </row>
    <row r="2403" spans="1:10" x14ac:dyDescent="0.25">
      <c r="A2403" s="5"/>
      <c r="B2403" s="2"/>
      <c r="F2403" s="3"/>
      <c r="G2403" s="2"/>
      <c r="H2403" s="1"/>
      <c r="J2403" s="2"/>
    </row>
    <row r="2404" spans="1:10" x14ac:dyDescent="0.25">
      <c r="A2404" s="5"/>
      <c r="B2404" s="2"/>
      <c r="F2404" s="3"/>
      <c r="G2404" s="2"/>
      <c r="H2404" s="1"/>
      <c r="J2404" s="2"/>
    </row>
    <row r="2405" spans="1:10" x14ac:dyDescent="0.25">
      <c r="A2405" s="5"/>
      <c r="B2405" s="2"/>
      <c r="F2405" s="3"/>
      <c r="G2405" s="2"/>
      <c r="H2405" s="1"/>
      <c r="J2405" s="2"/>
    </row>
    <row r="2406" spans="1:10" x14ac:dyDescent="0.25">
      <c r="A2406" s="5"/>
      <c r="B2406" s="2"/>
      <c r="F2406" s="3"/>
      <c r="G2406" s="2"/>
      <c r="H2406" s="1"/>
      <c r="J2406" s="2"/>
    </row>
    <row r="2407" spans="1:10" x14ac:dyDescent="0.25">
      <c r="A2407" s="5"/>
      <c r="B2407" s="2"/>
      <c r="F2407" s="3"/>
      <c r="G2407" s="2"/>
      <c r="H2407" s="1"/>
      <c r="J2407" s="2"/>
    </row>
    <row r="2408" spans="1:10" x14ac:dyDescent="0.25">
      <c r="A2408" s="5"/>
      <c r="B2408" s="2"/>
      <c r="F2408" s="3"/>
      <c r="G2408" s="2"/>
      <c r="H2408" s="1"/>
      <c r="J2408" s="2"/>
    </row>
    <row r="2409" spans="1:10" x14ac:dyDescent="0.25">
      <c r="A2409" s="5"/>
      <c r="B2409" s="2"/>
      <c r="F2409" s="3"/>
      <c r="G2409" s="2"/>
      <c r="H2409" s="1"/>
      <c r="J2409" s="2"/>
    </row>
    <row r="2410" spans="1:10" x14ac:dyDescent="0.25">
      <c r="A2410" s="5"/>
      <c r="B2410" s="2"/>
      <c r="F2410" s="3"/>
      <c r="G2410" s="2"/>
      <c r="H2410" s="1"/>
      <c r="J2410" s="2"/>
    </row>
    <row r="2411" spans="1:10" x14ac:dyDescent="0.25">
      <c r="A2411" s="5"/>
      <c r="B2411" s="2"/>
      <c r="F2411" s="3"/>
      <c r="G2411" s="2"/>
      <c r="H2411" s="1"/>
      <c r="J2411" s="2"/>
    </row>
    <row r="2412" spans="1:10" x14ac:dyDescent="0.25">
      <c r="A2412" s="5"/>
      <c r="B2412" s="2"/>
      <c r="F2412" s="3"/>
      <c r="G2412" s="2"/>
      <c r="H2412" s="1"/>
      <c r="J2412" s="2"/>
    </row>
    <row r="2413" spans="1:10" x14ac:dyDescent="0.25">
      <c r="A2413" s="5"/>
      <c r="B2413" s="2"/>
      <c r="F2413" s="3"/>
      <c r="G2413" s="2"/>
      <c r="H2413" s="1"/>
      <c r="J2413" s="2"/>
    </row>
    <row r="2414" spans="1:10" x14ac:dyDescent="0.25">
      <c r="A2414" s="5"/>
      <c r="B2414" s="2"/>
      <c r="F2414" s="3"/>
      <c r="G2414" s="2"/>
      <c r="H2414" s="1"/>
      <c r="J2414" s="2"/>
    </row>
    <row r="2415" spans="1:10" x14ac:dyDescent="0.25">
      <c r="A2415" s="5"/>
      <c r="B2415" s="2"/>
      <c r="F2415" s="3"/>
      <c r="G2415" s="2"/>
      <c r="H2415" s="1"/>
      <c r="J2415" s="2"/>
    </row>
    <row r="2416" spans="1:10" x14ac:dyDescent="0.25">
      <c r="A2416" s="5"/>
      <c r="B2416" s="2"/>
      <c r="F2416" s="3"/>
      <c r="G2416" s="2"/>
      <c r="H2416" s="1"/>
      <c r="J2416" s="2"/>
    </row>
    <row r="2417" spans="1:10" x14ac:dyDescent="0.25">
      <c r="A2417" s="5"/>
      <c r="B2417" s="2"/>
      <c r="F2417" s="3"/>
      <c r="G2417" s="2"/>
      <c r="H2417" s="1"/>
      <c r="J2417" s="2"/>
    </row>
    <row r="2418" spans="1:10" x14ac:dyDescent="0.25">
      <c r="A2418" s="5"/>
      <c r="B2418" s="2"/>
      <c r="F2418" s="3"/>
      <c r="G2418" s="2"/>
      <c r="H2418" s="1"/>
      <c r="J2418" s="2"/>
    </row>
    <row r="2419" spans="1:10" x14ac:dyDescent="0.25">
      <c r="A2419" s="5"/>
      <c r="B2419" s="2"/>
      <c r="F2419" s="3"/>
      <c r="G2419" s="2"/>
      <c r="H2419" s="1"/>
      <c r="J2419" s="2"/>
    </row>
    <row r="2420" spans="1:10" x14ac:dyDescent="0.25">
      <c r="A2420" s="5"/>
      <c r="B2420" s="2"/>
      <c r="F2420" s="3"/>
      <c r="G2420" s="2"/>
      <c r="H2420" s="1"/>
      <c r="J2420" s="2"/>
    </row>
    <row r="2421" spans="1:10" x14ac:dyDescent="0.25">
      <c r="A2421" s="5"/>
      <c r="B2421" s="2"/>
      <c r="F2421" s="3"/>
      <c r="G2421" s="2"/>
      <c r="H2421" s="1"/>
      <c r="J2421" s="2"/>
    </row>
    <row r="2422" spans="1:10" x14ac:dyDescent="0.25">
      <c r="A2422" s="5"/>
      <c r="B2422" s="2"/>
      <c r="F2422" s="3"/>
      <c r="G2422" s="2"/>
      <c r="H2422" s="1"/>
      <c r="J2422" s="2"/>
    </row>
    <row r="2423" spans="1:10" x14ac:dyDescent="0.25">
      <c r="A2423" s="5"/>
      <c r="B2423" s="2"/>
      <c r="F2423" s="3"/>
      <c r="G2423" s="2"/>
      <c r="H2423" s="1"/>
      <c r="J2423" s="2"/>
    </row>
    <row r="2424" spans="1:10" x14ac:dyDescent="0.25">
      <c r="A2424" s="5"/>
      <c r="B2424" s="2"/>
      <c r="F2424" s="3"/>
      <c r="G2424" s="2"/>
      <c r="H2424" s="1"/>
      <c r="J2424" s="2"/>
    </row>
    <row r="2425" spans="1:10" x14ac:dyDescent="0.25">
      <c r="A2425" s="5"/>
      <c r="B2425" s="2"/>
      <c r="F2425" s="3"/>
      <c r="G2425" s="2"/>
      <c r="H2425" s="1"/>
      <c r="J2425" s="2"/>
    </row>
    <row r="2426" spans="1:10" x14ac:dyDescent="0.25">
      <c r="A2426" s="5"/>
      <c r="B2426" s="2"/>
      <c r="F2426" s="3"/>
      <c r="G2426" s="2"/>
      <c r="H2426" s="1"/>
      <c r="J2426" s="2"/>
    </row>
    <row r="2427" spans="1:10" x14ac:dyDescent="0.25">
      <c r="A2427" s="5"/>
      <c r="B2427" s="2"/>
      <c r="F2427" s="3"/>
      <c r="G2427" s="2"/>
      <c r="H2427" s="1"/>
      <c r="J2427" s="2"/>
    </row>
    <row r="2428" spans="1:10" x14ac:dyDescent="0.25">
      <c r="A2428" s="5"/>
      <c r="B2428" s="2"/>
      <c r="F2428" s="3"/>
      <c r="G2428" s="2"/>
      <c r="H2428" s="1"/>
      <c r="J2428" s="2"/>
    </row>
    <row r="2429" spans="1:10" x14ac:dyDescent="0.25">
      <c r="A2429" s="5"/>
      <c r="B2429" s="2"/>
      <c r="F2429" s="3"/>
      <c r="G2429" s="2"/>
      <c r="H2429" s="1"/>
      <c r="J2429" s="2"/>
    </row>
    <row r="2430" spans="1:10" x14ac:dyDescent="0.25">
      <c r="A2430" s="5"/>
      <c r="B2430" s="2"/>
      <c r="F2430" s="3"/>
      <c r="G2430" s="2"/>
      <c r="H2430" s="1"/>
      <c r="J2430" s="2"/>
    </row>
    <row r="2431" spans="1:10" x14ac:dyDescent="0.25">
      <c r="A2431" s="5"/>
      <c r="B2431" s="2"/>
      <c r="F2431" s="3"/>
      <c r="G2431" s="2"/>
      <c r="H2431" s="1"/>
      <c r="J2431" s="2"/>
    </row>
    <row r="2432" spans="1:10" x14ac:dyDescent="0.25">
      <c r="A2432" s="5"/>
      <c r="B2432" s="2"/>
      <c r="F2432" s="3"/>
      <c r="G2432" s="2"/>
      <c r="H2432" s="1"/>
      <c r="J2432" s="2"/>
    </row>
    <row r="2433" spans="1:10" x14ac:dyDescent="0.25">
      <c r="A2433" s="5"/>
      <c r="B2433" s="2"/>
      <c r="F2433" s="3"/>
      <c r="G2433" s="2"/>
      <c r="H2433" s="1"/>
      <c r="J2433" s="2"/>
    </row>
    <row r="2434" spans="1:10" x14ac:dyDescent="0.25">
      <c r="A2434" s="5"/>
      <c r="B2434" s="2"/>
      <c r="F2434" s="3"/>
      <c r="G2434" s="2"/>
      <c r="H2434" s="1"/>
      <c r="J2434" s="2"/>
    </row>
    <row r="2435" spans="1:10" x14ac:dyDescent="0.25">
      <c r="A2435" s="5"/>
      <c r="B2435" s="2"/>
      <c r="F2435" s="3"/>
      <c r="G2435" s="2"/>
      <c r="H2435" s="1"/>
      <c r="J2435" s="2"/>
    </row>
    <row r="2436" spans="1:10" x14ac:dyDescent="0.25">
      <c r="A2436" s="5"/>
      <c r="B2436" s="2"/>
      <c r="F2436" s="3"/>
      <c r="G2436" s="2"/>
      <c r="H2436" s="1"/>
      <c r="J2436" s="2"/>
    </row>
    <row r="2437" spans="1:10" x14ac:dyDescent="0.25">
      <c r="A2437" s="5"/>
      <c r="B2437" s="2"/>
      <c r="F2437" s="3"/>
      <c r="G2437" s="2"/>
      <c r="H2437" s="1"/>
      <c r="J2437" s="2"/>
    </row>
    <row r="2438" spans="1:10" x14ac:dyDescent="0.25">
      <c r="A2438" s="5"/>
      <c r="B2438" s="2"/>
      <c r="F2438" s="3"/>
      <c r="G2438" s="2"/>
      <c r="H2438" s="1"/>
      <c r="J2438" s="2"/>
    </row>
    <row r="2439" spans="1:10" x14ac:dyDescent="0.25">
      <c r="A2439" s="5"/>
      <c r="B2439" s="2"/>
      <c r="F2439" s="3"/>
      <c r="G2439" s="2"/>
      <c r="H2439" s="1"/>
      <c r="J2439" s="2"/>
    </row>
    <row r="2440" spans="1:10" x14ac:dyDescent="0.25">
      <c r="A2440" s="5"/>
      <c r="B2440" s="2"/>
      <c r="F2440" s="3"/>
      <c r="G2440" s="2"/>
      <c r="H2440" s="1"/>
      <c r="J2440" s="2"/>
    </row>
    <row r="2441" spans="1:10" x14ac:dyDescent="0.25">
      <c r="A2441" s="5"/>
      <c r="B2441" s="2"/>
      <c r="F2441" s="3"/>
      <c r="G2441" s="2"/>
      <c r="H2441" s="1"/>
      <c r="J2441" s="2"/>
    </row>
    <row r="2442" spans="1:10" x14ac:dyDescent="0.25">
      <c r="A2442" s="5"/>
      <c r="B2442" s="2"/>
      <c r="F2442" s="3"/>
      <c r="G2442" s="2"/>
      <c r="H2442" s="1"/>
      <c r="J2442" s="2"/>
    </row>
    <row r="2443" spans="1:10" x14ac:dyDescent="0.25">
      <c r="A2443" s="5"/>
      <c r="B2443" s="2"/>
      <c r="F2443" s="3"/>
      <c r="G2443" s="2"/>
      <c r="H2443" s="1"/>
      <c r="J2443" s="2"/>
    </row>
    <row r="2444" spans="1:10" x14ac:dyDescent="0.25">
      <c r="A2444" s="5"/>
      <c r="B2444" s="2"/>
      <c r="F2444" s="3"/>
      <c r="G2444" s="2"/>
      <c r="H2444" s="1"/>
      <c r="J2444" s="2"/>
    </row>
    <row r="2445" spans="1:10" x14ac:dyDescent="0.25">
      <c r="A2445" s="5"/>
      <c r="B2445" s="2"/>
      <c r="F2445" s="3"/>
      <c r="G2445" s="2"/>
      <c r="H2445" s="1"/>
      <c r="J2445" s="2"/>
    </row>
    <row r="2446" spans="1:10" x14ac:dyDescent="0.25">
      <c r="A2446" s="5"/>
      <c r="B2446" s="2"/>
      <c r="F2446" s="3"/>
      <c r="G2446" s="2"/>
      <c r="H2446" s="1"/>
      <c r="J2446" s="2"/>
    </row>
    <row r="2447" spans="1:10" x14ac:dyDescent="0.25">
      <c r="A2447" s="5"/>
      <c r="B2447" s="2"/>
      <c r="F2447" s="3"/>
      <c r="G2447" s="2"/>
      <c r="H2447" s="1"/>
      <c r="J2447" s="2"/>
    </row>
    <row r="2448" spans="1:10" x14ac:dyDescent="0.25">
      <c r="A2448" s="5"/>
      <c r="B2448" s="2"/>
      <c r="F2448" s="3"/>
      <c r="G2448" s="2"/>
      <c r="H2448" s="1"/>
      <c r="J2448" s="2"/>
    </row>
    <row r="2449" spans="1:10" x14ac:dyDescent="0.25">
      <c r="A2449" s="5"/>
      <c r="B2449" s="2"/>
      <c r="F2449" s="3"/>
      <c r="G2449" s="2"/>
      <c r="H2449" s="1"/>
      <c r="J2449" s="2"/>
    </row>
    <row r="2450" spans="1:10" x14ac:dyDescent="0.25">
      <c r="A2450" s="5"/>
      <c r="B2450" s="2"/>
      <c r="F2450" s="3"/>
      <c r="G2450" s="2"/>
      <c r="H2450" s="1"/>
      <c r="J2450" s="2"/>
    </row>
    <row r="2451" spans="1:10" x14ac:dyDescent="0.25">
      <c r="A2451" s="5"/>
      <c r="B2451" s="2"/>
      <c r="F2451" s="3"/>
      <c r="G2451" s="2"/>
      <c r="H2451" s="1"/>
      <c r="J2451" s="2"/>
    </row>
    <row r="2452" spans="1:10" x14ac:dyDescent="0.25">
      <c r="A2452" s="5"/>
      <c r="B2452" s="2"/>
      <c r="F2452" s="3"/>
      <c r="G2452" s="2"/>
      <c r="H2452" s="1"/>
      <c r="J2452" s="2"/>
    </row>
    <row r="2453" spans="1:10" x14ac:dyDescent="0.25">
      <c r="A2453" s="5"/>
      <c r="B2453" s="2"/>
      <c r="F2453" s="3"/>
      <c r="G2453" s="2"/>
      <c r="H2453" s="1"/>
      <c r="J2453" s="2"/>
    </row>
    <row r="2454" spans="1:10" x14ac:dyDescent="0.25">
      <c r="A2454" s="5"/>
      <c r="B2454" s="2"/>
      <c r="F2454" s="3"/>
      <c r="G2454" s="2"/>
      <c r="H2454" s="1"/>
      <c r="J2454" s="2"/>
    </row>
    <row r="2455" spans="1:10" x14ac:dyDescent="0.25">
      <c r="A2455" s="5"/>
      <c r="B2455" s="2"/>
      <c r="F2455" s="3"/>
      <c r="G2455" s="2"/>
      <c r="H2455" s="1"/>
      <c r="J2455" s="2"/>
    </row>
    <row r="2456" spans="1:10" x14ac:dyDescent="0.25">
      <c r="A2456" s="5"/>
      <c r="B2456" s="2"/>
      <c r="F2456" s="3"/>
      <c r="G2456" s="2"/>
      <c r="H2456" s="1"/>
      <c r="J2456" s="2"/>
    </row>
    <row r="2457" spans="1:10" x14ac:dyDescent="0.25">
      <c r="A2457" s="5"/>
      <c r="B2457" s="2"/>
      <c r="F2457" s="3"/>
      <c r="G2457" s="2"/>
      <c r="H2457" s="1"/>
      <c r="J2457" s="2"/>
    </row>
    <row r="2458" spans="1:10" x14ac:dyDescent="0.25">
      <c r="A2458" s="5"/>
      <c r="B2458" s="2"/>
      <c r="F2458" s="3"/>
      <c r="G2458" s="2"/>
      <c r="H2458" s="1"/>
      <c r="J2458" s="2"/>
    </row>
    <row r="2459" spans="1:10" x14ac:dyDescent="0.25">
      <c r="A2459" s="5"/>
      <c r="B2459" s="2"/>
      <c r="F2459" s="3"/>
      <c r="G2459" s="2"/>
      <c r="H2459" s="1"/>
      <c r="J2459" s="2"/>
    </row>
    <row r="2460" spans="1:10" x14ac:dyDescent="0.25">
      <c r="A2460" s="5"/>
      <c r="B2460" s="2"/>
      <c r="F2460" s="3"/>
      <c r="G2460" s="2"/>
      <c r="H2460" s="1"/>
      <c r="J2460" s="2"/>
    </row>
    <row r="2461" spans="1:10" x14ac:dyDescent="0.25">
      <c r="A2461" s="5"/>
      <c r="B2461" s="2"/>
      <c r="F2461" s="3"/>
      <c r="G2461" s="2"/>
      <c r="H2461" s="1"/>
      <c r="J2461" s="2"/>
    </row>
    <row r="2462" spans="1:10" x14ac:dyDescent="0.25">
      <c r="A2462" s="5"/>
      <c r="B2462" s="2"/>
      <c r="F2462" s="3"/>
      <c r="G2462" s="2"/>
      <c r="H2462" s="1"/>
      <c r="J2462" s="2"/>
    </row>
    <row r="2463" spans="1:10" x14ac:dyDescent="0.25">
      <c r="A2463" s="5"/>
      <c r="B2463" s="2"/>
      <c r="F2463" s="3"/>
      <c r="G2463" s="2"/>
      <c r="H2463" s="1"/>
      <c r="J2463" s="2"/>
    </row>
    <row r="2464" spans="1:10" x14ac:dyDescent="0.25">
      <c r="A2464" s="5"/>
      <c r="B2464" s="2"/>
      <c r="F2464" s="3"/>
      <c r="G2464" s="2"/>
      <c r="H2464" s="1"/>
      <c r="J2464" s="2"/>
    </row>
    <row r="2465" spans="1:10" x14ac:dyDescent="0.25">
      <c r="A2465" s="5"/>
      <c r="B2465" s="2"/>
      <c r="F2465" s="3"/>
      <c r="G2465" s="2"/>
      <c r="H2465" s="1"/>
      <c r="J2465" s="2"/>
    </row>
    <row r="2466" spans="1:10" x14ac:dyDescent="0.25">
      <c r="A2466" s="5"/>
      <c r="B2466" s="2"/>
      <c r="F2466" s="3"/>
      <c r="G2466" s="2"/>
      <c r="H2466" s="1"/>
      <c r="J2466" s="2"/>
    </row>
    <row r="2467" spans="1:10" x14ac:dyDescent="0.25">
      <c r="A2467" s="5"/>
      <c r="B2467" s="2"/>
      <c r="F2467" s="3"/>
      <c r="G2467" s="2"/>
      <c r="H2467" s="1"/>
      <c r="J2467" s="2"/>
    </row>
    <row r="2468" spans="1:10" x14ac:dyDescent="0.25">
      <c r="A2468" s="5"/>
      <c r="B2468" s="2"/>
      <c r="F2468" s="3"/>
      <c r="G2468" s="2"/>
      <c r="H2468" s="1"/>
      <c r="J2468" s="2"/>
    </row>
    <row r="2469" spans="1:10" x14ac:dyDescent="0.25">
      <c r="A2469" s="5"/>
      <c r="B2469" s="2"/>
      <c r="F2469" s="3"/>
      <c r="G2469" s="2"/>
      <c r="H2469" s="1"/>
      <c r="J2469" s="2"/>
    </row>
    <row r="2470" spans="1:10" x14ac:dyDescent="0.25">
      <c r="A2470" s="5"/>
      <c r="B2470" s="2"/>
      <c r="F2470" s="3"/>
      <c r="G2470" s="2"/>
      <c r="H2470" s="1"/>
      <c r="J2470" s="2"/>
    </row>
    <row r="2471" spans="1:10" x14ac:dyDescent="0.25">
      <c r="A2471" s="5"/>
      <c r="B2471" s="2"/>
      <c r="F2471" s="3"/>
      <c r="G2471" s="2"/>
      <c r="H2471" s="1"/>
      <c r="J2471" s="2"/>
    </row>
    <row r="2472" spans="1:10" x14ac:dyDescent="0.25">
      <c r="A2472" s="5"/>
      <c r="B2472" s="2"/>
      <c r="F2472" s="3"/>
      <c r="G2472" s="2"/>
      <c r="H2472" s="1"/>
      <c r="J2472" s="2"/>
    </row>
    <row r="2473" spans="1:10" x14ac:dyDescent="0.25">
      <c r="A2473" s="5"/>
      <c r="B2473" s="2"/>
      <c r="F2473" s="3"/>
      <c r="G2473" s="2"/>
      <c r="H2473" s="1"/>
      <c r="J2473" s="2"/>
    </row>
    <row r="2474" spans="1:10" x14ac:dyDescent="0.25">
      <c r="A2474" s="5"/>
      <c r="B2474" s="2"/>
      <c r="F2474" s="3"/>
      <c r="G2474" s="2"/>
      <c r="H2474" s="1"/>
      <c r="J2474" s="2"/>
    </row>
    <row r="2475" spans="1:10" x14ac:dyDescent="0.25">
      <c r="A2475" s="5"/>
      <c r="B2475" s="2"/>
      <c r="F2475" s="3"/>
      <c r="G2475" s="2"/>
      <c r="H2475" s="1"/>
      <c r="J2475" s="2"/>
    </row>
    <row r="2476" spans="1:10" x14ac:dyDescent="0.25">
      <c r="A2476" s="5"/>
      <c r="B2476" s="2"/>
      <c r="F2476" s="3"/>
      <c r="G2476" s="2"/>
      <c r="H2476" s="1"/>
      <c r="J2476" s="2"/>
    </row>
    <row r="2477" spans="1:10" x14ac:dyDescent="0.25">
      <c r="A2477" s="5"/>
      <c r="B2477" s="2"/>
      <c r="F2477" s="3"/>
      <c r="G2477" s="2"/>
      <c r="H2477" s="1"/>
      <c r="J2477" s="2"/>
    </row>
    <row r="2478" spans="1:10" x14ac:dyDescent="0.25">
      <c r="A2478" s="5"/>
      <c r="B2478" s="2"/>
      <c r="F2478" s="3"/>
      <c r="G2478" s="2"/>
      <c r="H2478" s="1"/>
      <c r="J2478" s="2"/>
    </row>
    <row r="2479" spans="1:10" x14ac:dyDescent="0.25">
      <c r="A2479" s="5"/>
      <c r="B2479" s="2"/>
      <c r="F2479" s="3"/>
      <c r="G2479" s="2"/>
      <c r="H2479" s="1"/>
      <c r="J2479" s="2"/>
    </row>
    <row r="2480" spans="1:10" x14ac:dyDescent="0.25">
      <c r="A2480" s="5"/>
      <c r="B2480" s="2"/>
      <c r="F2480" s="3"/>
      <c r="G2480" s="2"/>
      <c r="H2480" s="1"/>
      <c r="J2480" s="2"/>
    </row>
    <row r="2481" spans="1:10" x14ac:dyDescent="0.25">
      <c r="A2481" s="5"/>
      <c r="B2481" s="2"/>
      <c r="F2481" s="3"/>
      <c r="G2481" s="2"/>
      <c r="H2481" s="1"/>
      <c r="J2481" s="2"/>
    </row>
    <row r="2482" spans="1:10" x14ac:dyDescent="0.25">
      <c r="A2482" s="5"/>
      <c r="B2482" s="2"/>
      <c r="F2482" s="3"/>
      <c r="G2482" s="2"/>
      <c r="H2482" s="1"/>
      <c r="J2482" s="2"/>
    </row>
    <row r="2483" spans="1:10" x14ac:dyDescent="0.25">
      <c r="A2483" s="5"/>
      <c r="B2483" s="2"/>
      <c r="F2483" s="3"/>
      <c r="G2483" s="2"/>
      <c r="H2483" s="1"/>
      <c r="J2483" s="2"/>
    </row>
    <row r="2484" spans="1:10" x14ac:dyDescent="0.25">
      <c r="A2484" s="5"/>
      <c r="B2484" s="2"/>
      <c r="F2484" s="3"/>
      <c r="G2484" s="2"/>
      <c r="H2484" s="1"/>
      <c r="J2484" s="2"/>
    </row>
    <row r="2485" spans="1:10" x14ac:dyDescent="0.25">
      <c r="A2485" s="5"/>
      <c r="B2485" s="2"/>
      <c r="F2485" s="3"/>
      <c r="G2485" s="2"/>
      <c r="H2485" s="1"/>
      <c r="J2485" s="2"/>
    </row>
    <row r="2486" spans="1:10" x14ac:dyDescent="0.25">
      <c r="A2486" s="5"/>
      <c r="B2486" s="2"/>
      <c r="F2486" s="3"/>
      <c r="G2486" s="2"/>
      <c r="H2486" s="1"/>
      <c r="J2486" s="2"/>
    </row>
    <row r="2487" spans="1:10" x14ac:dyDescent="0.25">
      <c r="A2487" s="5"/>
      <c r="B2487" s="2"/>
      <c r="F2487" s="3"/>
      <c r="G2487" s="2"/>
      <c r="H2487" s="1"/>
      <c r="J2487" s="2"/>
    </row>
    <row r="2488" spans="1:10" x14ac:dyDescent="0.25">
      <c r="A2488" s="5"/>
      <c r="B2488" s="2"/>
      <c r="F2488" s="3"/>
      <c r="G2488" s="2"/>
      <c r="H2488" s="1"/>
      <c r="J2488" s="2"/>
    </row>
    <row r="2489" spans="1:10" x14ac:dyDescent="0.25">
      <c r="A2489" s="5"/>
      <c r="B2489" s="2"/>
      <c r="F2489" s="3"/>
      <c r="G2489" s="2"/>
      <c r="H2489" s="1"/>
      <c r="J2489" s="2"/>
    </row>
    <row r="2490" spans="1:10" x14ac:dyDescent="0.25">
      <c r="A2490" s="5"/>
      <c r="B2490" s="2"/>
      <c r="F2490" s="3"/>
      <c r="G2490" s="2"/>
      <c r="H2490" s="1"/>
      <c r="J2490" s="2"/>
    </row>
    <row r="2491" spans="1:10" x14ac:dyDescent="0.25">
      <c r="A2491" s="5"/>
      <c r="B2491" s="2"/>
      <c r="F2491" s="3"/>
      <c r="G2491" s="2"/>
      <c r="H2491" s="1"/>
      <c r="J2491" s="2"/>
    </row>
    <row r="2492" spans="1:10" x14ac:dyDescent="0.25">
      <c r="A2492" s="5"/>
      <c r="B2492" s="2"/>
      <c r="F2492" s="3"/>
      <c r="G2492" s="2"/>
      <c r="H2492" s="1"/>
      <c r="J2492" s="2"/>
    </row>
    <row r="2493" spans="1:10" x14ac:dyDescent="0.25">
      <c r="A2493" s="5"/>
      <c r="B2493" s="2"/>
      <c r="F2493" s="3"/>
      <c r="G2493" s="2"/>
      <c r="H2493" s="1"/>
      <c r="J2493" s="2"/>
    </row>
    <row r="2494" spans="1:10" x14ac:dyDescent="0.25">
      <c r="A2494" s="5"/>
      <c r="B2494" s="2"/>
      <c r="F2494" s="3"/>
      <c r="G2494" s="2"/>
      <c r="H2494" s="1"/>
      <c r="J2494" s="2"/>
    </row>
    <row r="2495" spans="1:10" x14ac:dyDescent="0.25">
      <c r="A2495" s="5"/>
      <c r="B2495" s="2"/>
      <c r="F2495" s="3"/>
      <c r="G2495" s="2"/>
      <c r="H2495" s="1"/>
      <c r="J2495" s="2"/>
    </row>
    <row r="2496" spans="1:10" x14ac:dyDescent="0.25">
      <c r="A2496" s="5"/>
      <c r="B2496" s="2"/>
      <c r="F2496" s="3"/>
      <c r="G2496" s="2"/>
      <c r="H2496" s="1"/>
      <c r="J2496" s="2"/>
    </row>
    <row r="2497" spans="1:10" x14ac:dyDescent="0.25">
      <c r="A2497" s="5"/>
      <c r="B2497" s="2"/>
      <c r="F2497" s="3"/>
      <c r="G2497" s="2"/>
      <c r="H2497" s="1"/>
      <c r="J2497" s="2"/>
    </row>
    <row r="2498" spans="1:10" x14ac:dyDescent="0.25">
      <c r="A2498" s="5"/>
      <c r="B2498" s="2"/>
      <c r="F2498" s="3"/>
      <c r="G2498" s="2"/>
      <c r="H2498" s="1"/>
      <c r="J2498" s="2"/>
    </row>
    <row r="2499" spans="1:10" x14ac:dyDescent="0.25">
      <c r="A2499" s="5"/>
      <c r="B2499" s="2"/>
      <c r="F2499" s="3"/>
      <c r="G2499" s="2"/>
      <c r="H2499" s="1"/>
      <c r="J2499" s="2"/>
    </row>
    <row r="2500" spans="1:10" x14ac:dyDescent="0.25">
      <c r="A2500" s="5"/>
      <c r="B2500" s="2"/>
      <c r="F2500" s="3"/>
      <c r="G2500" s="2"/>
      <c r="H2500" s="1"/>
      <c r="J2500" s="2"/>
    </row>
    <row r="2501" spans="1:10" x14ac:dyDescent="0.25">
      <c r="A2501" s="5"/>
      <c r="B2501" s="2"/>
      <c r="F2501" s="3"/>
      <c r="G2501" s="2"/>
      <c r="H2501" s="1"/>
      <c r="J2501" s="2"/>
    </row>
    <row r="2502" spans="1:10" x14ac:dyDescent="0.25">
      <c r="A2502" s="5"/>
      <c r="B2502" s="2"/>
      <c r="F2502" s="3"/>
      <c r="G2502" s="2"/>
      <c r="H2502" s="1"/>
      <c r="J2502" s="2"/>
    </row>
    <row r="2503" spans="1:10" x14ac:dyDescent="0.25">
      <c r="A2503" s="5"/>
      <c r="B2503" s="2"/>
      <c r="F2503" s="3"/>
      <c r="G2503" s="2"/>
      <c r="H2503" s="1"/>
      <c r="J2503" s="2"/>
    </row>
    <row r="2504" spans="1:10" x14ac:dyDescent="0.25">
      <c r="A2504" s="5"/>
      <c r="B2504" s="2"/>
      <c r="F2504" s="3"/>
      <c r="G2504" s="2"/>
      <c r="H2504" s="1"/>
      <c r="J2504" s="2"/>
    </row>
    <row r="2505" spans="1:10" x14ac:dyDescent="0.25">
      <c r="A2505" s="5"/>
      <c r="B2505" s="2"/>
      <c r="F2505" s="3"/>
      <c r="G2505" s="2"/>
      <c r="H2505" s="1"/>
      <c r="J2505" s="2"/>
    </row>
    <row r="2506" spans="1:10" x14ac:dyDescent="0.25">
      <c r="A2506" s="5"/>
      <c r="B2506" s="2"/>
      <c r="F2506" s="3"/>
      <c r="G2506" s="2"/>
      <c r="H2506" s="1"/>
      <c r="J2506" s="2"/>
    </row>
    <row r="2507" spans="1:10" x14ac:dyDescent="0.25">
      <c r="A2507" s="5"/>
      <c r="B2507" s="2"/>
      <c r="F2507" s="3"/>
      <c r="G2507" s="2"/>
      <c r="H2507" s="1"/>
      <c r="J2507" s="2"/>
    </row>
    <row r="2508" spans="1:10" x14ac:dyDescent="0.25">
      <c r="A2508" s="5"/>
      <c r="B2508" s="2"/>
      <c r="F2508" s="3"/>
      <c r="G2508" s="2"/>
      <c r="H2508" s="1"/>
      <c r="J2508" s="2"/>
    </row>
    <row r="2509" spans="1:10" x14ac:dyDescent="0.25">
      <c r="A2509" s="5"/>
      <c r="B2509" s="2"/>
      <c r="F2509" s="3"/>
      <c r="G2509" s="2"/>
      <c r="H2509" s="1"/>
      <c r="J2509" s="2"/>
    </row>
    <row r="2510" spans="1:10" x14ac:dyDescent="0.25">
      <c r="A2510" s="5"/>
      <c r="B2510" s="2"/>
      <c r="F2510" s="3"/>
      <c r="G2510" s="2"/>
      <c r="H2510" s="1"/>
      <c r="J2510" s="2"/>
    </row>
    <row r="2511" spans="1:10" x14ac:dyDescent="0.25">
      <c r="A2511" s="5"/>
      <c r="B2511" s="2"/>
      <c r="F2511" s="3"/>
      <c r="G2511" s="2"/>
      <c r="H2511" s="1"/>
      <c r="J2511" s="2"/>
    </row>
    <row r="2512" spans="1:10" x14ac:dyDescent="0.25">
      <c r="A2512" s="5"/>
      <c r="B2512" s="2"/>
      <c r="F2512" s="3"/>
      <c r="G2512" s="2"/>
      <c r="H2512" s="1"/>
      <c r="J2512" s="2"/>
    </row>
    <row r="2513" spans="1:10" x14ac:dyDescent="0.25">
      <c r="A2513" s="5"/>
      <c r="B2513" s="2"/>
      <c r="F2513" s="3"/>
      <c r="G2513" s="2"/>
      <c r="H2513" s="1"/>
      <c r="J2513" s="2"/>
    </row>
    <row r="2514" spans="1:10" x14ac:dyDescent="0.25">
      <c r="A2514" s="5"/>
      <c r="B2514" s="2"/>
      <c r="F2514" s="3"/>
      <c r="G2514" s="2"/>
      <c r="H2514" s="1"/>
      <c r="J2514" s="2"/>
    </row>
    <row r="2515" spans="1:10" x14ac:dyDescent="0.25">
      <c r="A2515" s="5"/>
      <c r="B2515" s="2"/>
      <c r="F2515" s="3"/>
      <c r="G2515" s="2"/>
      <c r="H2515" s="1"/>
      <c r="J2515" s="2"/>
    </row>
    <row r="2516" spans="1:10" x14ac:dyDescent="0.25">
      <c r="A2516" s="5"/>
      <c r="B2516" s="2"/>
      <c r="F2516" s="3"/>
      <c r="G2516" s="2"/>
      <c r="H2516" s="1"/>
      <c r="J2516" s="2"/>
    </row>
    <row r="2517" spans="1:10" x14ac:dyDescent="0.25">
      <c r="A2517" s="5"/>
      <c r="B2517" s="2"/>
      <c r="F2517" s="3"/>
      <c r="G2517" s="2"/>
      <c r="H2517" s="1"/>
      <c r="J2517" s="2"/>
    </row>
    <row r="2518" spans="1:10" x14ac:dyDescent="0.25">
      <c r="A2518" s="5"/>
      <c r="B2518" s="2"/>
      <c r="F2518" s="3"/>
      <c r="G2518" s="2"/>
      <c r="H2518" s="1"/>
      <c r="J2518" s="2"/>
    </row>
    <row r="2519" spans="1:10" x14ac:dyDescent="0.25">
      <c r="A2519" s="5"/>
      <c r="B2519" s="2"/>
      <c r="F2519" s="3"/>
      <c r="G2519" s="2"/>
      <c r="H2519" s="1"/>
      <c r="J2519" s="2"/>
    </row>
    <row r="2520" spans="1:10" x14ac:dyDescent="0.25">
      <c r="A2520" s="5"/>
      <c r="B2520" s="2"/>
      <c r="F2520" s="3"/>
      <c r="G2520" s="2"/>
      <c r="H2520" s="1"/>
      <c r="J2520" s="2"/>
    </row>
    <row r="2521" spans="1:10" x14ac:dyDescent="0.25">
      <c r="A2521" s="5"/>
      <c r="B2521" s="2"/>
      <c r="F2521" s="3"/>
      <c r="G2521" s="2"/>
      <c r="H2521" s="1"/>
      <c r="J2521" s="2"/>
    </row>
    <row r="2522" spans="1:10" x14ac:dyDescent="0.25">
      <c r="A2522" s="5"/>
      <c r="B2522" s="2"/>
      <c r="F2522" s="3"/>
      <c r="G2522" s="2"/>
      <c r="H2522" s="1"/>
      <c r="J2522" s="2"/>
    </row>
    <row r="2523" spans="1:10" x14ac:dyDescent="0.25">
      <c r="A2523" s="5"/>
      <c r="B2523" s="2"/>
      <c r="F2523" s="3"/>
      <c r="G2523" s="2"/>
      <c r="H2523" s="1"/>
      <c r="J2523" s="2"/>
    </row>
    <row r="2524" spans="1:10" x14ac:dyDescent="0.25">
      <c r="A2524" s="5"/>
      <c r="B2524" s="2"/>
      <c r="F2524" s="3"/>
      <c r="G2524" s="2"/>
      <c r="H2524" s="1"/>
      <c r="J2524" s="2"/>
    </row>
    <row r="2525" spans="1:10" x14ac:dyDescent="0.25">
      <c r="A2525" s="5"/>
      <c r="B2525" s="2"/>
      <c r="F2525" s="3"/>
      <c r="G2525" s="2"/>
      <c r="H2525" s="1"/>
      <c r="J2525" s="2"/>
    </row>
    <row r="2526" spans="1:10" x14ac:dyDescent="0.25">
      <c r="A2526" s="5"/>
      <c r="B2526" s="2"/>
      <c r="F2526" s="3"/>
      <c r="G2526" s="2"/>
      <c r="H2526" s="1"/>
      <c r="J2526" s="2"/>
    </row>
    <row r="2527" spans="1:10" x14ac:dyDescent="0.25">
      <c r="A2527" s="5"/>
      <c r="B2527" s="2"/>
      <c r="F2527" s="3"/>
      <c r="G2527" s="2"/>
      <c r="H2527" s="1"/>
      <c r="J2527" s="2"/>
    </row>
    <row r="2528" spans="1:10" x14ac:dyDescent="0.25">
      <c r="A2528" s="5"/>
      <c r="B2528" s="2"/>
      <c r="F2528" s="3"/>
      <c r="G2528" s="2"/>
      <c r="H2528" s="1"/>
      <c r="J2528" s="2"/>
    </row>
    <row r="2529" spans="1:10" x14ac:dyDescent="0.25">
      <c r="A2529" s="5"/>
      <c r="B2529" s="2"/>
      <c r="F2529" s="3"/>
      <c r="G2529" s="2"/>
      <c r="H2529" s="1"/>
      <c r="J2529" s="2"/>
    </row>
    <row r="2530" spans="1:10" x14ac:dyDescent="0.25">
      <c r="A2530" s="5"/>
      <c r="B2530" s="2"/>
      <c r="F2530" s="3"/>
      <c r="G2530" s="2"/>
      <c r="H2530" s="1"/>
      <c r="J2530" s="2"/>
    </row>
    <row r="2531" spans="1:10" x14ac:dyDescent="0.25">
      <c r="A2531" s="5"/>
      <c r="B2531" s="2"/>
      <c r="F2531" s="3"/>
      <c r="G2531" s="2"/>
      <c r="H2531" s="1"/>
      <c r="J2531" s="2"/>
    </row>
    <row r="2532" spans="1:10" x14ac:dyDescent="0.25">
      <c r="A2532" s="5"/>
      <c r="B2532" s="2"/>
      <c r="F2532" s="3"/>
      <c r="G2532" s="2"/>
      <c r="H2532" s="1"/>
      <c r="J2532" s="2"/>
    </row>
    <row r="2533" spans="1:10" x14ac:dyDescent="0.25">
      <c r="A2533" s="5"/>
      <c r="B2533" s="2"/>
      <c r="F2533" s="3"/>
      <c r="G2533" s="2"/>
      <c r="H2533" s="1"/>
      <c r="J2533" s="2"/>
    </row>
    <row r="2534" spans="1:10" x14ac:dyDescent="0.25">
      <c r="A2534" s="5"/>
      <c r="B2534" s="2"/>
      <c r="F2534" s="3"/>
      <c r="G2534" s="2"/>
      <c r="H2534" s="1"/>
      <c r="J2534" s="2"/>
    </row>
    <row r="2535" spans="1:10" x14ac:dyDescent="0.25">
      <c r="A2535" s="5"/>
      <c r="B2535" s="2"/>
      <c r="F2535" s="3"/>
      <c r="G2535" s="2"/>
      <c r="H2535" s="1"/>
      <c r="J2535" s="2"/>
    </row>
    <row r="2536" spans="1:10" x14ac:dyDescent="0.25">
      <c r="A2536" s="5"/>
      <c r="B2536" s="2"/>
      <c r="F2536" s="3"/>
      <c r="G2536" s="2"/>
      <c r="H2536" s="1"/>
      <c r="J2536" s="2"/>
    </row>
    <row r="2537" spans="1:10" x14ac:dyDescent="0.25">
      <c r="A2537" s="5"/>
      <c r="B2537" s="2"/>
      <c r="F2537" s="3"/>
      <c r="G2537" s="2"/>
      <c r="H2537" s="1"/>
      <c r="J2537" s="2"/>
    </row>
    <row r="2538" spans="1:10" x14ac:dyDescent="0.25">
      <c r="A2538" s="5"/>
      <c r="B2538" s="2"/>
      <c r="F2538" s="3"/>
      <c r="G2538" s="2"/>
      <c r="H2538" s="1"/>
      <c r="J2538" s="2"/>
    </row>
    <row r="2539" spans="1:10" x14ac:dyDescent="0.25">
      <c r="A2539" s="5"/>
      <c r="B2539" s="2"/>
      <c r="F2539" s="3"/>
      <c r="G2539" s="2"/>
      <c r="H2539" s="1"/>
      <c r="J2539" s="2"/>
    </row>
    <row r="2540" spans="1:10" x14ac:dyDescent="0.25">
      <c r="A2540" s="5"/>
      <c r="B2540" s="2"/>
      <c r="F2540" s="3"/>
      <c r="G2540" s="2"/>
      <c r="H2540" s="1"/>
      <c r="J2540" s="2"/>
    </row>
    <row r="2541" spans="1:10" x14ac:dyDescent="0.25">
      <c r="A2541" s="5"/>
      <c r="B2541" s="2"/>
      <c r="F2541" s="3"/>
      <c r="G2541" s="2"/>
      <c r="H2541" s="1"/>
      <c r="J2541" s="2"/>
    </row>
    <row r="2542" spans="1:10" x14ac:dyDescent="0.25">
      <c r="A2542" s="5"/>
      <c r="B2542" s="2"/>
      <c r="F2542" s="3"/>
      <c r="G2542" s="2"/>
      <c r="H2542" s="1"/>
      <c r="J2542" s="2"/>
    </row>
    <row r="2543" spans="1:10" x14ac:dyDescent="0.25">
      <c r="A2543" s="5"/>
      <c r="B2543" s="2"/>
      <c r="F2543" s="3"/>
      <c r="G2543" s="2"/>
      <c r="H2543" s="1"/>
      <c r="J2543" s="2"/>
    </row>
    <row r="2544" spans="1:10" x14ac:dyDescent="0.25">
      <c r="A2544" s="5"/>
      <c r="B2544" s="2"/>
      <c r="F2544" s="3"/>
      <c r="G2544" s="2"/>
      <c r="H2544" s="1"/>
      <c r="J2544" s="2"/>
    </row>
    <row r="2545" spans="1:10" x14ac:dyDescent="0.25">
      <c r="A2545" s="5"/>
      <c r="B2545" s="2"/>
      <c r="F2545" s="3"/>
      <c r="G2545" s="2"/>
      <c r="H2545" s="1"/>
      <c r="J2545" s="2"/>
    </row>
    <row r="2546" spans="1:10" x14ac:dyDescent="0.25">
      <c r="A2546" s="5"/>
      <c r="B2546" s="2"/>
      <c r="F2546" s="3"/>
      <c r="G2546" s="2"/>
      <c r="H2546" s="1"/>
      <c r="J2546" s="2"/>
    </row>
    <row r="2547" spans="1:10" x14ac:dyDescent="0.25">
      <c r="A2547" s="5"/>
      <c r="B2547" s="2"/>
      <c r="F2547" s="3"/>
      <c r="G2547" s="2"/>
      <c r="H2547" s="1"/>
      <c r="J2547" s="2"/>
    </row>
    <row r="2548" spans="1:10" x14ac:dyDescent="0.25">
      <c r="A2548" s="5"/>
      <c r="B2548" s="2"/>
      <c r="F2548" s="3"/>
      <c r="G2548" s="2"/>
      <c r="H2548" s="1"/>
      <c r="J2548" s="2"/>
    </row>
    <row r="2549" spans="1:10" x14ac:dyDescent="0.25">
      <c r="A2549" s="5"/>
      <c r="B2549" s="2"/>
      <c r="F2549" s="3"/>
      <c r="G2549" s="2"/>
      <c r="H2549" s="1"/>
      <c r="J2549" s="2"/>
    </row>
    <row r="2550" spans="1:10" x14ac:dyDescent="0.25">
      <c r="A2550" s="5"/>
      <c r="B2550" s="2"/>
      <c r="F2550" s="3"/>
      <c r="G2550" s="2"/>
      <c r="H2550" s="1"/>
      <c r="J2550" s="2"/>
    </row>
    <row r="2551" spans="1:10" x14ac:dyDescent="0.25">
      <c r="A2551" s="5"/>
      <c r="B2551" s="2"/>
      <c r="F2551" s="3"/>
      <c r="G2551" s="2"/>
      <c r="H2551" s="1"/>
      <c r="J2551" s="2"/>
    </row>
    <row r="2552" spans="1:10" x14ac:dyDescent="0.25">
      <c r="A2552" s="5"/>
      <c r="B2552" s="2"/>
      <c r="F2552" s="3"/>
      <c r="G2552" s="2"/>
      <c r="H2552" s="1"/>
      <c r="J2552" s="2"/>
    </row>
    <row r="2553" spans="1:10" x14ac:dyDescent="0.25">
      <c r="A2553" s="5"/>
      <c r="B2553" s="2"/>
      <c r="F2553" s="3"/>
      <c r="G2553" s="2"/>
      <c r="H2553" s="1"/>
      <c r="J2553" s="2"/>
    </row>
    <row r="2554" spans="1:10" x14ac:dyDescent="0.25">
      <c r="A2554" s="5"/>
      <c r="B2554" s="2"/>
      <c r="F2554" s="3"/>
      <c r="G2554" s="2"/>
      <c r="H2554" s="1"/>
      <c r="J2554" s="2"/>
    </row>
    <row r="2555" spans="1:10" x14ac:dyDescent="0.25">
      <c r="A2555" s="5"/>
      <c r="B2555" s="2"/>
      <c r="F2555" s="3"/>
      <c r="G2555" s="2"/>
      <c r="H2555" s="1"/>
      <c r="J2555" s="2"/>
    </row>
    <row r="2556" spans="1:10" x14ac:dyDescent="0.25">
      <c r="A2556" s="5"/>
      <c r="B2556" s="2"/>
      <c r="F2556" s="3"/>
      <c r="G2556" s="2"/>
      <c r="H2556" s="1"/>
      <c r="J2556" s="2"/>
    </row>
    <row r="2557" spans="1:10" x14ac:dyDescent="0.25">
      <c r="A2557" s="5"/>
      <c r="B2557" s="2"/>
      <c r="F2557" s="3"/>
      <c r="G2557" s="2"/>
      <c r="H2557" s="1"/>
      <c r="J2557" s="2"/>
    </row>
    <row r="2558" spans="1:10" x14ac:dyDescent="0.25">
      <c r="A2558" s="5"/>
      <c r="B2558" s="2"/>
      <c r="F2558" s="3"/>
      <c r="G2558" s="2"/>
      <c r="H2558" s="1"/>
      <c r="J2558" s="2"/>
    </row>
    <row r="2559" spans="1:10" x14ac:dyDescent="0.25">
      <c r="A2559" s="5"/>
      <c r="B2559" s="2"/>
      <c r="F2559" s="3"/>
      <c r="G2559" s="2"/>
      <c r="H2559" s="1"/>
      <c r="J2559" s="2"/>
    </row>
    <row r="2560" spans="1:10" x14ac:dyDescent="0.25">
      <c r="A2560" s="5"/>
      <c r="B2560" s="2"/>
      <c r="F2560" s="3"/>
      <c r="G2560" s="2"/>
      <c r="H2560" s="1"/>
      <c r="J2560" s="2"/>
    </row>
    <row r="2561" spans="1:10" x14ac:dyDescent="0.25">
      <c r="A2561" s="5"/>
      <c r="B2561" s="2"/>
      <c r="F2561" s="3"/>
      <c r="G2561" s="2"/>
      <c r="H2561" s="1"/>
      <c r="J2561" s="2"/>
    </row>
    <row r="2562" spans="1:10" x14ac:dyDescent="0.25">
      <c r="A2562" s="5"/>
      <c r="B2562" s="2"/>
      <c r="F2562" s="3"/>
      <c r="G2562" s="2"/>
      <c r="H2562" s="1"/>
      <c r="J2562" s="2"/>
    </row>
    <row r="2563" spans="1:10" x14ac:dyDescent="0.25">
      <c r="A2563" s="5"/>
      <c r="B2563" s="2"/>
      <c r="F2563" s="3"/>
      <c r="G2563" s="2"/>
      <c r="H2563" s="1"/>
      <c r="J2563" s="2"/>
    </row>
    <row r="2564" spans="1:10" x14ac:dyDescent="0.25">
      <c r="A2564" s="5"/>
      <c r="B2564" s="2"/>
      <c r="F2564" s="3"/>
      <c r="G2564" s="2"/>
      <c r="H2564" s="1"/>
      <c r="J2564" s="2"/>
    </row>
    <row r="2565" spans="1:10" x14ac:dyDescent="0.25">
      <c r="A2565" s="5"/>
      <c r="B2565" s="2"/>
      <c r="F2565" s="3"/>
      <c r="G2565" s="2"/>
      <c r="H2565" s="1"/>
      <c r="J2565" s="2"/>
    </row>
    <row r="2566" spans="1:10" x14ac:dyDescent="0.25">
      <c r="A2566" s="5"/>
      <c r="B2566" s="2"/>
      <c r="F2566" s="3"/>
      <c r="G2566" s="2"/>
      <c r="H2566" s="1"/>
      <c r="J2566" s="2"/>
    </row>
    <row r="2567" spans="1:10" x14ac:dyDescent="0.25">
      <c r="A2567" s="5"/>
      <c r="B2567" s="2"/>
      <c r="F2567" s="3"/>
      <c r="G2567" s="2"/>
      <c r="H2567" s="1"/>
      <c r="J2567" s="2"/>
    </row>
    <row r="2568" spans="1:10" x14ac:dyDescent="0.25">
      <c r="A2568" s="5"/>
      <c r="B2568" s="2"/>
      <c r="F2568" s="3"/>
      <c r="G2568" s="2"/>
      <c r="H2568" s="1"/>
      <c r="J2568" s="2"/>
    </row>
    <row r="2569" spans="1:10" x14ac:dyDescent="0.25">
      <c r="A2569" s="5"/>
      <c r="B2569" s="2"/>
      <c r="F2569" s="3"/>
      <c r="G2569" s="2"/>
      <c r="H2569" s="1"/>
      <c r="J2569" s="2"/>
    </row>
    <row r="2570" spans="1:10" x14ac:dyDescent="0.25">
      <c r="A2570" s="5"/>
      <c r="B2570" s="2"/>
      <c r="F2570" s="3"/>
      <c r="G2570" s="2"/>
      <c r="H2570" s="1"/>
      <c r="J2570" s="2"/>
    </row>
    <row r="2571" spans="1:10" x14ac:dyDescent="0.25">
      <c r="A2571" s="5"/>
      <c r="B2571" s="2"/>
      <c r="F2571" s="3"/>
      <c r="G2571" s="2"/>
      <c r="H2571" s="1"/>
      <c r="J2571" s="2"/>
    </row>
    <row r="2572" spans="1:10" x14ac:dyDescent="0.25">
      <c r="A2572" s="5"/>
      <c r="B2572" s="2"/>
      <c r="F2572" s="3"/>
      <c r="G2572" s="2"/>
      <c r="H2572" s="1"/>
      <c r="J2572" s="2"/>
    </row>
    <row r="2573" spans="1:10" x14ac:dyDescent="0.25">
      <c r="A2573" s="5"/>
      <c r="B2573" s="2"/>
      <c r="F2573" s="3"/>
      <c r="G2573" s="2"/>
      <c r="H2573" s="1"/>
      <c r="J2573" s="2"/>
    </row>
    <row r="2574" spans="1:10" x14ac:dyDescent="0.25">
      <c r="A2574" s="5"/>
      <c r="B2574" s="2"/>
      <c r="F2574" s="3"/>
      <c r="G2574" s="2"/>
      <c r="H2574" s="1"/>
      <c r="J2574" s="2"/>
    </row>
    <row r="2575" spans="1:10" x14ac:dyDescent="0.25">
      <c r="A2575" s="5"/>
      <c r="B2575" s="2"/>
      <c r="F2575" s="3"/>
      <c r="G2575" s="2"/>
      <c r="H2575" s="1"/>
      <c r="J2575" s="2"/>
    </row>
    <row r="2576" spans="1:10" x14ac:dyDescent="0.25">
      <c r="A2576" s="5"/>
      <c r="B2576" s="2"/>
      <c r="F2576" s="3"/>
      <c r="G2576" s="2"/>
      <c r="H2576" s="1"/>
      <c r="J2576" s="2"/>
    </row>
    <row r="2577" spans="1:10" x14ac:dyDescent="0.25">
      <c r="A2577" s="5"/>
      <c r="B2577" s="2"/>
      <c r="F2577" s="3"/>
      <c r="G2577" s="2"/>
      <c r="H2577" s="1"/>
      <c r="J2577" s="2"/>
    </row>
    <row r="2578" spans="1:10" x14ac:dyDescent="0.25">
      <c r="A2578" s="5"/>
      <c r="B2578" s="2"/>
      <c r="F2578" s="3"/>
      <c r="G2578" s="2"/>
      <c r="H2578" s="1"/>
      <c r="J2578" s="2"/>
    </row>
    <row r="2579" spans="1:10" x14ac:dyDescent="0.25">
      <c r="A2579" s="5"/>
      <c r="B2579" s="2"/>
      <c r="F2579" s="3"/>
      <c r="G2579" s="2"/>
      <c r="H2579" s="1"/>
      <c r="J2579" s="2"/>
    </row>
    <row r="2580" spans="1:10" x14ac:dyDescent="0.25">
      <c r="A2580" s="5"/>
      <c r="B2580" s="2"/>
      <c r="F2580" s="3"/>
      <c r="G2580" s="2"/>
      <c r="H2580" s="1"/>
      <c r="J2580" s="2"/>
    </row>
    <row r="2581" spans="1:10" x14ac:dyDescent="0.25">
      <c r="A2581" s="5"/>
      <c r="B2581" s="2"/>
      <c r="F2581" s="3"/>
      <c r="G2581" s="2"/>
      <c r="H2581" s="1"/>
      <c r="J2581" s="2"/>
    </row>
    <row r="2582" spans="1:10" x14ac:dyDescent="0.25">
      <c r="A2582" s="5"/>
      <c r="B2582" s="2"/>
      <c r="F2582" s="3"/>
      <c r="G2582" s="2"/>
      <c r="H2582" s="1"/>
      <c r="J2582" s="2"/>
    </row>
    <row r="2583" spans="1:10" x14ac:dyDescent="0.25">
      <c r="A2583" s="5"/>
      <c r="B2583" s="2"/>
      <c r="F2583" s="3"/>
      <c r="G2583" s="2"/>
      <c r="H2583" s="1"/>
      <c r="J2583" s="2"/>
    </row>
    <row r="2584" spans="1:10" x14ac:dyDescent="0.25">
      <c r="A2584" s="5"/>
      <c r="B2584" s="2"/>
      <c r="F2584" s="3"/>
      <c r="G2584" s="2"/>
      <c r="H2584" s="1"/>
      <c r="J2584" s="2"/>
    </row>
    <row r="2585" spans="1:10" x14ac:dyDescent="0.25">
      <c r="A2585" s="5"/>
      <c r="B2585" s="2"/>
      <c r="F2585" s="3"/>
      <c r="G2585" s="2"/>
      <c r="H2585" s="1"/>
      <c r="J2585" s="2"/>
    </row>
    <row r="2586" spans="1:10" x14ac:dyDescent="0.25">
      <c r="A2586" s="5"/>
      <c r="B2586" s="2"/>
      <c r="F2586" s="3"/>
      <c r="G2586" s="2"/>
      <c r="H2586" s="1"/>
      <c r="J2586" s="2"/>
    </row>
    <row r="2587" spans="1:10" x14ac:dyDescent="0.25">
      <c r="A2587" s="5"/>
      <c r="B2587" s="2"/>
      <c r="F2587" s="3"/>
      <c r="G2587" s="2"/>
      <c r="H2587" s="1"/>
      <c r="J2587" s="2"/>
    </row>
    <row r="2588" spans="1:10" x14ac:dyDescent="0.25">
      <c r="A2588" s="5"/>
      <c r="B2588" s="2"/>
      <c r="F2588" s="3"/>
      <c r="G2588" s="2"/>
      <c r="H2588" s="1"/>
      <c r="J2588" s="2"/>
    </row>
    <row r="2589" spans="1:10" x14ac:dyDescent="0.25">
      <c r="A2589" s="5"/>
      <c r="B2589" s="2"/>
      <c r="F2589" s="3"/>
      <c r="G2589" s="2"/>
      <c r="H2589" s="1"/>
      <c r="J2589" s="2"/>
    </row>
    <row r="2590" spans="1:10" x14ac:dyDescent="0.25">
      <c r="A2590" s="5"/>
      <c r="B2590" s="2"/>
      <c r="F2590" s="3"/>
      <c r="G2590" s="2"/>
      <c r="H2590" s="1"/>
      <c r="J2590" s="2"/>
    </row>
    <row r="2591" spans="1:10" x14ac:dyDescent="0.25">
      <c r="A2591" s="5"/>
      <c r="B2591" s="2"/>
      <c r="F2591" s="3"/>
      <c r="G2591" s="2"/>
      <c r="H2591" s="1"/>
      <c r="J2591" s="2"/>
    </row>
    <row r="2592" spans="1:10" x14ac:dyDescent="0.25">
      <c r="A2592" s="5"/>
      <c r="B2592" s="2"/>
      <c r="F2592" s="3"/>
      <c r="G2592" s="2"/>
      <c r="H2592" s="1"/>
      <c r="J2592" s="2"/>
    </row>
    <row r="2593" spans="1:10" x14ac:dyDescent="0.25">
      <c r="A2593" s="5"/>
      <c r="B2593" s="2"/>
      <c r="F2593" s="3"/>
      <c r="G2593" s="2"/>
      <c r="H2593" s="1"/>
      <c r="J2593" s="2"/>
    </row>
    <row r="2594" spans="1:10" x14ac:dyDescent="0.25">
      <c r="A2594" s="5"/>
      <c r="B2594" s="2"/>
      <c r="F2594" s="3"/>
      <c r="G2594" s="2"/>
      <c r="H2594" s="1"/>
      <c r="J2594" s="2"/>
    </row>
    <row r="2595" spans="1:10" x14ac:dyDescent="0.25">
      <c r="A2595" s="5"/>
      <c r="B2595" s="2"/>
      <c r="F2595" s="3"/>
      <c r="G2595" s="2"/>
      <c r="H2595" s="1"/>
      <c r="J2595" s="2"/>
    </row>
    <row r="2596" spans="1:10" x14ac:dyDescent="0.25">
      <c r="A2596" s="5"/>
      <c r="B2596" s="2"/>
      <c r="F2596" s="3"/>
      <c r="G2596" s="2"/>
      <c r="H2596" s="1"/>
      <c r="J2596" s="2"/>
    </row>
    <row r="2597" spans="1:10" x14ac:dyDescent="0.25">
      <c r="A2597" s="5"/>
      <c r="B2597" s="2"/>
      <c r="F2597" s="3"/>
      <c r="G2597" s="2"/>
      <c r="H2597" s="1"/>
      <c r="J2597" s="2"/>
    </row>
    <row r="2598" spans="1:10" x14ac:dyDescent="0.25">
      <c r="A2598" s="5"/>
      <c r="B2598" s="2"/>
      <c r="F2598" s="3"/>
      <c r="G2598" s="2"/>
      <c r="H2598" s="1"/>
      <c r="J2598" s="2"/>
    </row>
    <row r="2599" spans="1:10" x14ac:dyDescent="0.25">
      <c r="A2599" s="5"/>
      <c r="B2599" s="2"/>
      <c r="F2599" s="3"/>
      <c r="G2599" s="2"/>
      <c r="H2599" s="1"/>
      <c r="J2599" s="2"/>
    </row>
    <row r="2600" spans="1:10" x14ac:dyDescent="0.25">
      <c r="A2600" s="5"/>
      <c r="B2600" s="2"/>
      <c r="F2600" s="3"/>
      <c r="G2600" s="2"/>
      <c r="H2600" s="1"/>
      <c r="J2600" s="2"/>
    </row>
    <row r="2601" spans="1:10" x14ac:dyDescent="0.25">
      <c r="A2601" s="5"/>
      <c r="B2601" s="2"/>
      <c r="F2601" s="3"/>
      <c r="G2601" s="2"/>
      <c r="H2601" s="1"/>
      <c r="J2601" s="2"/>
    </row>
    <row r="2602" spans="1:10" x14ac:dyDescent="0.25">
      <c r="A2602" s="5"/>
      <c r="B2602" s="2"/>
      <c r="F2602" s="3"/>
      <c r="G2602" s="2"/>
      <c r="H2602" s="1"/>
      <c r="J2602" s="2"/>
    </row>
    <row r="2603" spans="1:10" x14ac:dyDescent="0.25">
      <c r="A2603" s="5"/>
      <c r="B2603" s="2"/>
      <c r="F2603" s="3"/>
      <c r="G2603" s="2"/>
      <c r="H2603" s="1"/>
      <c r="J2603" s="2"/>
    </row>
    <row r="2604" spans="1:10" x14ac:dyDescent="0.25">
      <c r="A2604" s="5"/>
      <c r="B2604" s="2"/>
      <c r="F2604" s="3"/>
      <c r="G2604" s="2"/>
      <c r="H2604" s="1"/>
      <c r="J2604" s="2"/>
    </row>
    <row r="2605" spans="1:10" x14ac:dyDescent="0.25">
      <c r="A2605" s="5"/>
      <c r="B2605" s="2"/>
      <c r="F2605" s="3"/>
      <c r="G2605" s="2"/>
      <c r="H2605" s="1"/>
      <c r="J2605" s="2"/>
    </row>
    <row r="2606" spans="1:10" x14ac:dyDescent="0.25">
      <c r="A2606" s="5"/>
      <c r="B2606" s="2"/>
      <c r="F2606" s="3"/>
      <c r="G2606" s="2"/>
      <c r="H2606" s="1"/>
      <c r="J2606" s="2"/>
    </row>
    <row r="2607" spans="1:10" x14ac:dyDescent="0.25">
      <c r="A2607" s="5"/>
      <c r="B2607" s="2"/>
      <c r="F2607" s="3"/>
      <c r="G2607" s="2"/>
      <c r="H2607" s="1"/>
      <c r="J2607" s="2"/>
    </row>
    <row r="2608" spans="1:10" x14ac:dyDescent="0.25">
      <c r="A2608" s="5"/>
      <c r="B2608" s="2"/>
      <c r="F2608" s="3"/>
      <c r="G2608" s="2"/>
      <c r="H2608" s="1"/>
      <c r="J2608" s="2"/>
    </row>
    <row r="2609" spans="1:10" x14ac:dyDescent="0.25">
      <c r="A2609" s="5"/>
      <c r="B2609" s="2"/>
      <c r="F2609" s="3"/>
      <c r="G2609" s="2"/>
      <c r="H2609" s="1"/>
      <c r="J2609" s="2"/>
    </row>
    <row r="2610" spans="1:10" x14ac:dyDescent="0.25">
      <c r="A2610" s="5"/>
      <c r="B2610" s="2"/>
      <c r="F2610" s="3"/>
      <c r="G2610" s="2"/>
      <c r="H2610" s="1"/>
      <c r="J2610" s="2"/>
    </row>
    <row r="2611" spans="1:10" x14ac:dyDescent="0.25">
      <c r="A2611" s="5"/>
      <c r="B2611" s="2"/>
      <c r="F2611" s="3"/>
      <c r="G2611" s="2"/>
      <c r="H2611" s="1"/>
      <c r="J2611" s="2"/>
    </row>
    <row r="2612" spans="1:10" x14ac:dyDescent="0.25">
      <c r="A2612" s="5"/>
      <c r="B2612" s="2"/>
      <c r="F2612" s="3"/>
      <c r="G2612" s="2"/>
      <c r="H2612" s="1"/>
      <c r="J2612" s="2"/>
    </row>
    <row r="2613" spans="1:10" x14ac:dyDescent="0.25">
      <c r="A2613" s="5"/>
      <c r="B2613" s="2"/>
      <c r="F2613" s="3"/>
      <c r="G2613" s="2"/>
      <c r="H2613" s="1"/>
      <c r="J2613" s="2"/>
    </row>
    <row r="2614" spans="1:10" x14ac:dyDescent="0.25">
      <c r="A2614" s="5"/>
      <c r="B2614" s="2"/>
      <c r="F2614" s="3"/>
      <c r="G2614" s="2"/>
      <c r="H2614" s="1"/>
      <c r="J2614" s="2"/>
    </row>
    <row r="2615" spans="1:10" x14ac:dyDescent="0.25">
      <c r="A2615" s="5"/>
      <c r="B2615" s="2"/>
      <c r="F2615" s="3"/>
      <c r="G2615" s="2"/>
      <c r="H2615" s="1"/>
      <c r="J2615" s="2"/>
    </row>
    <row r="2616" spans="1:10" x14ac:dyDescent="0.25">
      <c r="A2616" s="5"/>
      <c r="B2616" s="2"/>
      <c r="F2616" s="3"/>
      <c r="G2616" s="2"/>
      <c r="H2616" s="1"/>
      <c r="J2616" s="2"/>
    </row>
    <row r="2617" spans="1:10" x14ac:dyDescent="0.25">
      <c r="A2617" s="5"/>
      <c r="B2617" s="2"/>
      <c r="F2617" s="3"/>
      <c r="G2617" s="2"/>
      <c r="H2617" s="1"/>
      <c r="J2617" s="2"/>
    </row>
    <row r="2618" spans="1:10" x14ac:dyDescent="0.25">
      <c r="A2618" s="5"/>
      <c r="B2618" s="2"/>
      <c r="F2618" s="3"/>
      <c r="G2618" s="2"/>
      <c r="H2618" s="1"/>
      <c r="J2618" s="2"/>
    </row>
    <row r="2619" spans="1:10" x14ac:dyDescent="0.25">
      <c r="A2619" s="5"/>
      <c r="B2619" s="2"/>
      <c r="F2619" s="3"/>
      <c r="G2619" s="2"/>
      <c r="H2619" s="1"/>
      <c r="J2619" s="2"/>
    </row>
    <row r="2620" spans="1:10" x14ac:dyDescent="0.25">
      <c r="A2620" s="5"/>
      <c r="B2620" s="2"/>
      <c r="F2620" s="3"/>
      <c r="G2620" s="2"/>
      <c r="H2620" s="1"/>
      <c r="J2620" s="2"/>
    </row>
    <row r="2621" spans="1:10" x14ac:dyDescent="0.25">
      <c r="A2621" s="5"/>
      <c r="B2621" s="2"/>
      <c r="F2621" s="3"/>
      <c r="G2621" s="2"/>
      <c r="H2621" s="1"/>
      <c r="J2621" s="2"/>
    </row>
    <row r="2622" spans="1:10" x14ac:dyDescent="0.25">
      <c r="A2622" s="5"/>
      <c r="B2622" s="2"/>
      <c r="F2622" s="3"/>
      <c r="G2622" s="2"/>
      <c r="H2622" s="1"/>
      <c r="J2622" s="2"/>
    </row>
    <row r="2623" spans="1:10" x14ac:dyDescent="0.25">
      <c r="A2623" s="5"/>
      <c r="B2623" s="2"/>
      <c r="F2623" s="3"/>
      <c r="G2623" s="2"/>
      <c r="H2623" s="1"/>
      <c r="J2623" s="2"/>
    </row>
    <row r="2624" spans="1:10" x14ac:dyDescent="0.25">
      <c r="A2624" s="5"/>
      <c r="B2624" s="2"/>
      <c r="F2624" s="3"/>
      <c r="G2624" s="2"/>
      <c r="H2624" s="1"/>
      <c r="J2624" s="2"/>
    </row>
    <row r="2625" spans="1:10" x14ac:dyDescent="0.25">
      <c r="A2625" s="5"/>
      <c r="B2625" s="2"/>
      <c r="F2625" s="3"/>
      <c r="G2625" s="2"/>
      <c r="H2625" s="1"/>
      <c r="J2625" s="2"/>
    </row>
    <row r="2626" spans="1:10" x14ac:dyDescent="0.25">
      <c r="A2626" s="5"/>
      <c r="B2626" s="2"/>
      <c r="F2626" s="3"/>
      <c r="G2626" s="2"/>
      <c r="H2626" s="1"/>
      <c r="J2626" s="2"/>
    </row>
    <row r="2627" spans="1:10" x14ac:dyDescent="0.25">
      <c r="A2627" s="5"/>
      <c r="B2627" s="2"/>
      <c r="F2627" s="3"/>
      <c r="G2627" s="2"/>
      <c r="H2627" s="1"/>
      <c r="J2627" s="2"/>
    </row>
    <row r="2628" spans="1:10" x14ac:dyDescent="0.25">
      <c r="A2628" s="5"/>
      <c r="B2628" s="2"/>
      <c r="F2628" s="3"/>
      <c r="G2628" s="2"/>
      <c r="H2628" s="1"/>
      <c r="J2628" s="2"/>
    </row>
    <row r="2629" spans="1:10" x14ac:dyDescent="0.25">
      <c r="A2629" s="5"/>
      <c r="B2629" s="2"/>
      <c r="F2629" s="3"/>
      <c r="G2629" s="2"/>
      <c r="H2629" s="1"/>
      <c r="J2629" s="2"/>
    </row>
    <row r="2630" spans="1:10" x14ac:dyDescent="0.25">
      <c r="A2630" s="5"/>
      <c r="B2630" s="2"/>
      <c r="F2630" s="3"/>
      <c r="G2630" s="2"/>
      <c r="H2630" s="1"/>
      <c r="J2630" s="2"/>
    </row>
    <row r="2631" spans="1:10" x14ac:dyDescent="0.25">
      <c r="A2631" s="5"/>
      <c r="B2631" s="2"/>
      <c r="F2631" s="3"/>
      <c r="G2631" s="2"/>
      <c r="H2631" s="1"/>
      <c r="J2631" s="2"/>
    </row>
    <row r="2632" spans="1:10" x14ac:dyDescent="0.25">
      <c r="A2632" s="5"/>
      <c r="B2632" s="2"/>
      <c r="F2632" s="3"/>
      <c r="G2632" s="2"/>
      <c r="H2632" s="1"/>
      <c r="J2632" s="2"/>
    </row>
    <row r="2633" spans="1:10" x14ac:dyDescent="0.25">
      <c r="A2633" s="5"/>
      <c r="B2633" s="2"/>
      <c r="F2633" s="3"/>
      <c r="G2633" s="2"/>
      <c r="H2633" s="1"/>
      <c r="J2633" s="2"/>
    </row>
    <row r="2634" spans="1:10" x14ac:dyDescent="0.25">
      <c r="A2634" s="5"/>
      <c r="B2634" s="2"/>
      <c r="F2634" s="3"/>
      <c r="G2634" s="2"/>
      <c r="H2634" s="1"/>
      <c r="J2634" s="2"/>
    </row>
    <row r="2635" spans="1:10" x14ac:dyDescent="0.25">
      <c r="A2635" s="5"/>
      <c r="B2635" s="2"/>
      <c r="F2635" s="3"/>
      <c r="G2635" s="2"/>
      <c r="H2635" s="1"/>
      <c r="J2635" s="2"/>
    </row>
    <row r="2636" spans="1:10" x14ac:dyDescent="0.25">
      <c r="A2636" s="5"/>
      <c r="B2636" s="2"/>
      <c r="F2636" s="3"/>
      <c r="G2636" s="2"/>
      <c r="H2636" s="1"/>
      <c r="J2636" s="2"/>
    </row>
    <row r="2637" spans="1:10" x14ac:dyDescent="0.25">
      <c r="A2637" s="5"/>
      <c r="B2637" s="2"/>
      <c r="F2637" s="3"/>
      <c r="G2637" s="2"/>
      <c r="H2637" s="1"/>
      <c r="J2637" s="2"/>
    </row>
    <row r="2638" spans="1:10" x14ac:dyDescent="0.25">
      <c r="A2638" s="5"/>
      <c r="B2638" s="2"/>
      <c r="F2638" s="3"/>
      <c r="G2638" s="2"/>
      <c r="H2638" s="1"/>
      <c r="J2638" s="2"/>
    </row>
    <row r="2639" spans="1:10" x14ac:dyDescent="0.25">
      <c r="A2639" s="5"/>
      <c r="B2639" s="2"/>
      <c r="F2639" s="3"/>
      <c r="G2639" s="2"/>
      <c r="H2639" s="1"/>
      <c r="J2639" s="2"/>
    </row>
    <row r="2640" spans="1:10" x14ac:dyDescent="0.25">
      <c r="A2640" s="5"/>
      <c r="B2640" s="2"/>
      <c r="F2640" s="3"/>
      <c r="G2640" s="2"/>
      <c r="H2640" s="1"/>
      <c r="J2640" s="2"/>
    </row>
    <row r="2641" spans="1:10" x14ac:dyDescent="0.25">
      <c r="A2641" s="5"/>
      <c r="B2641" s="2"/>
      <c r="F2641" s="3"/>
      <c r="G2641" s="2"/>
      <c r="H2641" s="1"/>
      <c r="J2641" s="2"/>
    </row>
    <row r="2642" spans="1:10" x14ac:dyDescent="0.25">
      <c r="A2642" s="5"/>
      <c r="B2642" s="2"/>
      <c r="F2642" s="3"/>
      <c r="G2642" s="2"/>
      <c r="H2642" s="1"/>
      <c r="J2642" s="2"/>
    </row>
    <row r="2643" spans="1:10" x14ac:dyDescent="0.25">
      <c r="A2643" s="5"/>
      <c r="B2643" s="2"/>
      <c r="F2643" s="3"/>
      <c r="G2643" s="2"/>
      <c r="H2643" s="1"/>
      <c r="J2643" s="2"/>
    </row>
    <row r="2644" spans="1:10" x14ac:dyDescent="0.25">
      <c r="A2644" s="5"/>
      <c r="B2644" s="2"/>
      <c r="F2644" s="3"/>
      <c r="G2644" s="2"/>
      <c r="H2644" s="1"/>
      <c r="J2644" s="2"/>
    </row>
    <row r="2645" spans="1:10" x14ac:dyDescent="0.25">
      <c r="A2645" s="5"/>
      <c r="B2645" s="2"/>
      <c r="F2645" s="3"/>
      <c r="G2645" s="2"/>
      <c r="H2645" s="1"/>
      <c r="J2645" s="2"/>
    </row>
    <row r="2646" spans="1:10" x14ac:dyDescent="0.25">
      <c r="A2646" s="5"/>
      <c r="B2646" s="2"/>
      <c r="F2646" s="3"/>
      <c r="G2646" s="2"/>
      <c r="H2646" s="1"/>
      <c r="J2646" s="2"/>
    </row>
    <row r="2647" spans="1:10" x14ac:dyDescent="0.25">
      <c r="A2647" s="5"/>
      <c r="B2647" s="2"/>
      <c r="F2647" s="3"/>
      <c r="G2647" s="2"/>
      <c r="H2647" s="1"/>
      <c r="J2647" s="2"/>
    </row>
    <row r="2648" spans="1:10" x14ac:dyDescent="0.25">
      <c r="A2648" s="5"/>
      <c r="B2648" s="2"/>
      <c r="F2648" s="3"/>
      <c r="G2648" s="2"/>
      <c r="H2648" s="1"/>
      <c r="J2648" s="2"/>
    </row>
    <row r="2649" spans="1:10" x14ac:dyDescent="0.25">
      <c r="A2649" s="5"/>
      <c r="B2649" s="2"/>
      <c r="F2649" s="3"/>
      <c r="G2649" s="2"/>
      <c r="H2649" s="1"/>
      <c r="J2649" s="2"/>
    </row>
    <row r="2650" spans="1:10" x14ac:dyDescent="0.25">
      <c r="A2650" s="5"/>
      <c r="B2650" s="2"/>
      <c r="F2650" s="3"/>
      <c r="G2650" s="2"/>
      <c r="H2650" s="1"/>
      <c r="J2650" s="2"/>
    </row>
    <row r="2651" spans="1:10" x14ac:dyDescent="0.25">
      <c r="A2651" s="5"/>
      <c r="B2651" s="2"/>
      <c r="F2651" s="3"/>
      <c r="G2651" s="2"/>
      <c r="H2651" s="1"/>
      <c r="J2651" s="2"/>
    </row>
    <row r="2652" spans="1:10" x14ac:dyDescent="0.25">
      <c r="A2652" s="5"/>
      <c r="B2652" s="2"/>
      <c r="F2652" s="3"/>
      <c r="G2652" s="2"/>
      <c r="H2652" s="1"/>
      <c r="J2652" s="2"/>
    </row>
    <row r="2653" spans="1:10" x14ac:dyDescent="0.25">
      <c r="A2653" s="5"/>
      <c r="B2653" s="2"/>
      <c r="F2653" s="3"/>
      <c r="G2653" s="2"/>
      <c r="H2653" s="1"/>
      <c r="J2653" s="2"/>
    </row>
    <row r="2654" spans="1:10" x14ac:dyDescent="0.25">
      <c r="A2654" s="5"/>
      <c r="B2654" s="2"/>
      <c r="F2654" s="3"/>
      <c r="G2654" s="2"/>
      <c r="H2654" s="1"/>
      <c r="J2654" s="2"/>
    </row>
    <row r="2655" spans="1:10" x14ac:dyDescent="0.25">
      <c r="A2655" s="5"/>
      <c r="B2655" s="2"/>
      <c r="F2655" s="3"/>
      <c r="G2655" s="2"/>
      <c r="H2655" s="1"/>
      <c r="J2655" s="2"/>
    </row>
    <row r="2656" spans="1:10" x14ac:dyDescent="0.25">
      <c r="A2656" s="5"/>
      <c r="B2656" s="2"/>
      <c r="F2656" s="3"/>
      <c r="G2656" s="2"/>
      <c r="H2656" s="1"/>
      <c r="J2656" s="2"/>
    </row>
    <row r="2657" spans="1:10" x14ac:dyDescent="0.25">
      <c r="A2657" s="5"/>
      <c r="B2657" s="2"/>
      <c r="F2657" s="3"/>
      <c r="G2657" s="2"/>
      <c r="H2657" s="1"/>
      <c r="J2657" s="2"/>
    </row>
    <row r="2658" spans="1:10" x14ac:dyDescent="0.25">
      <c r="A2658" s="5"/>
      <c r="B2658" s="2"/>
      <c r="F2658" s="3"/>
      <c r="G2658" s="2"/>
      <c r="H2658" s="1"/>
      <c r="J2658" s="2"/>
    </row>
    <row r="2659" spans="1:10" x14ac:dyDescent="0.25">
      <c r="A2659" s="5"/>
      <c r="B2659" s="2"/>
      <c r="F2659" s="3"/>
      <c r="G2659" s="2"/>
      <c r="H2659" s="1"/>
      <c r="J2659" s="2"/>
    </row>
    <row r="2660" spans="1:10" x14ac:dyDescent="0.25">
      <c r="A2660" s="5"/>
      <c r="B2660" s="2"/>
      <c r="F2660" s="3"/>
      <c r="G2660" s="2"/>
      <c r="H2660" s="1"/>
      <c r="J2660" s="2"/>
    </row>
    <row r="2661" spans="1:10" x14ac:dyDescent="0.25">
      <c r="A2661" s="5"/>
      <c r="B2661" s="2"/>
      <c r="F2661" s="3"/>
      <c r="G2661" s="2"/>
      <c r="H2661" s="1"/>
      <c r="J2661" s="2"/>
    </row>
    <row r="2662" spans="1:10" x14ac:dyDescent="0.25">
      <c r="A2662" s="5"/>
      <c r="B2662" s="2"/>
      <c r="F2662" s="3"/>
      <c r="G2662" s="2"/>
      <c r="H2662" s="1"/>
      <c r="J2662" s="2"/>
    </row>
    <row r="2663" spans="1:10" x14ac:dyDescent="0.25">
      <c r="A2663" s="5"/>
      <c r="B2663" s="2"/>
      <c r="F2663" s="3"/>
      <c r="G2663" s="2"/>
      <c r="H2663" s="1"/>
      <c r="J2663" s="2"/>
    </row>
    <row r="2664" spans="1:10" x14ac:dyDescent="0.25">
      <c r="A2664" s="5"/>
      <c r="B2664" s="2"/>
      <c r="F2664" s="3"/>
      <c r="G2664" s="2"/>
      <c r="H2664" s="1"/>
      <c r="J2664" s="2"/>
    </row>
    <row r="2665" spans="1:10" x14ac:dyDescent="0.25">
      <c r="A2665" s="5"/>
      <c r="B2665" s="2"/>
      <c r="F2665" s="3"/>
      <c r="G2665" s="2"/>
      <c r="H2665" s="1"/>
      <c r="J2665" s="2"/>
    </row>
    <row r="2666" spans="1:10" x14ac:dyDescent="0.25">
      <c r="A2666" s="5"/>
      <c r="B2666" s="2"/>
      <c r="F2666" s="3"/>
      <c r="G2666" s="2"/>
      <c r="H2666" s="1"/>
      <c r="J2666" s="2"/>
    </row>
    <row r="2667" spans="1:10" x14ac:dyDescent="0.25">
      <c r="A2667" s="5"/>
      <c r="B2667" s="2"/>
      <c r="F2667" s="3"/>
      <c r="G2667" s="2"/>
      <c r="H2667" s="1"/>
      <c r="J2667" s="2"/>
    </row>
    <row r="2668" spans="1:10" x14ac:dyDescent="0.25">
      <c r="A2668" s="5"/>
      <c r="B2668" s="2"/>
      <c r="F2668" s="3"/>
      <c r="G2668" s="2"/>
      <c r="H2668" s="1"/>
      <c r="J2668" s="2"/>
    </row>
    <row r="2669" spans="1:10" x14ac:dyDescent="0.25">
      <c r="A2669" s="5"/>
      <c r="B2669" s="2"/>
      <c r="F2669" s="3"/>
      <c r="G2669" s="2"/>
      <c r="H2669" s="1"/>
      <c r="J2669" s="2"/>
    </row>
    <row r="2670" spans="1:10" x14ac:dyDescent="0.25">
      <c r="A2670" s="5"/>
      <c r="B2670" s="2"/>
      <c r="F2670" s="3"/>
      <c r="G2670" s="2"/>
      <c r="H2670" s="1"/>
      <c r="J2670" s="2"/>
    </row>
    <row r="2671" spans="1:10" x14ac:dyDescent="0.25">
      <c r="A2671" s="5"/>
      <c r="B2671" s="2"/>
      <c r="F2671" s="3"/>
      <c r="G2671" s="2"/>
      <c r="H2671" s="1"/>
      <c r="J2671" s="2"/>
    </row>
    <row r="2672" spans="1:10" x14ac:dyDescent="0.25">
      <c r="A2672" s="5"/>
      <c r="B2672" s="2"/>
      <c r="F2672" s="3"/>
      <c r="G2672" s="2"/>
      <c r="H2672" s="1"/>
      <c r="J2672" s="2"/>
    </row>
    <row r="2673" spans="1:10" x14ac:dyDescent="0.25">
      <c r="A2673" s="5"/>
      <c r="B2673" s="2"/>
      <c r="F2673" s="3"/>
      <c r="G2673" s="2"/>
      <c r="H2673" s="1"/>
      <c r="J2673" s="2"/>
    </row>
    <row r="2674" spans="1:10" x14ac:dyDescent="0.25">
      <c r="A2674" s="5"/>
      <c r="B2674" s="2"/>
      <c r="F2674" s="3"/>
      <c r="G2674" s="2"/>
      <c r="H2674" s="1"/>
      <c r="J2674" s="2"/>
    </row>
    <row r="2675" spans="1:10" x14ac:dyDescent="0.25">
      <c r="A2675" s="5"/>
      <c r="B2675" s="2"/>
      <c r="F2675" s="3"/>
      <c r="G2675" s="2"/>
      <c r="H2675" s="1"/>
      <c r="J2675" s="2"/>
    </row>
    <row r="2676" spans="1:10" x14ac:dyDescent="0.25">
      <c r="A2676" s="5"/>
      <c r="B2676" s="2"/>
      <c r="F2676" s="3"/>
      <c r="G2676" s="2"/>
      <c r="H2676" s="1"/>
      <c r="J2676" s="2"/>
    </row>
    <row r="2677" spans="1:10" x14ac:dyDescent="0.25">
      <c r="A2677" s="5"/>
      <c r="B2677" s="2"/>
      <c r="F2677" s="3"/>
      <c r="G2677" s="2"/>
      <c r="H2677" s="1"/>
      <c r="J2677" s="2"/>
    </row>
    <row r="2678" spans="1:10" x14ac:dyDescent="0.25">
      <c r="A2678" s="5"/>
      <c r="B2678" s="2"/>
      <c r="F2678" s="3"/>
      <c r="G2678" s="2"/>
      <c r="H2678" s="1"/>
      <c r="J2678" s="2"/>
    </row>
    <row r="2679" spans="1:10" x14ac:dyDescent="0.25">
      <c r="A2679" s="5"/>
      <c r="B2679" s="2"/>
      <c r="F2679" s="3"/>
      <c r="G2679" s="2"/>
      <c r="H2679" s="1"/>
      <c r="J2679" s="2"/>
    </row>
    <row r="2680" spans="1:10" x14ac:dyDescent="0.25">
      <c r="A2680" s="5"/>
      <c r="B2680" s="2"/>
      <c r="F2680" s="3"/>
      <c r="G2680" s="2"/>
      <c r="H2680" s="1"/>
      <c r="J2680" s="2"/>
    </row>
    <row r="2681" spans="1:10" x14ac:dyDescent="0.25">
      <c r="A2681" s="5"/>
      <c r="B2681" s="2"/>
      <c r="F2681" s="3"/>
      <c r="G2681" s="2"/>
      <c r="H2681" s="1"/>
      <c r="J2681" s="2"/>
    </row>
    <row r="2682" spans="1:10" x14ac:dyDescent="0.25">
      <c r="A2682" s="5"/>
      <c r="B2682" s="2"/>
      <c r="F2682" s="3"/>
      <c r="G2682" s="2"/>
      <c r="H2682" s="1"/>
      <c r="J2682" s="2"/>
    </row>
    <row r="2683" spans="1:10" x14ac:dyDescent="0.25">
      <c r="A2683" s="5"/>
      <c r="B2683" s="2"/>
      <c r="F2683" s="3"/>
      <c r="G2683" s="2"/>
      <c r="H2683" s="1"/>
      <c r="J2683" s="2"/>
    </row>
    <row r="2684" spans="1:10" x14ac:dyDescent="0.25">
      <c r="A2684" s="5"/>
      <c r="B2684" s="2"/>
      <c r="F2684" s="3"/>
      <c r="G2684" s="2"/>
      <c r="H2684" s="1"/>
      <c r="J2684" s="2"/>
    </row>
    <row r="2685" spans="1:10" x14ac:dyDescent="0.25">
      <c r="A2685" s="5"/>
      <c r="B2685" s="2"/>
      <c r="F2685" s="3"/>
      <c r="G2685" s="2"/>
      <c r="H2685" s="1"/>
      <c r="J2685" s="2"/>
    </row>
    <row r="2686" spans="1:10" x14ac:dyDescent="0.25">
      <c r="A2686" s="5"/>
      <c r="B2686" s="2"/>
      <c r="F2686" s="3"/>
      <c r="G2686" s="2"/>
      <c r="H2686" s="1"/>
      <c r="J2686" s="2"/>
    </row>
    <row r="2687" spans="1:10" x14ac:dyDescent="0.25">
      <c r="A2687" s="5"/>
      <c r="B2687" s="2"/>
      <c r="F2687" s="3"/>
      <c r="G2687" s="2"/>
      <c r="H2687" s="1"/>
      <c r="J2687" s="2"/>
    </row>
    <row r="2688" spans="1:10" x14ac:dyDescent="0.25">
      <c r="A2688" s="5"/>
      <c r="B2688" s="2"/>
      <c r="F2688" s="3"/>
      <c r="G2688" s="2"/>
      <c r="H2688" s="1"/>
      <c r="J2688" s="2"/>
    </row>
    <row r="2689" spans="1:10" x14ac:dyDescent="0.25">
      <c r="A2689" s="5"/>
      <c r="B2689" s="2"/>
      <c r="F2689" s="3"/>
      <c r="G2689" s="2"/>
      <c r="H2689" s="1"/>
      <c r="J2689" s="2"/>
    </row>
    <row r="2690" spans="1:10" x14ac:dyDescent="0.25">
      <c r="A2690" s="5"/>
      <c r="B2690" s="2"/>
      <c r="F2690" s="3"/>
      <c r="G2690" s="2"/>
      <c r="H2690" s="1"/>
      <c r="J2690" s="2"/>
    </row>
    <row r="2691" spans="1:10" x14ac:dyDescent="0.25">
      <c r="A2691" s="5"/>
      <c r="B2691" s="2"/>
      <c r="F2691" s="3"/>
      <c r="G2691" s="2"/>
      <c r="H2691" s="1"/>
      <c r="J2691" s="2"/>
    </row>
    <row r="2692" spans="1:10" x14ac:dyDescent="0.25">
      <c r="A2692" s="5"/>
      <c r="B2692" s="2"/>
      <c r="F2692" s="3"/>
      <c r="G2692" s="2"/>
      <c r="H2692" s="1"/>
      <c r="J2692" s="2"/>
    </row>
    <row r="2693" spans="1:10" x14ac:dyDescent="0.25">
      <c r="A2693" s="5"/>
      <c r="B2693" s="2"/>
      <c r="F2693" s="3"/>
      <c r="G2693" s="2"/>
      <c r="H2693" s="1"/>
      <c r="J2693" s="2"/>
    </row>
    <row r="2694" spans="1:10" x14ac:dyDescent="0.25">
      <c r="A2694" s="5"/>
      <c r="B2694" s="2"/>
      <c r="F2694" s="3"/>
      <c r="G2694" s="2"/>
      <c r="H2694" s="1"/>
      <c r="J2694" s="2"/>
    </row>
    <row r="2695" spans="1:10" x14ac:dyDescent="0.25">
      <c r="A2695" s="5"/>
      <c r="B2695" s="2"/>
      <c r="F2695" s="3"/>
      <c r="G2695" s="2"/>
      <c r="H2695" s="1"/>
      <c r="J2695" s="2"/>
    </row>
    <row r="2696" spans="1:10" x14ac:dyDescent="0.25">
      <c r="A2696" s="5"/>
      <c r="B2696" s="2"/>
      <c r="F2696" s="3"/>
      <c r="G2696" s="2"/>
      <c r="H2696" s="1"/>
      <c r="J2696" s="2"/>
    </row>
    <row r="2697" spans="1:10" x14ac:dyDescent="0.25">
      <c r="A2697" s="5"/>
      <c r="B2697" s="2"/>
      <c r="F2697" s="3"/>
      <c r="G2697" s="2"/>
      <c r="H2697" s="1"/>
      <c r="J2697" s="2"/>
    </row>
    <row r="2698" spans="1:10" x14ac:dyDescent="0.25">
      <c r="A2698" s="5"/>
      <c r="B2698" s="2"/>
      <c r="F2698" s="3"/>
      <c r="G2698" s="2"/>
      <c r="H2698" s="1"/>
      <c r="J2698" s="2"/>
    </row>
    <row r="2699" spans="1:10" x14ac:dyDescent="0.25">
      <c r="A2699" s="5"/>
      <c r="B2699" s="2"/>
      <c r="F2699" s="3"/>
      <c r="G2699" s="2"/>
      <c r="H2699" s="1"/>
      <c r="J2699" s="2"/>
    </row>
    <row r="2700" spans="1:10" x14ac:dyDescent="0.25">
      <c r="A2700" s="5"/>
      <c r="B2700" s="2"/>
      <c r="F2700" s="3"/>
      <c r="G2700" s="2"/>
      <c r="H2700" s="1"/>
      <c r="J2700" s="2"/>
    </row>
    <row r="2701" spans="1:10" x14ac:dyDescent="0.25">
      <c r="A2701" s="5"/>
      <c r="B2701" s="2"/>
      <c r="F2701" s="3"/>
      <c r="G2701" s="2"/>
      <c r="H2701" s="1"/>
      <c r="J2701" s="2"/>
    </row>
    <row r="2702" spans="1:10" x14ac:dyDescent="0.25">
      <c r="A2702" s="5"/>
      <c r="B2702" s="2"/>
      <c r="F2702" s="3"/>
      <c r="G2702" s="2"/>
      <c r="H2702" s="1"/>
      <c r="J2702" s="2"/>
    </row>
    <row r="2703" spans="1:10" x14ac:dyDescent="0.25">
      <c r="A2703" s="5"/>
      <c r="B2703" s="2"/>
      <c r="F2703" s="3"/>
      <c r="G2703" s="2"/>
      <c r="H2703" s="1"/>
      <c r="J2703" s="2"/>
    </row>
    <row r="2704" spans="1:10" x14ac:dyDescent="0.25">
      <c r="A2704" s="5"/>
      <c r="B2704" s="2"/>
      <c r="F2704" s="3"/>
      <c r="G2704" s="2"/>
      <c r="H2704" s="1"/>
      <c r="J2704" s="2"/>
    </row>
    <row r="2705" spans="1:10" x14ac:dyDescent="0.25">
      <c r="A2705" s="5"/>
      <c r="B2705" s="2"/>
      <c r="F2705" s="3"/>
      <c r="G2705" s="2"/>
      <c r="H2705" s="1"/>
      <c r="J2705" s="2"/>
    </row>
    <row r="2706" spans="1:10" x14ac:dyDescent="0.25">
      <c r="A2706" s="5"/>
      <c r="B2706" s="2"/>
      <c r="F2706" s="3"/>
      <c r="G2706" s="2"/>
      <c r="H2706" s="1"/>
      <c r="J2706" s="2"/>
    </row>
    <row r="2707" spans="1:10" x14ac:dyDescent="0.25">
      <c r="A2707" s="5"/>
      <c r="B2707" s="2"/>
      <c r="F2707" s="3"/>
      <c r="G2707" s="2"/>
      <c r="H2707" s="1"/>
      <c r="J2707" s="2"/>
    </row>
    <row r="2708" spans="1:10" x14ac:dyDescent="0.25">
      <c r="A2708" s="5"/>
      <c r="B2708" s="2"/>
      <c r="F2708" s="3"/>
      <c r="G2708" s="2"/>
      <c r="H2708" s="1"/>
      <c r="J2708" s="2"/>
    </row>
    <row r="2709" spans="1:10" x14ac:dyDescent="0.25">
      <c r="A2709" s="5"/>
      <c r="B2709" s="2"/>
      <c r="F2709" s="3"/>
      <c r="G2709" s="2"/>
      <c r="H2709" s="1"/>
      <c r="J2709" s="2"/>
    </row>
    <row r="2710" spans="1:10" x14ac:dyDescent="0.25">
      <c r="A2710" s="5"/>
      <c r="B2710" s="2"/>
      <c r="F2710" s="3"/>
      <c r="G2710" s="2"/>
      <c r="H2710" s="1"/>
      <c r="J2710" s="2"/>
    </row>
    <row r="2711" spans="1:10" x14ac:dyDescent="0.25">
      <c r="A2711" s="5"/>
      <c r="B2711" s="2"/>
      <c r="F2711" s="3"/>
      <c r="G2711" s="2"/>
      <c r="H2711" s="1"/>
      <c r="J2711" s="2"/>
    </row>
    <row r="2712" spans="1:10" x14ac:dyDescent="0.25">
      <c r="A2712" s="5"/>
      <c r="B2712" s="2"/>
      <c r="F2712" s="3"/>
      <c r="G2712" s="2"/>
      <c r="H2712" s="1"/>
      <c r="J2712" s="2"/>
    </row>
    <row r="2713" spans="1:10" x14ac:dyDescent="0.25">
      <c r="A2713" s="5"/>
      <c r="B2713" s="2"/>
      <c r="F2713" s="3"/>
      <c r="G2713" s="2"/>
      <c r="H2713" s="1"/>
      <c r="J2713" s="2"/>
    </row>
    <row r="2714" spans="1:10" x14ac:dyDescent="0.25">
      <c r="A2714" s="5"/>
      <c r="B2714" s="2"/>
      <c r="F2714" s="3"/>
      <c r="G2714" s="2"/>
      <c r="H2714" s="1"/>
      <c r="J2714" s="2"/>
    </row>
    <row r="2715" spans="1:10" x14ac:dyDescent="0.25">
      <c r="A2715" s="5"/>
      <c r="B2715" s="2"/>
      <c r="F2715" s="3"/>
      <c r="G2715" s="2"/>
      <c r="H2715" s="1"/>
      <c r="J2715" s="2"/>
    </row>
    <row r="2716" spans="1:10" x14ac:dyDescent="0.25">
      <c r="A2716" s="5"/>
      <c r="B2716" s="2"/>
      <c r="F2716" s="3"/>
      <c r="G2716" s="2"/>
      <c r="H2716" s="1"/>
      <c r="J2716" s="2"/>
    </row>
    <row r="2717" spans="1:10" x14ac:dyDescent="0.25">
      <c r="A2717" s="5"/>
      <c r="B2717" s="2"/>
      <c r="F2717" s="3"/>
      <c r="G2717" s="2"/>
      <c r="H2717" s="1"/>
      <c r="J2717" s="2"/>
    </row>
    <row r="2718" spans="1:10" x14ac:dyDescent="0.25">
      <c r="A2718" s="5"/>
      <c r="B2718" s="2"/>
      <c r="F2718" s="3"/>
      <c r="G2718" s="2"/>
      <c r="H2718" s="1"/>
      <c r="J2718" s="2"/>
    </row>
    <row r="2719" spans="1:10" x14ac:dyDescent="0.25">
      <c r="A2719" s="5"/>
      <c r="B2719" s="2"/>
      <c r="F2719" s="3"/>
      <c r="G2719" s="2"/>
      <c r="H2719" s="1"/>
      <c r="J2719" s="2"/>
    </row>
    <row r="2720" spans="1:10" x14ac:dyDescent="0.25">
      <c r="A2720" s="5"/>
      <c r="B2720" s="2"/>
      <c r="F2720" s="3"/>
      <c r="G2720" s="2"/>
      <c r="H2720" s="1"/>
      <c r="J2720" s="2"/>
    </row>
    <row r="2721" spans="1:10" x14ac:dyDescent="0.25">
      <c r="A2721" s="5"/>
      <c r="B2721" s="2"/>
      <c r="F2721" s="3"/>
      <c r="G2721" s="2"/>
      <c r="H2721" s="1"/>
      <c r="J2721" s="2"/>
    </row>
    <row r="2722" spans="1:10" x14ac:dyDescent="0.25">
      <c r="A2722" s="5"/>
      <c r="B2722" s="2"/>
      <c r="F2722" s="3"/>
      <c r="G2722" s="2"/>
      <c r="H2722" s="1"/>
      <c r="J2722" s="2"/>
    </row>
    <row r="2723" spans="1:10" x14ac:dyDescent="0.25">
      <c r="A2723" s="5"/>
      <c r="B2723" s="2"/>
      <c r="F2723" s="3"/>
      <c r="G2723" s="2"/>
      <c r="H2723" s="1"/>
      <c r="J2723" s="2"/>
    </row>
    <row r="2724" spans="1:10" x14ac:dyDescent="0.25">
      <c r="A2724" s="5"/>
      <c r="B2724" s="2"/>
      <c r="F2724" s="3"/>
      <c r="G2724" s="2"/>
      <c r="H2724" s="1"/>
      <c r="J2724" s="2"/>
    </row>
    <row r="2725" spans="1:10" x14ac:dyDescent="0.25">
      <c r="A2725" s="5"/>
      <c r="B2725" s="2"/>
      <c r="F2725" s="3"/>
      <c r="G2725" s="2"/>
      <c r="H2725" s="1"/>
      <c r="J2725" s="2"/>
    </row>
    <row r="2726" spans="1:10" x14ac:dyDescent="0.25">
      <c r="A2726" s="5"/>
      <c r="B2726" s="2"/>
      <c r="F2726" s="3"/>
      <c r="G2726" s="2"/>
      <c r="H2726" s="1"/>
      <c r="J2726" s="2"/>
    </row>
    <row r="2727" spans="1:10" x14ac:dyDescent="0.25">
      <c r="A2727" s="5"/>
      <c r="B2727" s="2"/>
      <c r="F2727" s="3"/>
      <c r="G2727" s="2"/>
      <c r="H2727" s="1"/>
      <c r="J2727" s="2"/>
    </row>
    <row r="2728" spans="1:10" x14ac:dyDescent="0.25">
      <c r="A2728" s="5"/>
      <c r="B2728" s="2"/>
      <c r="F2728" s="3"/>
      <c r="G2728" s="2"/>
      <c r="H2728" s="1"/>
      <c r="J2728" s="2"/>
    </row>
    <row r="2729" spans="1:10" x14ac:dyDescent="0.25">
      <c r="A2729" s="5"/>
      <c r="B2729" s="2"/>
      <c r="F2729" s="3"/>
      <c r="G2729" s="2"/>
      <c r="H2729" s="1"/>
      <c r="J2729" s="2"/>
    </row>
    <row r="2730" spans="1:10" x14ac:dyDescent="0.25">
      <c r="A2730" s="5"/>
      <c r="B2730" s="2"/>
      <c r="F2730" s="3"/>
      <c r="G2730" s="2"/>
      <c r="H2730" s="1"/>
      <c r="J2730" s="2"/>
    </row>
    <row r="2731" spans="1:10" x14ac:dyDescent="0.25">
      <c r="A2731" s="5"/>
      <c r="B2731" s="2"/>
      <c r="F2731" s="3"/>
      <c r="G2731" s="2"/>
      <c r="H2731" s="1"/>
      <c r="J2731" s="2"/>
    </row>
    <row r="2732" spans="1:10" x14ac:dyDescent="0.25">
      <c r="A2732" s="5"/>
      <c r="B2732" s="2"/>
      <c r="F2732" s="3"/>
      <c r="G2732" s="2"/>
      <c r="H2732" s="1"/>
      <c r="J2732" s="2"/>
    </row>
    <row r="2733" spans="1:10" x14ac:dyDescent="0.25">
      <c r="A2733" s="5"/>
      <c r="B2733" s="2"/>
      <c r="F2733" s="3"/>
      <c r="G2733" s="2"/>
      <c r="H2733" s="1"/>
      <c r="J2733" s="2"/>
    </row>
    <row r="2734" spans="1:10" x14ac:dyDescent="0.25">
      <c r="A2734" s="5"/>
      <c r="B2734" s="2"/>
      <c r="F2734" s="3"/>
      <c r="G2734" s="2"/>
      <c r="H2734" s="1"/>
      <c r="J2734" s="2"/>
    </row>
    <row r="2735" spans="1:10" x14ac:dyDescent="0.25">
      <c r="A2735" s="5"/>
      <c r="B2735" s="2"/>
      <c r="F2735" s="3"/>
      <c r="G2735" s="2"/>
      <c r="H2735" s="1"/>
      <c r="J2735" s="2"/>
    </row>
    <row r="2736" spans="1:10" x14ac:dyDescent="0.25">
      <c r="A2736" s="5"/>
      <c r="B2736" s="2"/>
      <c r="F2736" s="3"/>
      <c r="G2736" s="2"/>
      <c r="H2736" s="1"/>
      <c r="J2736" s="2"/>
    </row>
    <row r="2737" spans="1:10" x14ac:dyDescent="0.25">
      <c r="A2737" s="5"/>
      <c r="B2737" s="2"/>
      <c r="F2737" s="3"/>
      <c r="G2737" s="2"/>
      <c r="H2737" s="1"/>
      <c r="J2737" s="2"/>
    </row>
    <row r="2738" spans="1:10" x14ac:dyDescent="0.25">
      <c r="A2738" s="5"/>
      <c r="B2738" s="2"/>
      <c r="F2738" s="3"/>
      <c r="G2738" s="2"/>
      <c r="H2738" s="1"/>
      <c r="J2738" s="2"/>
    </row>
    <row r="2739" spans="1:10" x14ac:dyDescent="0.25">
      <c r="A2739" s="5"/>
      <c r="B2739" s="2"/>
      <c r="F2739" s="3"/>
      <c r="G2739" s="2"/>
      <c r="H2739" s="1"/>
      <c r="J2739" s="2"/>
    </row>
    <row r="2740" spans="1:10" x14ac:dyDescent="0.25">
      <c r="A2740" s="5"/>
      <c r="B2740" s="2"/>
      <c r="F2740" s="3"/>
      <c r="G2740" s="2"/>
      <c r="H2740" s="1"/>
      <c r="J2740" s="2"/>
    </row>
    <row r="2741" spans="1:10" x14ac:dyDescent="0.25">
      <c r="A2741" s="5"/>
      <c r="B2741" s="2"/>
      <c r="F2741" s="3"/>
      <c r="G2741" s="2"/>
      <c r="H2741" s="1"/>
      <c r="J2741" s="2"/>
    </row>
    <row r="2742" spans="1:10" x14ac:dyDescent="0.25">
      <c r="A2742" s="5"/>
      <c r="B2742" s="2"/>
      <c r="F2742" s="3"/>
      <c r="G2742" s="2"/>
      <c r="H2742" s="1"/>
      <c r="J2742" s="2"/>
    </row>
    <row r="2743" spans="1:10" x14ac:dyDescent="0.25">
      <c r="A2743" s="5"/>
      <c r="B2743" s="2"/>
      <c r="F2743" s="3"/>
      <c r="G2743" s="2"/>
      <c r="H2743" s="1"/>
      <c r="J2743" s="2"/>
    </row>
    <row r="2744" spans="1:10" x14ac:dyDescent="0.25">
      <c r="A2744" s="5"/>
      <c r="B2744" s="2"/>
      <c r="F2744" s="3"/>
      <c r="G2744" s="2"/>
      <c r="H2744" s="1"/>
      <c r="J2744" s="2"/>
    </row>
    <row r="2745" spans="1:10" x14ac:dyDescent="0.25">
      <c r="A2745" s="5"/>
      <c r="B2745" s="2"/>
      <c r="F2745" s="3"/>
      <c r="G2745" s="2"/>
      <c r="H2745" s="1"/>
      <c r="J2745" s="2"/>
    </row>
    <row r="2746" spans="1:10" x14ac:dyDescent="0.25">
      <c r="A2746" s="5"/>
      <c r="B2746" s="2"/>
      <c r="F2746" s="3"/>
      <c r="G2746" s="2"/>
      <c r="H2746" s="1"/>
      <c r="J2746" s="2"/>
    </row>
    <row r="2747" spans="1:10" x14ac:dyDescent="0.25">
      <c r="A2747" s="5"/>
      <c r="B2747" s="2"/>
      <c r="F2747" s="3"/>
      <c r="G2747" s="2"/>
      <c r="H2747" s="1"/>
      <c r="J2747" s="2"/>
    </row>
    <row r="2748" spans="1:10" x14ac:dyDescent="0.25">
      <c r="A2748" s="5"/>
      <c r="B2748" s="2"/>
      <c r="F2748" s="3"/>
      <c r="G2748" s="2"/>
      <c r="H2748" s="1"/>
      <c r="J2748" s="2"/>
    </row>
    <row r="2749" spans="1:10" x14ac:dyDescent="0.25">
      <c r="A2749" s="5"/>
      <c r="B2749" s="2"/>
      <c r="F2749" s="3"/>
      <c r="G2749" s="2"/>
      <c r="H2749" s="1"/>
      <c r="J2749" s="2"/>
    </row>
    <row r="2750" spans="1:10" x14ac:dyDescent="0.25">
      <c r="A2750" s="5"/>
      <c r="B2750" s="2"/>
      <c r="F2750" s="3"/>
      <c r="G2750" s="2"/>
      <c r="H2750" s="1"/>
      <c r="J2750" s="2"/>
    </row>
    <row r="2751" spans="1:10" x14ac:dyDescent="0.25">
      <c r="A2751" s="5"/>
      <c r="B2751" s="2"/>
      <c r="F2751" s="3"/>
      <c r="G2751" s="2"/>
      <c r="H2751" s="1"/>
      <c r="J2751" s="2"/>
    </row>
    <row r="2752" spans="1:10" x14ac:dyDescent="0.25">
      <c r="A2752" s="5"/>
      <c r="B2752" s="2"/>
      <c r="F2752" s="3"/>
      <c r="G2752" s="2"/>
      <c r="H2752" s="1"/>
      <c r="J2752" s="2"/>
    </row>
    <row r="2753" spans="1:10" x14ac:dyDescent="0.25">
      <c r="A2753" s="5"/>
      <c r="B2753" s="2"/>
      <c r="F2753" s="3"/>
      <c r="G2753" s="2"/>
      <c r="H2753" s="1"/>
      <c r="J2753" s="2"/>
    </row>
    <row r="2754" spans="1:10" x14ac:dyDescent="0.25">
      <c r="A2754" s="5"/>
      <c r="B2754" s="2"/>
      <c r="F2754" s="3"/>
      <c r="G2754" s="2"/>
      <c r="H2754" s="1"/>
      <c r="J2754" s="2"/>
    </row>
    <row r="2755" spans="1:10" x14ac:dyDescent="0.25">
      <c r="A2755" s="5"/>
      <c r="B2755" s="2"/>
      <c r="F2755" s="3"/>
      <c r="G2755" s="2"/>
      <c r="H2755" s="1"/>
      <c r="J2755" s="2"/>
    </row>
    <row r="2756" spans="1:10" x14ac:dyDescent="0.25">
      <c r="A2756" s="5"/>
      <c r="B2756" s="2"/>
      <c r="F2756" s="3"/>
      <c r="G2756" s="2"/>
      <c r="H2756" s="1"/>
      <c r="J2756" s="2"/>
    </row>
    <row r="2757" spans="1:10" x14ac:dyDescent="0.25">
      <c r="A2757" s="5"/>
      <c r="B2757" s="2"/>
      <c r="F2757" s="3"/>
      <c r="G2757" s="2"/>
      <c r="H2757" s="1"/>
      <c r="J2757" s="2"/>
    </row>
    <row r="2758" spans="1:10" x14ac:dyDescent="0.25">
      <c r="A2758" s="5"/>
      <c r="B2758" s="2"/>
      <c r="F2758" s="3"/>
      <c r="G2758" s="2"/>
      <c r="H2758" s="1"/>
      <c r="J2758" s="2"/>
    </row>
    <row r="2759" spans="1:10" x14ac:dyDescent="0.25">
      <c r="A2759" s="5"/>
      <c r="B2759" s="2"/>
      <c r="F2759" s="3"/>
      <c r="G2759" s="2"/>
      <c r="H2759" s="1"/>
      <c r="J2759" s="2"/>
    </row>
    <row r="2760" spans="1:10" x14ac:dyDescent="0.25">
      <c r="A2760" s="5"/>
      <c r="B2760" s="2"/>
      <c r="F2760" s="3"/>
      <c r="G2760" s="2"/>
      <c r="H2760" s="1"/>
      <c r="J2760" s="2"/>
    </row>
    <row r="2761" spans="1:10" x14ac:dyDescent="0.25">
      <c r="A2761" s="5"/>
      <c r="B2761" s="2"/>
      <c r="F2761" s="3"/>
      <c r="G2761" s="2"/>
      <c r="H2761" s="1"/>
      <c r="J2761" s="2"/>
    </row>
    <row r="2762" spans="1:10" x14ac:dyDescent="0.25">
      <c r="A2762" s="5"/>
      <c r="B2762" s="2"/>
      <c r="F2762" s="3"/>
      <c r="G2762" s="2"/>
      <c r="H2762" s="1"/>
      <c r="J2762" s="2"/>
    </row>
    <row r="2763" spans="1:10" x14ac:dyDescent="0.25">
      <c r="A2763" s="5"/>
      <c r="B2763" s="2"/>
      <c r="F2763" s="3"/>
      <c r="G2763" s="2"/>
      <c r="H2763" s="1"/>
      <c r="J2763" s="2"/>
    </row>
    <row r="2764" spans="1:10" x14ac:dyDescent="0.25">
      <c r="A2764" s="5"/>
      <c r="B2764" s="2"/>
      <c r="F2764" s="3"/>
      <c r="G2764" s="2"/>
      <c r="H2764" s="1"/>
      <c r="J2764" s="2"/>
    </row>
    <row r="2765" spans="1:10" x14ac:dyDescent="0.25">
      <c r="A2765" s="5"/>
      <c r="B2765" s="2"/>
      <c r="F2765" s="3"/>
      <c r="G2765" s="2"/>
      <c r="H2765" s="1"/>
      <c r="J2765" s="2"/>
    </row>
    <row r="2766" spans="1:10" x14ac:dyDescent="0.25">
      <c r="A2766" s="5"/>
      <c r="B2766" s="2"/>
      <c r="F2766" s="3"/>
      <c r="G2766" s="2"/>
      <c r="H2766" s="1"/>
      <c r="J2766" s="2"/>
    </row>
    <row r="2767" spans="1:10" x14ac:dyDescent="0.25">
      <c r="A2767" s="5"/>
      <c r="B2767" s="2"/>
      <c r="F2767" s="3"/>
      <c r="G2767" s="2"/>
      <c r="H2767" s="1"/>
      <c r="J2767" s="2"/>
    </row>
    <row r="2768" spans="1:10" x14ac:dyDescent="0.25">
      <c r="A2768" s="5"/>
      <c r="B2768" s="2"/>
      <c r="F2768" s="3"/>
      <c r="G2768" s="2"/>
      <c r="H2768" s="1"/>
      <c r="J2768" s="2"/>
    </row>
    <row r="2769" spans="1:10" x14ac:dyDescent="0.25">
      <c r="A2769" s="5"/>
      <c r="B2769" s="2"/>
      <c r="F2769" s="3"/>
      <c r="G2769" s="2"/>
      <c r="H2769" s="1"/>
      <c r="J2769" s="2"/>
    </row>
    <row r="2770" spans="1:10" x14ac:dyDescent="0.25">
      <c r="A2770" s="5"/>
      <c r="B2770" s="2"/>
      <c r="F2770" s="3"/>
      <c r="G2770" s="2"/>
      <c r="H2770" s="1"/>
      <c r="J2770" s="2"/>
    </row>
    <row r="2771" spans="1:10" x14ac:dyDescent="0.25">
      <c r="A2771" s="5"/>
      <c r="B2771" s="2"/>
      <c r="F2771" s="3"/>
      <c r="G2771" s="2"/>
      <c r="H2771" s="1"/>
      <c r="J2771" s="2"/>
    </row>
    <row r="2772" spans="1:10" x14ac:dyDescent="0.25">
      <c r="A2772" s="5"/>
      <c r="B2772" s="2"/>
      <c r="F2772" s="3"/>
      <c r="G2772" s="2"/>
      <c r="H2772" s="1"/>
      <c r="J2772" s="2"/>
    </row>
    <row r="2773" spans="1:10" x14ac:dyDescent="0.25">
      <c r="A2773" s="5"/>
      <c r="B2773" s="2"/>
      <c r="F2773" s="3"/>
      <c r="G2773" s="2"/>
      <c r="H2773" s="1"/>
      <c r="J2773" s="2"/>
    </row>
    <row r="2774" spans="1:10" x14ac:dyDescent="0.25">
      <c r="A2774" s="5"/>
      <c r="B2774" s="2"/>
      <c r="F2774" s="3"/>
      <c r="G2774" s="2"/>
      <c r="H2774" s="1"/>
      <c r="J2774" s="2"/>
    </row>
    <row r="2775" spans="1:10" x14ac:dyDescent="0.25">
      <c r="A2775" s="5"/>
      <c r="B2775" s="2"/>
      <c r="F2775" s="3"/>
      <c r="G2775" s="2"/>
      <c r="H2775" s="1"/>
      <c r="J2775" s="2"/>
    </row>
    <row r="2776" spans="1:10" x14ac:dyDescent="0.25">
      <c r="A2776" s="5"/>
      <c r="B2776" s="2"/>
      <c r="F2776" s="3"/>
      <c r="G2776" s="2"/>
      <c r="H2776" s="1"/>
      <c r="J2776" s="2"/>
    </row>
    <row r="2777" spans="1:10" x14ac:dyDescent="0.25">
      <c r="A2777" s="5"/>
      <c r="B2777" s="2"/>
      <c r="F2777" s="3"/>
      <c r="G2777" s="2"/>
      <c r="H2777" s="1"/>
      <c r="J2777" s="2"/>
    </row>
    <row r="2778" spans="1:10" x14ac:dyDescent="0.25">
      <c r="A2778" s="5"/>
      <c r="B2778" s="2"/>
      <c r="F2778" s="3"/>
      <c r="G2778" s="2"/>
      <c r="H2778" s="1"/>
      <c r="J2778" s="2"/>
    </row>
    <row r="2779" spans="1:10" x14ac:dyDescent="0.25">
      <c r="A2779" s="5"/>
      <c r="B2779" s="2"/>
      <c r="F2779" s="3"/>
      <c r="G2779" s="2"/>
      <c r="H2779" s="1"/>
      <c r="J2779" s="2"/>
    </row>
    <row r="2780" spans="1:10" x14ac:dyDescent="0.25">
      <c r="A2780" s="5"/>
      <c r="B2780" s="2"/>
      <c r="F2780" s="3"/>
      <c r="G2780" s="2"/>
      <c r="H2780" s="1"/>
      <c r="J2780" s="2"/>
    </row>
    <row r="2781" spans="1:10" x14ac:dyDescent="0.25">
      <c r="A2781" s="5"/>
      <c r="B2781" s="2"/>
      <c r="F2781" s="3"/>
      <c r="G2781" s="2"/>
      <c r="H2781" s="1"/>
      <c r="J2781" s="2"/>
    </row>
    <row r="2782" spans="1:10" x14ac:dyDescent="0.25">
      <c r="A2782" s="5"/>
      <c r="B2782" s="2"/>
      <c r="F2782" s="3"/>
      <c r="G2782" s="2"/>
      <c r="H2782" s="1"/>
      <c r="J2782" s="2"/>
    </row>
    <row r="2783" spans="1:10" x14ac:dyDescent="0.25">
      <c r="A2783" s="5"/>
      <c r="B2783" s="2"/>
      <c r="F2783" s="3"/>
      <c r="G2783" s="2"/>
      <c r="H2783" s="1"/>
      <c r="J2783" s="2"/>
    </row>
    <row r="2784" spans="1:10" x14ac:dyDescent="0.25">
      <c r="A2784" s="5"/>
      <c r="B2784" s="2"/>
      <c r="F2784" s="3"/>
      <c r="G2784" s="2"/>
      <c r="H2784" s="1"/>
      <c r="J2784" s="2"/>
    </row>
    <row r="2785" spans="1:10" x14ac:dyDescent="0.25">
      <c r="A2785" s="5"/>
      <c r="B2785" s="2"/>
      <c r="F2785" s="3"/>
      <c r="G2785" s="2"/>
      <c r="H2785" s="1"/>
      <c r="J2785" s="2"/>
    </row>
    <row r="2786" spans="1:10" x14ac:dyDescent="0.25">
      <c r="A2786" s="5"/>
      <c r="B2786" s="2"/>
      <c r="F2786" s="3"/>
      <c r="G2786" s="2"/>
      <c r="H2786" s="1"/>
      <c r="J2786" s="2"/>
    </row>
    <row r="2787" spans="1:10" x14ac:dyDescent="0.25">
      <c r="A2787" s="5"/>
      <c r="B2787" s="2"/>
      <c r="F2787" s="3"/>
      <c r="G2787" s="2"/>
      <c r="H2787" s="1"/>
      <c r="J2787" s="2"/>
    </row>
    <row r="2788" spans="1:10" x14ac:dyDescent="0.25">
      <c r="A2788" s="5"/>
      <c r="B2788" s="2"/>
      <c r="F2788" s="3"/>
      <c r="G2788" s="2"/>
      <c r="H2788" s="1"/>
      <c r="J2788" s="2"/>
    </row>
    <row r="2789" spans="1:10" x14ac:dyDescent="0.25">
      <c r="A2789" s="5"/>
      <c r="B2789" s="2"/>
      <c r="F2789" s="3"/>
      <c r="G2789" s="2"/>
      <c r="H2789" s="1"/>
      <c r="J2789" s="2"/>
    </row>
    <row r="2790" spans="1:10" x14ac:dyDescent="0.25">
      <c r="A2790" s="5"/>
      <c r="B2790" s="2"/>
      <c r="F2790" s="3"/>
      <c r="G2790" s="2"/>
      <c r="H2790" s="1"/>
      <c r="J2790" s="2"/>
    </row>
    <row r="2791" spans="1:10" x14ac:dyDescent="0.25">
      <c r="A2791" s="5"/>
      <c r="B2791" s="2"/>
      <c r="F2791" s="3"/>
      <c r="G2791" s="2"/>
      <c r="H2791" s="1"/>
      <c r="J2791" s="2"/>
    </row>
    <row r="2792" spans="1:10" x14ac:dyDescent="0.25">
      <c r="A2792" s="5"/>
      <c r="B2792" s="2"/>
      <c r="F2792" s="3"/>
      <c r="G2792" s="2"/>
      <c r="H2792" s="1"/>
      <c r="J2792" s="2"/>
    </row>
    <row r="2793" spans="1:10" x14ac:dyDescent="0.25">
      <c r="A2793" s="5"/>
      <c r="B2793" s="2"/>
      <c r="F2793" s="3"/>
      <c r="G2793" s="2"/>
      <c r="H2793" s="1"/>
      <c r="J2793" s="2"/>
    </row>
    <row r="2794" spans="1:10" x14ac:dyDescent="0.25">
      <c r="A2794" s="5"/>
      <c r="B2794" s="2"/>
      <c r="F2794" s="3"/>
      <c r="G2794" s="2"/>
      <c r="H2794" s="1"/>
      <c r="J2794" s="2"/>
    </row>
    <row r="2795" spans="1:10" x14ac:dyDescent="0.25">
      <c r="A2795" s="5"/>
      <c r="B2795" s="2"/>
      <c r="F2795" s="3"/>
      <c r="G2795" s="2"/>
      <c r="H2795" s="1"/>
      <c r="J2795" s="2"/>
    </row>
    <row r="2796" spans="1:10" x14ac:dyDescent="0.25">
      <c r="A2796" s="5"/>
      <c r="B2796" s="2"/>
      <c r="F2796" s="3"/>
      <c r="G2796" s="2"/>
      <c r="H2796" s="1"/>
      <c r="J2796" s="2"/>
    </row>
    <row r="2797" spans="1:10" x14ac:dyDescent="0.25">
      <c r="A2797" s="5"/>
      <c r="B2797" s="2"/>
      <c r="F2797" s="3"/>
      <c r="G2797" s="2"/>
      <c r="H2797" s="1"/>
      <c r="J2797" s="2"/>
    </row>
    <row r="2798" spans="1:10" x14ac:dyDescent="0.25">
      <c r="A2798" s="5"/>
      <c r="B2798" s="2"/>
      <c r="F2798" s="3"/>
      <c r="G2798" s="2"/>
      <c r="H2798" s="1"/>
      <c r="J2798" s="2"/>
    </row>
    <row r="2799" spans="1:10" x14ac:dyDescent="0.25">
      <c r="A2799" s="5"/>
      <c r="B2799" s="2"/>
      <c r="F2799" s="3"/>
      <c r="G2799" s="2"/>
      <c r="H2799" s="1"/>
      <c r="J2799" s="2"/>
    </row>
    <row r="2800" spans="1:10" x14ac:dyDescent="0.25">
      <c r="A2800" s="5"/>
      <c r="B2800" s="2"/>
      <c r="F2800" s="3"/>
      <c r="G2800" s="2"/>
      <c r="H2800" s="1"/>
      <c r="J2800" s="2"/>
    </row>
    <row r="2801" spans="1:10" x14ac:dyDescent="0.25">
      <c r="A2801" s="5"/>
      <c r="B2801" s="2"/>
      <c r="F2801" s="3"/>
      <c r="G2801" s="2"/>
      <c r="H2801" s="1"/>
      <c r="J2801" s="2"/>
    </row>
    <row r="2802" spans="1:10" x14ac:dyDescent="0.25">
      <c r="A2802" s="5"/>
      <c r="B2802" s="2"/>
      <c r="F2802" s="3"/>
      <c r="G2802" s="2"/>
      <c r="H2802" s="1"/>
      <c r="J2802" s="2"/>
    </row>
    <row r="2803" spans="1:10" x14ac:dyDescent="0.25">
      <c r="A2803" s="5"/>
      <c r="B2803" s="2"/>
      <c r="F2803" s="3"/>
      <c r="G2803" s="2"/>
      <c r="H2803" s="1"/>
      <c r="J2803" s="2"/>
    </row>
    <row r="2804" spans="1:10" x14ac:dyDescent="0.25">
      <c r="A2804" s="5"/>
      <c r="B2804" s="2"/>
      <c r="F2804" s="3"/>
      <c r="G2804" s="2"/>
      <c r="H2804" s="1"/>
      <c r="J2804" s="2"/>
    </row>
    <row r="2805" spans="1:10" x14ac:dyDescent="0.25">
      <c r="A2805" s="5"/>
      <c r="B2805" s="2"/>
      <c r="F2805" s="3"/>
      <c r="G2805" s="2"/>
      <c r="H2805" s="1"/>
      <c r="J2805" s="2"/>
    </row>
    <row r="2806" spans="1:10" x14ac:dyDescent="0.25">
      <c r="A2806" s="5"/>
      <c r="B2806" s="2"/>
      <c r="F2806" s="3"/>
      <c r="G2806" s="2"/>
      <c r="H2806" s="1"/>
      <c r="J2806" s="2"/>
    </row>
    <row r="2807" spans="1:10" x14ac:dyDescent="0.25">
      <c r="A2807" s="5"/>
      <c r="B2807" s="2"/>
      <c r="F2807" s="3"/>
      <c r="G2807" s="2"/>
      <c r="H2807" s="1"/>
      <c r="J2807" s="2"/>
    </row>
    <row r="2808" spans="1:10" x14ac:dyDescent="0.25">
      <c r="A2808" s="5"/>
      <c r="B2808" s="2"/>
      <c r="F2808" s="3"/>
      <c r="G2808" s="2"/>
      <c r="H2808" s="1"/>
      <c r="J2808" s="2"/>
    </row>
    <row r="2809" spans="1:10" x14ac:dyDescent="0.25">
      <c r="A2809" s="5"/>
      <c r="B2809" s="2"/>
      <c r="F2809" s="3"/>
      <c r="G2809" s="2"/>
      <c r="H2809" s="1"/>
      <c r="J2809" s="2"/>
    </row>
    <row r="2810" spans="1:10" x14ac:dyDescent="0.25">
      <c r="A2810" s="5"/>
      <c r="B2810" s="2"/>
      <c r="F2810" s="3"/>
      <c r="G2810" s="2"/>
      <c r="H2810" s="1"/>
      <c r="J2810" s="2"/>
    </row>
    <row r="2811" spans="1:10" x14ac:dyDescent="0.25">
      <c r="A2811" s="5"/>
      <c r="B2811" s="2"/>
      <c r="F2811" s="3"/>
      <c r="G2811" s="2"/>
      <c r="H2811" s="1"/>
      <c r="J2811" s="2"/>
    </row>
    <row r="2812" spans="1:10" x14ac:dyDescent="0.25">
      <c r="A2812" s="5"/>
      <c r="B2812" s="2"/>
      <c r="F2812" s="3"/>
      <c r="G2812" s="2"/>
      <c r="H2812" s="1"/>
      <c r="J2812" s="2"/>
    </row>
    <row r="2813" spans="1:10" x14ac:dyDescent="0.25">
      <c r="A2813" s="5"/>
      <c r="B2813" s="2"/>
      <c r="F2813" s="3"/>
      <c r="G2813" s="2"/>
      <c r="H2813" s="1"/>
      <c r="J2813" s="2"/>
    </row>
    <row r="2814" spans="1:10" x14ac:dyDescent="0.25">
      <c r="A2814" s="5"/>
      <c r="B2814" s="2"/>
      <c r="F2814" s="3"/>
      <c r="G2814" s="2"/>
      <c r="H2814" s="1"/>
      <c r="J2814" s="2"/>
    </row>
    <row r="2815" spans="1:10" x14ac:dyDescent="0.25">
      <c r="A2815" s="5"/>
      <c r="B2815" s="2"/>
      <c r="F2815" s="3"/>
      <c r="G2815" s="2"/>
      <c r="H2815" s="1"/>
      <c r="J2815" s="2"/>
    </row>
    <row r="2816" spans="1:10" x14ac:dyDescent="0.25">
      <c r="A2816" s="5"/>
      <c r="B2816" s="2"/>
      <c r="F2816" s="3"/>
      <c r="G2816" s="2"/>
      <c r="H2816" s="1"/>
      <c r="J2816" s="2"/>
    </row>
    <row r="2817" spans="1:10" x14ac:dyDescent="0.25">
      <c r="A2817" s="5"/>
      <c r="B2817" s="2"/>
      <c r="F2817" s="3"/>
      <c r="G2817" s="2"/>
      <c r="H2817" s="1"/>
      <c r="J2817" s="2"/>
    </row>
    <row r="2818" spans="1:10" x14ac:dyDescent="0.25">
      <c r="A2818" s="5"/>
      <c r="B2818" s="2"/>
      <c r="F2818" s="3"/>
      <c r="G2818" s="2"/>
      <c r="H2818" s="1"/>
      <c r="J2818" s="2"/>
    </row>
    <row r="2819" spans="1:10" x14ac:dyDescent="0.25">
      <c r="A2819" s="5"/>
      <c r="B2819" s="2"/>
      <c r="F2819" s="3"/>
      <c r="G2819" s="2"/>
      <c r="H2819" s="1"/>
      <c r="J2819" s="2"/>
    </row>
    <row r="2820" spans="1:10" x14ac:dyDescent="0.25">
      <c r="A2820" s="5"/>
      <c r="B2820" s="2"/>
      <c r="F2820" s="3"/>
      <c r="G2820" s="2"/>
      <c r="H2820" s="1"/>
      <c r="J2820" s="2"/>
    </row>
    <row r="2821" spans="1:10" x14ac:dyDescent="0.25">
      <c r="A2821" s="5"/>
      <c r="B2821" s="2"/>
      <c r="F2821" s="3"/>
      <c r="G2821" s="2"/>
      <c r="H2821" s="1"/>
      <c r="J2821" s="2"/>
    </row>
    <row r="2822" spans="1:10" x14ac:dyDescent="0.25">
      <c r="A2822" s="5"/>
      <c r="B2822" s="2"/>
      <c r="F2822" s="3"/>
      <c r="G2822" s="2"/>
      <c r="H2822" s="1"/>
      <c r="J2822" s="2"/>
    </row>
    <row r="2823" spans="1:10" x14ac:dyDescent="0.25">
      <c r="A2823" s="5"/>
      <c r="B2823" s="2"/>
      <c r="F2823" s="3"/>
      <c r="G2823" s="2"/>
      <c r="H2823" s="1"/>
      <c r="J2823" s="2"/>
    </row>
    <row r="2824" spans="1:10" x14ac:dyDescent="0.25">
      <c r="A2824" s="5"/>
      <c r="B2824" s="2"/>
      <c r="F2824" s="3"/>
      <c r="G2824" s="2"/>
      <c r="H2824" s="1"/>
      <c r="J2824" s="2"/>
    </row>
    <row r="2825" spans="1:10" x14ac:dyDescent="0.25">
      <c r="A2825" s="5"/>
      <c r="B2825" s="2"/>
      <c r="F2825" s="3"/>
      <c r="G2825" s="2"/>
      <c r="H2825" s="1"/>
      <c r="J2825" s="2"/>
    </row>
    <row r="2826" spans="1:10" x14ac:dyDescent="0.25">
      <c r="A2826" s="5"/>
      <c r="B2826" s="2"/>
      <c r="F2826" s="3"/>
      <c r="G2826" s="2"/>
      <c r="H2826" s="1"/>
      <c r="J2826" s="2"/>
    </row>
    <row r="2827" spans="1:10" x14ac:dyDescent="0.25">
      <c r="A2827" s="5"/>
      <c r="B2827" s="2"/>
      <c r="F2827" s="3"/>
      <c r="G2827" s="2"/>
      <c r="H2827" s="1"/>
      <c r="J2827" s="2"/>
    </row>
    <row r="2828" spans="1:10" x14ac:dyDescent="0.25">
      <c r="A2828" s="5"/>
      <c r="B2828" s="2"/>
      <c r="F2828" s="3"/>
      <c r="G2828" s="2"/>
      <c r="H2828" s="1"/>
      <c r="J2828" s="2"/>
    </row>
    <row r="2829" spans="1:10" x14ac:dyDescent="0.25">
      <c r="A2829" s="5"/>
      <c r="B2829" s="2"/>
      <c r="F2829" s="3"/>
      <c r="G2829" s="2"/>
      <c r="H2829" s="1"/>
      <c r="J2829" s="2"/>
    </row>
    <row r="2830" spans="1:10" x14ac:dyDescent="0.25">
      <c r="A2830" s="5"/>
      <c r="B2830" s="2"/>
      <c r="F2830" s="3"/>
      <c r="G2830" s="2"/>
      <c r="H2830" s="1"/>
      <c r="J2830" s="2"/>
    </row>
    <row r="2831" spans="1:10" x14ac:dyDescent="0.25">
      <c r="A2831" s="5"/>
      <c r="B2831" s="2"/>
      <c r="F2831" s="3"/>
      <c r="G2831" s="2"/>
      <c r="H2831" s="1"/>
      <c r="J2831" s="2"/>
    </row>
    <row r="2832" spans="1:10" x14ac:dyDescent="0.25">
      <c r="A2832" s="5"/>
      <c r="B2832" s="2"/>
      <c r="F2832" s="3"/>
      <c r="G2832" s="2"/>
      <c r="H2832" s="1"/>
      <c r="J2832" s="2"/>
    </row>
    <row r="2833" spans="1:10" x14ac:dyDescent="0.25">
      <c r="A2833" s="5"/>
      <c r="B2833" s="2"/>
      <c r="F2833" s="3"/>
      <c r="G2833" s="2"/>
      <c r="H2833" s="1"/>
      <c r="J2833" s="2"/>
    </row>
    <row r="2834" spans="1:10" x14ac:dyDescent="0.25">
      <c r="A2834" s="5"/>
      <c r="B2834" s="2"/>
      <c r="F2834" s="3"/>
      <c r="G2834" s="2"/>
      <c r="H2834" s="1"/>
      <c r="J2834" s="2"/>
    </row>
    <row r="2835" spans="1:10" x14ac:dyDescent="0.25">
      <c r="A2835" s="5"/>
      <c r="B2835" s="2"/>
      <c r="F2835" s="3"/>
      <c r="G2835" s="2"/>
      <c r="H2835" s="1"/>
      <c r="J2835" s="2"/>
    </row>
    <row r="2836" spans="1:10" x14ac:dyDescent="0.25">
      <c r="A2836" s="5"/>
      <c r="B2836" s="2"/>
      <c r="F2836" s="3"/>
      <c r="G2836" s="2"/>
      <c r="H2836" s="1"/>
      <c r="J2836" s="2"/>
    </row>
    <row r="2837" spans="1:10" x14ac:dyDescent="0.25">
      <c r="A2837" s="5"/>
      <c r="B2837" s="2"/>
      <c r="F2837" s="3"/>
      <c r="G2837" s="2"/>
      <c r="H2837" s="1"/>
      <c r="J2837" s="2"/>
    </row>
    <row r="2838" spans="1:10" x14ac:dyDescent="0.25">
      <c r="A2838" s="5"/>
      <c r="B2838" s="2"/>
      <c r="F2838" s="3"/>
      <c r="G2838" s="2"/>
      <c r="H2838" s="1"/>
      <c r="J2838" s="2"/>
    </row>
    <row r="2839" spans="1:10" x14ac:dyDescent="0.25">
      <c r="A2839" s="5"/>
      <c r="B2839" s="2"/>
      <c r="F2839" s="3"/>
      <c r="G2839" s="2"/>
      <c r="H2839" s="1"/>
      <c r="J2839" s="2"/>
    </row>
    <row r="2840" spans="1:10" x14ac:dyDescent="0.25">
      <c r="A2840" s="5"/>
      <c r="B2840" s="2"/>
      <c r="F2840" s="3"/>
      <c r="G2840" s="2"/>
      <c r="H2840" s="1"/>
      <c r="J2840" s="2"/>
    </row>
    <row r="2841" spans="1:10" x14ac:dyDescent="0.25">
      <c r="A2841" s="5"/>
      <c r="B2841" s="2"/>
      <c r="F2841" s="3"/>
      <c r="G2841" s="2"/>
      <c r="H2841" s="1"/>
      <c r="J2841" s="2"/>
    </row>
    <row r="2842" spans="1:10" x14ac:dyDescent="0.25">
      <c r="A2842" s="5"/>
      <c r="B2842" s="2"/>
      <c r="F2842" s="3"/>
      <c r="G2842" s="2"/>
      <c r="H2842" s="1"/>
      <c r="J2842" s="2"/>
    </row>
    <row r="2843" spans="1:10" x14ac:dyDescent="0.25">
      <c r="A2843" s="5"/>
      <c r="B2843" s="2"/>
      <c r="F2843" s="3"/>
      <c r="G2843" s="2"/>
      <c r="H2843" s="1"/>
      <c r="J2843" s="2"/>
    </row>
    <row r="2844" spans="1:10" x14ac:dyDescent="0.25">
      <c r="A2844" s="5"/>
      <c r="B2844" s="2"/>
      <c r="F2844" s="3"/>
      <c r="G2844" s="2"/>
      <c r="H2844" s="1"/>
      <c r="J2844" s="2"/>
    </row>
    <row r="2845" spans="1:10" x14ac:dyDescent="0.25">
      <c r="A2845" s="5"/>
      <c r="B2845" s="2"/>
      <c r="F2845" s="3"/>
      <c r="G2845" s="2"/>
      <c r="H2845" s="1"/>
      <c r="J2845" s="2"/>
    </row>
    <row r="2846" spans="1:10" x14ac:dyDescent="0.25">
      <c r="A2846" s="5"/>
      <c r="B2846" s="2"/>
      <c r="F2846" s="3"/>
      <c r="G2846" s="2"/>
      <c r="H2846" s="1"/>
      <c r="J2846" s="2"/>
    </row>
    <row r="2847" spans="1:10" x14ac:dyDescent="0.25">
      <c r="A2847" s="5"/>
      <c r="B2847" s="2"/>
      <c r="F2847" s="3"/>
      <c r="G2847" s="2"/>
      <c r="H2847" s="1"/>
      <c r="J2847" s="2"/>
    </row>
    <row r="2848" spans="1:10" x14ac:dyDescent="0.25">
      <c r="A2848" s="5"/>
      <c r="B2848" s="2"/>
      <c r="F2848" s="3"/>
      <c r="G2848" s="2"/>
      <c r="H2848" s="1"/>
      <c r="J2848" s="2"/>
    </row>
    <row r="2849" spans="1:10" x14ac:dyDescent="0.25">
      <c r="A2849" s="5"/>
      <c r="B2849" s="2"/>
      <c r="F2849" s="3"/>
      <c r="G2849" s="2"/>
      <c r="H2849" s="1"/>
      <c r="J2849" s="2"/>
    </row>
    <row r="2850" spans="1:10" x14ac:dyDescent="0.25">
      <c r="A2850" s="5"/>
      <c r="B2850" s="2"/>
      <c r="F2850" s="3"/>
      <c r="G2850" s="2"/>
      <c r="H2850" s="1"/>
      <c r="J2850" s="2"/>
    </row>
    <row r="2851" spans="1:10" x14ac:dyDescent="0.25">
      <c r="A2851" s="5"/>
      <c r="B2851" s="2"/>
      <c r="F2851" s="3"/>
      <c r="G2851" s="2"/>
      <c r="H2851" s="1"/>
      <c r="J2851" s="2"/>
    </row>
    <row r="2852" spans="1:10" x14ac:dyDescent="0.25">
      <c r="A2852" s="5"/>
      <c r="B2852" s="2"/>
      <c r="F2852" s="3"/>
      <c r="G2852" s="2"/>
      <c r="H2852" s="1"/>
      <c r="J2852" s="2"/>
    </row>
    <row r="2853" spans="1:10" x14ac:dyDescent="0.25">
      <c r="A2853" s="5"/>
      <c r="B2853" s="2"/>
      <c r="F2853" s="3"/>
      <c r="G2853" s="2"/>
      <c r="H2853" s="1"/>
      <c r="J2853" s="2"/>
    </row>
    <row r="2854" spans="1:10" x14ac:dyDescent="0.25">
      <c r="A2854" s="5"/>
      <c r="B2854" s="2"/>
      <c r="F2854" s="3"/>
      <c r="G2854" s="2"/>
      <c r="H2854" s="1"/>
      <c r="J2854" s="2"/>
    </row>
    <row r="2855" spans="1:10" x14ac:dyDescent="0.25">
      <c r="A2855" s="5"/>
      <c r="B2855" s="2"/>
      <c r="F2855" s="3"/>
      <c r="G2855" s="2"/>
      <c r="H2855" s="1"/>
      <c r="J2855" s="2"/>
    </row>
    <row r="2856" spans="1:10" x14ac:dyDescent="0.25">
      <c r="A2856" s="5"/>
      <c r="B2856" s="2"/>
      <c r="F2856" s="3"/>
      <c r="G2856" s="2"/>
      <c r="H2856" s="1"/>
      <c r="J2856" s="2"/>
    </row>
    <row r="2857" spans="1:10" x14ac:dyDescent="0.25">
      <c r="A2857" s="5"/>
      <c r="B2857" s="2"/>
      <c r="F2857" s="3"/>
      <c r="G2857" s="2"/>
      <c r="H2857" s="1"/>
      <c r="J2857" s="2"/>
    </row>
    <row r="2858" spans="1:10" x14ac:dyDescent="0.25">
      <c r="A2858" s="5"/>
      <c r="B2858" s="2"/>
      <c r="F2858" s="3"/>
      <c r="G2858" s="2"/>
      <c r="H2858" s="1"/>
      <c r="J2858" s="2"/>
    </row>
    <row r="2859" spans="1:10" x14ac:dyDescent="0.25">
      <c r="A2859" s="5"/>
      <c r="B2859" s="2"/>
      <c r="F2859" s="3"/>
      <c r="G2859" s="2"/>
      <c r="H2859" s="1"/>
      <c r="J2859" s="2"/>
    </row>
    <row r="2860" spans="1:10" x14ac:dyDescent="0.25">
      <c r="A2860" s="5"/>
      <c r="B2860" s="2"/>
      <c r="F2860" s="3"/>
      <c r="G2860" s="2"/>
      <c r="H2860" s="1"/>
      <c r="J2860" s="2"/>
    </row>
    <row r="2861" spans="1:10" x14ac:dyDescent="0.25">
      <c r="A2861" s="5"/>
      <c r="B2861" s="2"/>
      <c r="F2861" s="3"/>
      <c r="G2861" s="2"/>
      <c r="H2861" s="1"/>
      <c r="J2861" s="2"/>
    </row>
    <row r="2862" spans="1:10" x14ac:dyDescent="0.25">
      <c r="A2862" s="5"/>
      <c r="B2862" s="2"/>
      <c r="F2862" s="3"/>
      <c r="G2862" s="2"/>
      <c r="H2862" s="1"/>
      <c r="J2862" s="2"/>
    </row>
    <row r="2863" spans="1:10" x14ac:dyDescent="0.25">
      <c r="A2863" s="5"/>
      <c r="B2863" s="2"/>
      <c r="F2863" s="3"/>
      <c r="G2863" s="2"/>
      <c r="H2863" s="1"/>
      <c r="J2863" s="2"/>
    </row>
    <row r="2864" spans="1:10" x14ac:dyDescent="0.25">
      <c r="A2864" s="5"/>
      <c r="B2864" s="2"/>
      <c r="F2864" s="3"/>
      <c r="G2864" s="2"/>
      <c r="H2864" s="1"/>
      <c r="J2864" s="2"/>
    </row>
    <row r="2865" spans="1:10" x14ac:dyDescent="0.25">
      <c r="A2865" s="5"/>
      <c r="B2865" s="2"/>
      <c r="F2865" s="3"/>
      <c r="G2865" s="2"/>
      <c r="H2865" s="1"/>
      <c r="J2865" s="2"/>
    </row>
    <row r="2866" spans="1:10" x14ac:dyDescent="0.25">
      <c r="A2866" s="5"/>
      <c r="B2866" s="2"/>
      <c r="F2866" s="3"/>
      <c r="G2866" s="2"/>
      <c r="H2866" s="1"/>
      <c r="J2866" s="2"/>
    </row>
    <row r="2867" spans="1:10" x14ac:dyDescent="0.25">
      <c r="A2867" s="5"/>
      <c r="B2867" s="2"/>
      <c r="F2867" s="3"/>
      <c r="G2867" s="2"/>
      <c r="H2867" s="1"/>
      <c r="J2867" s="2"/>
    </row>
    <row r="2868" spans="1:10" x14ac:dyDescent="0.25">
      <c r="A2868" s="5"/>
      <c r="B2868" s="2"/>
      <c r="F2868" s="3"/>
      <c r="G2868" s="2"/>
      <c r="H2868" s="1"/>
      <c r="J2868" s="2"/>
    </row>
    <row r="2869" spans="1:10" x14ac:dyDescent="0.25">
      <c r="A2869" s="5"/>
      <c r="B2869" s="2"/>
      <c r="F2869" s="3"/>
      <c r="G2869" s="2"/>
      <c r="H2869" s="1"/>
      <c r="J2869" s="2"/>
    </row>
    <row r="2870" spans="1:10" x14ac:dyDescent="0.25">
      <c r="A2870" s="5"/>
      <c r="B2870" s="2"/>
      <c r="F2870" s="3"/>
      <c r="G2870" s="2"/>
      <c r="H2870" s="1"/>
      <c r="J2870" s="2"/>
    </row>
    <row r="2871" spans="1:10" x14ac:dyDescent="0.25">
      <c r="A2871" s="5"/>
      <c r="B2871" s="2"/>
      <c r="F2871" s="3"/>
      <c r="G2871" s="2"/>
      <c r="H2871" s="1"/>
      <c r="J2871" s="2"/>
    </row>
    <row r="2872" spans="1:10" x14ac:dyDescent="0.25">
      <c r="A2872" s="5"/>
      <c r="B2872" s="2"/>
      <c r="F2872" s="3"/>
      <c r="G2872" s="2"/>
      <c r="H2872" s="1"/>
      <c r="J2872" s="2"/>
    </row>
    <row r="2873" spans="1:10" x14ac:dyDescent="0.25">
      <c r="A2873" s="5"/>
      <c r="B2873" s="2"/>
      <c r="F2873" s="3"/>
      <c r="G2873" s="2"/>
      <c r="H2873" s="1"/>
      <c r="J2873" s="2"/>
    </row>
    <row r="2874" spans="1:10" x14ac:dyDescent="0.25">
      <c r="A2874" s="5"/>
      <c r="B2874" s="2"/>
      <c r="F2874" s="3"/>
      <c r="G2874" s="2"/>
      <c r="H2874" s="1"/>
      <c r="J2874" s="2"/>
    </row>
    <row r="2875" spans="1:10" x14ac:dyDescent="0.25">
      <c r="A2875" s="5"/>
      <c r="B2875" s="2"/>
      <c r="F2875" s="3"/>
      <c r="G2875" s="2"/>
      <c r="H2875" s="1"/>
      <c r="J2875" s="2"/>
    </row>
    <row r="2876" spans="1:10" x14ac:dyDescent="0.25">
      <c r="A2876" s="5"/>
      <c r="B2876" s="2"/>
      <c r="F2876" s="3"/>
      <c r="G2876" s="2"/>
      <c r="H2876" s="1"/>
      <c r="J2876" s="2"/>
    </row>
    <row r="2877" spans="1:10" x14ac:dyDescent="0.25">
      <c r="A2877" s="5"/>
      <c r="B2877" s="2"/>
      <c r="F2877" s="3"/>
      <c r="G2877" s="2"/>
      <c r="H2877" s="1"/>
      <c r="J2877" s="2"/>
    </row>
    <row r="2878" spans="1:10" x14ac:dyDescent="0.25">
      <c r="A2878" s="5"/>
      <c r="B2878" s="2"/>
      <c r="F2878" s="3"/>
      <c r="G2878" s="2"/>
      <c r="H2878" s="1"/>
      <c r="J2878" s="2"/>
    </row>
    <row r="2879" spans="1:10" x14ac:dyDescent="0.25">
      <c r="A2879" s="5"/>
      <c r="B2879" s="2"/>
      <c r="F2879" s="3"/>
      <c r="G2879" s="2"/>
      <c r="H2879" s="1"/>
      <c r="J2879" s="2"/>
    </row>
    <row r="2880" spans="1:10" x14ac:dyDescent="0.25">
      <c r="A2880" s="5"/>
      <c r="B2880" s="2"/>
      <c r="F2880" s="3"/>
      <c r="G2880" s="2"/>
      <c r="H2880" s="1"/>
      <c r="J2880" s="2"/>
    </row>
    <row r="2881" spans="1:10" x14ac:dyDescent="0.25">
      <c r="A2881" s="5"/>
      <c r="B2881" s="2"/>
      <c r="F2881" s="3"/>
      <c r="G2881" s="2"/>
      <c r="H2881" s="1"/>
      <c r="J2881" s="2"/>
    </row>
    <row r="2882" spans="1:10" x14ac:dyDescent="0.25">
      <c r="A2882" s="5"/>
      <c r="B2882" s="2"/>
      <c r="F2882" s="3"/>
      <c r="G2882" s="2"/>
      <c r="H2882" s="1"/>
      <c r="J2882" s="2"/>
    </row>
    <row r="2883" spans="1:10" x14ac:dyDescent="0.25">
      <c r="A2883" s="5"/>
      <c r="B2883" s="2"/>
      <c r="F2883" s="3"/>
      <c r="G2883" s="2"/>
      <c r="H2883" s="1"/>
      <c r="J2883" s="2"/>
    </row>
    <row r="2884" spans="1:10" x14ac:dyDescent="0.25">
      <c r="A2884" s="5"/>
      <c r="B2884" s="2"/>
      <c r="F2884" s="3"/>
      <c r="G2884" s="2"/>
      <c r="H2884" s="1"/>
      <c r="J2884" s="2"/>
    </row>
    <row r="2885" spans="1:10" x14ac:dyDescent="0.25">
      <c r="A2885" s="5"/>
      <c r="B2885" s="2"/>
      <c r="F2885" s="3"/>
      <c r="G2885" s="2"/>
      <c r="H2885" s="1"/>
      <c r="J2885" s="2"/>
    </row>
    <row r="2886" spans="1:10" x14ac:dyDescent="0.25">
      <c r="A2886" s="5"/>
      <c r="B2886" s="2"/>
      <c r="F2886" s="3"/>
      <c r="G2886" s="2"/>
      <c r="H2886" s="1"/>
      <c r="J2886" s="2"/>
    </row>
    <row r="2887" spans="1:10" x14ac:dyDescent="0.25">
      <c r="A2887" s="5"/>
      <c r="B2887" s="2"/>
      <c r="F2887" s="3"/>
      <c r="G2887" s="2"/>
      <c r="H2887" s="1"/>
      <c r="J2887" s="2"/>
    </row>
    <row r="2888" spans="1:10" x14ac:dyDescent="0.25">
      <c r="A2888" s="5"/>
      <c r="B2888" s="2"/>
      <c r="F2888" s="3"/>
      <c r="G2888" s="2"/>
      <c r="H2888" s="1"/>
      <c r="J2888" s="2"/>
    </row>
    <row r="2889" spans="1:10" x14ac:dyDescent="0.25">
      <c r="A2889" s="5"/>
      <c r="B2889" s="2"/>
      <c r="F2889" s="3"/>
      <c r="G2889" s="2"/>
      <c r="H2889" s="1"/>
      <c r="J2889" s="2"/>
    </row>
    <row r="2890" spans="1:10" x14ac:dyDescent="0.25">
      <c r="A2890" s="5"/>
      <c r="B2890" s="2"/>
      <c r="F2890" s="3"/>
      <c r="G2890" s="2"/>
      <c r="H2890" s="1"/>
      <c r="J2890" s="2"/>
    </row>
    <row r="2891" spans="1:10" x14ac:dyDescent="0.25">
      <c r="A2891" s="5"/>
      <c r="B2891" s="2"/>
      <c r="F2891" s="3"/>
      <c r="G2891" s="2"/>
      <c r="H2891" s="1"/>
      <c r="J2891" s="2"/>
    </row>
    <row r="2892" spans="1:10" x14ac:dyDescent="0.25">
      <c r="A2892" s="5"/>
      <c r="B2892" s="2"/>
      <c r="F2892" s="3"/>
      <c r="G2892" s="2"/>
      <c r="H2892" s="1"/>
      <c r="J2892" s="2"/>
    </row>
    <row r="2893" spans="1:10" x14ac:dyDescent="0.25">
      <c r="A2893" s="5"/>
      <c r="B2893" s="2"/>
      <c r="F2893" s="3"/>
      <c r="G2893" s="2"/>
      <c r="H2893" s="1"/>
      <c r="J2893" s="2"/>
    </row>
    <row r="2894" spans="1:10" x14ac:dyDescent="0.25">
      <c r="A2894" s="5"/>
      <c r="B2894" s="2"/>
      <c r="F2894" s="3"/>
      <c r="G2894" s="2"/>
      <c r="H2894" s="1"/>
      <c r="J2894" s="2"/>
    </row>
    <row r="2895" spans="1:10" x14ac:dyDescent="0.25">
      <c r="A2895" s="5"/>
      <c r="B2895" s="2"/>
      <c r="F2895" s="3"/>
      <c r="G2895" s="2"/>
      <c r="H2895" s="1"/>
      <c r="J2895" s="2"/>
    </row>
    <row r="2896" spans="1:10" x14ac:dyDescent="0.25">
      <c r="A2896" s="5"/>
      <c r="B2896" s="2"/>
      <c r="F2896" s="3"/>
      <c r="G2896" s="2"/>
      <c r="H2896" s="1"/>
      <c r="J2896" s="2"/>
    </row>
    <row r="2897" spans="1:10" x14ac:dyDescent="0.25">
      <c r="A2897" s="5"/>
      <c r="B2897" s="2"/>
      <c r="F2897" s="3"/>
      <c r="G2897" s="2"/>
      <c r="H2897" s="1"/>
      <c r="J2897" s="2"/>
    </row>
    <row r="2898" spans="1:10" x14ac:dyDescent="0.25">
      <c r="A2898" s="5"/>
      <c r="B2898" s="2"/>
      <c r="F2898" s="3"/>
      <c r="G2898" s="2"/>
      <c r="H2898" s="1"/>
      <c r="J2898" s="2"/>
    </row>
    <row r="2899" spans="1:10" x14ac:dyDescent="0.25">
      <c r="A2899" s="5"/>
      <c r="B2899" s="2"/>
      <c r="F2899" s="3"/>
      <c r="G2899" s="2"/>
      <c r="H2899" s="1"/>
      <c r="J2899" s="2"/>
    </row>
    <row r="2900" spans="1:10" x14ac:dyDescent="0.25">
      <c r="A2900" s="5"/>
      <c r="B2900" s="2"/>
      <c r="F2900" s="3"/>
      <c r="G2900" s="2"/>
      <c r="H2900" s="1"/>
      <c r="J2900" s="2"/>
    </row>
    <row r="2901" spans="1:10" x14ac:dyDescent="0.25">
      <c r="A2901" s="5"/>
      <c r="B2901" s="2"/>
      <c r="F2901" s="3"/>
      <c r="G2901" s="2"/>
      <c r="H2901" s="1"/>
      <c r="J2901" s="2"/>
    </row>
    <row r="2902" spans="1:10" x14ac:dyDescent="0.25">
      <c r="A2902" s="5"/>
      <c r="B2902" s="2"/>
      <c r="F2902" s="3"/>
      <c r="G2902" s="2"/>
      <c r="H2902" s="1"/>
      <c r="J2902" s="2"/>
    </row>
    <row r="2903" spans="1:10" x14ac:dyDescent="0.25">
      <c r="A2903" s="5"/>
      <c r="B2903" s="2"/>
      <c r="F2903" s="3"/>
      <c r="G2903" s="2"/>
      <c r="H2903" s="1"/>
      <c r="J2903" s="2"/>
    </row>
    <row r="2904" spans="1:10" x14ac:dyDescent="0.25">
      <c r="A2904" s="5"/>
      <c r="B2904" s="2"/>
      <c r="F2904" s="3"/>
      <c r="G2904" s="2"/>
      <c r="H2904" s="1"/>
      <c r="J2904" s="2"/>
    </row>
    <row r="2905" spans="1:10" x14ac:dyDescent="0.25">
      <c r="A2905" s="5"/>
      <c r="B2905" s="2"/>
      <c r="F2905" s="3"/>
      <c r="G2905" s="2"/>
      <c r="H2905" s="1"/>
      <c r="J2905" s="2"/>
    </row>
    <row r="2906" spans="1:10" x14ac:dyDescent="0.25">
      <c r="A2906" s="5"/>
      <c r="B2906" s="2"/>
      <c r="F2906" s="3"/>
      <c r="G2906" s="2"/>
      <c r="H2906" s="1"/>
      <c r="J2906" s="2"/>
    </row>
    <row r="2907" spans="1:10" x14ac:dyDescent="0.25">
      <c r="A2907" s="5"/>
      <c r="B2907" s="2"/>
      <c r="F2907" s="3"/>
      <c r="G2907" s="2"/>
      <c r="H2907" s="1"/>
      <c r="J2907" s="2"/>
    </row>
    <row r="2908" spans="1:10" x14ac:dyDescent="0.25">
      <c r="A2908" s="5"/>
      <c r="B2908" s="2"/>
      <c r="F2908" s="3"/>
      <c r="G2908" s="2"/>
      <c r="H2908" s="1"/>
      <c r="J2908" s="2"/>
    </row>
    <row r="2909" spans="1:10" x14ac:dyDescent="0.25">
      <c r="A2909" s="5"/>
      <c r="B2909" s="2"/>
      <c r="F2909" s="3"/>
      <c r="G2909" s="2"/>
      <c r="H2909" s="1"/>
      <c r="J2909" s="2"/>
    </row>
    <row r="2910" spans="1:10" x14ac:dyDescent="0.25">
      <c r="A2910" s="5"/>
      <c r="B2910" s="2"/>
      <c r="F2910" s="3"/>
      <c r="G2910" s="2"/>
      <c r="H2910" s="1"/>
      <c r="J2910" s="2"/>
    </row>
    <row r="2911" spans="1:10" x14ac:dyDescent="0.25">
      <c r="A2911" s="5"/>
      <c r="B2911" s="2"/>
      <c r="F2911" s="3"/>
      <c r="G2911" s="2"/>
      <c r="H2911" s="1"/>
      <c r="J2911" s="2"/>
    </row>
    <row r="2912" spans="1:10" x14ac:dyDescent="0.25">
      <c r="A2912" s="5"/>
      <c r="B2912" s="2"/>
      <c r="F2912" s="3"/>
      <c r="G2912" s="2"/>
      <c r="H2912" s="1"/>
      <c r="J2912" s="2"/>
    </row>
    <row r="2913" spans="1:10" x14ac:dyDescent="0.25">
      <c r="A2913" s="5"/>
      <c r="B2913" s="2"/>
      <c r="F2913" s="3"/>
      <c r="G2913" s="2"/>
      <c r="H2913" s="1"/>
      <c r="J2913" s="2"/>
    </row>
    <row r="2914" spans="1:10" x14ac:dyDescent="0.25">
      <c r="A2914" s="5"/>
      <c r="B2914" s="2"/>
      <c r="F2914" s="3"/>
      <c r="G2914" s="2"/>
      <c r="H2914" s="1"/>
      <c r="J2914" s="2"/>
    </row>
    <row r="2915" spans="1:10" x14ac:dyDescent="0.25">
      <c r="A2915" s="5"/>
      <c r="B2915" s="2"/>
      <c r="F2915" s="3"/>
      <c r="G2915" s="2"/>
      <c r="H2915" s="1"/>
      <c r="J2915" s="2"/>
    </row>
    <row r="2916" spans="1:10" x14ac:dyDescent="0.25">
      <c r="A2916" s="5"/>
      <c r="B2916" s="2"/>
      <c r="F2916" s="3"/>
      <c r="G2916" s="2"/>
      <c r="H2916" s="1"/>
      <c r="J2916" s="2"/>
    </row>
    <row r="2917" spans="1:10" x14ac:dyDescent="0.25">
      <c r="A2917" s="5"/>
      <c r="B2917" s="2"/>
      <c r="F2917" s="3"/>
      <c r="G2917" s="2"/>
      <c r="H2917" s="1"/>
      <c r="J2917" s="2"/>
    </row>
    <row r="2918" spans="1:10" x14ac:dyDescent="0.25">
      <c r="A2918" s="5"/>
      <c r="B2918" s="2"/>
      <c r="F2918" s="3"/>
      <c r="G2918" s="2"/>
      <c r="H2918" s="1"/>
      <c r="J2918" s="2"/>
    </row>
    <row r="2919" spans="1:10" x14ac:dyDescent="0.25">
      <c r="A2919" s="5"/>
      <c r="B2919" s="2"/>
      <c r="F2919" s="3"/>
      <c r="G2919" s="2"/>
      <c r="H2919" s="1"/>
      <c r="J2919" s="2"/>
    </row>
    <row r="2920" spans="1:10" x14ac:dyDescent="0.25">
      <c r="A2920" s="5"/>
      <c r="B2920" s="2"/>
      <c r="F2920" s="3"/>
      <c r="G2920" s="2"/>
      <c r="H2920" s="1"/>
      <c r="J2920" s="2"/>
    </row>
    <row r="2921" spans="1:10" x14ac:dyDescent="0.25">
      <c r="A2921" s="5"/>
      <c r="B2921" s="2"/>
      <c r="F2921" s="3"/>
      <c r="G2921" s="2"/>
      <c r="H2921" s="1"/>
      <c r="J2921" s="2"/>
    </row>
    <row r="2922" spans="1:10" x14ac:dyDescent="0.25">
      <c r="A2922" s="5"/>
      <c r="B2922" s="2"/>
      <c r="F2922" s="3"/>
      <c r="G2922" s="2"/>
      <c r="H2922" s="1"/>
      <c r="J2922" s="2"/>
    </row>
    <row r="2923" spans="1:10" x14ac:dyDescent="0.25">
      <c r="A2923" s="5"/>
      <c r="B2923" s="2"/>
      <c r="F2923" s="3"/>
      <c r="G2923" s="2"/>
      <c r="H2923" s="1"/>
      <c r="J2923" s="2"/>
    </row>
    <row r="2924" spans="1:10" x14ac:dyDescent="0.25">
      <c r="A2924" s="5"/>
      <c r="B2924" s="2"/>
      <c r="F2924" s="3"/>
      <c r="G2924" s="2"/>
      <c r="H2924" s="1"/>
      <c r="J2924" s="2"/>
    </row>
    <row r="2925" spans="1:10" x14ac:dyDescent="0.25">
      <c r="A2925" s="5"/>
      <c r="B2925" s="2"/>
      <c r="F2925" s="3"/>
      <c r="G2925" s="2"/>
      <c r="H2925" s="1"/>
      <c r="J2925" s="2"/>
    </row>
    <row r="2926" spans="1:10" x14ac:dyDescent="0.25">
      <c r="A2926" s="5"/>
      <c r="B2926" s="2"/>
      <c r="F2926" s="3"/>
      <c r="G2926" s="2"/>
      <c r="H2926" s="1"/>
      <c r="J2926" s="2"/>
    </row>
    <row r="2927" spans="1:10" x14ac:dyDescent="0.25">
      <c r="A2927" s="5"/>
      <c r="B2927" s="2"/>
      <c r="F2927" s="3"/>
      <c r="G2927" s="2"/>
      <c r="H2927" s="1"/>
      <c r="J2927" s="2"/>
    </row>
    <row r="2928" spans="1:10" x14ac:dyDescent="0.25">
      <c r="A2928" s="5"/>
      <c r="B2928" s="2"/>
      <c r="F2928" s="3"/>
      <c r="G2928" s="2"/>
      <c r="H2928" s="1"/>
      <c r="J2928" s="2"/>
    </row>
    <row r="2929" spans="1:10" x14ac:dyDescent="0.25">
      <c r="A2929" s="5"/>
      <c r="B2929" s="2"/>
      <c r="F2929" s="3"/>
      <c r="G2929" s="2"/>
      <c r="H2929" s="1"/>
      <c r="J2929" s="2"/>
    </row>
    <row r="2930" spans="1:10" x14ac:dyDescent="0.25">
      <c r="A2930" s="5"/>
      <c r="B2930" s="2"/>
      <c r="F2930" s="3"/>
      <c r="G2930" s="2"/>
      <c r="H2930" s="1"/>
      <c r="J2930" s="2"/>
    </row>
    <row r="2931" spans="1:10" x14ac:dyDescent="0.25">
      <c r="A2931" s="5"/>
      <c r="B2931" s="2"/>
      <c r="F2931" s="3"/>
      <c r="G2931" s="2"/>
      <c r="H2931" s="1"/>
      <c r="J2931" s="2"/>
    </row>
    <row r="2932" spans="1:10" x14ac:dyDescent="0.25">
      <c r="A2932" s="5"/>
      <c r="B2932" s="2"/>
      <c r="F2932" s="3"/>
      <c r="G2932" s="2"/>
      <c r="H2932" s="1"/>
      <c r="J2932" s="2"/>
    </row>
    <row r="2933" spans="1:10" x14ac:dyDescent="0.25">
      <c r="A2933" s="5"/>
      <c r="B2933" s="2"/>
      <c r="F2933" s="3"/>
      <c r="G2933" s="2"/>
      <c r="H2933" s="1"/>
      <c r="J2933" s="2"/>
    </row>
    <row r="2934" spans="1:10" x14ac:dyDescent="0.25">
      <c r="A2934" s="5"/>
      <c r="B2934" s="2"/>
      <c r="F2934" s="3"/>
      <c r="G2934" s="2"/>
      <c r="H2934" s="1"/>
      <c r="J2934" s="2"/>
    </row>
    <row r="2935" spans="1:10" x14ac:dyDescent="0.25">
      <c r="A2935" s="5"/>
      <c r="B2935" s="2"/>
      <c r="F2935" s="3"/>
      <c r="G2935" s="2"/>
      <c r="H2935" s="1"/>
      <c r="J2935" s="2"/>
    </row>
    <row r="2936" spans="1:10" x14ac:dyDescent="0.25">
      <c r="A2936" s="5"/>
      <c r="B2936" s="2"/>
      <c r="F2936" s="3"/>
      <c r="G2936" s="2"/>
      <c r="H2936" s="1"/>
      <c r="J2936" s="2"/>
    </row>
    <row r="2937" spans="1:10" x14ac:dyDescent="0.25">
      <c r="A2937" s="5"/>
      <c r="B2937" s="2"/>
      <c r="F2937" s="3"/>
      <c r="G2937" s="2"/>
      <c r="H2937" s="1"/>
      <c r="J2937" s="2"/>
    </row>
    <row r="2938" spans="1:10" x14ac:dyDescent="0.25">
      <c r="A2938" s="5"/>
      <c r="B2938" s="2"/>
      <c r="F2938" s="3"/>
      <c r="G2938" s="2"/>
      <c r="H2938" s="1"/>
      <c r="J2938" s="2"/>
    </row>
    <row r="2939" spans="1:10" x14ac:dyDescent="0.25">
      <c r="A2939" s="5"/>
      <c r="B2939" s="2"/>
      <c r="F2939" s="3"/>
      <c r="G2939" s="2"/>
      <c r="H2939" s="1"/>
      <c r="J2939" s="2"/>
    </row>
    <row r="2940" spans="1:10" x14ac:dyDescent="0.25">
      <c r="A2940" s="5"/>
      <c r="B2940" s="2"/>
      <c r="F2940" s="3"/>
      <c r="G2940" s="2"/>
      <c r="H2940" s="1"/>
      <c r="J2940" s="2"/>
    </row>
    <row r="2941" spans="1:10" x14ac:dyDescent="0.25">
      <c r="A2941" s="5"/>
      <c r="B2941" s="2"/>
      <c r="F2941" s="3"/>
      <c r="G2941" s="2"/>
      <c r="H2941" s="1"/>
      <c r="J2941" s="2"/>
    </row>
    <row r="2942" spans="1:10" x14ac:dyDescent="0.25">
      <c r="A2942" s="5"/>
      <c r="B2942" s="2"/>
      <c r="F2942" s="3"/>
      <c r="G2942" s="2"/>
      <c r="H2942" s="1"/>
      <c r="J2942" s="2"/>
    </row>
    <row r="2943" spans="1:10" x14ac:dyDescent="0.25">
      <c r="A2943" s="5"/>
      <c r="B2943" s="2"/>
      <c r="F2943" s="3"/>
      <c r="G2943" s="2"/>
      <c r="H2943" s="1"/>
      <c r="J2943" s="2"/>
    </row>
    <row r="2944" spans="1:10" x14ac:dyDescent="0.25">
      <c r="A2944" s="5"/>
      <c r="B2944" s="2"/>
      <c r="F2944" s="3"/>
      <c r="G2944" s="2"/>
      <c r="H2944" s="1"/>
      <c r="J2944" s="2"/>
    </row>
    <row r="2945" spans="1:10" x14ac:dyDescent="0.25">
      <c r="A2945" s="5"/>
      <c r="B2945" s="2"/>
      <c r="F2945" s="3"/>
      <c r="G2945" s="2"/>
      <c r="H2945" s="1"/>
      <c r="J2945" s="2"/>
    </row>
    <row r="2946" spans="1:10" x14ac:dyDescent="0.25">
      <c r="A2946" s="5"/>
      <c r="B2946" s="2"/>
      <c r="F2946" s="3"/>
      <c r="G2946" s="2"/>
      <c r="H2946" s="1"/>
      <c r="J2946" s="2"/>
    </row>
    <row r="2947" spans="1:10" x14ac:dyDescent="0.25">
      <c r="A2947" s="5"/>
      <c r="B2947" s="2"/>
      <c r="F2947" s="3"/>
      <c r="G2947" s="2"/>
      <c r="H2947" s="1"/>
      <c r="J2947" s="2"/>
    </row>
    <row r="2948" spans="1:10" x14ac:dyDescent="0.25">
      <c r="A2948" s="5"/>
      <c r="B2948" s="2"/>
      <c r="F2948" s="3"/>
      <c r="G2948" s="2"/>
      <c r="H2948" s="1"/>
      <c r="J2948" s="2"/>
    </row>
    <row r="2949" spans="1:10" x14ac:dyDescent="0.25">
      <c r="A2949" s="5"/>
      <c r="B2949" s="2"/>
      <c r="F2949" s="3"/>
      <c r="G2949" s="2"/>
      <c r="H2949" s="1"/>
      <c r="J2949" s="2"/>
    </row>
    <row r="2950" spans="1:10" x14ac:dyDescent="0.25">
      <c r="A2950" s="5"/>
      <c r="B2950" s="2"/>
      <c r="F2950" s="3"/>
      <c r="G2950" s="2"/>
      <c r="H2950" s="1"/>
      <c r="J2950" s="2"/>
    </row>
    <row r="2951" spans="1:10" x14ac:dyDescent="0.25">
      <c r="A2951" s="5"/>
      <c r="B2951" s="2"/>
      <c r="F2951" s="3"/>
      <c r="G2951" s="2"/>
      <c r="H2951" s="1"/>
      <c r="J2951" s="2"/>
    </row>
    <row r="2952" spans="1:10" x14ac:dyDescent="0.25">
      <c r="A2952" s="5"/>
      <c r="B2952" s="2"/>
      <c r="F2952" s="3"/>
      <c r="G2952" s="2"/>
      <c r="H2952" s="1"/>
      <c r="J2952" s="2"/>
    </row>
    <row r="2953" spans="1:10" x14ac:dyDescent="0.25">
      <c r="A2953" s="5"/>
      <c r="B2953" s="2"/>
      <c r="F2953" s="3"/>
      <c r="G2953" s="2"/>
      <c r="H2953" s="1"/>
      <c r="J2953" s="2"/>
    </row>
    <row r="2954" spans="1:10" x14ac:dyDescent="0.25">
      <c r="A2954" s="5"/>
      <c r="B2954" s="2"/>
      <c r="F2954" s="3"/>
      <c r="G2954" s="2"/>
      <c r="H2954" s="1"/>
      <c r="J2954" s="2"/>
    </row>
    <row r="2955" spans="1:10" x14ac:dyDescent="0.25">
      <c r="A2955" s="5"/>
      <c r="B2955" s="2"/>
      <c r="F2955" s="3"/>
      <c r="G2955" s="2"/>
      <c r="H2955" s="1"/>
      <c r="J2955" s="2"/>
    </row>
    <row r="2956" spans="1:10" x14ac:dyDescent="0.25">
      <c r="A2956" s="5"/>
      <c r="B2956" s="2"/>
      <c r="F2956" s="3"/>
      <c r="G2956" s="2"/>
      <c r="H2956" s="1"/>
      <c r="J2956" s="2"/>
    </row>
    <row r="2957" spans="1:10" x14ac:dyDescent="0.25">
      <c r="A2957" s="5"/>
      <c r="B2957" s="2"/>
      <c r="F2957" s="3"/>
      <c r="G2957" s="2"/>
      <c r="H2957" s="1"/>
      <c r="J2957" s="2"/>
    </row>
    <row r="2958" spans="1:10" x14ac:dyDescent="0.25">
      <c r="A2958" s="5"/>
      <c r="B2958" s="2"/>
      <c r="F2958" s="3"/>
      <c r="G2958" s="2"/>
      <c r="H2958" s="1"/>
      <c r="J2958" s="2"/>
    </row>
    <row r="2959" spans="1:10" x14ac:dyDescent="0.25">
      <c r="A2959" s="5"/>
      <c r="B2959" s="2"/>
      <c r="F2959" s="3"/>
      <c r="G2959" s="2"/>
      <c r="H2959" s="1"/>
      <c r="J2959" s="2"/>
    </row>
    <row r="2960" spans="1:10" x14ac:dyDescent="0.25">
      <c r="A2960" s="5"/>
      <c r="B2960" s="2"/>
      <c r="F2960" s="3"/>
      <c r="G2960" s="2"/>
      <c r="H2960" s="1"/>
      <c r="J2960" s="2"/>
    </row>
    <row r="2961" spans="1:10" x14ac:dyDescent="0.25">
      <c r="A2961" s="5"/>
      <c r="B2961" s="2"/>
      <c r="F2961" s="3"/>
      <c r="G2961" s="2"/>
      <c r="H2961" s="1"/>
      <c r="J2961" s="2"/>
    </row>
    <row r="2962" spans="1:10" x14ac:dyDescent="0.25">
      <c r="A2962" s="5"/>
      <c r="B2962" s="2"/>
      <c r="F2962" s="3"/>
      <c r="G2962" s="2"/>
      <c r="H2962" s="1"/>
      <c r="J2962" s="2"/>
    </row>
    <row r="2963" spans="1:10" x14ac:dyDescent="0.25">
      <c r="A2963" s="5"/>
      <c r="B2963" s="2"/>
      <c r="F2963" s="3"/>
      <c r="G2963" s="2"/>
      <c r="H2963" s="1"/>
      <c r="J2963" s="2"/>
    </row>
    <row r="2964" spans="1:10" x14ac:dyDescent="0.25">
      <c r="A2964" s="5"/>
      <c r="B2964" s="2"/>
      <c r="F2964" s="3"/>
      <c r="G2964" s="2"/>
      <c r="H2964" s="1"/>
      <c r="J2964" s="2"/>
    </row>
    <row r="2965" spans="1:10" x14ac:dyDescent="0.25">
      <c r="A2965" s="5"/>
      <c r="B2965" s="2"/>
      <c r="F2965" s="3"/>
      <c r="G2965" s="2"/>
      <c r="H2965" s="1"/>
      <c r="J2965" s="2"/>
    </row>
    <row r="2966" spans="1:10" x14ac:dyDescent="0.25">
      <c r="A2966" s="5"/>
      <c r="B2966" s="2"/>
      <c r="F2966" s="3"/>
      <c r="G2966" s="2"/>
      <c r="H2966" s="1"/>
      <c r="J2966" s="2"/>
    </row>
    <row r="2967" spans="1:10" x14ac:dyDescent="0.25">
      <c r="A2967" s="5"/>
      <c r="B2967" s="2"/>
      <c r="F2967" s="3"/>
      <c r="G2967" s="2"/>
      <c r="H2967" s="1"/>
      <c r="J2967" s="2"/>
    </row>
    <row r="2968" spans="1:10" x14ac:dyDescent="0.25">
      <c r="A2968" s="5"/>
      <c r="B2968" s="2"/>
      <c r="F2968" s="3"/>
      <c r="G2968" s="2"/>
      <c r="H2968" s="1"/>
      <c r="J2968" s="2"/>
    </row>
    <row r="2969" spans="1:10" x14ac:dyDescent="0.25">
      <c r="A2969" s="5"/>
      <c r="B2969" s="2"/>
      <c r="F2969" s="3"/>
      <c r="G2969" s="2"/>
      <c r="H2969" s="1"/>
      <c r="J2969" s="2"/>
    </row>
    <row r="2970" spans="1:10" x14ac:dyDescent="0.25">
      <c r="A2970" s="5"/>
      <c r="B2970" s="2"/>
      <c r="F2970" s="3"/>
      <c r="G2970" s="2"/>
      <c r="H2970" s="1"/>
      <c r="J2970" s="2"/>
    </row>
    <row r="2971" spans="1:10" x14ac:dyDescent="0.25">
      <c r="A2971" s="5"/>
      <c r="B2971" s="2"/>
      <c r="F2971" s="3"/>
      <c r="G2971" s="2"/>
      <c r="H2971" s="1"/>
      <c r="J2971" s="2"/>
    </row>
    <row r="2972" spans="1:10" x14ac:dyDescent="0.25">
      <c r="A2972" s="5"/>
      <c r="B2972" s="2"/>
      <c r="F2972" s="3"/>
      <c r="G2972" s="2"/>
      <c r="H2972" s="1"/>
      <c r="J2972" s="2"/>
    </row>
    <row r="2973" spans="1:10" x14ac:dyDescent="0.25">
      <c r="A2973" s="5"/>
      <c r="B2973" s="2"/>
      <c r="F2973" s="3"/>
      <c r="G2973" s="2"/>
      <c r="H2973" s="1"/>
      <c r="J2973" s="2"/>
    </row>
    <row r="2974" spans="1:10" x14ac:dyDescent="0.25">
      <c r="A2974" s="5"/>
      <c r="B2974" s="2"/>
      <c r="F2974" s="3"/>
      <c r="G2974" s="2"/>
      <c r="H2974" s="1"/>
      <c r="J2974" s="2"/>
    </row>
    <row r="2975" spans="1:10" x14ac:dyDescent="0.25">
      <c r="A2975" s="5"/>
      <c r="B2975" s="2"/>
      <c r="F2975" s="3"/>
      <c r="G2975" s="2"/>
      <c r="H2975" s="1"/>
      <c r="J2975" s="2"/>
    </row>
    <row r="2976" spans="1:10" x14ac:dyDescent="0.25">
      <c r="A2976" s="5"/>
      <c r="B2976" s="2"/>
      <c r="F2976" s="3"/>
      <c r="G2976" s="2"/>
      <c r="H2976" s="1"/>
      <c r="J2976" s="2"/>
    </row>
    <row r="2977" spans="1:10" x14ac:dyDescent="0.25">
      <c r="A2977" s="5"/>
      <c r="B2977" s="2"/>
      <c r="F2977" s="3"/>
      <c r="G2977" s="2"/>
      <c r="H2977" s="1"/>
      <c r="J2977" s="2"/>
    </row>
    <row r="2978" spans="1:10" x14ac:dyDescent="0.25">
      <c r="A2978" s="5"/>
      <c r="B2978" s="2"/>
      <c r="F2978" s="3"/>
      <c r="G2978" s="2"/>
      <c r="H2978" s="1"/>
      <c r="J2978" s="2"/>
    </row>
    <row r="2979" spans="1:10" x14ac:dyDescent="0.25">
      <c r="A2979" s="5"/>
      <c r="B2979" s="2"/>
      <c r="F2979" s="3"/>
      <c r="G2979" s="2"/>
      <c r="H2979" s="1"/>
      <c r="J2979" s="2"/>
    </row>
    <row r="2980" spans="1:10" x14ac:dyDescent="0.25">
      <c r="A2980" s="5"/>
      <c r="B2980" s="2"/>
      <c r="F2980" s="3"/>
      <c r="G2980" s="2"/>
      <c r="H2980" s="1"/>
      <c r="J2980" s="2"/>
    </row>
    <row r="2981" spans="1:10" x14ac:dyDescent="0.25">
      <c r="A2981" s="5"/>
      <c r="B2981" s="2"/>
      <c r="F2981" s="3"/>
      <c r="G2981" s="2"/>
      <c r="H2981" s="1"/>
      <c r="J2981" s="2"/>
    </row>
    <row r="2982" spans="1:10" x14ac:dyDescent="0.25">
      <c r="A2982" s="5"/>
      <c r="B2982" s="2"/>
      <c r="F2982" s="3"/>
      <c r="G2982" s="2"/>
      <c r="H2982" s="1"/>
      <c r="J2982" s="2"/>
    </row>
    <row r="2983" spans="1:10" x14ac:dyDescent="0.25">
      <c r="A2983" s="5"/>
      <c r="B2983" s="2"/>
      <c r="F2983" s="3"/>
      <c r="G2983" s="2"/>
      <c r="H2983" s="1"/>
      <c r="J2983" s="2"/>
    </row>
    <row r="2984" spans="1:10" x14ac:dyDescent="0.25">
      <c r="A2984" s="5"/>
      <c r="B2984" s="2"/>
      <c r="F2984" s="3"/>
      <c r="G2984" s="2"/>
      <c r="H2984" s="1"/>
      <c r="J2984" s="2"/>
    </row>
    <row r="2985" spans="1:10" x14ac:dyDescent="0.25">
      <c r="A2985" s="5"/>
      <c r="B2985" s="2"/>
      <c r="F2985" s="3"/>
      <c r="G2985" s="2"/>
      <c r="H2985" s="1"/>
      <c r="J2985" s="2"/>
    </row>
    <row r="2986" spans="1:10" x14ac:dyDescent="0.25">
      <c r="A2986" s="5"/>
      <c r="B2986" s="2"/>
      <c r="F2986" s="3"/>
      <c r="G2986" s="2"/>
      <c r="H2986" s="1"/>
      <c r="J2986" s="2"/>
    </row>
    <row r="2987" spans="1:10" x14ac:dyDescent="0.25">
      <c r="A2987" s="5"/>
      <c r="B2987" s="2"/>
      <c r="F2987" s="3"/>
      <c r="G2987" s="2"/>
      <c r="H2987" s="1"/>
      <c r="J2987" s="2"/>
    </row>
    <row r="2988" spans="1:10" x14ac:dyDescent="0.25">
      <c r="A2988" s="5"/>
      <c r="B2988" s="2"/>
      <c r="F2988" s="3"/>
      <c r="G2988" s="2"/>
      <c r="H2988" s="1"/>
      <c r="J2988" s="2"/>
    </row>
    <row r="2989" spans="1:10" x14ac:dyDescent="0.25">
      <c r="A2989" s="5"/>
      <c r="B2989" s="2"/>
      <c r="F2989" s="3"/>
      <c r="G2989" s="2"/>
      <c r="H2989" s="1"/>
      <c r="J2989" s="2"/>
    </row>
    <row r="2990" spans="1:10" x14ac:dyDescent="0.25">
      <c r="A2990" s="5"/>
      <c r="B2990" s="2"/>
      <c r="F2990" s="3"/>
      <c r="G2990" s="2"/>
      <c r="H2990" s="1"/>
      <c r="J2990" s="2"/>
    </row>
    <row r="2991" spans="1:10" x14ac:dyDescent="0.25">
      <c r="A2991" s="5"/>
      <c r="B2991" s="2"/>
      <c r="F2991" s="3"/>
      <c r="G2991" s="2"/>
      <c r="H2991" s="1"/>
      <c r="J2991" s="2"/>
    </row>
    <row r="2992" spans="1:10" x14ac:dyDescent="0.25">
      <c r="A2992" s="5"/>
      <c r="B2992" s="2"/>
      <c r="F2992" s="3"/>
      <c r="G2992" s="2"/>
      <c r="H2992" s="1"/>
      <c r="J2992" s="2"/>
    </row>
    <row r="2993" spans="1:10" x14ac:dyDescent="0.25">
      <c r="A2993" s="5"/>
      <c r="B2993" s="2"/>
      <c r="F2993" s="3"/>
      <c r="G2993" s="2"/>
      <c r="H2993" s="1"/>
      <c r="J2993" s="2"/>
    </row>
    <row r="2994" spans="1:10" x14ac:dyDescent="0.25">
      <c r="A2994" s="5"/>
      <c r="B2994" s="2"/>
      <c r="F2994" s="3"/>
      <c r="G2994" s="2"/>
      <c r="H2994" s="1"/>
      <c r="J2994" s="2"/>
    </row>
    <row r="2995" spans="1:10" x14ac:dyDescent="0.25">
      <c r="A2995" s="5"/>
      <c r="B2995" s="2"/>
      <c r="F2995" s="3"/>
      <c r="G2995" s="2"/>
      <c r="H2995" s="1"/>
      <c r="J2995" s="2"/>
    </row>
    <row r="2996" spans="1:10" x14ac:dyDescent="0.25">
      <c r="A2996" s="5"/>
      <c r="B2996" s="2"/>
      <c r="F2996" s="3"/>
      <c r="G2996" s="2"/>
      <c r="H2996" s="1"/>
      <c r="J2996" s="2"/>
    </row>
    <row r="2997" spans="1:10" x14ac:dyDescent="0.25">
      <c r="A2997" s="5"/>
      <c r="B2997" s="2"/>
      <c r="F2997" s="3"/>
      <c r="G2997" s="2"/>
      <c r="H2997" s="1"/>
      <c r="J2997" s="2"/>
    </row>
    <row r="2998" spans="1:10" x14ac:dyDescent="0.25">
      <c r="A2998" s="5"/>
      <c r="B2998" s="2"/>
      <c r="F2998" s="3"/>
      <c r="G2998" s="2"/>
      <c r="H2998" s="1"/>
      <c r="J2998" s="2"/>
    </row>
    <row r="2999" spans="1:10" x14ac:dyDescent="0.25">
      <c r="A2999" s="5"/>
      <c r="B2999" s="2"/>
      <c r="F2999" s="3"/>
      <c r="G2999" s="2"/>
      <c r="H2999" s="1"/>
      <c r="J2999" s="2"/>
    </row>
    <row r="3000" spans="1:10" x14ac:dyDescent="0.25">
      <c r="A3000" s="5"/>
      <c r="B3000" s="2"/>
      <c r="F3000" s="3"/>
      <c r="G3000" s="2"/>
      <c r="H3000" s="1"/>
      <c r="J3000" s="2"/>
    </row>
    <row r="3001" spans="1:10" x14ac:dyDescent="0.25">
      <c r="A3001" s="5"/>
      <c r="B3001" s="2"/>
      <c r="F3001" s="3"/>
      <c r="G3001" s="2"/>
      <c r="H3001" s="1"/>
      <c r="J3001" s="2"/>
    </row>
    <row r="3002" spans="1:10" x14ac:dyDescent="0.25">
      <c r="A3002" s="5"/>
      <c r="B3002" s="2"/>
      <c r="F3002" s="3"/>
      <c r="G3002" s="2"/>
      <c r="H3002" s="1"/>
      <c r="J3002" s="2"/>
    </row>
    <row r="3003" spans="1:10" x14ac:dyDescent="0.25">
      <c r="A3003" s="5"/>
      <c r="B3003" s="2"/>
      <c r="F3003" s="3"/>
      <c r="G3003" s="2"/>
      <c r="H3003" s="1"/>
      <c r="J3003" s="2"/>
    </row>
    <row r="3004" spans="1:10" x14ac:dyDescent="0.25">
      <c r="A3004" s="5"/>
      <c r="B3004" s="2"/>
      <c r="F3004" s="3"/>
      <c r="G3004" s="2"/>
      <c r="H3004" s="1"/>
      <c r="J3004" s="2"/>
    </row>
    <row r="3005" spans="1:10" x14ac:dyDescent="0.25">
      <c r="A3005" s="5"/>
      <c r="B3005" s="2"/>
      <c r="F3005" s="3"/>
      <c r="G3005" s="2"/>
      <c r="H3005" s="1"/>
      <c r="J3005" s="2"/>
    </row>
    <row r="3006" spans="1:10" x14ac:dyDescent="0.25">
      <c r="A3006" s="5"/>
      <c r="B3006" s="2"/>
      <c r="F3006" s="3"/>
      <c r="G3006" s="2"/>
      <c r="H3006" s="1"/>
      <c r="J3006" s="2"/>
    </row>
    <row r="3007" spans="1:10" x14ac:dyDescent="0.25">
      <c r="A3007" s="5"/>
      <c r="B3007" s="2"/>
      <c r="F3007" s="3"/>
      <c r="G3007" s="2"/>
      <c r="H3007" s="1"/>
      <c r="J3007" s="2"/>
    </row>
    <row r="3008" spans="1:10" x14ac:dyDescent="0.25">
      <c r="A3008" s="5"/>
      <c r="B3008" s="2"/>
      <c r="F3008" s="3"/>
      <c r="G3008" s="2"/>
      <c r="H3008" s="1"/>
      <c r="J3008" s="2"/>
    </row>
    <row r="3009" spans="1:10" x14ac:dyDescent="0.25">
      <c r="A3009" s="5"/>
      <c r="B3009" s="2"/>
      <c r="F3009" s="3"/>
      <c r="G3009" s="2"/>
      <c r="H3009" s="1"/>
      <c r="J3009" s="2"/>
    </row>
    <row r="3010" spans="1:10" x14ac:dyDescent="0.25">
      <c r="A3010" s="5"/>
      <c r="B3010" s="2"/>
      <c r="F3010" s="3"/>
      <c r="G3010" s="2"/>
      <c r="H3010" s="1"/>
      <c r="J3010" s="2"/>
    </row>
    <row r="3011" spans="1:10" x14ac:dyDescent="0.25">
      <c r="A3011" s="5"/>
      <c r="B3011" s="2"/>
      <c r="F3011" s="3"/>
      <c r="G3011" s="2"/>
      <c r="H3011" s="1"/>
      <c r="J3011" s="2"/>
    </row>
    <row r="3012" spans="1:10" x14ac:dyDescent="0.25">
      <c r="A3012" s="5"/>
      <c r="B3012" s="2"/>
      <c r="F3012" s="3"/>
      <c r="G3012" s="2"/>
      <c r="H3012" s="1"/>
      <c r="J3012" s="2"/>
    </row>
    <row r="3013" spans="1:10" x14ac:dyDescent="0.25">
      <c r="A3013" s="5"/>
      <c r="B3013" s="2"/>
      <c r="F3013" s="3"/>
      <c r="G3013" s="2"/>
      <c r="H3013" s="1"/>
      <c r="J3013" s="2"/>
    </row>
    <row r="3014" spans="1:10" x14ac:dyDescent="0.25">
      <c r="A3014" s="5"/>
      <c r="B3014" s="2"/>
      <c r="F3014" s="3"/>
      <c r="G3014" s="2"/>
      <c r="H3014" s="1"/>
      <c r="J3014" s="2"/>
    </row>
    <row r="3015" spans="1:10" x14ac:dyDescent="0.25">
      <c r="A3015" s="5"/>
      <c r="B3015" s="2"/>
      <c r="F3015" s="3"/>
      <c r="G3015" s="2"/>
      <c r="H3015" s="1"/>
      <c r="J3015" s="2"/>
    </row>
    <row r="3016" spans="1:10" x14ac:dyDescent="0.25">
      <c r="A3016" s="5"/>
      <c r="B3016" s="2"/>
      <c r="F3016" s="3"/>
      <c r="G3016" s="2"/>
      <c r="H3016" s="1"/>
      <c r="J3016" s="2"/>
    </row>
    <row r="3017" spans="1:10" x14ac:dyDescent="0.25">
      <c r="A3017" s="5"/>
      <c r="B3017" s="2"/>
      <c r="F3017" s="3"/>
      <c r="G3017" s="2"/>
      <c r="H3017" s="1"/>
      <c r="J3017" s="2"/>
    </row>
    <row r="3018" spans="1:10" x14ac:dyDescent="0.25">
      <c r="A3018" s="5"/>
      <c r="B3018" s="2"/>
      <c r="F3018" s="3"/>
      <c r="G3018" s="2"/>
      <c r="H3018" s="1"/>
      <c r="J3018" s="2"/>
    </row>
    <row r="3019" spans="1:10" x14ac:dyDescent="0.25">
      <c r="A3019" s="5"/>
      <c r="B3019" s="2"/>
      <c r="F3019" s="3"/>
      <c r="G3019" s="2"/>
      <c r="H3019" s="1"/>
      <c r="J3019" s="2"/>
    </row>
    <row r="3020" spans="1:10" x14ac:dyDescent="0.25">
      <c r="A3020" s="5"/>
      <c r="B3020" s="2"/>
      <c r="F3020" s="3"/>
      <c r="G3020" s="2"/>
      <c r="H3020" s="1"/>
      <c r="J3020" s="2"/>
    </row>
    <row r="3021" spans="1:10" x14ac:dyDescent="0.25">
      <c r="A3021" s="5"/>
      <c r="B3021" s="2"/>
      <c r="F3021" s="3"/>
      <c r="G3021" s="2"/>
      <c r="H3021" s="1"/>
      <c r="J3021" s="2"/>
    </row>
    <row r="3022" spans="1:10" x14ac:dyDescent="0.25">
      <c r="A3022" s="5"/>
      <c r="B3022" s="2"/>
      <c r="F3022" s="3"/>
      <c r="G3022" s="2"/>
      <c r="H3022" s="1"/>
      <c r="J3022" s="2"/>
    </row>
    <row r="3023" spans="1:10" x14ac:dyDescent="0.25">
      <c r="A3023" s="5"/>
      <c r="B3023" s="2"/>
      <c r="F3023" s="3"/>
      <c r="G3023" s="2"/>
      <c r="H3023" s="1"/>
      <c r="J3023" s="2"/>
    </row>
    <row r="3024" spans="1:10" x14ac:dyDescent="0.25">
      <c r="A3024" s="5"/>
      <c r="B3024" s="2"/>
      <c r="F3024" s="3"/>
      <c r="G3024" s="2"/>
      <c r="H3024" s="1"/>
      <c r="J3024" s="2"/>
    </row>
    <row r="3025" spans="1:10" x14ac:dyDescent="0.25">
      <c r="A3025" s="5"/>
      <c r="B3025" s="2"/>
      <c r="F3025" s="3"/>
      <c r="G3025" s="2"/>
      <c r="H3025" s="1"/>
      <c r="J3025" s="2"/>
    </row>
    <row r="3026" spans="1:10" x14ac:dyDescent="0.25">
      <c r="A3026" s="5"/>
      <c r="B3026" s="2"/>
      <c r="F3026" s="3"/>
      <c r="G3026" s="2"/>
      <c r="H3026" s="1"/>
      <c r="J3026" s="2"/>
    </row>
    <row r="3027" spans="1:10" x14ac:dyDescent="0.25">
      <c r="A3027" s="5"/>
      <c r="B3027" s="2"/>
      <c r="F3027" s="3"/>
      <c r="G3027" s="2"/>
      <c r="H3027" s="1"/>
      <c r="J3027" s="2"/>
    </row>
    <row r="3028" spans="1:10" x14ac:dyDescent="0.25">
      <c r="A3028" s="5"/>
      <c r="B3028" s="2"/>
      <c r="F3028" s="3"/>
      <c r="G3028" s="2"/>
      <c r="H3028" s="1"/>
      <c r="J3028" s="2"/>
    </row>
    <row r="3029" spans="1:10" x14ac:dyDescent="0.25">
      <c r="A3029" s="5"/>
      <c r="B3029" s="2"/>
      <c r="F3029" s="3"/>
      <c r="G3029" s="2"/>
      <c r="H3029" s="1"/>
      <c r="J3029" s="2"/>
    </row>
    <row r="3030" spans="1:10" x14ac:dyDescent="0.25">
      <c r="A3030" s="5"/>
      <c r="B3030" s="2"/>
      <c r="F3030" s="3"/>
      <c r="G3030" s="2"/>
      <c r="H3030" s="1"/>
      <c r="J3030" s="2"/>
    </row>
    <row r="3031" spans="1:10" x14ac:dyDescent="0.25">
      <c r="A3031" s="5"/>
      <c r="B3031" s="2"/>
      <c r="F3031" s="3"/>
      <c r="G3031" s="2"/>
      <c r="H3031" s="1"/>
      <c r="J3031" s="2"/>
    </row>
    <row r="3032" spans="1:10" x14ac:dyDescent="0.25">
      <c r="A3032" s="5"/>
      <c r="B3032" s="2"/>
      <c r="F3032" s="3"/>
      <c r="G3032" s="2"/>
      <c r="H3032" s="1"/>
      <c r="J3032" s="2"/>
    </row>
    <row r="3033" spans="1:10" x14ac:dyDescent="0.25">
      <c r="A3033" s="5"/>
      <c r="B3033" s="2"/>
      <c r="F3033" s="3"/>
      <c r="G3033" s="2"/>
      <c r="H3033" s="1"/>
      <c r="J3033" s="2"/>
    </row>
    <row r="3034" spans="1:10" x14ac:dyDescent="0.25">
      <c r="A3034" s="5"/>
      <c r="B3034" s="2"/>
      <c r="F3034" s="3"/>
      <c r="G3034" s="2"/>
      <c r="H3034" s="1"/>
      <c r="J3034" s="2"/>
    </row>
    <row r="3035" spans="1:10" x14ac:dyDescent="0.25">
      <c r="A3035" s="5"/>
      <c r="B3035" s="2"/>
      <c r="F3035" s="3"/>
      <c r="G3035" s="2"/>
      <c r="H3035" s="1"/>
      <c r="J3035" s="2"/>
    </row>
    <row r="3036" spans="1:10" x14ac:dyDescent="0.25">
      <c r="A3036" s="5"/>
      <c r="B3036" s="2"/>
      <c r="F3036" s="3"/>
      <c r="G3036" s="2"/>
      <c r="H3036" s="1"/>
      <c r="J3036" s="2"/>
    </row>
    <row r="3037" spans="1:10" x14ac:dyDescent="0.25">
      <c r="A3037" s="5"/>
      <c r="B3037" s="2"/>
      <c r="F3037" s="3"/>
      <c r="G3037" s="2"/>
      <c r="H3037" s="1"/>
      <c r="J3037" s="2"/>
    </row>
    <row r="3038" spans="1:10" x14ac:dyDescent="0.25">
      <c r="A3038" s="5"/>
      <c r="B3038" s="2"/>
      <c r="F3038" s="3"/>
      <c r="G3038" s="2"/>
      <c r="H3038" s="1"/>
      <c r="J3038" s="2"/>
    </row>
    <row r="3039" spans="1:10" x14ac:dyDescent="0.25">
      <c r="A3039" s="5"/>
      <c r="B3039" s="2"/>
      <c r="F3039" s="3"/>
      <c r="G3039" s="2"/>
      <c r="H3039" s="1"/>
      <c r="J3039" s="2"/>
    </row>
    <row r="3040" spans="1:10" x14ac:dyDescent="0.25">
      <c r="A3040" s="5"/>
      <c r="B3040" s="2"/>
      <c r="F3040" s="3"/>
      <c r="G3040" s="2"/>
      <c r="H3040" s="1"/>
      <c r="J3040" s="2"/>
    </row>
    <row r="3041" spans="1:10" x14ac:dyDescent="0.25">
      <c r="A3041" s="5"/>
      <c r="B3041" s="2"/>
      <c r="F3041" s="3"/>
      <c r="G3041" s="2"/>
      <c r="H3041" s="1"/>
      <c r="J3041" s="2"/>
    </row>
    <row r="3042" spans="1:10" x14ac:dyDescent="0.25">
      <c r="A3042" s="5"/>
      <c r="B3042" s="2"/>
      <c r="F3042" s="3"/>
      <c r="G3042" s="2"/>
      <c r="H3042" s="1"/>
      <c r="J3042" s="2"/>
    </row>
    <row r="3043" spans="1:10" x14ac:dyDescent="0.25">
      <c r="A3043" s="5"/>
      <c r="B3043" s="2"/>
      <c r="F3043" s="3"/>
      <c r="G3043" s="2"/>
      <c r="H3043" s="1"/>
      <c r="J3043" s="2"/>
    </row>
    <row r="3044" spans="1:10" x14ac:dyDescent="0.25">
      <c r="A3044" s="5"/>
      <c r="B3044" s="2"/>
      <c r="F3044" s="3"/>
      <c r="G3044" s="2"/>
      <c r="H3044" s="1"/>
      <c r="J3044" s="2"/>
    </row>
    <row r="3045" spans="1:10" x14ac:dyDescent="0.25">
      <c r="A3045" s="5"/>
      <c r="B3045" s="2"/>
      <c r="F3045" s="3"/>
      <c r="G3045" s="2"/>
      <c r="H3045" s="1"/>
      <c r="J3045" s="2"/>
    </row>
    <row r="3046" spans="1:10" x14ac:dyDescent="0.25">
      <c r="A3046" s="5"/>
      <c r="B3046" s="2"/>
      <c r="F3046" s="3"/>
      <c r="G3046" s="2"/>
      <c r="H3046" s="1"/>
      <c r="J3046" s="2"/>
    </row>
    <row r="3047" spans="1:10" x14ac:dyDescent="0.25">
      <c r="A3047" s="5"/>
      <c r="B3047" s="2"/>
      <c r="F3047" s="3"/>
      <c r="G3047" s="2"/>
      <c r="H3047" s="1"/>
      <c r="J3047" s="2"/>
    </row>
    <row r="3048" spans="1:10" x14ac:dyDescent="0.25">
      <c r="A3048" s="5"/>
      <c r="B3048" s="2"/>
      <c r="F3048" s="3"/>
      <c r="G3048" s="2"/>
      <c r="H3048" s="1"/>
      <c r="J3048" s="2"/>
    </row>
    <row r="3049" spans="1:10" x14ac:dyDescent="0.25">
      <c r="A3049" s="5"/>
      <c r="B3049" s="2"/>
      <c r="F3049" s="3"/>
      <c r="G3049" s="2"/>
      <c r="H3049" s="1"/>
      <c r="J3049" s="2"/>
    </row>
    <row r="3050" spans="1:10" x14ac:dyDescent="0.25">
      <c r="A3050" s="5"/>
      <c r="B3050" s="2"/>
      <c r="F3050" s="3"/>
      <c r="G3050" s="2"/>
      <c r="H3050" s="1"/>
      <c r="J3050" s="2"/>
    </row>
    <row r="3051" spans="1:10" x14ac:dyDescent="0.25">
      <c r="A3051" s="5"/>
      <c r="B3051" s="2"/>
      <c r="F3051" s="3"/>
      <c r="G3051" s="2"/>
      <c r="H3051" s="1"/>
      <c r="J3051" s="2"/>
    </row>
    <row r="3052" spans="1:10" x14ac:dyDescent="0.25">
      <c r="A3052" s="5"/>
      <c r="B3052" s="2"/>
      <c r="F3052" s="3"/>
      <c r="G3052" s="2"/>
      <c r="H3052" s="1"/>
      <c r="J3052" s="2"/>
    </row>
    <row r="3053" spans="1:10" x14ac:dyDescent="0.25">
      <c r="A3053" s="5"/>
      <c r="B3053" s="2"/>
      <c r="F3053" s="3"/>
      <c r="G3053" s="2"/>
      <c r="H3053" s="1"/>
      <c r="J3053" s="2"/>
    </row>
    <row r="3054" spans="1:10" x14ac:dyDescent="0.25">
      <c r="A3054" s="5"/>
      <c r="B3054" s="2"/>
      <c r="F3054" s="3"/>
      <c r="G3054" s="2"/>
      <c r="H3054" s="1"/>
      <c r="J3054" s="2"/>
    </row>
    <row r="3055" spans="1:10" x14ac:dyDescent="0.25">
      <c r="A3055" s="5"/>
      <c r="B3055" s="2"/>
      <c r="F3055" s="3"/>
      <c r="G3055" s="2"/>
      <c r="H3055" s="1"/>
      <c r="J3055" s="2"/>
    </row>
    <row r="3056" spans="1:10" x14ac:dyDescent="0.25">
      <c r="A3056" s="5"/>
      <c r="B3056" s="2"/>
      <c r="F3056" s="3"/>
      <c r="G3056" s="2"/>
      <c r="H3056" s="1"/>
      <c r="J3056" s="2"/>
    </row>
    <row r="3057" spans="1:10" x14ac:dyDescent="0.25">
      <c r="A3057" s="5"/>
      <c r="B3057" s="2"/>
      <c r="F3057" s="3"/>
      <c r="G3057" s="2"/>
      <c r="H3057" s="1"/>
      <c r="J3057" s="2"/>
    </row>
    <row r="3058" spans="1:10" x14ac:dyDescent="0.25">
      <c r="A3058" s="5"/>
      <c r="B3058" s="2"/>
      <c r="F3058" s="3"/>
      <c r="G3058" s="2"/>
      <c r="H3058" s="1"/>
      <c r="J3058" s="2"/>
    </row>
    <row r="3059" spans="1:10" x14ac:dyDescent="0.25">
      <c r="A3059" s="5"/>
      <c r="B3059" s="2"/>
      <c r="F3059" s="3"/>
      <c r="G3059" s="2"/>
      <c r="H3059" s="1"/>
      <c r="J3059" s="2"/>
    </row>
    <row r="3060" spans="1:10" x14ac:dyDescent="0.25">
      <c r="A3060" s="5"/>
      <c r="B3060" s="2"/>
      <c r="F3060" s="3"/>
      <c r="G3060" s="2"/>
      <c r="H3060" s="1"/>
      <c r="J3060" s="2"/>
    </row>
    <row r="3061" spans="1:10" x14ac:dyDescent="0.25">
      <c r="A3061" s="5"/>
      <c r="B3061" s="2"/>
      <c r="F3061" s="3"/>
      <c r="G3061" s="2"/>
      <c r="H3061" s="1"/>
      <c r="J3061" s="2"/>
    </row>
    <row r="3062" spans="1:10" x14ac:dyDescent="0.25">
      <c r="A3062" s="5"/>
      <c r="B3062" s="2"/>
      <c r="F3062" s="3"/>
      <c r="G3062" s="2"/>
      <c r="H3062" s="1"/>
      <c r="J3062" s="2"/>
    </row>
    <row r="3063" spans="1:10" x14ac:dyDescent="0.25">
      <c r="A3063" s="5"/>
      <c r="B3063" s="2"/>
      <c r="F3063" s="3"/>
      <c r="G3063" s="2"/>
      <c r="H3063" s="1"/>
      <c r="J3063" s="2"/>
    </row>
    <row r="3064" spans="1:10" x14ac:dyDescent="0.25">
      <c r="A3064" s="5"/>
      <c r="B3064" s="2"/>
      <c r="F3064" s="3"/>
      <c r="G3064" s="2"/>
      <c r="H3064" s="1"/>
      <c r="J3064" s="2"/>
    </row>
    <row r="3065" spans="1:10" x14ac:dyDescent="0.25">
      <c r="A3065" s="5"/>
      <c r="B3065" s="2"/>
      <c r="F3065" s="3"/>
      <c r="G3065" s="2"/>
      <c r="H3065" s="1"/>
      <c r="J3065" s="2"/>
    </row>
    <row r="3066" spans="1:10" x14ac:dyDescent="0.25">
      <c r="A3066" s="5"/>
      <c r="B3066" s="2"/>
      <c r="F3066" s="3"/>
      <c r="G3066" s="2"/>
      <c r="H3066" s="1"/>
      <c r="J3066" s="2"/>
    </row>
    <row r="3067" spans="1:10" x14ac:dyDescent="0.25">
      <c r="A3067" s="5"/>
      <c r="B3067" s="2"/>
      <c r="F3067" s="3"/>
      <c r="G3067" s="2"/>
      <c r="H3067" s="1"/>
      <c r="J3067" s="2"/>
    </row>
    <row r="3068" spans="1:10" x14ac:dyDescent="0.25">
      <c r="A3068" s="5"/>
      <c r="B3068" s="2"/>
      <c r="F3068" s="3"/>
      <c r="G3068" s="2"/>
      <c r="H3068" s="1"/>
      <c r="J3068" s="2"/>
    </row>
    <row r="3069" spans="1:10" x14ac:dyDescent="0.25">
      <c r="A3069" s="5"/>
      <c r="B3069" s="2"/>
      <c r="F3069" s="3"/>
      <c r="G3069" s="2"/>
      <c r="H3069" s="1"/>
      <c r="J3069" s="2"/>
    </row>
    <row r="3070" spans="1:10" x14ac:dyDescent="0.25">
      <c r="A3070" s="5"/>
      <c r="B3070" s="2"/>
      <c r="F3070" s="3"/>
      <c r="G3070" s="2"/>
      <c r="H3070" s="1"/>
      <c r="J3070" s="2"/>
    </row>
    <row r="3071" spans="1:10" x14ac:dyDescent="0.25">
      <c r="A3071" s="5"/>
      <c r="B3071" s="2"/>
      <c r="F3071" s="3"/>
      <c r="G3071" s="2"/>
      <c r="H3071" s="1"/>
      <c r="J3071" s="2"/>
    </row>
    <row r="3072" spans="1:10" x14ac:dyDescent="0.25">
      <c r="A3072" s="5"/>
      <c r="B3072" s="2"/>
      <c r="F3072" s="3"/>
      <c r="G3072" s="2"/>
      <c r="H3072" s="1"/>
      <c r="J3072" s="2"/>
    </row>
    <row r="3073" spans="1:10" x14ac:dyDescent="0.25">
      <c r="A3073" s="5"/>
      <c r="B3073" s="2"/>
      <c r="F3073" s="3"/>
      <c r="G3073" s="2"/>
      <c r="H3073" s="1"/>
      <c r="J3073" s="2"/>
    </row>
    <row r="3074" spans="1:10" x14ac:dyDescent="0.25">
      <c r="A3074" s="5"/>
      <c r="B3074" s="2"/>
      <c r="F3074" s="3"/>
      <c r="G3074" s="2"/>
      <c r="H3074" s="1"/>
      <c r="J3074" s="2"/>
    </row>
    <row r="3075" spans="1:10" x14ac:dyDescent="0.25">
      <c r="A3075" s="5"/>
      <c r="B3075" s="2"/>
      <c r="F3075" s="3"/>
      <c r="G3075" s="2"/>
      <c r="H3075" s="1"/>
      <c r="J3075" s="2"/>
    </row>
    <row r="3076" spans="1:10" x14ac:dyDescent="0.25">
      <c r="A3076" s="5"/>
      <c r="B3076" s="2"/>
      <c r="F3076" s="3"/>
      <c r="G3076" s="2"/>
      <c r="H3076" s="1"/>
      <c r="J3076" s="2"/>
    </row>
    <row r="3077" spans="1:10" x14ac:dyDescent="0.25">
      <c r="A3077" s="5"/>
      <c r="B3077" s="2"/>
      <c r="F3077" s="3"/>
      <c r="G3077" s="2"/>
      <c r="H3077" s="1"/>
      <c r="J3077" s="2"/>
    </row>
    <row r="3078" spans="1:10" x14ac:dyDescent="0.25">
      <c r="A3078" s="5"/>
      <c r="B3078" s="2"/>
      <c r="F3078" s="3"/>
      <c r="G3078" s="2"/>
      <c r="H3078" s="1"/>
      <c r="J3078" s="2"/>
    </row>
    <row r="3079" spans="1:10" x14ac:dyDescent="0.25">
      <c r="A3079" s="5"/>
      <c r="B3079" s="2"/>
      <c r="F3079" s="3"/>
      <c r="G3079" s="2"/>
      <c r="H3079" s="1"/>
      <c r="J3079" s="2"/>
    </row>
    <row r="3080" spans="1:10" x14ac:dyDescent="0.25">
      <c r="A3080" s="5"/>
      <c r="B3080" s="2"/>
      <c r="F3080" s="3"/>
      <c r="G3080" s="2"/>
      <c r="H3080" s="1"/>
      <c r="J3080" s="2"/>
    </row>
    <row r="3081" spans="1:10" x14ac:dyDescent="0.25">
      <c r="A3081" s="5"/>
      <c r="B3081" s="2"/>
      <c r="F3081" s="3"/>
      <c r="G3081" s="2"/>
      <c r="H3081" s="1"/>
      <c r="J3081" s="2"/>
    </row>
    <row r="3082" spans="1:10" x14ac:dyDescent="0.25">
      <c r="A3082" s="5"/>
      <c r="B3082" s="2"/>
      <c r="F3082" s="3"/>
      <c r="G3082" s="2"/>
      <c r="H3082" s="1"/>
      <c r="J3082" s="2"/>
    </row>
    <row r="3083" spans="1:10" x14ac:dyDescent="0.25">
      <c r="A3083" s="5"/>
      <c r="B3083" s="2"/>
      <c r="F3083" s="3"/>
      <c r="G3083" s="2"/>
      <c r="H3083" s="1"/>
      <c r="J3083" s="2"/>
    </row>
    <row r="3084" spans="1:10" x14ac:dyDescent="0.25">
      <c r="A3084" s="5"/>
      <c r="B3084" s="2"/>
      <c r="F3084" s="3"/>
      <c r="G3084" s="2"/>
      <c r="H3084" s="1"/>
      <c r="J3084" s="2"/>
    </row>
    <row r="3085" spans="1:10" x14ac:dyDescent="0.25">
      <c r="A3085" s="5"/>
      <c r="B3085" s="2"/>
      <c r="F3085" s="3"/>
      <c r="G3085" s="2"/>
      <c r="H3085" s="1"/>
      <c r="J3085" s="2"/>
    </row>
    <row r="3086" spans="1:10" x14ac:dyDescent="0.25">
      <c r="A3086" s="5"/>
      <c r="B3086" s="2"/>
      <c r="F3086" s="3"/>
      <c r="G3086" s="2"/>
      <c r="H3086" s="1"/>
      <c r="J3086" s="2"/>
    </row>
    <row r="3087" spans="1:10" x14ac:dyDescent="0.25">
      <c r="A3087" s="5"/>
      <c r="B3087" s="2"/>
      <c r="F3087" s="3"/>
      <c r="G3087" s="2"/>
      <c r="H3087" s="1"/>
      <c r="J3087" s="2"/>
    </row>
    <row r="3088" spans="1:10" x14ac:dyDescent="0.25">
      <c r="A3088" s="5"/>
      <c r="B3088" s="2"/>
      <c r="F3088" s="3"/>
      <c r="G3088" s="2"/>
      <c r="H3088" s="1"/>
      <c r="J3088" s="2"/>
    </row>
    <row r="3089" spans="1:10" x14ac:dyDescent="0.25">
      <c r="A3089" s="5"/>
      <c r="B3089" s="2"/>
      <c r="F3089" s="3"/>
      <c r="G3089" s="2"/>
      <c r="H3089" s="1"/>
      <c r="J3089" s="2"/>
    </row>
    <row r="3090" spans="1:10" x14ac:dyDescent="0.25">
      <c r="A3090" s="5"/>
      <c r="B3090" s="2"/>
      <c r="F3090" s="3"/>
      <c r="G3090" s="2"/>
      <c r="H3090" s="1"/>
      <c r="J3090" s="2"/>
    </row>
    <row r="3091" spans="1:10" x14ac:dyDescent="0.25">
      <c r="A3091" s="5"/>
      <c r="B3091" s="2"/>
      <c r="F3091" s="3"/>
      <c r="G3091" s="2"/>
      <c r="H3091" s="1"/>
      <c r="J3091" s="2"/>
    </row>
    <row r="3092" spans="1:10" x14ac:dyDescent="0.25">
      <c r="A3092" s="5"/>
      <c r="B3092" s="2"/>
      <c r="F3092" s="3"/>
      <c r="G3092" s="2"/>
      <c r="H3092" s="1"/>
      <c r="J3092" s="2"/>
    </row>
    <row r="3093" spans="1:10" x14ac:dyDescent="0.25">
      <c r="A3093" s="5"/>
      <c r="B3093" s="2"/>
      <c r="F3093" s="3"/>
      <c r="G3093" s="2"/>
      <c r="H3093" s="1"/>
      <c r="J3093" s="2"/>
    </row>
    <row r="3094" spans="1:10" x14ac:dyDescent="0.25">
      <c r="A3094" s="5"/>
      <c r="B3094" s="2"/>
      <c r="F3094" s="3"/>
      <c r="G3094" s="2"/>
      <c r="H3094" s="1"/>
      <c r="J3094" s="2"/>
    </row>
    <row r="3095" spans="1:10" x14ac:dyDescent="0.25">
      <c r="A3095" s="5"/>
      <c r="B3095" s="2"/>
      <c r="F3095" s="3"/>
      <c r="G3095" s="2"/>
      <c r="H3095" s="1"/>
      <c r="J3095" s="2"/>
    </row>
    <row r="3096" spans="1:10" x14ac:dyDescent="0.25">
      <c r="A3096" s="5"/>
      <c r="B3096" s="2"/>
      <c r="F3096" s="3"/>
      <c r="G3096" s="2"/>
      <c r="H3096" s="1"/>
      <c r="J3096" s="2"/>
    </row>
    <row r="3097" spans="1:10" x14ac:dyDescent="0.25">
      <c r="A3097" s="5"/>
      <c r="B3097" s="2"/>
      <c r="F3097" s="3"/>
      <c r="G3097" s="2"/>
      <c r="H3097" s="1"/>
      <c r="J3097" s="2"/>
    </row>
    <row r="3098" spans="1:10" x14ac:dyDescent="0.25">
      <c r="A3098" s="5"/>
      <c r="B3098" s="2"/>
      <c r="F3098" s="3"/>
      <c r="G3098" s="2"/>
      <c r="H3098" s="1"/>
      <c r="J3098" s="2"/>
    </row>
    <row r="3099" spans="1:10" x14ac:dyDescent="0.25">
      <c r="A3099" s="5"/>
      <c r="B3099" s="2"/>
      <c r="F3099" s="3"/>
      <c r="G3099" s="2"/>
      <c r="H3099" s="1"/>
      <c r="J3099" s="2"/>
    </row>
    <row r="3100" spans="1:10" x14ac:dyDescent="0.25">
      <c r="A3100" s="5"/>
      <c r="B3100" s="2"/>
      <c r="F3100" s="3"/>
      <c r="G3100" s="2"/>
      <c r="H3100" s="1"/>
      <c r="J3100" s="2"/>
    </row>
    <row r="3101" spans="1:10" x14ac:dyDescent="0.25">
      <c r="A3101" s="5"/>
      <c r="B3101" s="2"/>
      <c r="F3101" s="3"/>
      <c r="G3101" s="2"/>
      <c r="H3101" s="1"/>
      <c r="J3101" s="2"/>
    </row>
    <row r="3102" spans="1:10" x14ac:dyDescent="0.25">
      <c r="A3102" s="5"/>
      <c r="B3102" s="2"/>
      <c r="F3102" s="3"/>
      <c r="G3102" s="2"/>
      <c r="H3102" s="1"/>
      <c r="J3102" s="2"/>
    </row>
    <row r="3103" spans="1:10" x14ac:dyDescent="0.25">
      <c r="A3103" s="5"/>
      <c r="B3103" s="2"/>
      <c r="F3103" s="3"/>
      <c r="G3103" s="2"/>
      <c r="H3103" s="1"/>
      <c r="J3103" s="2"/>
    </row>
    <row r="3104" spans="1:10" x14ac:dyDescent="0.25">
      <c r="A3104" s="5"/>
      <c r="B3104" s="2"/>
      <c r="F3104" s="3"/>
      <c r="G3104" s="2"/>
      <c r="H3104" s="1"/>
      <c r="J3104" s="2"/>
    </row>
    <row r="3105" spans="1:10" x14ac:dyDescent="0.25">
      <c r="A3105" s="5"/>
      <c r="B3105" s="2"/>
      <c r="F3105" s="3"/>
      <c r="G3105" s="2"/>
      <c r="H3105" s="1"/>
      <c r="J3105" s="2"/>
    </row>
    <row r="3106" spans="1:10" x14ac:dyDescent="0.25">
      <c r="A3106" s="5"/>
      <c r="B3106" s="2"/>
      <c r="F3106" s="3"/>
      <c r="G3106" s="2"/>
      <c r="H3106" s="1"/>
      <c r="J3106" s="2"/>
    </row>
    <row r="3107" spans="1:10" x14ac:dyDescent="0.25">
      <c r="A3107" s="5"/>
      <c r="B3107" s="2"/>
      <c r="F3107" s="3"/>
      <c r="G3107" s="2"/>
      <c r="H3107" s="1"/>
      <c r="J3107" s="2"/>
    </row>
    <row r="3108" spans="1:10" x14ac:dyDescent="0.25">
      <c r="A3108" s="5"/>
      <c r="B3108" s="2"/>
      <c r="F3108" s="3"/>
      <c r="G3108" s="2"/>
      <c r="H3108" s="1"/>
      <c r="J3108" s="2"/>
    </row>
    <row r="3109" spans="1:10" x14ac:dyDescent="0.25">
      <c r="A3109" s="5"/>
      <c r="B3109" s="2"/>
      <c r="F3109" s="3"/>
      <c r="G3109" s="2"/>
      <c r="H3109" s="1"/>
      <c r="J3109" s="2"/>
    </row>
    <row r="3110" spans="1:10" x14ac:dyDescent="0.25">
      <c r="A3110" s="5"/>
      <c r="B3110" s="2"/>
      <c r="F3110" s="3"/>
      <c r="G3110" s="2"/>
      <c r="H3110" s="1"/>
      <c r="J3110" s="2"/>
    </row>
    <row r="3111" spans="1:10" x14ac:dyDescent="0.25">
      <c r="A3111" s="5"/>
      <c r="B3111" s="2"/>
      <c r="F3111" s="3"/>
      <c r="G3111" s="2"/>
      <c r="H3111" s="1"/>
      <c r="J3111" s="2"/>
    </row>
    <row r="3112" spans="1:10" x14ac:dyDescent="0.25">
      <c r="A3112" s="5"/>
      <c r="B3112" s="2"/>
      <c r="F3112" s="3"/>
      <c r="G3112" s="2"/>
      <c r="H3112" s="1"/>
      <c r="J3112" s="2"/>
    </row>
    <row r="3113" spans="1:10" x14ac:dyDescent="0.25">
      <c r="A3113" s="5"/>
      <c r="B3113" s="2"/>
      <c r="F3113" s="3"/>
      <c r="G3113" s="2"/>
      <c r="H3113" s="1"/>
      <c r="J3113" s="2"/>
    </row>
    <row r="3114" spans="1:10" x14ac:dyDescent="0.25">
      <c r="A3114" s="5"/>
      <c r="B3114" s="2"/>
      <c r="F3114" s="3"/>
      <c r="G3114" s="2"/>
      <c r="H3114" s="1"/>
      <c r="J3114" s="2"/>
    </row>
    <row r="3115" spans="1:10" x14ac:dyDescent="0.25">
      <c r="A3115" s="5"/>
      <c r="B3115" s="2"/>
      <c r="F3115" s="3"/>
      <c r="G3115" s="2"/>
      <c r="H3115" s="1"/>
      <c r="J3115" s="2"/>
    </row>
    <row r="3116" spans="1:10" x14ac:dyDescent="0.25">
      <c r="A3116" s="5"/>
      <c r="B3116" s="2"/>
      <c r="F3116" s="3"/>
      <c r="G3116" s="2"/>
      <c r="H3116" s="1"/>
      <c r="J3116" s="2"/>
    </row>
    <row r="3117" spans="1:10" x14ac:dyDescent="0.25">
      <c r="A3117" s="5"/>
      <c r="B3117" s="2"/>
      <c r="F3117" s="3"/>
      <c r="G3117" s="2"/>
      <c r="H3117" s="1"/>
      <c r="J3117" s="2"/>
    </row>
    <row r="3118" spans="1:10" x14ac:dyDescent="0.25">
      <c r="A3118" s="5"/>
      <c r="B3118" s="2"/>
      <c r="F3118" s="3"/>
      <c r="G3118" s="2"/>
      <c r="H3118" s="1"/>
      <c r="J3118" s="2"/>
    </row>
    <row r="3119" spans="1:10" x14ac:dyDescent="0.25">
      <c r="A3119" s="5"/>
      <c r="B3119" s="2"/>
      <c r="F3119" s="3"/>
      <c r="G3119" s="2"/>
      <c r="H3119" s="1"/>
      <c r="J3119" s="2"/>
    </row>
    <row r="3120" spans="1:10" x14ac:dyDescent="0.25">
      <c r="A3120" s="5"/>
      <c r="B3120" s="2"/>
      <c r="F3120" s="3"/>
      <c r="G3120" s="2"/>
      <c r="H3120" s="1"/>
      <c r="J3120" s="2"/>
    </row>
    <row r="3121" spans="1:10" x14ac:dyDescent="0.25">
      <c r="A3121" s="5"/>
      <c r="B3121" s="2"/>
      <c r="F3121" s="3"/>
      <c r="G3121" s="2"/>
      <c r="H3121" s="1"/>
      <c r="J3121" s="2"/>
    </row>
    <row r="3122" spans="1:10" x14ac:dyDescent="0.25">
      <c r="A3122" s="5"/>
      <c r="B3122" s="2"/>
      <c r="F3122" s="3"/>
      <c r="G3122" s="2"/>
      <c r="H3122" s="1"/>
      <c r="J3122" s="2"/>
    </row>
    <row r="3123" spans="1:10" x14ac:dyDescent="0.25">
      <c r="A3123" s="5"/>
      <c r="B3123" s="2"/>
      <c r="F3123" s="3"/>
      <c r="G3123" s="2"/>
      <c r="H3123" s="1"/>
      <c r="J3123" s="2"/>
    </row>
    <row r="3124" spans="1:10" x14ac:dyDescent="0.25">
      <c r="A3124" s="5"/>
      <c r="B3124" s="2"/>
      <c r="F3124" s="3"/>
      <c r="G3124" s="2"/>
      <c r="H3124" s="1"/>
      <c r="J3124" s="2"/>
    </row>
    <row r="3125" spans="1:10" x14ac:dyDescent="0.25">
      <c r="A3125" s="5"/>
      <c r="B3125" s="2"/>
      <c r="F3125" s="3"/>
      <c r="G3125" s="2"/>
      <c r="H3125" s="1"/>
      <c r="J3125" s="2"/>
    </row>
    <row r="3126" spans="1:10" x14ac:dyDescent="0.25">
      <c r="A3126" s="5"/>
      <c r="B3126" s="2"/>
      <c r="F3126" s="3"/>
      <c r="G3126" s="2"/>
      <c r="H3126" s="1"/>
      <c r="J3126" s="2"/>
    </row>
    <row r="3127" spans="1:10" x14ac:dyDescent="0.25">
      <c r="A3127" s="5"/>
      <c r="B3127" s="2"/>
      <c r="F3127" s="3"/>
      <c r="G3127" s="2"/>
      <c r="H3127" s="1"/>
      <c r="J3127" s="2"/>
    </row>
    <row r="3128" spans="1:10" x14ac:dyDescent="0.25">
      <c r="A3128" s="5"/>
      <c r="B3128" s="2"/>
      <c r="F3128" s="3"/>
      <c r="G3128" s="2"/>
      <c r="H3128" s="1"/>
      <c r="J3128" s="2"/>
    </row>
    <row r="3129" spans="1:10" x14ac:dyDescent="0.25">
      <c r="A3129" s="5"/>
      <c r="B3129" s="2"/>
      <c r="F3129" s="3"/>
      <c r="G3129" s="2"/>
      <c r="H3129" s="1"/>
      <c r="J3129" s="2"/>
    </row>
    <row r="3130" spans="1:10" x14ac:dyDescent="0.25">
      <c r="A3130" s="5"/>
      <c r="B3130" s="2"/>
      <c r="F3130" s="3"/>
      <c r="G3130" s="2"/>
      <c r="H3130" s="1"/>
      <c r="J3130" s="2"/>
    </row>
    <row r="3131" spans="1:10" x14ac:dyDescent="0.25">
      <c r="A3131" s="5"/>
      <c r="B3131" s="2"/>
      <c r="F3131" s="3"/>
      <c r="G3131" s="2"/>
      <c r="H3131" s="1"/>
      <c r="J3131" s="2"/>
    </row>
    <row r="3132" spans="1:10" x14ac:dyDescent="0.25">
      <c r="A3132" s="5"/>
      <c r="B3132" s="2"/>
      <c r="F3132" s="3"/>
      <c r="G3132" s="2"/>
      <c r="H3132" s="1"/>
      <c r="J3132" s="2"/>
    </row>
    <row r="3133" spans="1:10" x14ac:dyDescent="0.25">
      <c r="A3133" s="5"/>
      <c r="B3133" s="2"/>
      <c r="F3133" s="3"/>
      <c r="G3133" s="2"/>
      <c r="H3133" s="1"/>
      <c r="J3133" s="2"/>
    </row>
    <row r="3134" spans="1:10" x14ac:dyDescent="0.25">
      <c r="A3134" s="5"/>
      <c r="B3134" s="2"/>
      <c r="F3134" s="3"/>
      <c r="G3134" s="2"/>
      <c r="H3134" s="1"/>
      <c r="J3134" s="2"/>
    </row>
    <row r="3135" spans="1:10" x14ac:dyDescent="0.25">
      <c r="A3135" s="5"/>
      <c r="B3135" s="2"/>
      <c r="F3135" s="3"/>
      <c r="G3135" s="2"/>
      <c r="H3135" s="1"/>
      <c r="J3135" s="2"/>
    </row>
    <row r="3136" spans="1:10" x14ac:dyDescent="0.25">
      <c r="A3136" s="5"/>
      <c r="B3136" s="2"/>
      <c r="F3136" s="3"/>
      <c r="G3136" s="2"/>
      <c r="H3136" s="1"/>
      <c r="J3136" s="2"/>
    </row>
    <row r="3137" spans="1:10" x14ac:dyDescent="0.25">
      <c r="A3137" s="5"/>
      <c r="B3137" s="2"/>
      <c r="F3137" s="3"/>
      <c r="G3137" s="2"/>
      <c r="H3137" s="1"/>
      <c r="J3137" s="2"/>
    </row>
    <row r="3138" spans="1:10" x14ac:dyDescent="0.25">
      <c r="A3138" s="5"/>
      <c r="B3138" s="2"/>
      <c r="F3138" s="3"/>
      <c r="G3138" s="2"/>
      <c r="H3138" s="1"/>
      <c r="J3138" s="2"/>
    </row>
    <row r="3139" spans="1:10" x14ac:dyDescent="0.25">
      <c r="A3139" s="5"/>
      <c r="B3139" s="2"/>
      <c r="F3139" s="3"/>
      <c r="G3139" s="2"/>
      <c r="H3139" s="1"/>
      <c r="J3139" s="2"/>
    </row>
    <row r="3140" spans="1:10" x14ac:dyDescent="0.25">
      <c r="A3140" s="5"/>
      <c r="B3140" s="2"/>
      <c r="F3140" s="3"/>
      <c r="G3140" s="2"/>
      <c r="H3140" s="1"/>
      <c r="J3140" s="2"/>
    </row>
    <row r="3141" spans="1:10" x14ac:dyDescent="0.25">
      <c r="A3141" s="5"/>
      <c r="B3141" s="2"/>
      <c r="F3141" s="3"/>
      <c r="G3141" s="2"/>
      <c r="H3141" s="1"/>
      <c r="J3141" s="2"/>
    </row>
    <row r="3142" spans="1:10" x14ac:dyDescent="0.25">
      <c r="A3142" s="5"/>
      <c r="B3142" s="2"/>
      <c r="F3142" s="3"/>
      <c r="G3142" s="2"/>
      <c r="H3142" s="1"/>
      <c r="J3142" s="2"/>
    </row>
    <row r="3143" spans="1:10" x14ac:dyDescent="0.25">
      <c r="A3143" s="5"/>
      <c r="B3143" s="2"/>
      <c r="F3143" s="3"/>
      <c r="G3143" s="2"/>
      <c r="H3143" s="1"/>
      <c r="J3143" s="2"/>
    </row>
    <row r="3144" spans="1:10" x14ac:dyDescent="0.25">
      <c r="A3144" s="5"/>
      <c r="B3144" s="2"/>
      <c r="F3144" s="3"/>
      <c r="G3144" s="2"/>
      <c r="H3144" s="1"/>
      <c r="J3144" s="2"/>
    </row>
    <row r="3145" spans="1:10" x14ac:dyDescent="0.25">
      <c r="A3145" s="5"/>
      <c r="B3145" s="2"/>
      <c r="F3145" s="3"/>
      <c r="G3145" s="2"/>
      <c r="H3145" s="1"/>
      <c r="J3145" s="2"/>
    </row>
    <row r="3146" spans="1:10" x14ac:dyDescent="0.25">
      <c r="A3146" s="5"/>
      <c r="B3146" s="2"/>
      <c r="F3146" s="3"/>
      <c r="G3146" s="2"/>
      <c r="H3146" s="1"/>
      <c r="J3146" s="2"/>
    </row>
    <row r="3147" spans="1:10" x14ac:dyDescent="0.25">
      <c r="A3147" s="5"/>
      <c r="B3147" s="2"/>
      <c r="F3147" s="3"/>
      <c r="G3147" s="2"/>
      <c r="H3147" s="1"/>
      <c r="J3147" s="2"/>
    </row>
    <row r="3148" spans="1:10" x14ac:dyDescent="0.25">
      <c r="A3148" s="5"/>
      <c r="B3148" s="2"/>
      <c r="F3148" s="3"/>
      <c r="G3148" s="2"/>
      <c r="H3148" s="1"/>
      <c r="J3148" s="2"/>
    </row>
    <row r="3149" spans="1:10" x14ac:dyDescent="0.25">
      <c r="A3149" s="5"/>
      <c r="B3149" s="2"/>
      <c r="F3149" s="3"/>
      <c r="G3149" s="2"/>
      <c r="H3149" s="1"/>
      <c r="J3149" s="2"/>
    </row>
    <row r="3150" spans="1:10" x14ac:dyDescent="0.25">
      <c r="A3150" s="5"/>
      <c r="B3150" s="2"/>
      <c r="F3150" s="3"/>
      <c r="G3150" s="2"/>
      <c r="H3150" s="1"/>
      <c r="J3150" s="2"/>
    </row>
    <row r="3151" spans="1:10" x14ac:dyDescent="0.25">
      <c r="A3151" s="5"/>
      <c r="B3151" s="2"/>
      <c r="F3151" s="3"/>
      <c r="G3151" s="2"/>
      <c r="H3151" s="1"/>
      <c r="J3151" s="2"/>
    </row>
    <row r="3152" spans="1:10" x14ac:dyDescent="0.25">
      <c r="A3152" s="5"/>
      <c r="B3152" s="2"/>
      <c r="F3152" s="3"/>
      <c r="G3152" s="2"/>
      <c r="H3152" s="1"/>
      <c r="J3152" s="2"/>
    </row>
    <row r="3153" spans="1:10" x14ac:dyDescent="0.25">
      <c r="A3153" s="5"/>
      <c r="B3153" s="2"/>
      <c r="F3153" s="3"/>
      <c r="G3153" s="2"/>
      <c r="H3153" s="1"/>
      <c r="J3153" s="2"/>
    </row>
    <row r="3154" spans="1:10" x14ac:dyDescent="0.25">
      <c r="A3154" s="5"/>
      <c r="B3154" s="2"/>
      <c r="F3154" s="3"/>
      <c r="G3154" s="2"/>
      <c r="H3154" s="1"/>
      <c r="J3154" s="2"/>
    </row>
    <row r="3155" spans="1:10" x14ac:dyDescent="0.25">
      <c r="A3155" s="5"/>
      <c r="B3155" s="2"/>
      <c r="F3155" s="3"/>
      <c r="G3155" s="2"/>
      <c r="H3155" s="1"/>
      <c r="J3155" s="2"/>
    </row>
    <row r="3156" spans="1:10" x14ac:dyDescent="0.25">
      <c r="A3156" s="5"/>
      <c r="B3156" s="2"/>
      <c r="F3156" s="3"/>
      <c r="G3156" s="2"/>
      <c r="H3156" s="1"/>
      <c r="J3156" s="2"/>
    </row>
    <row r="3157" spans="1:10" x14ac:dyDescent="0.25">
      <c r="A3157" s="5"/>
      <c r="B3157" s="2"/>
      <c r="F3157" s="3"/>
      <c r="G3157" s="2"/>
      <c r="H3157" s="1"/>
      <c r="J3157" s="2"/>
    </row>
    <row r="3158" spans="1:10" x14ac:dyDescent="0.25">
      <c r="A3158" s="5"/>
      <c r="B3158" s="2"/>
      <c r="F3158" s="3"/>
      <c r="G3158" s="2"/>
      <c r="H3158" s="1"/>
      <c r="J3158" s="2"/>
    </row>
    <row r="3159" spans="1:10" x14ac:dyDescent="0.25">
      <c r="A3159" s="5"/>
      <c r="B3159" s="2"/>
      <c r="F3159" s="3"/>
      <c r="G3159" s="2"/>
      <c r="H3159" s="1"/>
      <c r="J3159" s="2"/>
    </row>
    <row r="3160" spans="1:10" x14ac:dyDescent="0.25">
      <c r="A3160" s="5"/>
      <c r="B3160" s="2"/>
      <c r="F3160" s="3"/>
      <c r="G3160" s="2"/>
      <c r="H3160" s="1"/>
      <c r="J3160" s="2"/>
    </row>
    <row r="3161" spans="1:10" x14ac:dyDescent="0.25">
      <c r="A3161" s="5"/>
      <c r="B3161" s="2"/>
      <c r="F3161" s="3"/>
      <c r="G3161" s="2"/>
      <c r="H3161" s="1"/>
      <c r="J3161" s="2"/>
    </row>
    <row r="3162" spans="1:10" x14ac:dyDescent="0.25">
      <c r="A3162" s="5"/>
      <c r="B3162" s="2"/>
      <c r="F3162" s="3"/>
      <c r="G3162" s="2"/>
      <c r="H3162" s="1"/>
      <c r="J3162" s="2"/>
    </row>
    <row r="3163" spans="1:10" x14ac:dyDescent="0.25">
      <c r="A3163" s="5"/>
      <c r="B3163" s="2"/>
      <c r="F3163" s="3"/>
      <c r="G3163" s="2"/>
      <c r="H3163" s="1"/>
      <c r="J3163" s="2"/>
    </row>
    <row r="3164" spans="1:10" x14ac:dyDescent="0.25">
      <c r="A3164" s="5"/>
      <c r="B3164" s="2"/>
      <c r="F3164" s="3"/>
      <c r="G3164" s="2"/>
      <c r="H3164" s="1"/>
      <c r="J3164" s="2"/>
    </row>
    <row r="3165" spans="1:10" x14ac:dyDescent="0.25">
      <c r="A3165" s="5"/>
      <c r="B3165" s="2"/>
      <c r="F3165" s="3"/>
      <c r="G3165" s="2"/>
      <c r="H3165" s="1"/>
      <c r="J3165" s="2"/>
    </row>
    <row r="3166" spans="1:10" x14ac:dyDescent="0.25">
      <c r="A3166" s="5"/>
      <c r="B3166" s="2"/>
      <c r="F3166" s="3"/>
      <c r="G3166" s="2"/>
      <c r="H3166" s="1"/>
      <c r="J3166" s="2"/>
    </row>
    <row r="3167" spans="1:10" x14ac:dyDescent="0.25">
      <c r="A3167" s="5"/>
      <c r="B3167" s="2"/>
      <c r="F3167" s="3"/>
      <c r="G3167" s="2"/>
      <c r="H3167" s="1"/>
      <c r="J3167" s="2"/>
    </row>
    <row r="3168" spans="1:10" x14ac:dyDescent="0.25">
      <c r="A3168" s="5"/>
      <c r="B3168" s="2"/>
      <c r="F3168" s="3"/>
      <c r="G3168" s="2"/>
      <c r="H3168" s="1"/>
      <c r="J3168" s="2"/>
    </row>
    <row r="3169" spans="1:10" x14ac:dyDescent="0.25">
      <c r="A3169" s="5"/>
      <c r="B3169" s="2"/>
      <c r="F3169" s="3"/>
      <c r="G3169" s="2"/>
      <c r="H3169" s="1"/>
      <c r="J3169" s="2"/>
    </row>
    <row r="3170" spans="1:10" x14ac:dyDescent="0.25">
      <c r="A3170" s="5"/>
      <c r="B3170" s="2"/>
      <c r="F3170" s="3"/>
      <c r="G3170" s="2"/>
      <c r="H3170" s="1"/>
      <c r="J3170" s="2"/>
    </row>
    <row r="3171" spans="1:10" x14ac:dyDescent="0.25">
      <c r="A3171" s="5"/>
      <c r="B3171" s="2"/>
      <c r="F3171" s="3"/>
      <c r="G3171" s="2"/>
      <c r="H3171" s="1"/>
      <c r="J3171" s="2"/>
    </row>
    <row r="3172" spans="1:10" x14ac:dyDescent="0.25">
      <c r="A3172" s="5"/>
      <c r="B3172" s="2"/>
      <c r="F3172" s="3"/>
      <c r="G3172" s="2"/>
      <c r="H3172" s="1"/>
      <c r="J3172" s="2"/>
    </row>
    <row r="3173" spans="1:10" x14ac:dyDescent="0.25">
      <c r="A3173" s="5"/>
      <c r="B3173" s="2"/>
      <c r="F3173" s="3"/>
      <c r="G3173" s="2"/>
      <c r="H3173" s="1"/>
      <c r="J3173" s="2"/>
    </row>
    <row r="3174" spans="1:10" x14ac:dyDescent="0.25">
      <c r="A3174" s="5"/>
      <c r="B3174" s="2"/>
      <c r="F3174" s="3"/>
      <c r="G3174" s="2"/>
      <c r="H3174" s="1"/>
      <c r="J3174" s="2"/>
    </row>
    <row r="3175" spans="1:10" x14ac:dyDescent="0.25">
      <c r="A3175" s="5"/>
      <c r="B3175" s="2"/>
      <c r="F3175" s="3"/>
      <c r="G3175" s="2"/>
      <c r="H3175" s="1"/>
      <c r="J3175" s="2"/>
    </row>
    <row r="3176" spans="1:10" x14ac:dyDescent="0.25">
      <c r="A3176" s="5"/>
      <c r="B3176" s="2"/>
      <c r="F3176" s="3"/>
      <c r="G3176" s="2"/>
      <c r="H3176" s="1"/>
      <c r="J3176" s="2"/>
    </row>
    <row r="3177" spans="1:10" x14ac:dyDescent="0.25">
      <c r="A3177" s="5"/>
      <c r="B3177" s="2"/>
      <c r="F3177" s="3"/>
      <c r="G3177" s="2"/>
      <c r="H3177" s="1"/>
      <c r="J3177" s="2"/>
    </row>
    <row r="3178" spans="1:10" x14ac:dyDescent="0.25">
      <c r="A3178" s="5"/>
      <c r="B3178" s="2"/>
      <c r="F3178" s="3"/>
      <c r="G3178" s="2"/>
      <c r="H3178" s="1"/>
      <c r="J3178" s="2"/>
    </row>
    <row r="3179" spans="1:10" x14ac:dyDescent="0.25">
      <c r="A3179" s="5"/>
      <c r="B3179" s="2"/>
      <c r="F3179" s="3"/>
      <c r="G3179" s="2"/>
      <c r="H3179" s="1"/>
      <c r="J3179" s="2"/>
    </row>
    <row r="3180" spans="1:10" x14ac:dyDescent="0.25">
      <c r="A3180" s="5"/>
      <c r="B3180" s="2"/>
      <c r="F3180" s="3"/>
      <c r="G3180" s="2"/>
      <c r="H3180" s="1"/>
      <c r="J3180" s="2"/>
    </row>
    <row r="3181" spans="1:10" x14ac:dyDescent="0.25">
      <c r="A3181" s="5"/>
      <c r="B3181" s="2"/>
      <c r="F3181" s="3"/>
      <c r="G3181" s="2"/>
      <c r="H3181" s="1"/>
      <c r="J3181" s="2"/>
    </row>
    <row r="3182" spans="1:10" x14ac:dyDescent="0.25">
      <c r="A3182" s="5"/>
      <c r="B3182" s="2"/>
      <c r="F3182" s="3"/>
      <c r="G3182" s="2"/>
      <c r="H3182" s="1"/>
      <c r="J3182" s="2"/>
    </row>
    <row r="3183" spans="1:10" x14ac:dyDescent="0.25">
      <c r="A3183" s="5"/>
      <c r="B3183" s="2"/>
      <c r="F3183" s="3"/>
      <c r="G3183" s="2"/>
      <c r="H3183" s="1"/>
      <c r="J3183" s="2"/>
    </row>
    <row r="3184" spans="1:10" x14ac:dyDescent="0.25">
      <c r="A3184" s="5"/>
      <c r="B3184" s="2"/>
      <c r="F3184" s="3"/>
      <c r="G3184" s="2"/>
      <c r="H3184" s="1"/>
      <c r="J3184" s="2"/>
    </row>
    <row r="3185" spans="1:10" x14ac:dyDescent="0.25">
      <c r="A3185" s="5"/>
      <c r="B3185" s="2"/>
      <c r="F3185" s="3"/>
      <c r="G3185" s="2"/>
      <c r="H3185" s="1"/>
      <c r="J3185" s="2"/>
    </row>
    <row r="3186" spans="1:10" x14ac:dyDescent="0.25">
      <c r="A3186" s="5"/>
      <c r="B3186" s="2"/>
      <c r="F3186" s="3"/>
      <c r="G3186" s="2"/>
      <c r="H3186" s="1"/>
      <c r="J3186" s="2"/>
    </row>
    <row r="3187" spans="1:10" x14ac:dyDescent="0.25">
      <c r="A3187" s="5"/>
      <c r="B3187" s="2"/>
      <c r="F3187" s="3"/>
      <c r="G3187" s="2"/>
      <c r="H3187" s="1"/>
      <c r="J3187" s="2"/>
    </row>
    <row r="3188" spans="1:10" x14ac:dyDescent="0.25">
      <c r="A3188" s="5"/>
      <c r="B3188" s="2"/>
      <c r="F3188" s="3"/>
      <c r="G3188" s="2"/>
      <c r="H3188" s="1"/>
      <c r="J3188" s="2"/>
    </row>
    <row r="3189" spans="1:10" x14ac:dyDescent="0.25">
      <c r="A3189" s="5"/>
      <c r="B3189" s="2"/>
      <c r="F3189" s="3"/>
      <c r="G3189" s="2"/>
      <c r="H3189" s="1"/>
      <c r="J3189" s="2"/>
    </row>
    <row r="3190" spans="1:10" x14ac:dyDescent="0.25">
      <c r="A3190" s="5"/>
      <c r="B3190" s="2"/>
      <c r="F3190" s="3"/>
      <c r="G3190" s="2"/>
      <c r="H3190" s="1"/>
      <c r="J3190" s="2"/>
    </row>
    <row r="3191" spans="1:10" x14ac:dyDescent="0.25">
      <c r="A3191" s="5"/>
      <c r="B3191" s="2"/>
      <c r="F3191" s="3"/>
      <c r="G3191" s="2"/>
      <c r="H3191" s="1"/>
      <c r="J3191" s="2"/>
    </row>
    <row r="3192" spans="1:10" x14ac:dyDescent="0.25">
      <c r="A3192" s="5"/>
      <c r="B3192" s="2"/>
      <c r="F3192" s="3"/>
      <c r="G3192" s="2"/>
      <c r="H3192" s="1"/>
      <c r="J3192" s="2"/>
    </row>
    <row r="3193" spans="1:10" x14ac:dyDescent="0.25">
      <c r="A3193" s="5"/>
      <c r="B3193" s="2"/>
      <c r="F3193" s="3"/>
      <c r="G3193" s="2"/>
      <c r="H3193" s="1"/>
      <c r="J3193" s="2"/>
    </row>
    <row r="3194" spans="1:10" x14ac:dyDescent="0.25">
      <c r="A3194" s="5"/>
      <c r="B3194" s="2"/>
      <c r="F3194" s="3"/>
      <c r="G3194" s="2"/>
      <c r="H3194" s="1"/>
      <c r="J3194" s="2"/>
    </row>
    <row r="3195" spans="1:10" x14ac:dyDescent="0.25">
      <c r="A3195" s="5"/>
      <c r="B3195" s="2"/>
      <c r="F3195" s="3"/>
      <c r="G3195" s="2"/>
      <c r="H3195" s="1"/>
      <c r="J3195" s="2"/>
    </row>
    <row r="3196" spans="1:10" x14ac:dyDescent="0.25">
      <c r="A3196" s="5"/>
      <c r="B3196" s="2"/>
      <c r="F3196" s="3"/>
      <c r="G3196" s="2"/>
      <c r="H3196" s="1"/>
      <c r="J3196" s="2"/>
    </row>
    <row r="3197" spans="1:10" x14ac:dyDescent="0.25">
      <c r="A3197" s="5"/>
      <c r="B3197" s="2"/>
      <c r="F3197" s="3"/>
      <c r="G3197" s="2"/>
      <c r="H3197" s="1"/>
      <c r="J3197" s="2"/>
    </row>
    <row r="3198" spans="1:10" x14ac:dyDescent="0.25">
      <c r="A3198" s="5"/>
      <c r="B3198" s="2"/>
      <c r="F3198" s="3"/>
      <c r="G3198" s="2"/>
      <c r="H3198" s="1"/>
      <c r="J3198" s="2"/>
    </row>
    <row r="3199" spans="1:10" x14ac:dyDescent="0.25">
      <c r="A3199" s="5"/>
      <c r="B3199" s="2"/>
      <c r="F3199" s="3"/>
      <c r="G3199" s="2"/>
      <c r="H3199" s="1"/>
      <c r="J3199" s="2"/>
    </row>
    <row r="3200" spans="1:10" x14ac:dyDescent="0.25">
      <c r="A3200" s="5"/>
      <c r="B3200" s="2"/>
      <c r="F3200" s="3"/>
      <c r="G3200" s="2"/>
      <c r="H3200" s="1"/>
      <c r="J3200" s="2"/>
    </row>
    <row r="3201" spans="1:10" x14ac:dyDescent="0.25">
      <c r="A3201" s="5"/>
      <c r="B3201" s="2"/>
      <c r="F3201" s="3"/>
      <c r="G3201" s="2"/>
      <c r="H3201" s="1"/>
      <c r="J3201" s="2"/>
    </row>
    <row r="3202" spans="1:10" x14ac:dyDescent="0.25">
      <c r="A3202" s="5"/>
      <c r="B3202" s="2"/>
      <c r="F3202" s="3"/>
      <c r="G3202" s="2"/>
      <c r="H3202" s="1"/>
      <c r="J3202" s="2"/>
    </row>
    <row r="3203" spans="1:10" x14ac:dyDescent="0.25">
      <c r="A3203" s="5"/>
      <c r="B3203" s="2"/>
      <c r="F3203" s="3"/>
      <c r="G3203" s="2"/>
      <c r="H3203" s="1"/>
      <c r="J3203" s="2"/>
    </row>
    <row r="3204" spans="1:10" x14ac:dyDescent="0.25">
      <c r="A3204" s="5"/>
      <c r="B3204" s="2"/>
      <c r="F3204" s="3"/>
      <c r="G3204" s="2"/>
      <c r="H3204" s="1"/>
      <c r="J3204" s="2"/>
    </row>
    <row r="3205" spans="1:10" x14ac:dyDescent="0.25">
      <c r="A3205" s="5"/>
      <c r="B3205" s="2"/>
      <c r="F3205" s="3"/>
      <c r="G3205" s="2"/>
      <c r="H3205" s="1"/>
      <c r="J3205" s="2"/>
    </row>
    <row r="3206" spans="1:10" x14ac:dyDescent="0.25">
      <c r="A3206" s="5"/>
      <c r="B3206" s="2"/>
      <c r="F3206" s="3"/>
      <c r="G3206" s="2"/>
      <c r="H3206" s="1"/>
      <c r="J3206" s="2"/>
    </row>
    <row r="3207" spans="1:10" x14ac:dyDescent="0.25">
      <c r="A3207" s="5"/>
      <c r="B3207" s="2"/>
      <c r="F3207" s="3"/>
      <c r="G3207" s="2"/>
      <c r="H3207" s="1"/>
      <c r="J3207" s="2"/>
    </row>
    <row r="3208" spans="1:10" x14ac:dyDescent="0.25">
      <c r="A3208" s="5"/>
      <c r="B3208" s="2"/>
      <c r="F3208" s="3"/>
      <c r="G3208" s="2"/>
      <c r="H3208" s="1"/>
      <c r="J3208" s="2"/>
    </row>
    <row r="3209" spans="1:10" x14ac:dyDescent="0.25">
      <c r="A3209" s="5"/>
      <c r="B3209" s="2"/>
      <c r="F3209" s="3"/>
      <c r="G3209" s="2"/>
      <c r="H3209" s="1"/>
      <c r="J3209" s="2"/>
    </row>
    <row r="3210" spans="1:10" x14ac:dyDescent="0.25">
      <c r="A3210" s="5"/>
      <c r="B3210" s="2"/>
      <c r="F3210" s="3"/>
      <c r="G3210" s="2"/>
      <c r="H3210" s="1"/>
      <c r="J3210" s="2"/>
    </row>
    <row r="3211" spans="1:10" x14ac:dyDescent="0.25">
      <c r="A3211" s="5"/>
      <c r="B3211" s="2"/>
      <c r="F3211" s="3"/>
      <c r="G3211" s="2"/>
      <c r="H3211" s="1"/>
      <c r="J3211" s="2"/>
    </row>
    <row r="3212" spans="1:10" x14ac:dyDescent="0.25">
      <c r="A3212" s="5"/>
      <c r="B3212" s="2"/>
      <c r="F3212" s="3"/>
      <c r="G3212" s="2"/>
      <c r="H3212" s="1"/>
      <c r="J3212" s="2"/>
    </row>
    <row r="3213" spans="1:10" x14ac:dyDescent="0.25">
      <c r="A3213" s="5"/>
      <c r="B3213" s="2"/>
      <c r="F3213" s="3"/>
      <c r="G3213" s="2"/>
      <c r="H3213" s="1"/>
      <c r="J3213" s="2"/>
    </row>
    <row r="3214" spans="1:10" x14ac:dyDescent="0.25">
      <c r="A3214" s="5"/>
      <c r="B3214" s="2"/>
      <c r="F3214" s="3"/>
      <c r="G3214" s="2"/>
      <c r="H3214" s="1"/>
      <c r="J3214" s="2"/>
    </row>
    <row r="3215" spans="1:10" x14ac:dyDescent="0.25">
      <c r="A3215" s="5"/>
      <c r="B3215" s="2"/>
      <c r="F3215" s="3"/>
      <c r="G3215" s="2"/>
      <c r="H3215" s="1"/>
      <c r="J3215" s="2"/>
    </row>
    <row r="3216" spans="1:10" x14ac:dyDescent="0.25">
      <c r="A3216" s="5"/>
      <c r="B3216" s="2"/>
      <c r="F3216" s="3"/>
      <c r="G3216" s="2"/>
      <c r="H3216" s="1"/>
      <c r="J3216" s="2"/>
    </row>
    <row r="3217" spans="1:10" x14ac:dyDescent="0.25">
      <c r="A3217" s="5"/>
      <c r="B3217" s="2"/>
      <c r="F3217" s="3"/>
      <c r="G3217" s="2"/>
      <c r="H3217" s="1"/>
      <c r="J3217" s="2"/>
    </row>
    <row r="3218" spans="1:10" x14ac:dyDescent="0.25">
      <c r="A3218" s="5"/>
      <c r="B3218" s="2"/>
      <c r="F3218" s="3"/>
      <c r="G3218" s="2"/>
      <c r="H3218" s="1"/>
      <c r="J3218" s="2"/>
    </row>
    <row r="3219" spans="1:10" x14ac:dyDescent="0.25">
      <c r="A3219" s="5"/>
      <c r="B3219" s="2"/>
      <c r="F3219" s="3"/>
      <c r="G3219" s="2"/>
      <c r="H3219" s="1"/>
      <c r="J3219" s="2"/>
    </row>
    <row r="3220" spans="1:10" x14ac:dyDescent="0.25">
      <c r="A3220" s="5"/>
      <c r="B3220" s="2"/>
      <c r="F3220" s="3"/>
      <c r="G3220" s="2"/>
      <c r="H3220" s="1"/>
      <c r="J3220" s="2"/>
    </row>
    <row r="3221" spans="1:10" x14ac:dyDescent="0.25">
      <c r="A3221" s="5"/>
      <c r="B3221" s="2"/>
      <c r="F3221" s="3"/>
      <c r="G3221" s="2"/>
      <c r="H3221" s="1"/>
      <c r="J3221" s="2"/>
    </row>
    <row r="3222" spans="1:10" x14ac:dyDescent="0.25">
      <c r="A3222" s="5"/>
      <c r="B3222" s="2"/>
      <c r="F3222" s="3"/>
      <c r="G3222" s="2"/>
      <c r="H3222" s="1"/>
      <c r="J3222" s="2"/>
    </row>
    <row r="3223" spans="1:10" x14ac:dyDescent="0.25">
      <c r="A3223" s="5"/>
      <c r="B3223" s="2"/>
      <c r="F3223" s="3"/>
      <c r="G3223" s="2"/>
      <c r="H3223" s="1"/>
      <c r="J3223" s="2"/>
    </row>
    <row r="3224" spans="1:10" x14ac:dyDescent="0.25">
      <c r="A3224" s="5"/>
      <c r="B3224" s="2"/>
      <c r="F3224" s="3"/>
      <c r="G3224" s="2"/>
      <c r="H3224" s="1"/>
      <c r="J3224" s="2"/>
    </row>
    <row r="3225" spans="1:10" x14ac:dyDescent="0.25">
      <c r="A3225" s="5"/>
      <c r="B3225" s="2"/>
      <c r="F3225" s="3"/>
      <c r="G3225" s="2"/>
      <c r="H3225" s="1"/>
      <c r="J3225" s="2"/>
    </row>
    <row r="3226" spans="1:10" x14ac:dyDescent="0.25">
      <c r="A3226" s="5"/>
      <c r="B3226" s="2"/>
      <c r="F3226" s="3"/>
      <c r="G3226" s="2"/>
      <c r="H3226" s="1"/>
      <c r="J3226" s="2"/>
    </row>
    <row r="3227" spans="1:10" x14ac:dyDescent="0.25">
      <c r="A3227" s="5"/>
      <c r="B3227" s="2"/>
      <c r="F3227" s="3"/>
      <c r="G3227" s="2"/>
      <c r="H3227" s="1"/>
      <c r="J3227" s="2"/>
    </row>
    <row r="3228" spans="1:10" x14ac:dyDescent="0.25">
      <c r="A3228" s="5"/>
      <c r="B3228" s="2"/>
      <c r="F3228" s="3"/>
      <c r="G3228" s="2"/>
      <c r="H3228" s="1"/>
      <c r="J3228" s="2"/>
    </row>
    <row r="3229" spans="1:10" x14ac:dyDescent="0.25">
      <c r="A3229" s="5"/>
      <c r="B3229" s="2"/>
      <c r="F3229" s="3"/>
      <c r="G3229" s="2"/>
      <c r="H3229" s="1"/>
      <c r="J3229" s="2"/>
    </row>
    <row r="3230" spans="1:10" x14ac:dyDescent="0.25">
      <c r="A3230" s="5"/>
      <c r="B3230" s="2"/>
      <c r="F3230" s="3"/>
      <c r="G3230" s="2"/>
      <c r="H3230" s="1"/>
      <c r="J3230" s="2"/>
    </row>
    <row r="3231" spans="1:10" x14ac:dyDescent="0.25">
      <c r="A3231" s="5"/>
      <c r="B3231" s="2"/>
      <c r="F3231" s="3"/>
      <c r="G3231" s="2"/>
      <c r="H3231" s="1"/>
      <c r="J3231" s="2"/>
    </row>
    <row r="3232" spans="1:10" x14ac:dyDescent="0.25">
      <c r="A3232" s="5"/>
      <c r="B3232" s="2"/>
      <c r="F3232" s="3"/>
      <c r="G3232" s="2"/>
      <c r="H3232" s="1"/>
      <c r="J3232" s="2"/>
    </row>
    <row r="3233" spans="1:10" x14ac:dyDescent="0.25">
      <c r="A3233" s="5"/>
      <c r="B3233" s="2"/>
      <c r="F3233" s="3"/>
      <c r="G3233" s="2"/>
      <c r="H3233" s="1"/>
      <c r="J3233" s="2"/>
    </row>
    <row r="3234" spans="1:10" x14ac:dyDescent="0.25">
      <c r="A3234" s="5"/>
      <c r="B3234" s="2"/>
      <c r="F3234" s="3"/>
      <c r="G3234" s="2"/>
      <c r="H3234" s="1"/>
      <c r="J3234" s="2"/>
    </row>
    <row r="3235" spans="1:10" x14ac:dyDescent="0.25">
      <c r="A3235" s="5"/>
      <c r="B3235" s="2"/>
      <c r="F3235" s="3"/>
      <c r="G3235" s="2"/>
      <c r="H3235" s="1"/>
      <c r="J3235" s="2"/>
    </row>
    <row r="3236" spans="1:10" x14ac:dyDescent="0.25">
      <c r="A3236" s="5"/>
      <c r="B3236" s="2"/>
      <c r="F3236" s="3"/>
      <c r="G3236" s="2"/>
      <c r="H3236" s="1"/>
      <c r="J3236" s="2"/>
    </row>
    <row r="3237" spans="1:10" x14ac:dyDescent="0.25">
      <c r="A3237" s="5"/>
      <c r="B3237" s="2"/>
      <c r="F3237" s="3"/>
      <c r="G3237" s="2"/>
      <c r="H3237" s="1"/>
      <c r="J3237" s="2"/>
    </row>
    <row r="3238" spans="1:10" x14ac:dyDescent="0.25">
      <c r="A3238" s="5"/>
      <c r="B3238" s="2"/>
      <c r="F3238" s="3"/>
      <c r="G3238" s="2"/>
      <c r="H3238" s="1"/>
      <c r="J3238" s="2"/>
    </row>
    <row r="3239" spans="1:10" x14ac:dyDescent="0.25">
      <c r="A3239" s="5"/>
      <c r="B3239" s="2"/>
      <c r="F3239" s="3"/>
      <c r="G3239" s="2"/>
      <c r="H3239" s="1"/>
      <c r="J3239" s="2"/>
    </row>
    <row r="3240" spans="1:10" x14ac:dyDescent="0.25">
      <c r="A3240" s="5"/>
      <c r="B3240" s="2"/>
      <c r="F3240" s="3"/>
      <c r="G3240" s="2"/>
      <c r="H3240" s="1"/>
      <c r="J3240" s="2"/>
    </row>
    <row r="3241" spans="1:10" x14ac:dyDescent="0.25">
      <c r="A3241" s="5"/>
      <c r="B3241" s="2"/>
      <c r="F3241" s="3"/>
      <c r="G3241" s="2"/>
      <c r="H3241" s="1"/>
      <c r="J3241" s="2"/>
    </row>
    <row r="3242" spans="1:10" x14ac:dyDescent="0.25">
      <c r="A3242" s="5"/>
      <c r="B3242" s="2"/>
      <c r="F3242" s="3"/>
      <c r="G3242" s="2"/>
      <c r="H3242" s="1"/>
      <c r="J3242" s="2"/>
    </row>
    <row r="3243" spans="1:10" x14ac:dyDescent="0.25">
      <c r="A3243" s="5"/>
      <c r="B3243" s="2"/>
      <c r="F3243" s="3"/>
      <c r="G3243" s="2"/>
      <c r="H3243" s="1"/>
      <c r="J3243" s="2"/>
    </row>
    <row r="3244" spans="1:10" x14ac:dyDescent="0.25">
      <c r="A3244" s="5"/>
      <c r="B3244" s="2"/>
      <c r="F3244" s="3"/>
      <c r="G3244" s="2"/>
      <c r="H3244" s="1"/>
      <c r="J3244" s="2"/>
    </row>
    <row r="3245" spans="1:10" x14ac:dyDescent="0.25">
      <c r="A3245" s="5"/>
      <c r="B3245" s="2"/>
      <c r="F3245" s="3"/>
      <c r="G3245" s="2"/>
      <c r="H3245" s="1"/>
      <c r="J3245" s="2"/>
    </row>
    <row r="3246" spans="1:10" x14ac:dyDescent="0.25">
      <c r="A3246" s="5"/>
      <c r="B3246" s="2"/>
      <c r="F3246" s="3"/>
      <c r="G3246" s="2"/>
      <c r="H3246" s="1"/>
      <c r="J3246" s="2"/>
    </row>
    <row r="3247" spans="1:10" x14ac:dyDescent="0.25">
      <c r="A3247" s="5"/>
      <c r="B3247" s="2"/>
      <c r="F3247" s="3"/>
      <c r="G3247" s="2"/>
      <c r="H3247" s="1"/>
      <c r="J3247" s="2"/>
    </row>
    <row r="3248" spans="1:10" x14ac:dyDescent="0.25">
      <c r="A3248" s="5"/>
      <c r="B3248" s="2"/>
      <c r="F3248" s="3"/>
      <c r="G3248" s="2"/>
      <c r="H3248" s="1"/>
      <c r="J3248" s="2"/>
    </row>
    <row r="3249" spans="1:10" x14ac:dyDescent="0.25">
      <c r="A3249" s="5"/>
      <c r="B3249" s="2"/>
      <c r="F3249" s="3"/>
      <c r="G3249" s="2"/>
      <c r="H3249" s="1"/>
      <c r="J3249" s="2"/>
    </row>
    <row r="3250" spans="1:10" x14ac:dyDescent="0.25">
      <c r="A3250" s="5"/>
      <c r="B3250" s="2"/>
      <c r="F3250" s="3"/>
      <c r="G3250" s="2"/>
      <c r="H3250" s="1"/>
      <c r="J3250" s="2"/>
    </row>
    <row r="3251" spans="1:10" x14ac:dyDescent="0.25">
      <c r="A3251" s="5"/>
      <c r="B3251" s="2"/>
      <c r="F3251" s="3"/>
      <c r="G3251" s="2"/>
      <c r="H3251" s="1"/>
      <c r="J3251" s="2"/>
    </row>
    <row r="3252" spans="1:10" x14ac:dyDescent="0.25">
      <c r="A3252" s="5"/>
      <c r="B3252" s="2"/>
      <c r="F3252" s="3"/>
      <c r="G3252" s="2"/>
      <c r="H3252" s="1"/>
      <c r="J3252" s="2"/>
    </row>
    <row r="3253" spans="1:10" x14ac:dyDescent="0.25">
      <c r="A3253" s="5"/>
      <c r="B3253" s="2"/>
      <c r="F3253" s="3"/>
      <c r="G3253" s="2"/>
      <c r="H3253" s="1"/>
      <c r="J3253" s="2"/>
    </row>
    <row r="3254" spans="1:10" x14ac:dyDescent="0.25">
      <c r="A3254" s="5"/>
      <c r="B3254" s="2"/>
      <c r="F3254" s="3"/>
      <c r="G3254" s="2"/>
      <c r="H3254" s="1"/>
      <c r="J3254" s="2"/>
    </row>
    <row r="3255" spans="1:10" x14ac:dyDescent="0.25">
      <c r="A3255" s="5"/>
      <c r="B3255" s="2"/>
      <c r="F3255" s="3"/>
      <c r="G3255" s="2"/>
      <c r="H3255" s="1"/>
      <c r="J3255" s="2"/>
    </row>
    <row r="3256" spans="1:10" x14ac:dyDescent="0.25">
      <c r="A3256" s="5"/>
      <c r="B3256" s="2"/>
      <c r="F3256" s="3"/>
      <c r="G3256" s="2"/>
      <c r="H3256" s="1"/>
      <c r="J3256" s="2"/>
    </row>
    <row r="3257" spans="1:10" x14ac:dyDescent="0.25">
      <c r="A3257" s="5"/>
      <c r="B3257" s="2"/>
      <c r="F3257" s="3"/>
      <c r="G3257" s="2"/>
      <c r="H3257" s="1"/>
      <c r="J3257" s="2"/>
    </row>
    <row r="3258" spans="1:10" x14ac:dyDescent="0.25">
      <c r="A3258" s="5"/>
      <c r="B3258" s="2"/>
      <c r="F3258" s="3"/>
      <c r="G3258" s="2"/>
      <c r="H3258" s="1"/>
      <c r="J3258" s="2"/>
    </row>
    <row r="3259" spans="1:10" x14ac:dyDescent="0.25">
      <c r="A3259" s="5"/>
      <c r="B3259" s="2"/>
      <c r="F3259" s="3"/>
      <c r="G3259" s="2"/>
      <c r="H3259" s="1"/>
      <c r="J3259" s="2"/>
    </row>
    <row r="3260" spans="1:10" x14ac:dyDescent="0.25">
      <c r="A3260" s="5"/>
      <c r="B3260" s="2"/>
      <c r="F3260" s="3"/>
      <c r="G3260" s="2"/>
      <c r="H3260" s="1"/>
      <c r="J3260" s="2"/>
    </row>
    <row r="3261" spans="1:10" x14ac:dyDescent="0.25">
      <c r="A3261" s="5"/>
      <c r="B3261" s="2"/>
      <c r="F3261" s="3"/>
      <c r="G3261" s="2"/>
      <c r="H3261" s="1"/>
      <c r="J3261" s="2"/>
    </row>
    <row r="3262" spans="1:10" x14ac:dyDescent="0.25">
      <c r="A3262" s="5"/>
      <c r="B3262" s="2"/>
      <c r="F3262" s="3"/>
      <c r="G3262" s="2"/>
      <c r="H3262" s="1"/>
      <c r="J3262" s="2"/>
    </row>
    <row r="3263" spans="1:10" x14ac:dyDescent="0.25">
      <c r="A3263" s="5"/>
      <c r="B3263" s="2"/>
      <c r="F3263" s="3"/>
      <c r="G3263" s="2"/>
      <c r="H3263" s="1"/>
      <c r="J3263" s="2"/>
    </row>
    <row r="3264" spans="1:10" x14ac:dyDescent="0.25">
      <c r="A3264" s="5"/>
      <c r="B3264" s="2"/>
      <c r="F3264" s="3"/>
      <c r="G3264" s="2"/>
      <c r="H3264" s="1"/>
      <c r="J3264" s="2"/>
    </row>
    <row r="3265" spans="1:10" x14ac:dyDescent="0.25">
      <c r="A3265" s="5"/>
      <c r="B3265" s="2"/>
      <c r="F3265" s="3"/>
      <c r="G3265" s="2"/>
      <c r="H3265" s="1"/>
      <c r="J3265" s="2"/>
    </row>
    <row r="3266" spans="1:10" x14ac:dyDescent="0.25">
      <c r="A3266" s="5"/>
      <c r="B3266" s="2"/>
      <c r="F3266" s="3"/>
      <c r="G3266" s="2"/>
      <c r="H3266" s="1"/>
      <c r="J3266" s="2"/>
    </row>
    <row r="3267" spans="1:10" x14ac:dyDescent="0.25">
      <c r="A3267" s="5"/>
      <c r="B3267" s="2"/>
      <c r="F3267" s="3"/>
      <c r="G3267" s="2"/>
      <c r="H3267" s="1"/>
      <c r="J3267" s="2"/>
    </row>
    <row r="3268" spans="1:10" x14ac:dyDescent="0.25">
      <c r="A3268" s="5"/>
      <c r="B3268" s="2"/>
      <c r="F3268" s="3"/>
      <c r="G3268" s="2"/>
      <c r="H3268" s="1"/>
      <c r="J3268" s="2"/>
    </row>
    <row r="3269" spans="1:10" x14ac:dyDescent="0.25">
      <c r="A3269" s="5"/>
      <c r="B3269" s="2"/>
      <c r="F3269" s="3"/>
      <c r="G3269" s="2"/>
      <c r="H3269" s="1"/>
      <c r="J3269" s="2"/>
    </row>
    <row r="3270" spans="1:10" x14ac:dyDescent="0.25">
      <c r="A3270" s="5"/>
      <c r="B3270" s="2"/>
      <c r="F3270" s="3"/>
      <c r="G3270" s="2"/>
      <c r="H3270" s="1"/>
      <c r="J3270" s="2"/>
    </row>
    <row r="3271" spans="1:10" x14ac:dyDescent="0.25">
      <c r="A3271" s="5"/>
      <c r="B3271" s="2"/>
      <c r="F3271" s="3"/>
      <c r="G3271" s="2"/>
      <c r="H3271" s="1"/>
      <c r="J3271" s="2"/>
    </row>
    <row r="3272" spans="1:10" x14ac:dyDescent="0.25">
      <c r="A3272" s="5"/>
      <c r="B3272" s="2"/>
      <c r="F3272" s="3"/>
      <c r="G3272" s="2"/>
      <c r="H3272" s="1"/>
      <c r="J3272" s="2"/>
    </row>
    <row r="3273" spans="1:10" x14ac:dyDescent="0.25">
      <c r="A3273" s="5"/>
      <c r="B3273" s="2"/>
      <c r="F3273" s="3"/>
      <c r="G3273" s="2"/>
      <c r="H3273" s="1"/>
      <c r="J3273" s="2"/>
    </row>
    <row r="3274" spans="1:10" x14ac:dyDescent="0.25">
      <c r="A3274" s="5"/>
      <c r="B3274" s="2"/>
      <c r="F3274" s="3"/>
      <c r="G3274" s="2"/>
      <c r="H3274" s="1"/>
      <c r="J3274" s="2"/>
    </row>
    <row r="3275" spans="1:10" x14ac:dyDescent="0.25">
      <c r="A3275" s="5"/>
      <c r="B3275" s="2"/>
      <c r="F3275" s="3"/>
      <c r="G3275" s="2"/>
      <c r="H3275" s="1"/>
      <c r="J3275" s="2"/>
    </row>
    <row r="3276" spans="1:10" x14ac:dyDescent="0.25">
      <c r="A3276" s="5"/>
      <c r="B3276" s="2"/>
      <c r="F3276" s="3"/>
      <c r="G3276" s="2"/>
      <c r="H3276" s="1"/>
      <c r="J3276" s="2"/>
    </row>
    <row r="3277" spans="1:10" x14ac:dyDescent="0.25">
      <c r="A3277" s="5"/>
      <c r="B3277" s="2"/>
      <c r="F3277" s="3"/>
      <c r="G3277" s="2"/>
      <c r="H3277" s="1"/>
      <c r="J3277" s="2"/>
    </row>
    <row r="3278" spans="1:10" x14ac:dyDescent="0.25">
      <c r="A3278" s="5"/>
      <c r="B3278" s="2"/>
      <c r="F3278" s="3"/>
      <c r="G3278" s="2"/>
      <c r="H3278" s="1"/>
      <c r="J3278" s="2"/>
    </row>
    <row r="3279" spans="1:10" x14ac:dyDescent="0.25">
      <c r="A3279" s="5"/>
      <c r="B3279" s="2"/>
      <c r="F3279" s="3"/>
      <c r="G3279" s="2"/>
      <c r="H3279" s="1"/>
      <c r="J3279" s="2"/>
    </row>
    <row r="3280" spans="1:10" x14ac:dyDescent="0.25">
      <c r="A3280" s="5"/>
      <c r="B3280" s="2"/>
      <c r="F3280" s="3"/>
      <c r="G3280" s="2"/>
      <c r="H3280" s="1"/>
      <c r="J3280" s="2"/>
    </row>
    <row r="3281" spans="1:10" x14ac:dyDescent="0.25">
      <c r="A3281" s="5"/>
      <c r="B3281" s="2"/>
      <c r="F3281" s="3"/>
      <c r="G3281" s="2"/>
      <c r="H3281" s="1"/>
      <c r="J3281" s="2"/>
    </row>
    <row r="3282" spans="1:10" x14ac:dyDescent="0.25">
      <c r="A3282" s="5"/>
      <c r="B3282" s="2"/>
      <c r="F3282" s="3"/>
      <c r="G3282" s="2"/>
      <c r="H3282" s="1"/>
      <c r="J3282" s="2"/>
    </row>
    <row r="3283" spans="1:10" x14ac:dyDescent="0.25">
      <c r="A3283" s="5"/>
      <c r="B3283" s="2"/>
      <c r="F3283" s="3"/>
      <c r="G3283" s="2"/>
      <c r="H3283" s="1"/>
      <c r="J3283" s="2"/>
    </row>
    <row r="3284" spans="1:10" x14ac:dyDescent="0.25">
      <c r="A3284" s="5"/>
      <c r="B3284" s="2"/>
      <c r="F3284" s="3"/>
      <c r="G3284" s="2"/>
      <c r="H3284" s="1"/>
      <c r="J3284" s="2"/>
    </row>
    <row r="3285" spans="1:10" x14ac:dyDescent="0.25">
      <c r="A3285" s="5"/>
      <c r="B3285" s="2"/>
      <c r="F3285" s="3"/>
      <c r="G3285" s="2"/>
      <c r="H3285" s="1"/>
      <c r="J3285" s="2"/>
    </row>
    <row r="3286" spans="1:10" x14ac:dyDescent="0.25">
      <c r="A3286" s="5"/>
      <c r="B3286" s="2"/>
      <c r="F3286" s="3"/>
      <c r="G3286" s="2"/>
      <c r="H3286" s="1"/>
      <c r="J3286" s="2"/>
    </row>
    <row r="3287" spans="1:10" x14ac:dyDescent="0.25">
      <c r="A3287" s="5"/>
      <c r="B3287" s="2"/>
      <c r="F3287" s="3"/>
      <c r="G3287" s="2"/>
      <c r="H3287" s="1"/>
      <c r="J3287" s="2"/>
    </row>
    <row r="3288" spans="1:10" x14ac:dyDescent="0.25">
      <c r="A3288" s="5"/>
      <c r="B3288" s="2"/>
      <c r="F3288" s="3"/>
      <c r="G3288" s="2"/>
      <c r="H3288" s="1"/>
      <c r="J3288" s="2"/>
    </row>
    <row r="3289" spans="1:10" x14ac:dyDescent="0.25">
      <c r="A3289" s="5"/>
      <c r="B3289" s="2"/>
      <c r="F3289" s="3"/>
      <c r="G3289" s="2"/>
      <c r="H3289" s="1"/>
      <c r="J3289" s="2"/>
    </row>
    <row r="3290" spans="1:10" x14ac:dyDescent="0.25">
      <c r="A3290" s="5"/>
      <c r="B3290" s="2"/>
      <c r="F3290" s="3"/>
      <c r="G3290" s="2"/>
      <c r="H3290" s="1"/>
      <c r="J3290" s="2"/>
    </row>
    <row r="3291" spans="1:10" x14ac:dyDescent="0.25">
      <c r="A3291" s="5"/>
      <c r="B3291" s="2"/>
      <c r="F3291" s="3"/>
      <c r="G3291" s="2"/>
      <c r="H3291" s="1"/>
      <c r="J3291" s="2"/>
    </row>
    <row r="3292" spans="1:10" x14ac:dyDescent="0.25">
      <c r="A3292" s="5"/>
      <c r="B3292" s="2"/>
      <c r="F3292" s="3"/>
      <c r="G3292" s="2"/>
      <c r="H3292" s="1"/>
      <c r="J3292" s="2"/>
    </row>
    <row r="3293" spans="1:10" x14ac:dyDescent="0.25">
      <c r="A3293" s="5"/>
      <c r="B3293" s="2"/>
      <c r="F3293" s="3"/>
      <c r="G3293" s="2"/>
      <c r="H3293" s="1"/>
      <c r="J3293" s="2"/>
    </row>
    <row r="3294" spans="1:10" x14ac:dyDescent="0.25">
      <c r="A3294" s="5"/>
      <c r="B3294" s="2"/>
      <c r="F3294" s="3"/>
      <c r="G3294" s="2"/>
      <c r="H3294" s="1"/>
      <c r="J3294" s="2"/>
    </row>
    <row r="3295" spans="1:10" x14ac:dyDescent="0.25">
      <c r="A3295" s="5"/>
      <c r="B3295" s="2"/>
      <c r="F3295" s="3"/>
      <c r="G3295" s="2"/>
      <c r="H3295" s="1"/>
      <c r="J3295" s="2"/>
    </row>
    <row r="3296" spans="1:10" x14ac:dyDescent="0.25">
      <c r="A3296" s="5"/>
      <c r="B3296" s="2"/>
      <c r="F3296" s="3"/>
      <c r="G3296" s="2"/>
      <c r="H3296" s="1"/>
      <c r="J3296" s="2"/>
    </row>
    <row r="3297" spans="1:10" x14ac:dyDescent="0.25">
      <c r="A3297" s="5"/>
      <c r="B3297" s="2"/>
      <c r="F3297" s="3"/>
      <c r="G3297" s="2"/>
      <c r="H3297" s="1"/>
      <c r="J3297" s="2"/>
    </row>
    <row r="3298" spans="1:10" x14ac:dyDescent="0.25">
      <c r="A3298" s="5"/>
      <c r="B3298" s="2"/>
      <c r="F3298" s="3"/>
      <c r="G3298" s="2"/>
      <c r="H3298" s="1"/>
      <c r="J3298" s="2"/>
    </row>
    <row r="3299" spans="1:10" x14ac:dyDescent="0.25">
      <c r="A3299" s="5"/>
      <c r="B3299" s="2"/>
      <c r="F3299" s="3"/>
      <c r="G3299" s="2"/>
      <c r="H3299" s="1"/>
      <c r="J3299" s="2"/>
    </row>
    <row r="3300" spans="1:10" x14ac:dyDescent="0.25">
      <c r="A3300" s="5"/>
      <c r="B3300" s="2"/>
      <c r="F3300" s="3"/>
      <c r="G3300" s="2"/>
      <c r="H3300" s="1"/>
      <c r="J3300" s="2"/>
    </row>
    <row r="3301" spans="1:10" x14ac:dyDescent="0.25">
      <c r="A3301" s="5"/>
      <c r="B3301" s="2"/>
      <c r="F3301" s="3"/>
      <c r="G3301" s="2"/>
      <c r="H3301" s="1"/>
      <c r="J3301" s="2"/>
    </row>
    <row r="3302" spans="1:10" x14ac:dyDescent="0.25">
      <c r="A3302" s="5"/>
      <c r="B3302" s="2"/>
      <c r="F3302" s="3"/>
      <c r="G3302" s="2"/>
      <c r="H3302" s="1"/>
      <c r="J3302" s="2"/>
    </row>
    <row r="3303" spans="1:10" x14ac:dyDescent="0.25">
      <c r="A3303" s="5"/>
      <c r="B3303" s="2"/>
      <c r="F3303" s="3"/>
      <c r="G3303" s="2"/>
      <c r="H3303" s="1"/>
      <c r="J3303" s="2"/>
    </row>
    <row r="3304" spans="1:10" x14ac:dyDescent="0.25">
      <c r="A3304" s="5"/>
      <c r="B3304" s="2"/>
      <c r="F3304" s="3"/>
      <c r="G3304" s="2"/>
      <c r="H3304" s="1"/>
      <c r="J3304" s="2"/>
    </row>
    <row r="3305" spans="1:10" x14ac:dyDescent="0.25">
      <c r="A3305" s="5"/>
      <c r="B3305" s="2"/>
      <c r="F3305" s="3"/>
      <c r="G3305" s="2"/>
      <c r="H3305" s="1"/>
      <c r="J3305" s="2"/>
    </row>
    <row r="3306" spans="1:10" x14ac:dyDescent="0.25">
      <c r="A3306" s="5"/>
      <c r="B3306" s="2"/>
      <c r="F3306" s="3"/>
      <c r="G3306" s="2"/>
      <c r="H3306" s="1"/>
      <c r="J3306" s="2"/>
    </row>
    <row r="3307" spans="1:10" x14ac:dyDescent="0.25">
      <c r="A3307" s="5"/>
      <c r="B3307" s="2"/>
      <c r="F3307" s="3"/>
      <c r="G3307" s="2"/>
      <c r="H3307" s="1"/>
      <c r="J3307" s="2"/>
    </row>
    <row r="3308" spans="1:10" x14ac:dyDescent="0.25">
      <c r="A3308" s="5"/>
      <c r="B3308" s="2"/>
      <c r="F3308" s="3"/>
      <c r="G3308" s="2"/>
      <c r="H3308" s="1"/>
      <c r="J3308" s="2"/>
    </row>
    <row r="3309" spans="1:10" x14ac:dyDescent="0.25">
      <c r="A3309" s="5"/>
      <c r="B3309" s="2"/>
      <c r="F3309" s="3"/>
      <c r="G3309" s="2"/>
      <c r="H3309" s="1"/>
      <c r="J3309" s="2"/>
    </row>
    <row r="3310" spans="1:10" x14ac:dyDescent="0.25">
      <c r="A3310" s="5"/>
      <c r="B3310" s="2"/>
      <c r="F3310" s="3"/>
      <c r="G3310" s="2"/>
      <c r="H3310" s="1"/>
      <c r="J3310" s="2"/>
    </row>
    <row r="3311" spans="1:10" x14ac:dyDescent="0.25">
      <c r="A3311" s="5"/>
      <c r="B3311" s="2"/>
      <c r="F3311" s="3"/>
      <c r="G3311" s="2"/>
      <c r="H3311" s="1"/>
      <c r="J3311" s="2"/>
    </row>
    <row r="3312" spans="1:10" x14ac:dyDescent="0.25">
      <c r="A3312" s="5"/>
      <c r="B3312" s="2"/>
      <c r="F3312" s="3"/>
      <c r="G3312" s="2"/>
      <c r="H3312" s="1"/>
      <c r="J3312" s="2"/>
    </row>
    <row r="3313" spans="1:10" x14ac:dyDescent="0.25">
      <c r="A3313" s="5"/>
      <c r="B3313" s="2"/>
      <c r="F3313" s="3"/>
      <c r="G3313" s="2"/>
      <c r="H3313" s="1"/>
      <c r="J3313" s="2"/>
    </row>
    <row r="3314" spans="1:10" x14ac:dyDescent="0.25">
      <c r="A3314" s="5"/>
      <c r="B3314" s="2"/>
      <c r="F3314" s="3"/>
      <c r="G3314" s="2"/>
      <c r="H3314" s="1"/>
      <c r="J3314" s="2"/>
    </row>
    <row r="3315" spans="1:10" x14ac:dyDescent="0.25">
      <c r="A3315" s="5"/>
      <c r="B3315" s="2"/>
      <c r="F3315" s="3"/>
      <c r="G3315" s="2"/>
      <c r="H3315" s="1"/>
      <c r="J3315" s="2"/>
    </row>
    <row r="3316" spans="1:10" x14ac:dyDescent="0.25">
      <c r="A3316" s="5"/>
      <c r="B3316" s="2"/>
      <c r="F3316" s="3"/>
      <c r="G3316" s="2"/>
      <c r="H3316" s="1"/>
      <c r="J3316" s="2"/>
    </row>
    <row r="3317" spans="1:10" x14ac:dyDescent="0.25">
      <c r="A3317" s="5"/>
      <c r="B3317" s="2"/>
      <c r="F3317" s="3"/>
      <c r="G3317" s="2"/>
      <c r="H3317" s="1"/>
      <c r="J3317" s="2"/>
    </row>
    <row r="3318" spans="1:10" x14ac:dyDescent="0.25">
      <c r="A3318" s="5"/>
      <c r="B3318" s="2"/>
      <c r="F3318" s="3"/>
      <c r="G3318" s="2"/>
      <c r="H3318" s="1"/>
      <c r="J3318" s="2"/>
    </row>
    <row r="3319" spans="1:10" x14ac:dyDescent="0.25">
      <c r="A3319" s="5"/>
      <c r="B3319" s="2"/>
      <c r="F3319" s="3"/>
      <c r="G3319" s="2"/>
      <c r="H3319" s="1"/>
      <c r="J3319" s="2"/>
    </row>
    <row r="3320" spans="1:10" x14ac:dyDescent="0.25">
      <c r="A3320" s="5"/>
      <c r="B3320" s="2"/>
      <c r="F3320" s="3"/>
      <c r="G3320" s="2"/>
      <c r="H3320" s="1"/>
      <c r="J3320" s="2"/>
    </row>
    <row r="3321" spans="1:10" x14ac:dyDescent="0.25">
      <c r="A3321" s="5"/>
      <c r="B3321" s="2"/>
      <c r="F3321" s="3"/>
      <c r="G3321" s="2"/>
      <c r="H3321" s="1"/>
      <c r="J3321" s="2"/>
    </row>
    <row r="3322" spans="1:10" x14ac:dyDescent="0.25">
      <c r="A3322" s="5"/>
      <c r="B3322" s="2"/>
      <c r="F3322" s="3"/>
      <c r="G3322" s="2"/>
      <c r="H3322" s="1"/>
      <c r="J3322" s="2"/>
    </row>
    <row r="3323" spans="1:10" x14ac:dyDescent="0.25">
      <c r="A3323" s="5"/>
      <c r="B3323" s="2"/>
      <c r="F3323" s="3"/>
      <c r="G3323" s="2"/>
      <c r="H3323" s="1"/>
      <c r="J3323" s="2"/>
    </row>
    <row r="3324" spans="1:10" x14ac:dyDescent="0.25">
      <c r="A3324" s="5"/>
      <c r="B3324" s="2"/>
      <c r="F3324" s="3"/>
      <c r="G3324" s="2"/>
      <c r="H3324" s="1"/>
      <c r="J3324" s="2"/>
    </row>
    <row r="3325" spans="1:10" x14ac:dyDescent="0.25">
      <c r="A3325" s="5"/>
      <c r="B3325" s="2"/>
      <c r="F3325" s="3"/>
      <c r="G3325" s="2"/>
      <c r="H3325" s="1"/>
      <c r="J3325" s="2"/>
    </row>
    <row r="3326" spans="1:10" x14ac:dyDescent="0.25">
      <c r="A3326" s="5"/>
      <c r="B3326" s="2"/>
      <c r="F3326" s="3"/>
      <c r="G3326" s="2"/>
      <c r="H3326" s="1"/>
      <c r="J3326" s="2"/>
    </row>
    <row r="3327" spans="1:10" x14ac:dyDescent="0.25">
      <c r="A3327" s="5"/>
      <c r="B3327" s="2"/>
      <c r="F3327" s="3"/>
      <c r="G3327" s="2"/>
      <c r="H3327" s="1"/>
      <c r="J3327" s="2"/>
    </row>
    <row r="3328" spans="1:10" x14ac:dyDescent="0.25">
      <c r="A3328" s="5"/>
      <c r="B3328" s="2"/>
      <c r="F3328" s="3"/>
      <c r="G3328" s="2"/>
      <c r="H3328" s="1"/>
      <c r="J3328" s="2"/>
    </row>
    <row r="3329" spans="1:10" x14ac:dyDescent="0.25">
      <c r="A3329" s="5"/>
      <c r="B3329" s="2"/>
      <c r="F3329" s="3"/>
      <c r="G3329" s="2"/>
      <c r="H3329" s="1"/>
      <c r="J3329" s="2"/>
    </row>
    <row r="3330" spans="1:10" x14ac:dyDescent="0.25">
      <c r="A3330" s="5"/>
      <c r="B3330" s="2"/>
      <c r="F3330" s="3"/>
      <c r="G3330" s="2"/>
      <c r="H3330" s="1"/>
      <c r="J3330" s="2"/>
    </row>
    <row r="3331" spans="1:10" x14ac:dyDescent="0.25">
      <c r="A3331" s="5"/>
      <c r="B3331" s="2"/>
      <c r="F3331" s="3"/>
      <c r="G3331" s="2"/>
      <c r="H3331" s="1"/>
      <c r="J3331" s="2"/>
    </row>
    <row r="3332" spans="1:10" x14ac:dyDescent="0.25">
      <c r="A3332" s="5"/>
      <c r="B3332" s="2"/>
      <c r="F3332" s="3"/>
      <c r="G3332" s="2"/>
      <c r="H3332" s="1"/>
      <c r="J3332" s="2"/>
    </row>
    <row r="3333" spans="1:10" x14ac:dyDescent="0.25">
      <c r="A3333" s="5"/>
      <c r="B3333" s="2"/>
      <c r="F3333" s="3"/>
      <c r="G3333" s="2"/>
      <c r="H3333" s="1"/>
      <c r="J3333" s="2"/>
    </row>
    <row r="3334" spans="1:10" x14ac:dyDescent="0.25">
      <c r="A3334" s="5"/>
      <c r="B3334" s="2"/>
      <c r="F3334" s="3"/>
      <c r="G3334" s="2"/>
      <c r="H3334" s="1"/>
      <c r="J3334" s="2"/>
    </row>
    <row r="3335" spans="1:10" x14ac:dyDescent="0.25">
      <c r="A3335" s="5"/>
      <c r="B3335" s="2"/>
      <c r="F3335" s="3"/>
      <c r="G3335" s="2"/>
      <c r="H3335" s="1"/>
      <c r="J3335" s="2"/>
    </row>
    <row r="3336" spans="1:10" x14ac:dyDescent="0.25">
      <c r="A3336" s="5"/>
      <c r="B3336" s="2"/>
      <c r="F3336" s="3"/>
      <c r="G3336" s="2"/>
      <c r="H3336" s="1"/>
      <c r="J3336" s="2"/>
    </row>
    <row r="3337" spans="1:10" x14ac:dyDescent="0.25">
      <c r="A3337" s="5"/>
      <c r="B3337" s="2"/>
      <c r="F3337" s="3"/>
      <c r="G3337" s="2"/>
      <c r="H3337" s="1"/>
      <c r="J3337" s="2"/>
    </row>
    <row r="3338" spans="1:10" x14ac:dyDescent="0.25">
      <c r="A3338" s="5"/>
      <c r="B3338" s="2"/>
      <c r="F3338" s="3"/>
      <c r="G3338" s="2"/>
      <c r="H3338" s="1"/>
      <c r="J3338" s="2"/>
    </row>
    <row r="3339" spans="1:10" x14ac:dyDescent="0.25">
      <c r="A3339" s="5"/>
      <c r="B3339" s="2"/>
      <c r="F3339" s="3"/>
      <c r="G3339" s="2"/>
      <c r="H3339" s="1"/>
      <c r="J3339" s="2"/>
    </row>
    <row r="3340" spans="1:10" x14ac:dyDescent="0.25">
      <c r="A3340" s="5"/>
      <c r="B3340" s="2"/>
      <c r="F3340" s="3"/>
      <c r="G3340" s="2"/>
      <c r="H3340" s="1"/>
      <c r="J3340" s="2"/>
    </row>
    <row r="3341" spans="1:10" x14ac:dyDescent="0.25">
      <c r="A3341" s="5"/>
      <c r="B3341" s="2"/>
      <c r="F3341" s="3"/>
      <c r="G3341" s="2"/>
      <c r="H3341" s="1"/>
      <c r="J3341" s="2"/>
    </row>
    <row r="3342" spans="1:10" x14ac:dyDescent="0.25">
      <c r="A3342" s="5"/>
      <c r="B3342" s="2"/>
      <c r="F3342" s="3"/>
      <c r="G3342" s="2"/>
      <c r="H3342" s="1"/>
      <c r="J3342" s="2"/>
    </row>
    <row r="3343" spans="1:10" x14ac:dyDescent="0.25">
      <c r="A3343" s="5"/>
      <c r="B3343" s="2"/>
      <c r="F3343" s="3"/>
      <c r="G3343" s="2"/>
      <c r="H3343" s="1"/>
      <c r="J3343" s="2"/>
    </row>
    <row r="3344" spans="1:10" x14ac:dyDescent="0.25">
      <c r="A3344" s="5"/>
      <c r="B3344" s="2"/>
      <c r="F3344" s="3"/>
      <c r="G3344" s="2"/>
      <c r="H3344" s="1"/>
      <c r="J3344" s="2"/>
    </row>
    <row r="3345" spans="1:10" x14ac:dyDescent="0.25">
      <c r="A3345" s="5"/>
      <c r="B3345" s="2"/>
      <c r="F3345" s="3"/>
      <c r="G3345" s="2"/>
      <c r="H3345" s="1"/>
      <c r="J3345" s="2"/>
    </row>
    <row r="3346" spans="1:10" x14ac:dyDescent="0.25">
      <c r="A3346" s="5"/>
      <c r="B3346" s="2"/>
      <c r="F3346" s="3"/>
      <c r="G3346" s="2"/>
      <c r="H3346" s="1"/>
      <c r="J3346" s="2"/>
    </row>
    <row r="3347" spans="1:10" x14ac:dyDescent="0.25">
      <c r="A3347" s="5"/>
      <c r="B3347" s="2"/>
      <c r="F3347" s="3"/>
      <c r="G3347" s="2"/>
      <c r="H3347" s="1"/>
      <c r="J3347" s="2"/>
    </row>
    <row r="3348" spans="1:10" x14ac:dyDescent="0.25">
      <c r="A3348" s="5"/>
      <c r="B3348" s="2"/>
      <c r="F3348" s="3"/>
      <c r="G3348" s="2"/>
      <c r="H3348" s="1"/>
      <c r="J3348" s="2"/>
    </row>
    <row r="3349" spans="1:10" x14ac:dyDescent="0.25">
      <c r="A3349" s="5"/>
      <c r="B3349" s="2"/>
      <c r="F3349" s="3"/>
      <c r="G3349" s="2"/>
      <c r="H3349" s="1"/>
      <c r="J3349" s="2"/>
    </row>
    <row r="3350" spans="1:10" x14ac:dyDescent="0.25">
      <c r="A3350" s="5"/>
      <c r="B3350" s="2"/>
      <c r="F3350" s="3"/>
      <c r="G3350" s="2"/>
      <c r="H3350" s="1"/>
      <c r="J3350" s="2"/>
    </row>
    <row r="3351" spans="1:10" x14ac:dyDescent="0.25">
      <c r="A3351" s="5"/>
      <c r="B3351" s="2"/>
      <c r="F3351" s="3"/>
      <c r="G3351" s="2"/>
      <c r="H3351" s="1"/>
      <c r="J3351" s="2"/>
    </row>
    <row r="3352" spans="1:10" x14ac:dyDescent="0.25">
      <c r="A3352" s="5"/>
      <c r="B3352" s="2"/>
      <c r="F3352" s="3"/>
      <c r="G3352" s="2"/>
      <c r="H3352" s="1"/>
      <c r="J3352" s="2"/>
    </row>
    <row r="3353" spans="1:10" x14ac:dyDescent="0.25">
      <c r="A3353" s="5"/>
      <c r="B3353" s="2"/>
      <c r="F3353" s="3"/>
      <c r="G3353" s="2"/>
      <c r="H3353" s="1"/>
      <c r="J3353" s="2"/>
    </row>
    <row r="3354" spans="1:10" x14ac:dyDescent="0.25">
      <c r="A3354" s="5"/>
      <c r="B3354" s="2"/>
      <c r="F3354" s="3"/>
      <c r="G3354" s="2"/>
      <c r="H3354" s="1"/>
      <c r="J3354" s="2"/>
    </row>
    <row r="3355" spans="1:10" x14ac:dyDescent="0.25">
      <c r="A3355" s="5"/>
      <c r="B3355" s="2"/>
      <c r="F3355" s="3"/>
      <c r="G3355" s="2"/>
      <c r="H3355" s="1"/>
      <c r="J3355" s="2"/>
    </row>
    <row r="3356" spans="1:10" x14ac:dyDescent="0.25">
      <c r="A3356" s="5"/>
      <c r="B3356" s="2"/>
      <c r="F3356" s="3"/>
      <c r="G3356" s="2"/>
      <c r="H3356" s="1"/>
      <c r="J3356" s="2"/>
    </row>
    <row r="3357" spans="1:10" x14ac:dyDescent="0.25">
      <c r="A3357" s="5"/>
      <c r="B3357" s="2"/>
      <c r="F3357" s="3"/>
      <c r="G3357" s="2"/>
      <c r="H3357" s="1"/>
      <c r="J3357" s="2"/>
    </row>
    <row r="3358" spans="1:10" x14ac:dyDescent="0.25">
      <c r="A3358" s="5"/>
      <c r="B3358" s="2"/>
      <c r="F3358" s="3"/>
      <c r="G3358" s="2"/>
      <c r="H3358" s="1"/>
      <c r="J3358" s="2"/>
    </row>
    <row r="3359" spans="1:10" x14ac:dyDescent="0.25">
      <c r="A3359" s="5"/>
      <c r="B3359" s="2"/>
      <c r="F3359" s="3"/>
      <c r="G3359" s="2"/>
      <c r="H3359" s="1"/>
      <c r="J3359" s="2"/>
    </row>
    <row r="3360" spans="1:10" x14ac:dyDescent="0.25">
      <c r="A3360" s="5"/>
      <c r="B3360" s="2"/>
      <c r="F3360" s="3"/>
      <c r="G3360" s="2"/>
      <c r="H3360" s="1"/>
      <c r="J3360" s="2"/>
    </row>
    <row r="3361" spans="1:10" x14ac:dyDescent="0.25">
      <c r="A3361" s="5"/>
      <c r="B3361" s="2"/>
      <c r="F3361" s="3"/>
      <c r="G3361" s="2"/>
      <c r="H3361" s="1"/>
      <c r="J3361" s="2"/>
    </row>
    <row r="3362" spans="1:10" x14ac:dyDescent="0.25">
      <c r="A3362" s="5"/>
      <c r="B3362" s="2"/>
      <c r="F3362" s="3"/>
      <c r="G3362" s="2"/>
      <c r="H3362" s="1"/>
      <c r="J3362" s="2"/>
    </row>
    <row r="3363" spans="1:10" x14ac:dyDescent="0.25">
      <c r="A3363" s="5"/>
      <c r="B3363" s="2"/>
      <c r="F3363" s="3"/>
      <c r="G3363" s="2"/>
      <c r="H3363" s="1"/>
      <c r="J3363" s="2"/>
    </row>
    <row r="3364" spans="1:10" x14ac:dyDescent="0.25">
      <c r="A3364" s="5"/>
      <c r="B3364" s="2"/>
      <c r="F3364" s="3"/>
      <c r="G3364" s="2"/>
      <c r="H3364" s="1"/>
      <c r="J3364" s="2"/>
    </row>
    <row r="3365" spans="1:10" x14ac:dyDescent="0.25">
      <c r="A3365" s="5"/>
      <c r="B3365" s="2"/>
      <c r="F3365" s="3"/>
      <c r="G3365" s="2"/>
      <c r="H3365" s="1"/>
      <c r="J3365" s="2"/>
    </row>
    <row r="3366" spans="1:10" x14ac:dyDescent="0.25">
      <c r="A3366" s="5"/>
      <c r="B3366" s="2"/>
      <c r="F3366" s="3"/>
      <c r="G3366" s="2"/>
      <c r="H3366" s="1"/>
      <c r="J3366" s="2"/>
    </row>
    <row r="3367" spans="1:10" x14ac:dyDescent="0.25">
      <c r="A3367" s="5"/>
      <c r="B3367" s="2"/>
      <c r="F3367" s="3"/>
      <c r="G3367" s="2"/>
      <c r="H3367" s="1"/>
      <c r="J3367" s="2"/>
    </row>
    <row r="3368" spans="1:10" x14ac:dyDescent="0.25">
      <c r="A3368" s="5"/>
      <c r="B3368" s="2"/>
      <c r="F3368" s="3"/>
      <c r="G3368" s="2"/>
      <c r="H3368" s="1"/>
      <c r="J3368" s="2"/>
    </row>
    <row r="3369" spans="1:10" x14ac:dyDescent="0.25">
      <c r="A3369" s="5"/>
      <c r="B3369" s="2"/>
      <c r="F3369" s="3"/>
      <c r="G3369" s="2"/>
      <c r="H3369" s="1"/>
      <c r="J3369" s="2"/>
    </row>
    <row r="3370" spans="1:10" x14ac:dyDescent="0.25">
      <c r="A3370" s="5"/>
      <c r="B3370" s="2"/>
      <c r="F3370" s="3"/>
      <c r="G3370" s="2"/>
      <c r="H3370" s="1"/>
      <c r="J3370" s="2"/>
    </row>
    <row r="3371" spans="1:10" x14ac:dyDescent="0.25">
      <c r="A3371" s="5"/>
      <c r="B3371" s="2"/>
      <c r="F3371" s="3"/>
      <c r="G3371" s="2"/>
      <c r="H3371" s="1"/>
      <c r="J3371" s="2"/>
    </row>
    <row r="3372" spans="1:10" x14ac:dyDescent="0.25">
      <c r="A3372" s="5"/>
      <c r="B3372" s="2"/>
      <c r="F3372" s="3"/>
      <c r="G3372" s="2"/>
      <c r="H3372" s="1"/>
      <c r="J3372" s="2"/>
    </row>
    <row r="3373" spans="1:10" x14ac:dyDescent="0.25">
      <c r="A3373" s="5"/>
      <c r="B3373" s="2"/>
      <c r="F3373" s="3"/>
      <c r="G3373" s="2"/>
      <c r="H3373" s="1"/>
      <c r="J3373" s="2"/>
    </row>
    <row r="3374" spans="1:10" x14ac:dyDescent="0.25">
      <c r="A3374" s="5"/>
      <c r="B3374" s="2"/>
      <c r="F3374" s="3"/>
      <c r="G3374" s="2"/>
      <c r="H3374" s="1"/>
      <c r="J3374" s="2"/>
    </row>
    <row r="3375" spans="1:10" x14ac:dyDescent="0.25">
      <c r="A3375" s="5"/>
      <c r="B3375" s="2"/>
      <c r="F3375" s="3"/>
      <c r="G3375" s="2"/>
      <c r="H3375" s="1"/>
      <c r="J3375" s="2"/>
    </row>
    <row r="3376" spans="1:10" x14ac:dyDescent="0.25">
      <c r="A3376" s="5"/>
      <c r="B3376" s="2"/>
      <c r="F3376" s="3"/>
      <c r="G3376" s="2"/>
      <c r="H3376" s="1"/>
      <c r="J3376" s="2"/>
    </row>
    <row r="3377" spans="1:10" x14ac:dyDescent="0.25">
      <c r="A3377" s="5"/>
      <c r="B3377" s="2"/>
      <c r="F3377" s="3"/>
      <c r="G3377" s="2"/>
      <c r="H3377" s="1"/>
      <c r="J3377" s="2"/>
    </row>
    <row r="3378" spans="1:10" x14ac:dyDescent="0.25">
      <c r="A3378" s="5"/>
      <c r="B3378" s="2"/>
      <c r="F3378" s="3"/>
      <c r="G3378" s="2"/>
      <c r="H3378" s="1"/>
      <c r="J3378" s="2"/>
    </row>
    <row r="3379" spans="1:10" x14ac:dyDescent="0.25">
      <c r="A3379" s="5"/>
      <c r="B3379" s="2"/>
      <c r="F3379" s="3"/>
      <c r="G3379" s="2"/>
      <c r="H3379" s="1"/>
      <c r="J3379" s="2"/>
    </row>
    <row r="3380" spans="1:10" x14ac:dyDescent="0.25">
      <c r="A3380" s="5"/>
      <c r="B3380" s="2"/>
      <c r="F3380" s="3"/>
      <c r="G3380" s="2"/>
      <c r="H3380" s="1"/>
      <c r="J3380" s="2"/>
    </row>
    <row r="3381" spans="1:10" x14ac:dyDescent="0.25">
      <c r="A3381" s="5"/>
      <c r="B3381" s="2"/>
      <c r="F3381" s="3"/>
      <c r="G3381" s="2"/>
      <c r="H3381" s="1"/>
      <c r="J3381" s="2"/>
    </row>
    <row r="3382" spans="1:10" x14ac:dyDescent="0.25">
      <c r="A3382" s="5"/>
      <c r="B3382" s="2"/>
      <c r="F3382" s="3"/>
      <c r="G3382" s="2"/>
      <c r="H3382" s="1"/>
      <c r="J3382" s="2"/>
    </row>
    <row r="3383" spans="1:10" x14ac:dyDescent="0.25">
      <c r="A3383" s="5"/>
      <c r="B3383" s="2"/>
      <c r="F3383" s="3"/>
      <c r="G3383" s="2"/>
      <c r="H3383" s="1"/>
      <c r="J3383" s="2"/>
    </row>
    <row r="3384" spans="1:10" x14ac:dyDescent="0.25">
      <c r="A3384" s="5"/>
      <c r="B3384" s="2"/>
      <c r="F3384" s="3"/>
      <c r="G3384" s="2"/>
      <c r="H3384" s="1"/>
      <c r="J3384" s="2"/>
    </row>
    <row r="3385" spans="1:10" x14ac:dyDescent="0.25">
      <c r="A3385" s="5"/>
      <c r="B3385" s="2"/>
      <c r="F3385" s="3"/>
      <c r="G3385" s="2"/>
      <c r="H3385" s="1"/>
      <c r="J3385" s="2"/>
    </row>
    <row r="3386" spans="1:10" x14ac:dyDescent="0.25">
      <c r="A3386" s="5"/>
      <c r="B3386" s="2"/>
      <c r="F3386" s="3"/>
      <c r="G3386" s="2"/>
      <c r="H3386" s="1"/>
      <c r="J3386" s="2"/>
    </row>
    <row r="3387" spans="1:10" x14ac:dyDescent="0.25">
      <c r="A3387" s="5"/>
      <c r="B3387" s="2"/>
      <c r="F3387" s="3"/>
      <c r="G3387" s="2"/>
      <c r="H3387" s="1"/>
      <c r="J3387" s="2"/>
    </row>
    <row r="3388" spans="1:10" x14ac:dyDescent="0.25">
      <c r="A3388" s="5"/>
      <c r="B3388" s="2"/>
      <c r="F3388" s="3"/>
      <c r="G3388" s="2"/>
      <c r="H3388" s="1"/>
      <c r="J3388" s="2"/>
    </row>
    <row r="3389" spans="1:10" x14ac:dyDescent="0.25">
      <c r="A3389" s="5"/>
      <c r="B3389" s="2"/>
      <c r="F3389" s="3"/>
      <c r="G3389" s="2"/>
      <c r="H3389" s="1"/>
      <c r="J3389" s="2"/>
    </row>
    <row r="3390" spans="1:10" x14ac:dyDescent="0.25">
      <c r="A3390" s="5"/>
      <c r="B3390" s="2"/>
      <c r="F3390" s="3"/>
      <c r="G3390" s="2"/>
      <c r="H3390" s="1"/>
      <c r="J3390" s="2"/>
    </row>
    <row r="3391" spans="1:10" x14ac:dyDescent="0.25">
      <c r="A3391" s="5"/>
      <c r="B3391" s="2"/>
      <c r="F3391" s="3"/>
      <c r="G3391" s="2"/>
      <c r="H3391" s="1"/>
      <c r="J3391" s="2"/>
    </row>
    <row r="3392" spans="1:10" x14ac:dyDescent="0.25">
      <c r="A3392" s="5"/>
      <c r="B3392" s="2"/>
      <c r="F3392" s="3"/>
      <c r="G3392" s="2"/>
      <c r="H3392" s="1"/>
      <c r="J3392" s="2"/>
    </row>
    <row r="3393" spans="1:10" x14ac:dyDescent="0.25">
      <c r="A3393" s="5"/>
      <c r="B3393" s="2"/>
      <c r="F3393" s="3"/>
      <c r="G3393" s="2"/>
      <c r="H3393" s="1"/>
      <c r="J3393" s="2"/>
    </row>
    <row r="3394" spans="1:10" x14ac:dyDescent="0.25">
      <c r="A3394" s="5"/>
      <c r="B3394" s="2"/>
      <c r="F3394" s="3"/>
      <c r="G3394" s="2"/>
      <c r="H3394" s="1"/>
      <c r="J3394" s="2"/>
    </row>
    <row r="3395" spans="1:10" x14ac:dyDescent="0.25">
      <c r="A3395" s="5"/>
      <c r="B3395" s="2"/>
      <c r="F3395" s="3"/>
      <c r="G3395" s="2"/>
      <c r="H3395" s="1"/>
      <c r="J3395" s="2"/>
    </row>
    <row r="3396" spans="1:10" x14ac:dyDescent="0.25">
      <c r="A3396" s="5"/>
      <c r="B3396" s="2"/>
      <c r="F3396" s="3"/>
      <c r="G3396" s="2"/>
      <c r="H3396" s="1"/>
      <c r="J3396" s="2"/>
    </row>
    <row r="3397" spans="1:10" x14ac:dyDescent="0.25">
      <c r="A3397" s="5"/>
      <c r="B3397" s="2"/>
      <c r="F3397" s="3"/>
      <c r="G3397" s="2"/>
      <c r="H3397" s="1"/>
      <c r="J3397" s="2"/>
    </row>
    <row r="3398" spans="1:10" x14ac:dyDescent="0.25">
      <c r="A3398" s="5"/>
      <c r="B3398" s="2"/>
      <c r="F3398" s="3"/>
      <c r="G3398" s="2"/>
      <c r="H3398" s="1"/>
      <c r="J3398" s="2"/>
    </row>
    <row r="3399" spans="1:10" x14ac:dyDescent="0.25">
      <c r="A3399" s="5"/>
      <c r="B3399" s="2"/>
      <c r="F3399" s="3"/>
      <c r="G3399" s="2"/>
      <c r="H3399" s="1"/>
      <c r="J3399" s="2"/>
    </row>
    <row r="3400" spans="1:10" x14ac:dyDescent="0.25">
      <c r="A3400" s="5"/>
      <c r="B3400" s="2"/>
      <c r="F3400" s="3"/>
      <c r="G3400" s="2"/>
      <c r="H3400" s="1"/>
      <c r="J3400" s="2"/>
    </row>
    <row r="3401" spans="1:10" x14ac:dyDescent="0.25">
      <c r="A3401" s="5"/>
      <c r="B3401" s="2"/>
      <c r="F3401" s="3"/>
      <c r="G3401" s="2"/>
      <c r="H3401" s="1"/>
      <c r="J3401" s="2"/>
    </row>
    <row r="3402" spans="1:10" x14ac:dyDescent="0.25">
      <c r="A3402" s="5"/>
      <c r="B3402" s="2"/>
      <c r="F3402" s="3"/>
      <c r="G3402" s="2"/>
      <c r="H3402" s="1"/>
      <c r="J3402" s="2"/>
    </row>
    <row r="3403" spans="1:10" x14ac:dyDescent="0.25">
      <c r="A3403" s="5"/>
      <c r="B3403" s="2"/>
      <c r="F3403" s="3"/>
      <c r="G3403" s="2"/>
      <c r="H3403" s="1"/>
      <c r="J3403" s="2"/>
    </row>
    <row r="3404" spans="1:10" x14ac:dyDescent="0.25">
      <c r="A3404" s="5"/>
      <c r="B3404" s="2"/>
      <c r="F3404" s="3"/>
      <c r="G3404" s="2"/>
      <c r="H3404" s="1"/>
      <c r="J3404" s="2"/>
    </row>
    <row r="3405" spans="1:10" x14ac:dyDescent="0.25">
      <c r="A3405" s="5"/>
      <c r="B3405" s="2"/>
      <c r="F3405" s="3"/>
      <c r="G3405" s="2"/>
      <c r="H3405" s="1"/>
      <c r="J3405" s="2"/>
    </row>
    <row r="3406" spans="1:10" x14ac:dyDescent="0.25">
      <c r="A3406" s="5"/>
      <c r="B3406" s="2"/>
      <c r="F3406" s="3"/>
      <c r="G3406" s="2"/>
      <c r="H3406" s="1"/>
      <c r="J3406" s="2"/>
    </row>
    <row r="3407" spans="1:10" x14ac:dyDescent="0.25">
      <c r="A3407" s="5"/>
      <c r="B3407" s="2"/>
      <c r="F3407" s="3"/>
      <c r="G3407" s="2"/>
      <c r="H3407" s="1"/>
      <c r="J3407" s="2"/>
    </row>
    <row r="3408" spans="1:10" x14ac:dyDescent="0.25">
      <c r="A3408" s="5"/>
      <c r="B3408" s="2"/>
      <c r="F3408" s="3"/>
      <c r="G3408" s="2"/>
      <c r="H3408" s="1"/>
      <c r="J3408" s="2"/>
    </row>
    <row r="3409" spans="1:10" x14ac:dyDescent="0.25">
      <c r="A3409" s="5"/>
      <c r="B3409" s="2"/>
      <c r="F3409" s="3"/>
      <c r="G3409" s="2"/>
      <c r="H3409" s="1"/>
      <c r="J3409" s="2"/>
    </row>
    <row r="3410" spans="1:10" x14ac:dyDescent="0.25">
      <c r="A3410" s="5"/>
      <c r="B3410" s="2"/>
      <c r="F3410" s="3"/>
      <c r="G3410" s="2"/>
      <c r="H3410" s="1"/>
      <c r="J3410" s="2"/>
    </row>
    <row r="3411" spans="1:10" x14ac:dyDescent="0.25">
      <c r="A3411" s="5"/>
      <c r="B3411" s="2"/>
      <c r="F3411" s="3"/>
      <c r="G3411" s="2"/>
      <c r="H3411" s="1"/>
      <c r="J3411" s="2"/>
    </row>
    <row r="3412" spans="1:10" x14ac:dyDescent="0.25">
      <c r="A3412" s="5"/>
      <c r="B3412" s="2"/>
      <c r="F3412" s="3"/>
      <c r="G3412" s="2"/>
      <c r="H3412" s="1"/>
      <c r="J3412" s="2"/>
    </row>
    <row r="3413" spans="1:10" x14ac:dyDescent="0.25">
      <c r="A3413" s="5"/>
      <c r="B3413" s="2"/>
      <c r="F3413" s="3"/>
      <c r="G3413" s="2"/>
      <c r="H3413" s="1"/>
      <c r="J3413" s="2"/>
    </row>
    <row r="3414" spans="1:10" x14ac:dyDescent="0.25">
      <c r="A3414" s="5"/>
      <c r="B3414" s="2"/>
      <c r="F3414" s="3"/>
      <c r="G3414" s="2"/>
      <c r="H3414" s="1"/>
      <c r="J3414" s="2"/>
    </row>
    <row r="3415" spans="1:10" x14ac:dyDescent="0.25">
      <c r="A3415" s="5"/>
      <c r="B3415" s="2"/>
      <c r="F3415" s="3"/>
      <c r="G3415" s="2"/>
      <c r="H3415" s="1"/>
      <c r="J3415" s="2"/>
    </row>
    <row r="3416" spans="1:10" x14ac:dyDescent="0.25">
      <c r="A3416" s="5"/>
      <c r="B3416" s="2"/>
      <c r="F3416" s="3"/>
      <c r="G3416" s="2"/>
      <c r="H3416" s="1"/>
      <c r="J3416" s="2"/>
    </row>
    <row r="3417" spans="1:10" x14ac:dyDescent="0.25">
      <c r="A3417" s="5"/>
      <c r="B3417" s="2"/>
      <c r="F3417" s="3"/>
      <c r="G3417" s="2"/>
      <c r="H3417" s="1"/>
      <c r="J3417" s="2"/>
    </row>
    <row r="3418" spans="1:10" x14ac:dyDescent="0.25">
      <c r="A3418" s="5"/>
      <c r="B3418" s="2"/>
      <c r="F3418" s="3"/>
      <c r="G3418" s="2"/>
      <c r="H3418" s="1"/>
      <c r="J3418" s="2"/>
    </row>
    <row r="3419" spans="1:10" x14ac:dyDescent="0.25">
      <c r="A3419" s="5"/>
      <c r="B3419" s="2"/>
      <c r="F3419" s="3"/>
      <c r="G3419" s="2"/>
      <c r="H3419" s="1"/>
      <c r="J3419" s="2"/>
    </row>
    <row r="3420" spans="1:10" x14ac:dyDescent="0.25">
      <c r="A3420" s="5"/>
      <c r="B3420" s="2"/>
      <c r="F3420" s="3"/>
      <c r="G3420" s="2"/>
      <c r="H3420" s="1"/>
      <c r="J3420" s="2"/>
    </row>
    <row r="3421" spans="1:10" x14ac:dyDescent="0.25">
      <c r="A3421" s="5"/>
      <c r="B3421" s="2"/>
      <c r="F3421" s="3"/>
      <c r="G3421" s="2"/>
      <c r="H3421" s="1"/>
      <c r="J3421" s="2"/>
    </row>
    <row r="3422" spans="1:10" x14ac:dyDescent="0.25">
      <c r="A3422" s="5"/>
      <c r="B3422" s="2"/>
      <c r="F3422" s="3"/>
      <c r="G3422" s="2"/>
      <c r="H3422" s="1"/>
      <c r="J3422" s="2"/>
    </row>
    <row r="3486" spans="14:14" x14ac:dyDescent="0.25">
      <c r="N3486" t="s">
        <v>1849</v>
      </c>
    </row>
  </sheetData>
  <autoFilter ref="A1:M3486" xr:uid="{73A69EE0-9FF7-4934-91C3-5D455F91FB8E}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2AA3A-58C5-495A-91A6-EFF79EA076E5}">
  <sheetPr>
    <outlinePr summaryBelow="0"/>
  </sheetPr>
  <dimension ref="B4:Q43"/>
  <sheetViews>
    <sheetView showGridLines="0" zoomScaleNormal="100" workbookViewId="0">
      <selection activeCell="I13" sqref="I13"/>
    </sheetView>
  </sheetViews>
  <sheetFormatPr defaultRowHeight="15" outlineLevelRow="1" x14ac:dyDescent="0.25"/>
  <cols>
    <col min="1" max="1" width="3" customWidth="1"/>
    <col min="2" max="2" width="8.28515625" bestFit="1" customWidth="1"/>
    <col min="3" max="4" width="10.7109375" bestFit="1" customWidth="1"/>
    <col min="5" max="12" width="14.5703125" bestFit="1" customWidth="1"/>
    <col min="13" max="13" width="15.5703125" bestFit="1" customWidth="1"/>
    <col min="14" max="14" width="13.42578125" bestFit="1" customWidth="1"/>
    <col min="15" max="15" width="7.140625" bestFit="1" customWidth="1"/>
    <col min="16" max="16" width="11.7109375" bestFit="1" customWidth="1"/>
    <col min="17" max="17" width="6.28515625" bestFit="1" customWidth="1"/>
  </cols>
  <sheetData>
    <row r="4" spans="2:17" x14ac:dyDescent="0.25">
      <c r="B4" s="15"/>
      <c r="C4" s="12"/>
      <c r="D4" s="12"/>
    </row>
    <row r="5" spans="2:17" x14ac:dyDescent="0.25">
      <c r="N5" s="50" t="s">
        <v>2079</v>
      </c>
      <c r="O5" s="50"/>
      <c r="P5" s="50" t="s">
        <v>2079</v>
      </c>
      <c r="Q5" s="50"/>
    </row>
    <row r="6" spans="2:17" x14ac:dyDescent="0.25">
      <c r="B6" s="45" t="s">
        <v>1815</v>
      </c>
      <c r="C6" s="45"/>
      <c r="D6" s="45"/>
      <c r="E6" s="47">
        <f t="shared" ref="E6:K6" si="0">IFERROR(E35/E8,0)</f>
        <v>0</v>
      </c>
      <c r="F6" s="47">
        <f t="shared" si="0"/>
        <v>0</v>
      </c>
      <c r="G6" s="47">
        <f t="shared" si="0"/>
        <v>1.724774915233317E-4</v>
      </c>
      <c r="H6" s="47">
        <f t="shared" si="0"/>
        <v>3.1476641444037906E-4</v>
      </c>
      <c r="I6" s="47">
        <f t="shared" si="0"/>
        <v>5.5935380374982186E-4</v>
      </c>
      <c r="J6" s="47">
        <f t="shared" si="0"/>
        <v>2.6081065182627074E-4</v>
      </c>
      <c r="K6" s="47">
        <f t="shared" si="0"/>
        <v>1.4917425583166745E-4</v>
      </c>
      <c r="L6" s="47">
        <f>IFERROR(L35/L8,0)</f>
        <v>0</v>
      </c>
      <c r="M6" s="48">
        <f>L35/M8</f>
        <v>0</v>
      </c>
      <c r="N6" s="50"/>
      <c r="O6" s="50"/>
      <c r="P6" s="50"/>
      <c r="Q6" s="50"/>
    </row>
    <row r="7" spans="2:17" x14ac:dyDescent="0.25">
      <c r="B7" s="8" t="s">
        <v>1837</v>
      </c>
      <c r="C7" s="8" t="s">
        <v>1838</v>
      </c>
      <c r="D7" s="8" t="s">
        <v>1839</v>
      </c>
      <c r="E7" s="8" t="s">
        <v>1817</v>
      </c>
      <c r="F7" s="8" t="s">
        <v>1818</v>
      </c>
      <c r="G7" s="8" t="s">
        <v>1819</v>
      </c>
      <c r="H7" s="8" t="s">
        <v>1820</v>
      </c>
      <c r="I7" s="8" t="s">
        <v>1821</v>
      </c>
      <c r="J7" s="8" t="s">
        <v>1822</v>
      </c>
      <c r="K7" s="8" t="s">
        <v>1816</v>
      </c>
      <c r="L7" s="8" t="s">
        <v>2080</v>
      </c>
      <c r="M7" s="8" t="s">
        <v>1947</v>
      </c>
      <c r="N7" s="50" t="s">
        <v>1816</v>
      </c>
      <c r="O7" s="65" t="s">
        <v>2081</v>
      </c>
      <c r="P7" s="50" t="s">
        <v>2080</v>
      </c>
      <c r="Q7" s="65" t="s">
        <v>2095</v>
      </c>
    </row>
    <row r="8" spans="2:17" x14ac:dyDescent="0.25">
      <c r="B8" s="44" t="s">
        <v>1836</v>
      </c>
      <c r="C8" s="44">
        <f t="shared" ref="C8:I8" si="1">SUM(C9:C20)</f>
        <v>0</v>
      </c>
      <c r="D8" s="44">
        <f t="shared" si="1"/>
        <v>0</v>
      </c>
      <c r="E8" s="44">
        <f t="shared" si="1"/>
        <v>15936546.669999998</v>
      </c>
      <c r="F8" s="44">
        <f t="shared" si="1"/>
        <v>19335117.330000002</v>
      </c>
      <c r="G8" s="44">
        <f t="shared" si="1"/>
        <v>19661695.969999999</v>
      </c>
      <c r="H8" s="44">
        <f t="shared" si="1"/>
        <v>20416822.460000001</v>
      </c>
      <c r="I8" s="44">
        <f t="shared" si="1"/>
        <v>21381511.879999992</v>
      </c>
      <c r="J8" s="44">
        <f>SUM(J9:J20)</f>
        <v>27927923.76000002</v>
      </c>
      <c r="K8" s="44">
        <f>SUM(K9:K20)</f>
        <v>39582567.160000011</v>
      </c>
      <c r="L8" s="44">
        <f>SUM(L9:L20)</f>
        <v>25893291.100000001</v>
      </c>
      <c r="M8" s="44">
        <f>SUM(M9:M20)</f>
        <v>164242185.23000002</v>
      </c>
      <c r="N8" s="24"/>
      <c r="O8" s="24"/>
      <c r="P8" s="24"/>
      <c r="Q8" s="24"/>
    </row>
    <row r="9" spans="2:17" outlineLevel="1" x14ac:dyDescent="0.25">
      <c r="B9" s="11" t="s">
        <v>1824</v>
      </c>
      <c r="C9" s="11">
        <v>0</v>
      </c>
      <c r="D9" s="11">
        <v>0</v>
      </c>
      <c r="E9" s="11">
        <v>1250752.48</v>
      </c>
      <c r="F9" s="11">
        <v>1453249.73</v>
      </c>
      <c r="G9" s="11">
        <v>1433953.29</v>
      </c>
      <c r="H9" s="11">
        <v>1801431.24</v>
      </c>
      <c r="I9" s="11">
        <v>1534692.2100000009</v>
      </c>
      <c r="J9" s="10">
        <v>1803035.7699999991</v>
      </c>
      <c r="K9" s="10">
        <v>2723764.3399999929</v>
      </c>
      <c r="L9" s="9">
        <v>3613932.52</v>
      </c>
      <c r="M9" s="46">
        <f t="shared" ref="M9:M20" si="2">SUM(E9:K9)</f>
        <v>12000879.059999993</v>
      </c>
      <c r="N9" s="24">
        <v>0</v>
      </c>
      <c r="O9" s="39">
        <f t="shared" ref="O9:O16" si="3">IFERROR(N9/K9,0)</f>
        <v>0</v>
      </c>
      <c r="P9" s="24">
        <v>280647.86</v>
      </c>
      <c r="Q9" s="39">
        <f>IFERROR(P9/L9,0)</f>
        <v>7.7657194329682724E-2</v>
      </c>
    </row>
    <row r="10" spans="2:17" outlineLevel="1" x14ac:dyDescent="0.25">
      <c r="B10" s="11" t="s">
        <v>1825</v>
      </c>
      <c r="C10" s="11">
        <v>0</v>
      </c>
      <c r="D10" s="11">
        <v>0</v>
      </c>
      <c r="E10" s="11">
        <v>1115431.1599999999</v>
      </c>
      <c r="F10" s="11">
        <v>1291304.6200000001</v>
      </c>
      <c r="G10" s="11">
        <v>1669255.55</v>
      </c>
      <c r="H10" s="11">
        <v>1715515</v>
      </c>
      <c r="I10" s="11">
        <v>1531791.869999998</v>
      </c>
      <c r="J10" s="10">
        <v>2020158.910000002</v>
      </c>
      <c r="K10" s="10">
        <v>2554882.4100000029</v>
      </c>
      <c r="L10" s="9">
        <v>3002902.06</v>
      </c>
      <c r="M10" s="46">
        <f t="shared" si="2"/>
        <v>11898339.520000003</v>
      </c>
      <c r="N10" s="24">
        <v>0</v>
      </c>
      <c r="O10" s="39">
        <f t="shared" si="3"/>
        <v>0</v>
      </c>
      <c r="P10" s="24">
        <v>0</v>
      </c>
      <c r="Q10" s="39">
        <f t="shared" ref="Q10:Q20" si="4">IFERROR(P10/L10,0)</f>
        <v>0</v>
      </c>
    </row>
    <row r="11" spans="2:17" outlineLevel="1" x14ac:dyDescent="0.25">
      <c r="B11" s="11" t="s">
        <v>1826</v>
      </c>
      <c r="C11" s="11">
        <v>0</v>
      </c>
      <c r="D11" s="11">
        <v>0</v>
      </c>
      <c r="E11" s="11">
        <v>1087833.72</v>
      </c>
      <c r="F11" s="11">
        <v>1862650.13</v>
      </c>
      <c r="G11" s="11">
        <v>1971098.71</v>
      </c>
      <c r="H11" s="11">
        <v>2433346.39</v>
      </c>
      <c r="I11" s="11">
        <v>1749327.4999999951</v>
      </c>
      <c r="J11" s="10">
        <v>2185357.9499999979</v>
      </c>
      <c r="K11" s="10">
        <v>3998716.1100000059</v>
      </c>
      <c r="L11" s="9">
        <v>4889993.34</v>
      </c>
      <c r="M11" s="46">
        <f t="shared" si="2"/>
        <v>15288330.509999998</v>
      </c>
      <c r="N11" s="24">
        <v>0</v>
      </c>
      <c r="O11" s="39">
        <f t="shared" si="3"/>
        <v>0</v>
      </c>
      <c r="P11" s="24">
        <v>0</v>
      </c>
      <c r="Q11" s="39">
        <f t="shared" si="4"/>
        <v>0</v>
      </c>
    </row>
    <row r="12" spans="2:17" outlineLevel="1" x14ac:dyDescent="0.25">
      <c r="B12" s="11" t="s">
        <v>1827</v>
      </c>
      <c r="C12" s="11">
        <v>0</v>
      </c>
      <c r="D12" s="11">
        <v>0</v>
      </c>
      <c r="E12" s="11">
        <v>1244353.3799999999</v>
      </c>
      <c r="F12" s="11">
        <v>1976134.15</v>
      </c>
      <c r="G12" s="11">
        <v>1534444.24</v>
      </c>
      <c r="H12" s="11">
        <v>1566103.04</v>
      </c>
      <c r="I12" s="11">
        <v>1693224.000000003</v>
      </c>
      <c r="J12" s="10">
        <v>2101324.36</v>
      </c>
      <c r="K12" s="10">
        <v>3595402.38</v>
      </c>
      <c r="L12" s="9">
        <v>3506507.69</v>
      </c>
      <c r="M12" s="46">
        <f t="shared" si="2"/>
        <v>13710985.550000001</v>
      </c>
      <c r="N12" s="24">
        <v>0</v>
      </c>
      <c r="O12" s="39">
        <f t="shared" si="3"/>
        <v>0</v>
      </c>
      <c r="P12" s="24">
        <v>0</v>
      </c>
      <c r="Q12" s="39">
        <f t="shared" si="4"/>
        <v>0</v>
      </c>
    </row>
    <row r="13" spans="2:17" outlineLevel="1" x14ac:dyDescent="0.25">
      <c r="B13" s="11" t="s">
        <v>1828</v>
      </c>
      <c r="C13" s="11">
        <v>0</v>
      </c>
      <c r="D13" s="11">
        <v>0</v>
      </c>
      <c r="E13" s="11">
        <v>1351472.28</v>
      </c>
      <c r="F13" s="11">
        <v>1746598.98</v>
      </c>
      <c r="G13" s="11">
        <v>1659036.94</v>
      </c>
      <c r="H13" s="11">
        <v>2048940.43</v>
      </c>
      <c r="I13" s="11">
        <v>1885883.7500000021</v>
      </c>
      <c r="J13" s="10">
        <v>2366944.9100000071</v>
      </c>
      <c r="K13" s="10">
        <v>4151876.3499999861</v>
      </c>
      <c r="L13" s="9">
        <v>3879670.23</v>
      </c>
      <c r="M13" s="46">
        <f t="shared" si="2"/>
        <v>15210753.639999995</v>
      </c>
      <c r="N13" s="24">
        <v>0</v>
      </c>
      <c r="O13" s="39">
        <f t="shared" si="3"/>
        <v>0</v>
      </c>
      <c r="P13" s="24">
        <v>0</v>
      </c>
      <c r="Q13" s="39">
        <f t="shared" si="4"/>
        <v>0</v>
      </c>
    </row>
    <row r="14" spans="2:17" outlineLevel="1" x14ac:dyDescent="0.25">
      <c r="B14" s="11" t="s">
        <v>1829</v>
      </c>
      <c r="C14" s="11">
        <v>0</v>
      </c>
      <c r="D14" s="11">
        <v>0</v>
      </c>
      <c r="E14" s="11">
        <v>1318458.6499999999</v>
      </c>
      <c r="F14" s="11">
        <v>1451346.82</v>
      </c>
      <c r="G14" s="11">
        <v>1552573.35</v>
      </c>
      <c r="H14" s="11">
        <v>1481714.1</v>
      </c>
      <c r="I14" s="11">
        <v>1764265.829999998</v>
      </c>
      <c r="J14" s="10">
        <v>2072026.7600000021</v>
      </c>
      <c r="K14" s="10">
        <v>3351000.010000003</v>
      </c>
      <c r="L14" s="9">
        <v>3551913</v>
      </c>
      <c r="M14" s="46">
        <f t="shared" si="2"/>
        <v>12991385.520000003</v>
      </c>
      <c r="N14" s="24">
        <v>0</v>
      </c>
      <c r="O14" s="39">
        <f t="shared" si="3"/>
        <v>0</v>
      </c>
      <c r="P14" s="24">
        <v>0</v>
      </c>
      <c r="Q14" s="39">
        <f t="shared" si="4"/>
        <v>0</v>
      </c>
    </row>
    <row r="15" spans="2:17" outlineLevel="1" x14ac:dyDescent="0.25">
      <c r="B15" s="11" t="s">
        <v>1830</v>
      </c>
      <c r="C15" s="11">
        <v>0</v>
      </c>
      <c r="D15" s="11">
        <v>0</v>
      </c>
      <c r="E15" s="11">
        <v>1323385.21</v>
      </c>
      <c r="F15" s="11">
        <v>1715013.48</v>
      </c>
      <c r="G15" s="11">
        <v>1745642.98</v>
      </c>
      <c r="H15" s="11">
        <v>1670738.21</v>
      </c>
      <c r="I15" s="11">
        <v>1838751.86</v>
      </c>
      <c r="J15" s="10">
        <v>2589934.3499999982</v>
      </c>
      <c r="K15" s="10">
        <v>3282657.35</v>
      </c>
      <c r="L15" s="9">
        <v>3448372.26</v>
      </c>
      <c r="M15" s="46">
        <f t="shared" si="2"/>
        <v>14166123.439999998</v>
      </c>
      <c r="N15" s="24">
        <v>0</v>
      </c>
      <c r="O15" s="39">
        <f t="shared" si="3"/>
        <v>0</v>
      </c>
      <c r="P15" s="24">
        <v>0</v>
      </c>
      <c r="Q15" s="39">
        <f t="shared" si="4"/>
        <v>0</v>
      </c>
    </row>
    <row r="16" spans="2:17" outlineLevel="1" x14ac:dyDescent="0.25">
      <c r="B16" s="11" t="s">
        <v>1831</v>
      </c>
      <c r="C16" s="11">
        <v>0</v>
      </c>
      <c r="D16" s="11">
        <v>0</v>
      </c>
      <c r="E16" s="11">
        <v>1361303.35</v>
      </c>
      <c r="F16" s="11">
        <v>1591077.89</v>
      </c>
      <c r="G16" s="11">
        <v>1682373.82</v>
      </c>
      <c r="H16" s="11">
        <v>1847051.89</v>
      </c>
      <c r="I16" s="11">
        <v>1775956.2299999991</v>
      </c>
      <c r="J16" s="10">
        <v>2473569.1100000031</v>
      </c>
      <c r="K16" s="10">
        <v>3439174.5100000128</v>
      </c>
      <c r="L16" s="9">
        <v>0</v>
      </c>
      <c r="M16" s="46">
        <f t="shared" si="2"/>
        <v>14170506.800000016</v>
      </c>
      <c r="N16" s="24">
        <v>0</v>
      </c>
      <c r="O16" s="39">
        <f t="shared" si="3"/>
        <v>0</v>
      </c>
      <c r="P16" s="24">
        <v>0</v>
      </c>
      <c r="Q16" s="39">
        <f t="shared" si="4"/>
        <v>0</v>
      </c>
    </row>
    <row r="17" spans="2:17" outlineLevel="1" x14ac:dyDescent="0.25">
      <c r="B17" s="11" t="s">
        <v>1832</v>
      </c>
      <c r="C17" s="11">
        <v>0</v>
      </c>
      <c r="D17" s="11">
        <v>0</v>
      </c>
      <c r="E17" s="11">
        <v>1563896.18</v>
      </c>
      <c r="F17" s="11">
        <v>1635029.12</v>
      </c>
      <c r="G17" s="11">
        <v>1653421.61</v>
      </c>
      <c r="H17" s="11">
        <v>1338101.8400000001</v>
      </c>
      <c r="I17" s="11">
        <v>1785955.780000001</v>
      </c>
      <c r="J17" s="10">
        <v>2583646.230000006</v>
      </c>
      <c r="K17" s="10">
        <v>3159965.070000004</v>
      </c>
      <c r="L17" s="9">
        <v>0</v>
      </c>
      <c r="M17" s="46">
        <f t="shared" si="2"/>
        <v>13720015.830000011</v>
      </c>
      <c r="N17" s="24">
        <v>350619.58</v>
      </c>
      <c r="O17" s="39">
        <f>IFERROR(N17/K17,0)</f>
        <v>0.11095678978502113</v>
      </c>
      <c r="P17" s="24">
        <v>0</v>
      </c>
      <c r="Q17" s="39">
        <f t="shared" si="4"/>
        <v>0</v>
      </c>
    </row>
    <row r="18" spans="2:17" outlineLevel="1" x14ac:dyDescent="0.25">
      <c r="B18" s="11" t="s">
        <v>1834</v>
      </c>
      <c r="C18" s="11">
        <v>0</v>
      </c>
      <c r="D18" s="11">
        <v>0</v>
      </c>
      <c r="E18" s="11">
        <v>1401246.31</v>
      </c>
      <c r="F18" s="11">
        <v>1544417.46</v>
      </c>
      <c r="G18" s="11">
        <v>1522057.47</v>
      </c>
      <c r="H18" s="11">
        <v>1423623.29</v>
      </c>
      <c r="I18" s="11">
        <v>1967214.5000000009</v>
      </c>
      <c r="J18" s="10">
        <v>2548648.0600000038</v>
      </c>
      <c r="K18" s="10">
        <v>3130191.07</v>
      </c>
      <c r="L18" s="9">
        <v>0</v>
      </c>
      <c r="M18" s="46">
        <f t="shared" si="2"/>
        <v>13537398.160000006</v>
      </c>
      <c r="N18" s="24">
        <v>443044.17</v>
      </c>
      <c r="O18" s="39">
        <f t="shared" ref="O18:O20" si="5">IFERROR(N18/K18,0)</f>
        <v>0.14153901793605206</v>
      </c>
      <c r="P18" s="24">
        <v>0</v>
      </c>
      <c r="Q18" s="39">
        <f t="shared" si="4"/>
        <v>0</v>
      </c>
    </row>
    <row r="19" spans="2:17" outlineLevel="1" x14ac:dyDescent="0.25">
      <c r="B19" s="11" t="s">
        <v>1833</v>
      </c>
      <c r="C19" s="11">
        <v>0</v>
      </c>
      <c r="D19" s="11">
        <v>0</v>
      </c>
      <c r="E19" s="11">
        <v>1298194.5900000001</v>
      </c>
      <c r="F19" s="11">
        <v>1583709.43</v>
      </c>
      <c r="G19" s="11">
        <v>1535403.68</v>
      </c>
      <c r="H19" s="11">
        <v>1464639.86</v>
      </c>
      <c r="I19" s="11">
        <v>2044084.549999994</v>
      </c>
      <c r="J19" s="10">
        <v>2650839.450000003</v>
      </c>
      <c r="K19" s="10">
        <v>3225214.67</v>
      </c>
      <c r="L19" s="9">
        <v>0</v>
      </c>
      <c r="M19" s="46">
        <f t="shared" si="2"/>
        <v>13802086.229999999</v>
      </c>
      <c r="N19" s="24">
        <v>448236.66</v>
      </c>
      <c r="O19" s="39">
        <f t="shared" si="5"/>
        <v>0.1389788605916269</v>
      </c>
      <c r="P19" s="24">
        <v>0</v>
      </c>
      <c r="Q19" s="39">
        <f t="shared" si="4"/>
        <v>0</v>
      </c>
    </row>
    <row r="20" spans="2:17" outlineLevel="1" x14ac:dyDescent="0.25">
      <c r="B20" s="11" t="s">
        <v>1835</v>
      </c>
      <c r="C20" s="11">
        <v>0</v>
      </c>
      <c r="D20" s="11">
        <v>0</v>
      </c>
      <c r="E20" s="11">
        <v>1620219.36</v>
      </c>
      <c r="F20" s="11">
        <v>1484585.52</v>
      </c>
      <c r="G20" s="11">
        <v>1702434.33</v>
      </c>
      <c r="H20" s="11">
        <v>1625617.17</v>
      </c>
      <c r="I20" s="11">
        <v>1810363.7999999991</v>
      </c>
      <c r="J20" s="10">
        <v>2532437.8999999971</v>
      </c>
      <c r="K20" s="10">
        <v>2969722.89</v>
      </c>
      <c r="L20" s="9">
        <v>0</v>
      </c>
      <c r="M20" s="46">
        <f t="shared" si="2"/>
        <v>13745380.969999997</v>
      </c>
      <c r="N20" s="24">
        <v>584038.49</v>
      </c>
      <c r="O20" s="39">
        <f t="shared" si="5"/>
        <v>0.19666430560462156</v>
      </c>
      <c r="P20" s="24">
        <v>0</v>
      </c>
      <c r="Q20" s="39">
        <f t="shared" si="4"/>
        <v>0</v>
      </c>
    </row>
    <row r="21" spans="2:17" x14ac:dyDescent="0.25">
      <c r="B21" s="13" t="s">
        <v>1815</v>
      </c>
      <c r="C21" s="13" t="s">
        <v>1850</v>
      </c>
    </row>
    <row r="22" spans="2:17" x14ac:dyDescent="0.25">
      <c r="B22" s="13" t="s">
        <v>1836</v>
      </c>
      <c r="C22" s="14" t="s">
        <v>1806</v>
      </c>
      <c r="D22" s="14" t="s">
        <v>1807</v>
      </c>
      <c r="E22" s="14" t="s">
        <v>1808</v>
      </c>
      <c r="F22" s="14" t="s">
        <v>1809</v>
      </c>
      <c r="G22" s="14" t="s">
        <v>1810</v>
      </c>
      <c r="H22" s="14" t="s">
        <v>1811</v>
      </c>
      <c r="I22" s="14" t="s">
        <v>1812</v>
      </c>
      <c r="J22" s="14" t="s">
        <v>1813</v>
      </c>
      <c r="K22" s="14" t="s">
        <v>1814</v>
      </c>
      <c r="L22" t="s">
        <v>4181</v>
      </c>
      <c r="M22" t="s">
        <v>2048</v>
      </c>
      <c r="N22" s="14" t="s">
        <v>1857</v>
      </c>
    </row>
    <row r="23" spans="2:17" outlineLevel="1" x14ac:dyDescent="0.25">
      <c r="B23" s="3" t="s">
        <v>1948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2:17" outlineLevel="1" x14ac:dyDescent="0.25">
      <c r="B24" s="3" t="s">
        <v>1824</v>
      </c>
      <c r="C24" s="6"/>
      <c r="D24" s="6">
        <v>2777.77</v>
      </c>
      <c r="E24" s="6">
        <v>8061.74</v>
      </c>
      <c r="F24" s="6"/>
      <c r="G24" s="6">
        <v>3525.88</v>
      </c>
      <c r="H24" s="6">
        <v>258.91000000000003</v>
      </c>
      <c r="I24" s="6">
        <v>3166.53</v>
      </c>
      <c r="J24" s="6">
        <v>34329.62999999999</v>
      </c>
      <c r="K24" s="6">
        <v>3870.9100000000003</v>
      </c>
      <c r="L24" s="6"/>
      <c r="M24" s="6">
        <v>31378.44999999999</v>
      </c>
      <c r="N24" s="6">
        <v>87369.819999999978</v>
      </c>
    </row>
    <row r="25" spans="2:17" outlineLevel="1" x14ac:dyDescent="0.25">
      <c r="B25" s="3" t="s">
        <v>1825</v>
      </c>
      <c r="C25" s="6"/>
      <c r="D25" s="6">
        <v>2777.77</v>
      </c>
      <c r="E25" s="6">
        <v>8061.74</v>
      </c>
      <c r="F25" s="6"/>
      <c r="G25" s="6">
        <v>770.84</v>
      </c>
      <c r="H25" s="6">
        <v>607.1099999999999</v>
      </c>
      <c r="I25" s="6">
        <v>4527.46</v>
      </c>
      <c r="J25" s="6">
        <v>9072.9399999999987</v>
      </c>
      <c r="K25" s="6">
        <v>12548.460000000003</v>
      </c>
      <c r="L25" s="6"/>
      <c r="M25" s="6">
        <v>22258.350000000002</v>
      </c>
      <c r="N25" s="6">
        <v>60624.670000000013</v>
      </c>
    </row>
    <row r="26" spans="2:17" outlineLevel="1" x14ac:dyDescent="0.25">
      <c r="B26" s="3" t="s">
        <v>1826</v>
      </c>
      <c r="C26" s="6">
        <v>4527.7700000000004</v>
      </c>
      <c r="D26" s="6">
        <v>8061.74</v>
      </c>
      <c r="E26" s="6">
        <v>8061.74</v>
      </c>
      <c r="F26" s="6"/>
      <c r="G26" s="6">
        <v>2684.96</v>
      </c>
      <c r="H26" s="6"/>
      <c r="I26" s="6">
        <v>5095.9799999999996</v>
      </c>
      <c r="J26" s="6">
        <v>3541.7799999999997</v>
      </c>
      <c r="K26" s="6">
        <v>36524.679999999993</v>
      </c>
      <c r="L26" s="6"/>
      <c r="M26" s="6">
        <v>30392.89</v>
      </c>
      <c r="N26" s="6">
        <v>98891.54</v>
      </c>
    </row>
    <row r="27" spans="2:17" outlineLevel="1" x14ac:dyDescent="0.25">
      <c r="B27" s="3" t="s">
        <v>1827</v>
      </c>
      <c r="C27" s="6">
        <v>16854.7</v>
      </c>
      <c r="D27" s="6"/>
      <c r="E27" s="6"/>
      <c r="F27" s="6">
        <v>361.38</v>
      </c>
      <c r="G27" s="6">
        <v>1269.79</v>
      </c>
      <c r="H27" s="6">
        <v>1970.8200000000002</v>
      </c>
      <c r="I27" s="6">
        <v>1090.6600000000001</v>
      </c>
      <c r="J27" s="6">
        <v>833.92</v>
      </c>
      <c r="K27" s="6">
        <v>18327.490000000002</v>
      </c>
      <c r="L27" s="6"/>
      <c r="M27" s="6">
        <v>18878.020000000004</v>
      </c>
      <c r="N27" s="6">
        <v>59586.780000000006</v>
      </c>
    </row>
    <row r="28" spans="2:17" outlineLevel="1" x14ac:dyDescent="0.25">
      <c r="B28" s="3" t="s">
        <v>1828</v>
      </c>
      <c r="C28" s="6">
        <v>16854.7</v>
      </c>
      <c r="D28" s="6">
        <v>8061.74</v>
      </c>
      <c r="E28" s="6"/>
      <c r="F28" s="6"/>
      <c r="G28" s="6">
        <v>1559.0300000000002</v>
      </c>
      <c r="H28" s="6">
        <v>14564.849999999997</v>
      </c>
      <c r="I28" s="6">
        <v>2144.29</v>
      </c>
      <c r="J28" s="6">
        <v>19113.300000000003</v>
      </c>
      <c r="K28" s="6">
        <v>3455.7599999999998</v>
      </c>
      <c r="L28" s="6"/>
      <c r="M28" s="6">
        <v>204546.36000000002</v>
      </c>
      <c r="N28" s="6">
        <v>270300.03000000003</v>
      </c>
    </row>
    <row r="29" spans="2:17" outlineLevel="1" x14ac:dyDescent="0.25">
      <c r="B29" s="3" t="s">
        <v>1829</v>
      </c>
      <c r="C29" s="6">
        <v>4704.7</v>
      </c>
      <c r="D29" s="6"/>
      <c r="E29" s="6"/>
      <c r="F29" s="6"/>
      <c r="G29" s="6">
        <v>2522.61</v>
      </c>
      <c r="H29" s="6">
        <v>22751.239999999998</v>
      </c>
      <c r="I29" s="6">
        <v>3521.48</v>
      </c>
      <c r="J29" s="6">
        <v>16890.460000000003</v>
      </c>
      <c r="K29" s="6">
        <v>6663.36</v>
      </c>
      <c r="L29" s="6"/>
      <c r="M29" s="6">
        <v>186750.42999999996</v>
      </c>
      <c r="N29" s="6">
        <v>243804.27999999997</v>
      </c>
    </row>
    <row r="30" spans="2:17" outlineLevel="1" x14ac:dyDescent="0.25">
      <c r="B30" s="3" t="s">
        <v>1830</v>
      </c>
      <c r="C30" s="6">
        <v>4704.7</v>
      </c>
      <c r="D30" s="6">
        <v>8061.74</v>
      </c>
      <c r="E30" s="6"/>
      <c r="F30" s="6"/>
      <c r="G30" s="6">
        <v>984.96</v>
      </c>
      <c r="H30" s="6">
        <v>21219.989999999994</v>
      </c>
      <c r="I30" s="6">
        <v>7615.54</v>
      </c>
      <c r="J30" s="6">
        <v>14355.199999999999</v>
      </c>
      <c r="K30" s="6">
        <v>8411.25</v>
      </c>
      <c r="L30" s="6"/>
      <c r="M30" s="6">
        <v>386808.27999999991</v>
      </c>
      <c r="N30" s="6">
        <v>452161.65999999992</v>
      </c>
    </row>
    <row r="31" spans="2:17" outlineLevel="1" x14ac:dyDescent="0.25">
      <c r="B31" s="3" t="s">
        <v>1831</v>
      </c>
      <c r="C31" s="6">
        <v>4704.7</v>
      </c>
      <c r="D31" s="6"/>
      <c r="E31" s="6"/>
      <c r="F31" s="6">
        <v>6074.41</v>
      </c>
      <c r="G31" s="6">
        <v>3151.9300000000003</v>
      </c>
      <c r="H31" s="6">
        <v>22938.929999999993</v>
      </c>
      <c r="I31" s="6">
        <v>9650.1499999999978</v>
      </c>
      <c r="J31" s="6">
        <v>4493.57</v>
      </c>
      <c r="K31" s="6">
        <v>5088.1799999999985</v>
      </c>
      <c r="L31" s="6"/>
      <c r="M31" s="6"/>
      <c r="N31" s="6">
        <v>56101.869999999995</v>
      </c>
    </row>
    <row r="32" spans="2:17" outlineLevel="1" x14ac:dyDescent="0.25">
      <c r="B32" s="3" t="s">
        <v>1832</v>
      </c>
      <c r="C32" s="6">
        <v>8300.91</v>
      </c>
      <c r="D32" s="6">
        <v>8061.74</v>
      </c>
      <c r="E32" s="6"/>
      <c r="F32" s="6"/>
      <c r="G32" s="6">
        <v>4555.53</v>
      </c>
      <c r="H32" s="6">
        <v>4286.25</v>
      </c>
      <c r="I32" s="6"/>
      <c r="J32" s="6">
        <v>11697.460000000003</v>
      </c>
      <c r="K32" s="6">
        <v>8532.76</v>
      </c>
      <c r="L32" s="6"/>
      <c r="M32" s="6"/>
      <c r="N32" s="6">
        <v>45434.65</v>
      </c>
    </row>
    <row r="33" spans="2:14" outlineLevel="1" x14ac:dyDescent="0.25">
      <c r="B33" s="3" t="s">
        <v>1834</v>
      </c>
      <c r="C33" s="6">
        <v>4704.7</v>
      </c>
      <c r="D33" s="6">
        <v>8061.74</v>
      </c>
      <c r="E33" s="6">
        <v>351.16</v>
      </c>
      <c r="F33" s="6"/>
      <c r="G33" s="6">
        <v>6106.35</v>
      </c>
      <c r="H33" s="6">
        <v>10006.18</v>
      </c>
      <c r="I33" s="6">
        <v>2259</v>
      </c>
      <c r="J33" s="6">
        <v>12126.859999999997</v>
      </c>
      <c r="K33" s="6">
        <v>9023.0700000000015</v>
      </c>
      <c r="L33" s="6"/>
      <c r="M33" s="6"/>
      <c r="N33" s="6">
        <v>52639.05999999999</v>
      </c>
    </row>
    <row r="34" spans="2:14" outlineLevel="1" x14ac:dyDescent="0.25">
      <c r="B34" s="3" t="s">
        <v>1833</v>
      </c>
      <c r="C34" s="6">
        <v>2777.77</v>
      </c>
      <c r="D34" s="6">
        <v>8061.74</v>
      </c>
      <c r="E34" s="6"/>
      <c r="F34" s="6"/>
      <c r="G34" s="6">
        <v>8985.6400000000012</v>
      </c>
      <c r="H34" s="6">
        <v>10419.890000000001</v>
      </c>
      <c r="I34" s="6">
        <v>8726.4800000000014</v>
      </c>
      <c r="J34" s="6">
        <v>8159.77</v>
      </c>
      <c r="K34" s="6">
        <v>8297.98</v>
      </c>
      <c r="L34" s="6"/>
      <c r="M34" s="6"/>
      <c r="N34" s="6">
        <v>55429.270000000004</v>
      </c>
    </row>
    <row r="35" spans="2:14" x14ac:dyDescent="0.25">
      <c r="B35" s="3" t="s">
        <v>1835</v>
      </c>
      <c r="C35" s="6">
        <v>4544.66</v>
      </c>
      <c r="D35" s="6">
        <v>8061.74</v>
      </c>
      <c r="E35" s="6"/>
      <c r="F35" s="6"/>
      <c r="G35" s="6">
        <v>3391.2</v>
      </c>
      <c r="H35" s="6">
        <v>6426.53</v>
      </c>
      <c r="I35" s="6">
        <v>11959.83</v>
      </c>
      <c r="J35" s="6">
        <v>7283.8999999999987</v>
      </c>
      <c r="K35" s="6">
        <v>5904.7</v>
      </c>
      <c r="L35" s="6"/>
      <c r="M35" s="6"/>
      <c r="N35" s="6">
        <v>47572.56</v>
      </c>
    </row>
    <row r="36" spans="2:14" x14ac:dyDescent="0.25">
      <c r="B36" s="21" t="s">
        <v>1857</v>
      </c>
      <c r="C36" s="22">
        <v>72679.31</v>
      </c>
      <c r="D36" s="22">
        <v>61987.719999999987</v>
      </c>
      <c r="E36" s="22">
        <v>24536.38</v>
      </c>
      <c r="F36" s="22">
        <v>6435.79</v>
      </c>
      <c r="G36" s="22">
        <v>39508.720000000001</v>
      </c>
      <c r="H36" s="22">
        <v>115450.69999999997</v>
      </c>
      <c r="I36" s="22">
        <v>59757.4</v>
      </c>
      <c r="J36" s="22">
        <v>141898.78999999998</v>
      </c>
      <c r="K36" s="22">
        <v>126648.59999999998</v>
      </c>
      <c r="L36" s="22"/>
      <c r="M36" s="22">
        <v>881012.77999999991</v>
      </c>
      <c r="N36" s="22">
        <v>1529916.19</v>
      </c>
    </row>
    <row r="37" spans="2:14" x14ac:dyDescent="0.25">
      <c r="K37" s="6"/>
    </row>
    <row r="38" spans="2:14" x14ac:dyDescent="0.25">
      <c r="K38" s="6"/>
    </row>
    <row r="39" spans="2:14" x14ac:dyDescent="0.25">
      <c r="K39" s="6"/>
    </row>
    <row r="40" spans="2:14" x14ac:dyDescent="0.25">
      <c r="K40" s="6"/>
    </row>
    <row r="41" spans="2:14" x14ac:dyDescent="0.25">
      <c r="K41" s="6"/>
    </row>
    <row r="42" spans="2:14" x14ac:dyDescent="0.25">
      <c r="K42" s="6"/>
    </row>
    <row r="43" spans="2:14" x14ac:dyDescent="0.25">
      <c r="K43" s="6"/>
    </row>
  </sheetData>
  <phoneticPr fontId="5" type="noConversion"/>
  <pageMargins left="0.511811024" right="0.511811024" top="0.78740157499999996" bottom="0.78740157499999996" header="0.31496062000000002" footer="0.31496062000000002"/>
  <pageSetup paperSize="9" orientation="portrait" r:id="rId2"/>
  <ignoredErrors>
    <ignoredError sqref="M9:M20" formulaRange="1"/>
    <ignoredError sqref="O7 Q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9196-B1C2-4D77-A743-231505C575DF}">
  <dimension ref="B2:M32"/>
  <sheetViews>
    <sheetView showGridLines="0" zoomScaleNormal="100" workbookViewId="0">
      <selection activeCell="P20" sqref="P20"/>
    </sheetView>
  </sheetViews>
  <sheetFormatPr defaultRowHeight="15" x14ac:dyDescent="0.25"/>
  <cols>
    <col min="1" max="1" width="4.42578125" customWidth="1"/>
    <col min="2" max="2" width="13.140625" customWidth="1"/>
    <col min="3" max="3" width="11.7109375" bestFit="1" customWidth="1"/>
    <col min="4" max="5" width="13.28515625" bestFit="1" customWidth="1"/>
    <col min="6" max="8" width="14.42578125" bestFit="1" customWidth="1"/>
    <col min="9" max="9" width="11.7109375" bestFit="1" customWidth="1"/>
    <col min="10" max="10" width="13.7109375" bestFit="1" customWidth="1"/>
    <col min="11" max="11" width="10.85546875" bestFit="1" customWidth="1"/>
    <col min="12" max="13" width="10.85546875" style="52" bestFit="1" customWidth="1"/>
  </cols>
  <sheetData>
    <row r="2" spans="2:13" x14ac:dyDescent="0.25">
      <c r="B2" s="26" t="s">
        <v>1860</v>
      </c>
      <c r="C2" s="17"/>
      <c r="D2" s="17"/>
      <c r="E2" s="17"/>
      <c r="F2" s="17"/>
      <c r="G2" s="17"/>
      <c r="H2" s="17"/>
      <c r="I2" s="17"/>
      <c r="J2" s="17"/>
      <c r="K2" s="17"/>
      <c r="L2" s="53"/>
      <c r="M2" s="53"/>
    </row>
    <row r="3" spans="2:13" x14ac:dyDescent="0.25">
      <c r="B3" s="17" t="s">
        <v>1859</v>
      </c>
      <c r="C3" s="25">
        <v>44407</v>
      </c>
      <c r="D3" s="17"/>
      <c r="E3" s="17"/>
      <c r="F3" s="17"/>
      <c r="G3" s="17"/>
      <c r="H3" s="17"/>
      <c r="I3" s="17"/>
      <c r="J3" s="25">
        <f>C3</f>
        <v>44407</v>
      </c>
      <c r="K3" s="54">
        <v>44389</v>
      </c>
      <c r="L3" s="54">
        <v>44383</v>
      </c>
      <c r="M3" s="54">
        <v>44308</v>
      </c>
    </row>
    <row r="4" spans="2:13" x14ac:dyDescent="0.25">
      <c r="B4" s="27" t="s">
        <v>1861</v>
      </c>
      <c r="C4" s="41" t="s">
        <v>1929</v>
      </c>
      <c r="D4" s="41" t="s">
        <v>1930</v>
      </c>
      <c r="E4" s="41" t="s">
        <v>1931</v>
      </c>
      <c r="F4" s="41" t="s">
        <v>1932</v>
      </c>
      <c r="G4" s="41" t="s">
        <v>1956</v>
      </c>
      <c r="H4" s="41" t="s">
        <v>1933</v>
      </c>
      <c r="I4" s="41" t="s">
        <v>1934</v>
      </c>
      <c r="J4" s="27"/>
      <c r="K4" s="55"/>
      <c r="L4" s="55"/>
      <c r="M4" s="55"/>
    </row>
    <row r="5" spans="2:13" x14ac:dyDescent="0.25">
      <c r="B5" s="28">
        <v>0</v>
      </c>
      <c r="C5" s="28">
        <v>10</v>
      </c>
      <c r="D5" s="28">
        <v>30</v>
      </c>
      <c r="E5" s="28">
        <v>60</v>
      </c>
      <c r="F5" s="28">
        <v>90</v>
      </c>
      <c r="G5" s="28">
        <v>120</v>
      </c>
      <c r="H5" s="28">
        <v>180</v>
      </c>
      <c r="I5" s="28" t="s">
        <v>1858</v>
      </c>
      <c r="J5" s="28" t="s">
        <v>1910</v>
      </c>
      <c r="K5" s="56"/>
      <c r="L5" s="56"/>
      <c r="M5" s="56"/>
    </row>
    <row r="6" spans="2:13" x14ac:dyDescent="0.25">
      <c r="B6" s="12" t="s">
        <v>1936</v>
      </c>
      <c r="C6" s="24">
        <f>SUMIFS(Dados!$H$2:$H$3422,Dados!$A$2:$A$3422,"&gt;="&amp;($C3-C$5),Dados!$A$2:$A$3422,"&lt;="&amp;($C3-B5-1))</f>
        <v>166906.8600000001</v>
      </c>
      <c r="D6" s="24">
        <f>SUMIFS(Dados!$H$2:$H$3422,Dados!$A$2:$A$3422,"&gt;="&amp;($C3-D$5),Dados!$A$2:$A$3422,"&lt;="&amp;($C3-C5-1))</f>
        <v>193442.06000000003</v>
      </c>
      <c r="E6" s="24">
        <f>SUMIFS(Dados!$H$2:$H$3422,Dados!$A$2:$A$3422,"&gt;="&amp;($C3-E$5),Dados!$A$2:$A$3422,"&lt;="&amp;($C3-D5-1))</f>
        <v>192398.49999999988</v>
      </c>
      <c r="F6" s="24">
        <f>SUMIFS(Dados!$H$2:$H$3422,Dados!$A$2:$A$3422,"&gt;="&amp;($C3-F$5),Dados!$A$2:$A$3422,"&lt;="&amp;($C3-E5-1))</f>
        <v>190440.69000000003</v>
      </c>
      <c r="G6" s="24">
        <f>SUMIFS(Dados!$H$2:$H$3422,Dados!$A$2:$A$3422,"&gt;="&amp;($C3-G$5),Dados!$A$2:$A$3422,"&lt;="&amp;($C3-F5-1))</f>
        <v>18878.020000000004</v>
      </c>
      <c r="H6" s="24">
        <f>SUMIFS(Dados!$H$2:$H$3422,Dados!$A$2:$A$3422,"&gt;="&amp;($C3-H$5),Dados!$A$2:$A$3422,"&lt;="&amp;($C3-G5-1))</f>
        <v>52651.240000000005</v>
      </c>
      <c r="I6" s="24">
        <f>SUMIFS(Dados!$H$2:$H$3422,Dados!$A$2:$A$3422,"&lt;="&amp;($C3-H5-1))</f>
        <v>680281.85999999882</v>
      </c>
      <c r="J6" s="29">
        <f>SUM(C6:I6)</f>
        <v>1494999.2299999991</v>
      </c>
      <c r="K6" s="57">
        <v>1459289.42</v>
      </c>
      <c r="L6" s="57">
        <v>1507222.61</v>
      </c>
      <c r="M6" s="57">
        <v>1227948.6000000001</v>
      </c>
    </row>
    <row r="7" spans="2:13" x14ac:dyDescent="0.25">
      <c r="B7" s="12" t="s">
        <v>1935</v>
      </c>
      <c r="C7" s="40">
        <f>C6/$J$6</f>
        <v>0.11164344211735829</v>
      </c>
      <c r="D7" s="40">
        <f t="shared" ref="D7:I7" si="0">D6/$J$6</f>
        <v>0.12939274891800456</v>
      </c>
      <c r="E7" s="40">
        <f t="shared" si="0"/>
        <v>0.12869471511366598</v>
      </c>
      <c r="F7" s="40">
        <f t="shared" si="0"/>
        <v>0.12738514253281599</v>
      </c>
      <c r="G7" s="40">
        <f t="shared" ref="G7" si="1">G6/$J$6</f>
        <v>1.2627444630857781E-2</v>
      </c>
      <c r="H7" s="40">
        <f t="shared" si="0"/>
        <v>3.5218238874945802E-2</v>
      </c>
      <c r="I7" s="40">
        <f t="shared" si="0"/>
        <v>0.45503826781235146</v>
      </c>
      <c r="J7" s="43">
        <f>J6/J6</f>
        <v>1</v>
      </c>
      <c r="K7" s="58"/>
      <c r="L7" s="58"/>
      <c r="M7" s="58"/>
    </row>
    <row r="8" spans="2:13" x14ac:dyDescent="0.25">
      <c r="B8" s="17"/>
      <c r="C8" s="25"/>
      <c r="D8" s="30"/>
      <c r="E8" s="30" t="s">
        <v>1923</v>
      </c>
      <c r="F8" s="30" t="s">
        <v>1924</v>
      </c>
      <c r="G8" s="30" t="s">
        <v>1924</v>
      </c>
      <c r="H8" s="30" t="s">
        <v>1862</v>
      </c>
      <c r="I8" s="31"/>
      <c r="J8" s="67">
        <f>H11</f>
        <v>3.6298521541011736E-2</v>
      </c>
      <c r="K8" s="67">
        <v>3.5200000000000002E-2</v>
      </c>
      <c r="L8" s="67">
        <v>3.7100000000000001E-2</v>
      </c>
      <c r="M8" s="67">
        <v>2.6700000000000002E-2</v>
      </c>
    </row>
    <row r="9" spans="2:13" x14ac:dyDescent="0.25">
      <c r="B9" s="33" t="s">
        <v>1925</v>
      </c>
      <c r="C9" s="34"/>
      <c r="D9" s="35">
        <f>SUM(Indicador!L14)</f>
        <v>3551913</v>
      </c>
      <c r="E9" s="35">
        <f>SUM(Indicador!L13:L14)</f>
        <v>7431583.2300000004</v>
      </c>
      <c r="F9" s="35">
        <f>SUM(Indicador!L12:L14)</f>
        <v>10938090.92</v>
      </c>
      <c r="G9" s="35">
        <f>SUM(Indicador!L11:L14)</f>
        <v>15828084.26</v>
      </c>
      <c r="H9" s="35">
        <f>SUM(Indicador!L9:L14)</f>
        <v>22444918.84</v>
      </c>
      <c r="I9" s="34"/>
      <c r="J9" s="33"/>
      <c r="K9" s="33"/>
      <c r="L9" s="59"/>
      <c r="M9" s="59"/>
    </row>
    <row r="10" spans="2:13" x14ac:dyDescent="0.25">
      <c r="B10" s="32" t="s">
        <v>1926</v>
      </c>
      <c r="C10" s="32"/>
      <c r="D10" s="36">
        <f>SUM(C6:D6)</f>
        <v>360348.92000000016</v>
      </c>
      <c r="E10" s="36">
        <f>SUM(C6:E6)</f>
        <v>552747.42000000004</v>
      </c>
      <c r="F10" s="36">
        <f>SUM(B6:F6)</f>
        <v>743188.1100000001</v>
      </c>
      <c r="G10" s="36">
        <f>SUM(C6:G6)</f>
        <v>762066.13000000012</v>
      </c>
      <c r="H10" s="36">
        <f>SUM(C6:H6)</f>
        <v>814717.37000000011</v>
      </c>
      <c r="I10" s="32"/>
      <c r="J10" s="32"/>
      <c r="K10" s="32"/>
      <c r="L10" s="60"/>
      <c r="M10" s="60"/>
    </row>
    <row r="11" spans="2:13" ht="17.25" x14ac:dyDescent="0.3">
      <c r="B11" s="37" t="s">
        <v>1927</v>
      </c>
      <c r="C11" s="37"/>
      <c r="D11" s="38">
        <f>D10/D9</f>
        <v>0.1014520682235179</v>
      </c>
      <c r="E11" s="38">
        <f>E10/E9</f>
        <v>7.4378151047095248E-2</v>
      </c>
      <c r="F11" s="38">
        <f>F10/F9</f>
        <v>6.7944956339785131E-2</v>
      </c>
      <c r="G11" s="38">
        <f>G10/G9</f>
        <v>4.8146453953739572E-2</v>
      </c>
      <c r="H11" s="42">
        <f>H10/H9</f>
        <v>3.6298521541011736E-2</v>
      </c>
      <c r="I11" s="49"/>
      <c r="J11" s="37"/>
      <c r="K11" s="37"/>
      <c r="L11" s="61"/>
      <c r="M11" s="61"/>
    </row>
    <row r="12" spans="2:13" x14ac:dyDescent="0.25">
      <c r="B12" s="68" t="s">
        <v>1928</v>
      </c>
      <c r="C12" s="68"/>
      <c r="D12" s="68"/>
      <c r="E12" s="68"/>
      <c r="F12" s="68"/>
      <c r="G12" s="68"/>
      <c r="H12" s="68"/>
      <c r="I12" s="68"/>
      <c r="J12" s="68"/>
      <c r="K12" s="51"/>
      <c r="L12" s="62"/>
      <c r="M12" s="62"/>
    </row>
    <row r="13" spans="2:13" x14ac:dyDescent="0.25">
      <c r="B13" s="68" t="s">
        <v>1949</v>
      </c>
      <c r="C13" s="68"/>
      <c r="D13" s="68"/>
      <c r="E13" s="68"/>
      <c r="F13" s="68"/>
      <c r="G13" s="68"/>
      <c r="H13" s="68"/>
      <c r="I13" s="68"/>
      <c r="J13" s="68"/>
      <c r="K13" s="51"/>
      <c r="L13" s="62"/>
      <c r="M13" s="62"/>
    </row>
    <row r="15" spans="2:13" x14ac:dyDescent="0.25">
      <c r="D15" s="24"/>
      <c r="M15" s="63"/>
    </row>
    <row r="16" spans="2:13" x14ac:dyDescent="0.25">
      <c r="D16" s="24"/>
    </row>
    <row r="17" spans="2:4" x14ac:dyDescent="0.25">
      <c r="D17" s="39"/>
    </row>
    <row r="29" spans="2:4" x14ac:dyDescent="0.25">
      <c r="B29" s="64"/>
      <c r="C29" s="24"/>
    </row>
    <row r="30" spans="2:4" x14ac:dyDescent="0.25">
      <c r="B30" s="7"/>
      <c r="C30" s="6"/>
    </row>
    <row r="31" spans="2:4" x14ac:dyDescent="0.25">
      <c r="B31" s="64"/>
      <c r="C31" s="6"/>
    </row>
    <row r="32" spans="2:4" x14ac:dyDescent="0.25">
      <c r="C32" s="6"/>
    </row>
  </sheetData>
  <mergeCells count="2">
    <mergeCell ref="B12:J12"/>
    <mergeCell ref="B13:J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FC244-9DBC-4AE3-AB6D-21B4619FC77C}">
  <dimension ref="B4:D17"/>
  <sheetViews>
    <sheetView zoomScale="120" zoomScaleNormal="120" workbookViewId="0">
      <selection activeCell="B16" sqref="B16"/>
    </sheetView>
  </sheetViews>
  <sheetFormatPr defaultRowHeight="15" x14ac:dyDescent="0.25"/>
  <cols>
    <col min="1" max="1" width="3.42578125" customWidth="1"/>
    <col min="2" max="2" width="15.140625" bestFit="1" customWidth="1"/>
    <col min="3" max="3" width="14.140625" bestFit="1" customWidth="1"/>
    <col min="4" max="4" width="11.5703125" bestFit="1" customWidth="1"/>
    <col min="5" max="5" width="3.7109375" customWidth="1"/>
  </cols>
  <sheetData>
    <row r="4" spans="2:4" x14ac:dyDescent="0.25">
      <c r="B4" s="12" t="s">
        <v>1863</v>
      </c>
      <c r="C4" s="12"/>
      <c r="D4" s="15">
        <f>Régua!C3</f>
        <v>44407</v>
      </c>
    </row>
    <row r="5" spans="2:4" x14ac:dyDescent="0.25">
      <c r="B5" s="17" t="s">
        <v>1837</v>
      </c>
      <c r="C5" s="17" t="s">
        <v>1851</v>
      </c>
      <c r="D5" s="17" t="s">
        <v>1823</v>
      </c>
    </row>
    <row r="6" spans="2:4" x14ac:dyDescent="0.25">
      <c r="B6" s="4" t="s">
        <v>1806</v>
      </c>
      <c r="C6" s="6">
        <v>72679.309999999983</v>
      </c>
      <c r="D6" s="7">
        <v>4.7505419234762099E-2</v>
      </c>
    </row>
    <row r="7" spans="2:4" x14ac:dyDescent="0.25">
      <c r="B7" s="4" t="s">
        <v>1807</v>
      </c>
      <c r="C7" s="6">
        <v>61987.719999999987</v>
      </c>
      <c r="D7" s="7">
        <v>4.0517069108210402E-2</v>
      </c>
    </row>
    <row r="8" spans="2:4" x14ac:dyDescent="0.25">
      <c r="B8" s="4" t="s">
        <v>1808</v>
      </c>
      <c r="C8" s="6">
        <v>24536.38</v>
      </c>
      <c r="D8" s="7">
        <v>1.6037728184313146E-2</v>
      </c>
    </row>
    <row r="9" spans="2:4" x14ac:dyDescent="0.25">
      <c r="B9" s="4" t="s">
        <v>1809</v>
      </c>
      <c r="C9" s="6">
        <v>6435.79</v>
      </c>
      <c r="D9" s="7">
        <v>4.2066291226057267E-3</v>
      </c>
    </row>
    <row r="10" spans="2:4" x14ac:dyDescent="0.25">
      <c r="B10" s="4" t="s">
        <v>1810</v>
      </c>
      <c r="C10" s="6">
        <v>39508.72000000003</v>
      </c>
      <c r="D10" s="7">
        <v>2.5824107397673862E-2</v>
      </c>
    </row>
    <row r="11" spans="2:4" x14ac:dyDescent="0.25">
      <c r="B11" s="4" t="s">
        <v>1811</v>
      </c>
      <c r="C11" s="6">
        <v>115450.70000000001</v>
      </c>
      <c r="D11" s="7">
        <v>7.5462107502764539E-2</v>
      </c>
    </row>
    <row r="12" spans="2:4" x14ac:dyDescent="0.25">
      <c r="B12" s="4" t="s">
        <v>1812</v>
      </c>
      <c r="C12" s="6">
        <v>59757.4</v>
      </c>
      <c r="D12" s="7">
        <v>3.9059263762677071E-2</v>
      </c>
    </row>
    <row r="13" spans="2:4" x14ac:dyDescent="0.25">
      <c r="B13" s="4" t="s">
        <v>1813</v>
      </c>
      <c r="C13" s="6">
        <v>141898.78999999995</v>
      </c>
      <c r="D13" s="7">
        <v>9.2749387794896054E-2</v>
      </c>
    </row>
    <row r="14" spans="2:4" x14ac:dyDescent="0.25">
      <c r="B14" s="4" t="s">
        <v>1814</v>
      </c>
      <c r="C14" s="6">
        <v>126648.59999999999</v>
      </c>
      <c r="D14" s="7">
        <v>8.2781397326084846E-2</v>
      </c>
    </row>
    <row r="15" spans="2:4" x14ac:dyDescent="0.25">
      <c r="B15" s="4" t="s">
        <v>4181</v>
      </c>
      <c r="C15" s="6"/>
      <c r="D15" s="7">
        <v>0</v>
      </c>
    </row>
    <row r="16" spans="2:4" x14ac:dyDescent="0.25">
      <c r="B16" s="4" t="s">
        <v>2048</v>
      </c>
      <c r="C16" s="6">
        <v>881012.78000000084</v>
      </c>
      <c r="D16" s="7">
        <v>0.57585689056601219</v>
      </c>
    </row>
    <row r="17" spans="2:4" x14ac:dyDescent="0.25">
      <c r="B17" s="18" t="s">
        <v>1911</v>
      </c>
      <c r="C17" s="19">
        <v>1529916.1900000009</v>
      </c>
      <c r="D17" s="20"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DDD27-5BBE-41AB-833E-D9FA6D2ED6CB}">
  <dimension ref="B4:D34"/>
  <sheetViews>
    <sheetView showGridLines="0" zoomScale="140" zoomScaleNormal="140" workbookViewId="0">
      <selection activeCell="C6" sqref="C6"/>
    </sheetView>
  </sheetViews>
  <sheetFormatPr defaultRowHeight="15" x14ac:dyDescent="0.25"/>
  <cols>
    <col min="2" max="2" width="45.140625" bestFit="1" customWidth="1"/>
    <col min="3" max="3" width="14" bestFit="1" customWidth="1"/>
    <col min="4" max="4" width="8.5703125" bestFit="1" customWidth="1"/>
    <col min="5" max="5" width="3.7109375" customWidth="1"/>
  </cols>
  <sheetData>
    <row r="4" spans="2:4" x14ac:dyDescent="0.25">
      <c r="B4" s="12" t="s">
        <v>1864</v>
      </c>
      <c r="C4" s="15">
        <f>Régua!C3</f>
        <v>44407</v>
      </c>
      <c r="D4" s="12"/>
    </row>
    <row r="5" spans="2:4" x14ac:dyDescent="0.25">
      <c r="B5" s="17" t="s">
        <v>1837</v>
      </c>
      <c r="C5" s="17" t="s">
        <v>1851</v>
      </c>
      <c r="D5" s="17" t="s">
        <v>1823</v>
      </c>
    </row>
    <row r="6" spans="2:4" x14ac:dyDescent="0.25">
      <c r="B6" s="4" t="s">
        <v>1493</v>
      </c>
      <c r="C6" s="6">
        <v>51689.479999999981</v>
      </c>
      <c r="D6" s="7">
        <v>3.3785824568599403E-2</v>
      </c>
    </row>
    <row r="7" spans="2:4" x14ac:dyDescent="0.25">
      <c r="B7" s="4" t="s">
        <v>554</v>
      </c>
      <c r="C7" s="6">
        <v>30323.51</v>
      </c>
      <c r="D7" s="7">
        <v>1.9820373297703323E-2</v>
      </c>
    </row>
    <row r="8" spans="2:4" x14ac:dyDescent="0.25">
      <c r="B8" s="4" t="s">
        <v>695</v>
      </c>
      <c r="C8" s="6">
        <v>119270.22999999995</v>
      </c>
      <c r="D8" s="7">
        <v>7.7958669095462008E-2</v>
      </c>
    </row>
    <row r="9" spans="2:4" x14ac:dyDescent="0.25">
      <c r="B9" s="4" t="s">
        <v>28</v>
      </c>
      <c r="C9" s="6">
        <v>11078.599999999995</v>
      </c>
      <c r="D9" s="7">
        <v>7.2413116956426202E-3</v>
      </c>
    </row>
    <row r="10" spans="2:4" x14ac:dyDescent="0.25">
      <c r="B10" s="4" t="s">
        <v>344</v>
      </c>
      <c r="C10" s="6">
        <v>6904.93</v>
      </c>
      <c r="D10" s="7">
        <v>4.5132733708766106E-3</v>
      </c>
    </row>
    <row r="11" spans="2:4" x14ac:dyDescent="0.25">
      <c r="B11" s="4" t="s">
        <v>1322</v>
      </c>
      <c r="C11" s="6">
        <v>414.88</v>
      </c>
      <c r="D11" s="7">
        <v>2.7117825323490436E-4</v>
      </c>
    </row>
    <row r="12" spans="2:4" x14ac:dyDescent="0.25">
      <c r="B12" s="4" t="s">
        <v>93</v>
      </c>
      <c r="C12" s="6">
        <v>11651.969999999998</v>
      </c>
      <c r="D12" s="7">
        <v>7.6160838588158215E-3</v>
      </c>
    </row>
    <row r="13" spans="2:4" x14ac:dyDescent="0.25">
      <c r="B13" s="4" t="s">
        <v>1081</v>
      </c>
      <c r="C13" s="6">
        <v>434.9</v>
      </c>
      <c r="D13" s="7">
        <v>2.8426393735986289E-4</v>
      </c>
    </row>
    <row r="14" spans="2:4" x14ac:dyDescent="0.25">
      <c r="B14" s="4" t="s">
        <v>30</v>
      </c>
      <c r="C14" s="6">
        <v>10022.230000000003</v>
      </c>
      <c r="D14" s="7">
        <v>6.5508359644197277E-3</v>
      </c>
    </row>
    <row r="15" spans="2:4" x14ac:dyDescent="0.25">
      <c r="B15" s="4" t="s">
        <v>1682</v>
      </c>
      <c r="C15" s="6">
        <v>100897.59999999998</v>
      </c>
      <c r="D15" s="7">
        <v>6.5949756371948706E-2</v>
      </c>
    </row>
    <row r="16" spans="2:4" x14ac:dyDescent="0.25">
      <c r="B16" s="4" t="s">
        <v>42</v>
      </c>
      <c r="C16" s="6">
        <v>1138.74</v>
      </c>
      <c r="D16" s="7">
        <v>7.4431528174102152E-4</v>
      </c>
    </row>
    <row r="17" spans="2:4" x14ac:dyDescent="0.25">
      <c r="B17" s="4" t="s">
        <v>16</v>
      </c>
      <c r="C17" s="6">
        <v>153489.15</v>
      </c>
      <c r="D17" s="7">
        <v>0.1003252014739448</v>
      </c>
    </row>
    <row r="18" spans="2:4" x14ac:dyDescent="0.25">
      <c r="B18" s="4" t="s">
        <v>830</v>
      </c>
      <c r="C18" s="6">
        <v>64033.130000000005</v>
      </c>
      <c r="D18" s="7">
        <v>4.1854011623996226E-2</v>
      </c>
    </row>
    <row r="19" spans="2:4" x14ac:dyDescent="0.25">
      <c r="B19" s="4" t="s">
        <v>671</v>
      </c>
      <c r="C19" s="6">
        <v>152776.74000000002</v>
      </c>
      <c r="D19" s="7">
        <v>9.9859548515530153E-2</v>
      </c>
    </row>
    <row r="20" spans="2:4" x14ac:dyDescent="0.25">
      <c r="B20" s="4" t="s">
        <v>14</v>
      </c>
      <c r="C20" s="6">
        <v>2508.9800000000005</v>
      </c>
      <c r="D20" s="7">
        <v>1.6399460417501699E-3</v>
      </c>
    </row>
    <row r="21" spans="2:4" x14ac:dyDescent="0.25">
      <c r="B21" s="4" t="s">
        <v>76</v>
      </c>
      <c r="C21" s="6">
        <v>76142.819999999978</v>
      </c>
      <c r="D21" s="7">
        <v>4.9769275269908736E-2</v>
      </c>
    </row>
    <row r="22" spans="2:4" x14ac:dyDescent="0.25">
      <c r="B22" s="4" t="s">
        <v>21</v>
      </c>
      <c r="C22" s="6">
        <v>582034.2799999998</v>
      </c>
      <c r="D22" s="7">
        <v>0.38043540149738525</v>
      </c>
    </row>
    <row r="23" spans="2:4" x14ac:dyDescent="0.25">
      <c r="B23" s="4" t="s">
        <v>1372</v>
      </c>
      <c r="C23" s="6">
        <v>1563.58</v>
      </c>
      <c r="D23" s="7">
        <v>1.0220036955096215E-3</v>
      </c>
    </row>
    <row r="24" spans="2:4" x14ac:dyDescent="0.25">
      <c r="B24" s="4" t="s">
        <v>582</v>
      </c>
      <c r="C24" s="6">
        <v>6002.9299999999994</v>
      </c>
      <c r="D24" s="7">
        <v>3.9236985916202378E-3</v>
      </c>
    </row>
    <row r="25" spans="2:4" x14ac:dyDescent="0.25">
      <c r="B25" s="4" t="s">
        <v>45</v>
      </c>
      <c r="C25" s="6">
        <v>6069.0900000000011</v>
      </c>
      <c r="D25" s="7">
        <v>3.966942790506715E-3</v>
      </c>
    </row>
    <row r="26" spans="2:4" x14ac:dyDescent="0.25">
      <c r="B26" s="4" t="s">
        <v>78</v>
      </c>
      <c r="C26" s="6">
        <v>1157.3599999999999</v>
      </c>
      <c r="D26" s="7">
        <v>7.5648588306003882E-4</v>
      </c>
    </row>
    <row r="27" spans="2:4" x14ac:dyDescent="0.25">
      <c r="B27" s="4" t="s">
        <v>652</v>
      </c>
      <c r="C27" s="6">
        <v>18350.099999999999</v>
      </c>
      <c r="D27" s="7">
        <v>1.199418642664341E-2</v>
      </c>
    </row>
    <row r="28" spans="2:4" x14ac:dyDescent="0.25">
      <c r="B28" s="4" t="s">
        <v>1128</v>
      </c>
      <c r="C28" s="6">
        <v>71872.309999999969</v>
      </c>
      <c r="D28" s="7">
        <v>4.6977939360194614E-2</v>
      </c>
    </row>
    <row r="29" spans="2:4" x14ac:dyDescent="0.25">
      <c r="B29" s="4" t="s">
        <v>1114</v>
      </c>
      <c r="C29" s="6">
        <v>3927.9299999999994</v>
      </c>
      <c r="D29" s="7">
        <v>2.5674151471003128E-3</v>
      </c>
    </row>
    <row r="30" spans="2:4" x14ac:dyDescent="0.25">
      <c r="B30" s="4" t="s">
        <v>29</v>
      </c>
      <c r="C30" s="6">
        <v>24507.299999999996</v>
      </c>
      <c r="D30" s="7">
        <v>1.6018720607172608E-2</v>
      </c>
    </row>
    <row r="31" spans="2:4" x14ac:dyDescent="0.25">
      <c r="B31" s="4" t="s">
        <v>1948</v>
      </c>
      <c r="C31" s="6">
        <v>4936.8999999999996</v>
      </c>
      <c r="D31" s="7">
        <v>3.2269087890363464E-3</v>
      </c>
    </row>
    <row r="32" spans="2:4" x14ac:dyDescent="0.25">
      <c r="B32" s="4" t="s">
        <v>2126</v>
      </c>
      <c r="C32" s="6">
        <v>16716.52</v>
      </c>
      <c r="D32" s="7">
        <v>1.0926428590836734E-2</v>
      </c>
    </row>
    <row r="33" spans="2:4" x14ac:dyDescent="0.25">
      <c r="B33" s="66" t="s">
        <v>2048</v>
      </c>
      <c r="C33" s="6">
        <v>16716.52</v>
      </c>
      <c r="D33" s="7">
        <v>1.0926428590836734E-2</v>
      </c>
    </row>
    <row r="34" spans="2:4" x14ac:dyDescent="0.25">
      <c r="B34" s="18" t="s">
        <v>1911</v>
      </c>
      <c r="C34" s="19">
        <v>1529916.1899999997</v>
      </c>
      <c r="D34" s="20"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D8ED2-8B0B-402F-9EFE-A515493839F2}">
  <dimension ref="B4:H248"/>
  <sheetViews>
    <sheetView showGridLines="0" tabSelected="1" zoomScale="130" zoomScaleNormal="130" workbookViewId="0">
      <selection activeCell="B7" sqref="B7"/>
    </sheetView>
  </sheetViews>
  <sheetFormatPr defaultRowHeight="15" x14ac:dyDescent="0.25"/>
  <cols>
    <col min="2" max="2" width="52.42578125" bestFit="1" customWidth="1"/>
    <col min="3" max="3" width="13.85546875" bestFit="1" customWidth="1"/>
    <col min="4" max="4" width="8.5703125" bestFit="1" customWidth="1"/>
    <col min="5" max="5" width="3.7109375" customWidth="1"/>
    <col min="6" max="6" width="6.5703125" customWidth="1"/>
    <col min="7" max="7" width="7.28515625" customWidth="1"/>
  </cols>
  <sheetData>
    <row r="4" spans="2:7" x14ac:dyDescent="0.25">
      <c r="B4" s="12" t="str">
        <f>'Dash Ano'!B4</f>
        <v xml:space="preserve">Dados Vencidos até </v>
      </c>
      <c r="C4" s="15">
        <f>'Dash Ano'!D4</f>
        <v>44407</v>
      </c>
      <c r="D4" s="12"/>
    </row>
    <row r="5" spans="2:7" x14ac:dyDescent="0.25">
      <c r="B5" s="17" t="s">
        <v>1856</v>
      </c>
      <c r="C5" s="17" t="s">
        <v>1851</v>
      </c>
      <c r="D5" s="17" t="s">
        <v>1823</v>
      </c>
    </row>
    <row r="6" spans="2:7" x14ac:dyDescent="0.25">
      <c r="B6" s="4" t="s">
        <v>1762</v>
      </c>
      <c r="C6" s="6">
        <v>156634.20000000004</v>
      </c>
      <c r="D6" s="7">
        <v>0.10238090231596286</v>
      </c>
      <c r="F6" s="69">
        <f>SUM(D6:D27)</f>
        <v>0.6769450619383276</v>
      </c>
      <c r="G6" s="69"/>
    </row>
    <row r="7" spans="2:7" x14ac:dyDescent="0.25">
      <c r="B7" s="4" t="s">
        <v>36</v>
      </c>
      <c r="C7" s="6">
        <v>153489.15</v>
      </c>
      <c r="D7" s="7">
        <v>0.1003252014739448</v>
      </c>
      <c r="F7" s="69"/>
      <c r="G7" s="69"/>
    </row>
    <row r="8" spans="2:7" x14ac:dyDescent="0.25">
      <c r="B8" s="4" t="s">
        <v>1758</v>
      </c>
      <c r="C8" s="6">
        <v>149479.50999999995</v>
      </c>
      <c r="D8" s="7">
        <v>9.7704378172506282E-2</v>
      </c>
      <c r="F8" s="69"/>
      <c r="G8" s="69"/>
    </row>
    <row r="9" spans="2:7" x14ac:dyDescent="0.25">
      <c r="B9" s="4" t="s">
        <v>1938</v>
      </c>
      <c r="C9" s="6">
        <v>99172.779999999955</v>
      </c>
      <c r="D9" s="7">
        <v>6.4822361282417681E-2</v>
      </c>
      <c r="F9" s="69"/>
      <c r="G9" s="69"/>
    </row>
    <row r="10" spans="2:7" x14ac:dyDescent="0.25">
      <c r="B10" s="4" t="s">
        <v>1564</v>
      </c>
      <c r="C10" s="6">
        <v>56409.81</v>
      </c>
      <c r="D10" s="7">
        <v>3.6871176583862422E-2</v>
      </c>
      <c r="F10" s="69"/>
      <c r="G10" s="69"/>
    </row>
    <row r="11" spans="2:7" x14ac:dyDescent="0.25">
      <c r="B11" s="4" t="s">
        <v>719</v>
      </c>
      <c r="C11" s="6">
        <v>36026.049999999974</v>
      </c>
      <c r="D11" s="7">
        <v>2.3547727800697357E-2</v>
      </c>
      <c r="F11" s="69"/>
      <c r="G11" s="69"/>
    </row>
    <row r="12" spans="2:7" x14ac:dyDescent="0.25">
      <c r="B12" s="4" t="s">
        <v>1840</v>
      </c>
      <c r="C12" s="6">
        <v>35751.339999999975</v>
      </c>
      <c r="D12" s="7">
        <v>2.3368168945254432E-2</v>
      </c>
      <c r="F12" s="69"/>
      <c r="G12" s="69"/>
    </row>
    <row r="13" spans="2:7" x14ac:dyDescent="0.25">
      <c r="B13" s="4" t="s">
        <v>892</v>
      </c>
      <c r="C13" s="6">
        <v>35680.220000000008</v>
      </c>
      <c r="D13" s="7">
        <v>2.3321682738712646E-2</v>
      </c>
      <c r="F13" s="69"/>
      <c r="G13" s="69"/>
    </row>
    <row r="14" spans="2:7" x14ac:dyDescent="0.25">
      <c r="B14" s="4" t="s">
        <v>1984</v>
      </c>
      <c r="C14" s="6">
        <v>35292.889999999992</v>
      </c>
      <c r="D14" s="7">
        <v>2.3068512007837501E-2</v>
      </c>
      <c r="F14" s="69"/>
      <c r="G14" s="69"/>
    </row>
    <row r="15" spans="2:7" x14ac:dyDescent="0.25">
      <c r="B15" s="4" t="s">
        <v>359</v>
      </c>
      <c r="C15" s="6">
        <v>34401.810000000012</v>
      </c>
      <c r="D15" s="7">
        <v>2.2486074874467483E-2</v>
      </c>
      <c r="F15" s="69"/>
      <c r="G15" s="69"/>
    </row>
    <row r="16" spans="2:7" x14ac:dyDescent="0.25">
      <c r="B16" s="4" t="s">
        <v>2204</v>
      </c>
      <c r="C16" s="6">
        <v>28778.589999999997</v>
      </c>
      <c r="D16" s="7">
        <v>1.8810566348735746E-2</v>
      </c>
      <c r="F16" s="69"/>
      <c r="G16" s="69"/>
    </row>
    <row r="17" spans="2:7" x14ac:dyDescent="0.25">
      <c r="B17" s="4" t="s">
        <v>456</v>
      </c>
      <c r="C17" s="6">
        <v>25917.58</v>
      </c>
      <c r="D17" s="7">
        <v>1.6940522735431677E-2</v>
      </c>
      <c r="F17" s="69"/>
      <c r="G17" s="69"/>
    </row>
    <row r="18" spans="2:7" x14ac:dyDescent="0.25">
      <c r="B18" s="4" t="s">
        <v>1351</v>
      </c>
      <c r="C18" s="6">
        <v>24604.779999999992</v>
      </c>
      <c r="D18" s="7">
        <v>1.6082436515689136E-2</v>
      </c>
      <c r="F18" s="69"/>
      <c r="G18" s="69"/>
    </row>
    <row r="19" spans="2:7" x14ac:dyDescent="0.25">
      <c r="B19" s="4" t="s">
        <v>878</v>
      </c>
      <c r="C19" s="6">
        <v>22572.55</v>
      </c>
      <c r="D19" s="7">
        <v>1.4754108850890717E-2</v>
      </c>
      <c r="F19" s="69"/>
      <c r="G19" s="69"/>
    </row>
    <row r="20" spans="2:7" x14ac:dyDescent="0.25">
      <c r="B20" s="4" t="s">
        <v>1953</v>
      </c>
      <c r="C20" s="6">
        <v>21909.84</v>
      </c>
      <c r="D20" s="7">
        <v>1.4320941332086959E-2</v>
      </c>
      <c r="F20" s="69"/>
      <c r="G20" s="69"/>
    </row>
    <row r="21" spans="2:7" x14ac:dyDescent="0.25">
      <c r="B21" s="4" t="s">
        <v>1901</v>
      </c>
      <c r="C21" s="6">
        <v>19673.150000000001</v>
      </c>
      <c r="D21" s="7">
        <v>1.2858972359786587E-2</v>
      </c>
      <c r="F21" s="69"/>
      <c r="G21" s="69"/>
    </row>
    <row r="22" spans="2:7" x14ac:dyDescent="0.25">
      <c r="B22" s="4" t="s">
        <v>1356</v>
      </c>
      <c r="C22" s="6">
        <v>18154.89</v>
      </c>
      <c r="D22" s="7">
        <v>1.1866591201966431E-2</v>
      </c>
      <c r="F22" s="69"/>
      <c r="G22" s="69"/>
    </row>
    <row r="23" spans="2:7" x14ac:dyDescent="0.25">
      <c r="B23" s="4" t="s">
        <v>1724</v>
      </c>
      <c r="C23" s="6">
        <v>17855.970000000005</v>
      </c>
      <c r="D23" s="7">
        <v>1.1671207950286484E-2</v>
      </c>
      <c r="F23" s="69"/>
      <c r="G23" s="69"/>
    </row>
    <row r="24" spans="2:7" x14ac:dyDescent="0.25">
      <c r="B24" s="4" t="s">
        <v>2216</v>
      </c>
      <c r="C24" s="6">
        <v>17680.66</v>
      </c>
      <c r="D24" s="7">
        <v>1.1556619974065379E-2</v>
      </c>
      <c r="F24" s="69"/>
      <c r="G24" s="69"/>
    </row>
    <row r="25" spans="2:7" x14ac:dyDescent="0.25">
      <c r="B25" s="4" t="s">
        <v>1999</v>
      </c>
      <c r="C25" s="6">
        <v>15897.029999999999</v>
      </c>
      <c r="D25" s="7">
        <v>1.0390784870379078E-2</v>
      </c>
      <c r="F25" s="69"/>
      <c r="G25" s="69"/>
    </row>
    <row r="26" spans="2:7" x14ac:dyDescent="0.25">
      <c r="B26" s="4" t="s">
        <v>2298</v>
      </c>
      <c r="C26" s="6">
        <v>15443.510000000002</v>
      </c>
      <c r="D26" s="7">
        <v>1.0094350331700199E-2</v>
      </c>
      <c r="F26" s="69"/>
      <c r="G26" s="69"/>
    </row>
    <row r="27" spans="2:7" x14ac:dyDescent="0.25">
      <c r="B27" s="4" t="s">
        <v>1717</v>
      </c>
      <c r="C27" s="6">
        <v>14842.900000000001</v>
      </c>
      <c r="D27" s="7">
        <v>9.7017732716456872E-3</v>
      </c>
      <c r="F27" s="69"/>
      <c r="G27" s="69"/>
    </row>
    <row r="28" spans="2:7" x14ac:dyDescent="0.25">
      <c r="B28" s="4" t="s">
        <v>557</v>
      </c>
      <c r="C28" s="6">
        <v>13473.730000000003</v>
      </c>
      <c r="D28" s="7">
        <v>8.8068418963525089E-3</v>
      </c>
    </row>
    <row r="29" spans="2:7" x14ac:dyDescent="0.25">
      <c r="B29" s="4" t="s">
        <v>1451</v>
      </c>
      <c r="C29" s="6">
        <v>13190.51</v>
      </c>
      <c r="D29" s="7">
        <v>8.6217206447106124E-3</v>
      </c>
    </row>
    <row r="30" spans="2:7" x14ac:dyDescent="0.25">
      <c r="B30" s="4" t="s">
        <v>2351</v>
      </c>
      <c r="C30" s="6">
        <v>13065.05</v>
      </c>
      <c r="D30" s="7">
        <v>8.5397161526867705E-3</v>
      </c>
    </row>
    <row r="31" spans="2:7" x14ac:dyDescent="0.25">
      <c r="B31" s="4" t="s">
        <v>1743</v>
      </c>
      <c r="C31" s="6">
        <v>12786.37</v>
      </c>
      <c r="D31" s="7">
        <v>8.3575623838584284E-3</v>
      </c>
    </row>
    <row r="32" spans="2:7" x14ac:dyDescent="0.25">
      <c r="B32" s="4" t="s">
        <v>866</v>
      </c>
      <c r="C32" s="6">
        <v>12102.380000000001</v>
      </c>
      <c r="D32" s="7">
        <v>7.9104856064043626E-3</v>
      </c>
    </row>
    <row r="33" spans="2:4" x14ac:dyDescent="0.25">
      <c r="B33" s="4" t="s">
        <v>2005</v>
      </c>
      <c r="C33" s="6">
        <v>11423.4</v>
      </c>
      <c r="D33" s="7">
        <v>7.4666835181344164E-3</v>
      </c>
    </row>
    <row r="34" spans="2:4" x14ac:dyDescent="0.25">
      <c r="B34" s="4" t="s">
        <v>3373</v>
      </c>
      <c r="C34" s="6">
        <v>10598.169999999998</v>
      </c>
      <c r="D34" s="7">
        <v>6.9272879581724015E-3</v>
      </c>
    </row>
    <row r="35" spans="2:4" x14ac:dyDescent="0.25">
      <c r="B35" s="4" t="s">
        <v>1893</v>
      </c>
      <c r="C35" s="6">
        <v>10323.680000000002</v>
      </c>
      <c r="D35" s="7">
        <v>6.7478729014561279E-3</v>
      </c>
    </row>
    <row r="36" spans="2:4" x14ac:dyDescent="0.25">
      <c r="B36" s="4" t="s">
        <v>2220</v>
      </c>
      <c r="C36" s="6">
        <v>10229.630000000001</v>
      </c>
      <c r="D36" s="7">
        <v>6.6863989458141515E-3</v>
      </c>
    </row>
    <row r="37" spans="2:4" x14ac:dyDescent="0.25">
      <c r="B37" s="4" t="s">
        <v>2212</v>
      </c>
      <c r="C37" s="6">
        <v>10030.569999999998</v>
      </c>
      <c r="D37" s="7">
        <v>6.5562872434208304E-3</v>
      </c>
    </row>
    <row r="38" spans="2:4" x14ac:dyDescent="0.25">
      <c r="B38" s="4" t="s">
        <v>199</v>
      </c>
      <c r="C38" s="6">
        <v>9970.649999999996</v>
      </c>
      <c r="D38" s="7">
        <v>6.5171216993265479E-3</v>
      </c>
    </row>
    <row r="39" spans="2:4" x14ac:dyDescent="0.25">
      <c r="B39" s="4" t="s">
        <v>736</v>
      </c>
      <c r="C39" s="6">
        <v>9801.8199999999979</v>
      </c>
      <c r="D39" s="7">
        <v>6.4067692492358027E-3</v>
      </c>
    </row>
    <row r="40" spans="2:4" x14ac:dyDescent="0.25">
      <c r="B40" s="4" t="s">
        <v>2233</v>
      </c>
      <c r="C40" s="6">
        <v>9301.83</v>
      </c>
      <c r="D40" s="7">
        <v>6.0799604977054339E-3</v>
      </c>
    </row>
    <row r="41" spans="2:4" x14ac:dyDescent="0.25">
      <c r="B41" s="4" t="s">
        <v>1891</v>
      </c>
      <c r="C41" s="6">
        <v>8974.8799999999992</v>
      </c>
      <c r="D41" s="7">
        <v>5.8662559809893903E-3</v>
      </c>
    </row>
    <row r="42" spans="2:4" x14ac:dyDescent="0.25">
      <c r="B42" s="4" t="s">
        <v>1937</v>
      </c>
      <c r="C42" s="6">
        <v>8945.7100000000028</v>
      </c>
      <c r="D42" s="7">
        <v>5.8471895770970334E-3</v>
      </c>
    </row>
    <row r="43" spans="2:4" x14ac:dyDescent="0.25">
      <c r="B43" s="4" t="s">
        <v>1548</v>
      </c>
      <c r="C43" s="6">
        <v>7962.1699999999992</v>
      </c>
      <c r="D43" s="7">
        <v>5.204317760700343E-3</v>
      </c>
    </row>
    <row r="44" spans="2:4" x14ac:dyDescent="0.25">
      <c r="B44" s="4" t="s">
        <v>306</v>
      </c>
      <c r="C44" s="6">
        <v>7816.909999999998</v>
      </c>
      <c r="D44" s="7">
        <v>5.109371383278191E-3</v>
      </c>
    </row>
    <row r="45" spans="2:4" x14ac:dyDescent="0.25">
      <c r="B45" s="4" t="s">
        <v>1422</v>
      </c>
      <c r="C45" s="6">
        <v>7201.44</v>
      </c>
      <c r="D45" s="7">
        <v>4.7070813728691905E-3</v>
      </c>
    </row>
    <row r="46" spans="2:4" x14ac:dyDescent="0.25">
      <c r="B46" s="4" t="s">
        <v>1976</v>
      </c>
      <c r="C46" s="6">
        <v>7199.4</v>
      </c>
      <c r="D46" s="7">
        <v>4.7057479664948188E-3</v>
      </c>
    </row>
    <row r="47" spans="2:4" x14ac:dyDescent="0.25">
      <c r="B47" s="4" t="s">
        <v>1916</v>
      </c>
      <c r="C47" s="6">
        <v>7191.7000000000007</v>
      </c>
      <c r="D47" s="7">
        <v>4.7007150110621437E-3</v>
      </c>
    </row>
    <row r="48" spans="2:4" x14ac:dyDescent="0.25">
      <c r="B48" s="4" t="s">
        <v>315</v>
      </c>
      <c r="C48" s="6">
        <v>7034.2</v>
      </c>
      <c r="D48" s="7">
        <v>4.5977681953937631E-3</v>
      </c>
    </row>
    <row r="49" spans="2:4" x14ac:dyDescent="0.25">
      <c r="B49" s="4" t="s">
        <v>98</v>
      </c>
      <c r="C49" s="6">
        <v>6917.53</v>
      </c>
      <c r="D49" s="7">
        <v>4.5215091161300812E-3</v>
      </c>
    </row>
    <row r="50" spans="2:4" x14ac:dyDescent="0.25">
      <c r="B50" s="4" t="s">
        <v>874</v>
      </c>
      <c r="C50" s="6">
        <v>6774.4800000000005</v>
      </c>
      <c r="D50" s="7">
        <v>4.4280072622801658E-3</v>
      </c>
    </row>
    <row r="51" spans="2:4" x14ac:dyDescent="0.25">
      <c r="B51" s="4" t="s">
        <v>60</v>
      </c>
      <c r="C51" s="6">
        <v>6546.3499999999995</v>
      </c>
      <c r="D51" s="7">
        <v>4.278894519052054E-3</v>
      </c>
    </row>
    <row r="52" spans="2:4" x14ac:dyDescent="0.25">
      <c r="B52" s="4" t="s">
        <v>580</v>
      </c>
      <c r="C52" s="6">
        <v>6333.2699999999995</v>
      </c>
      <c r="D52" s="7">
        <v>4.1396189159878102E-3</v>
      </c>
    </row>
    <row r="53" spans="2:4" x14ac:dyDescent="0.25">
      <c r="B53" s="4" t="s">
        <v>569</v>
      </c>
      <c r="C53" s="6">
        <v>6199.12</v>
      </c>
      <c r="D53" s="7">
        <v>4.0519343742613781E-3</v>
      </c>
    </row>
    <row r="54" spans="2:4" x14ac:dyDescent="0.25">
      <c r="B54" s="4" t="s">
        <v>176</v>
      </c>
      <c r="C54" s="6">
        <v>6130.3399999999983</v>
      </c>
      <c r="D54" s="7">
        <v>4.0069776632666388E-3</v>
      </c>
    </row>
    <row r="55" spans="2:4" x14ac:dyDescent="0.25">
      <c r="B55" s="4" t="s">
        <v>896</v>
      </c>
      <c r="C55" s="6">
        <v>5778.73</v>
      </c>
      <c r="D55" s="7">
        <v>3.7771546165545188E-3</v>
      </c>
    </row>
    <row r="56" spans="2:4" x14ac:dyDescent="0.25">
      <c r="B56" s="4" t="s">
        <v>2229</v>
      </c>
      <c r="C56" s="6">
        <v>5698.33</v>
      </c>
      <c r="D56" s="7">
        <v>3.72460271827047E-3</v>
      </c>
    </row>
    <row r="57" spans="2:4" x14ac:dyDescent="0.25">
      <c r="B57" s="4" t="s">
        <v>3032</v>
      </c>
      <c r="C57" s="6">
        <v>5473.3200000000006</v>
      </c>
      <c r="D57" s="7">
        <v>3.577529302438457E-3</v>
      </c>
    </row>
    <row r="58" spans="2:4" x14ac:dyDescent="0.25">
      <c r="B58" s="4" t="s">
        <v>669</v>
      </c>
      <c r="C58" s="6">
        <v>5375.83</v>
      </c>
      <c r="D58" s="7">
        <v>3.5138068576161686E-3</v>
      </c>
    </row>
    <row r="59" spans="2:4" x14ac:dyDescent="0.25">
      <c r="B59" s="4" t="s">
        <v>1982</v>
      </c>
      <c r="C59" s="6">
        <v>5166.41</v>
      </c>
      <c r="D59" s="7">
        <v>3.3769235424588851E-3</v>
      </c>
    </row>
    <row r="60" spans="2:4" x14ac:dyDescent="0.25">
      <c r="B60" s="4" t="s">
        <v>2371</v>
      </c>
      <c r="C60" s="6">
        <v>5088.8</v>
      </c>
      <c r="D60" s="7">
        <v>3.3261952734809619E-3</v>
      </c>
    </row>
    <row r="61" spans="2:4" x14ac:dyDescent="0.25">
      <c r="B61" s="4" t="s">
        <v>3401</v>
      </c>
      <c r="C61" s="6">
        <v>4904.1900000000005</v>
      </c>
      <c r="D61" s="7">
        <v>3.2055285329061073E-3</v>
      </c>
    </row>
    <row r="62" spans="2:4" x14ac:dyDescent="0.25">
      <c r="B62" s="4" t="s">
        <v>678</v>
      </c>
      <c r="C62" s="6">
        <v>4540.17</v>
      </c>
      <c r="D62" s="7">
        <v>2.9675939307498935E-3</v>
      </c>
    </row>
    <row r="63" spans="2:4" x14ac:dyDescent="0.25">
      <c r="B63" s="4" t="s">
        <v>918</v>
      </c>
      <c r="C63" s="6">
        <v>4505.25</v>
      </c>
      <c r="D63" s="7">
        <v>2.9447691510474184E-3</v>
      </c>
    </row>
    <row r="64" spans="2:4" x14ac:dyDescent="0.25">
      <c r="B64" s="4" t="s">
        <v>2837</v>
      </c>
      <c r="C64" s="6">
        <v>4323.3</v>
      </c>
      <c r="D64" s="7">
        <v>2.8258410678038519E-3</v>
      </c>
    </row>
    <row r="65" spans="2:4" x14ac:dyDescent="0.25">
      <c r="B65" s="4" t="s">
        <v>904</v>
      </c>
      <c r="C65" s="6">
        <v>4254.8399999999992</v>
      </c>
      <c r="D65" s="7">
        <v>2.781093518593329E-3</v>
      </c>
    </row>
    <row r="66" spans="2:4" x14ac:dyDescent="0.25">
      <c r="B66" s="4" t="s">
        <v>2307</v>
      </c>
      <c r="C66" s="6">
        <v>4210.96</v>
      </c>
      <c r="D66" s="7">
        <v>2.7524122089328312E-3</v>
      </c>
    </row>
    <row r="67" spans="2:4" x14ac:dyDescent="0.25">
      <c r="B67" s="4" t="s">
        <v>1681</v>
      </c>
      <c r="C67" s="6">
        <v>3886.1400000000003</v>
      </c>
      <c r="D67" s="7">
        <v>2.5400999253429699E-3</v>
      </c>
    </row>
    <row r="68" spans="2:4" x14ac:dyDescent="0.25">
      <c r="B68" s="4" t="s">
        <v>732</v>
      </c>
      <c r="C68" s="6">
        <v>3806.25</v>
      </c>
      <c r="D68" s="7">
        <v>2.4878813786525134E-3</v>
      </c>
    </row>
    <row r="69" spans="2:4" x14ac:dyDescent="0.25">
      <c r="B69" s="4" t="s">
        <v>2071</v>
      </c>
      <c r="C69" s="6">
        <v>3711.6499999999996</v>
      </c>
      <c r="D69" s="7">
        <v>2.4260479261939182E-3</v>
      </c>
    </row>
    <row r="70" spans="2:4" x14ac:dyDescent="0.25">
      <c r="B70" s="4" t="s">
        <v>110</v>
      </c>
      <c r="C70" s="6">
        <v>3525.88</v>
      </c>
      <c r="D70" s="7">
        <v>2.304622974151284E-3</v>
      </c>
    </row>
    <row r="71" spans="2:4" x14ac:dyDescent="0.25">
      <c r="B71" s="4" t="s">
        <v>930</v>
      </c>
      <c r="C71" s="6">
        <v>3500.44</v>
      </c>
      <c r="D71" s="7">
        <v>2.2879946123061817E-3</v>
      </c>
    </row>
    <row r="72" spans="2:4" x14ac:dyDescent="0.25">
      <c r="B72" s="4" t="s">
        <v>2073</v>
      </c>
      <c r="C72" s="6">
        <v>3439.66</v>
      </c>
      <c r="D72" s="7">
        <v>2.2482669459168219E-3</v>
      </c>
    </row>
    <row r="73" spans="2:4" x14ac:dyDescent="0.25">
      <c r="B73" s="4" t="s">
        <v>69</v>
      </c>
      <c r="C73" s="6">
        <v>3425.4599999999996</v>
      </c>
      <c r="D73" s="7">
        <v>2.238985391742276E-3</v>
      </c>
    </row>
    <row r="74" spans="2:4" x14ac:dyDescent="0.25">
      <c r="B74" s="4" t="s">
        <v>1997</v>
      </c>
      <c r="C74" s="6">
        <v>3140.07</v>
      </c>
      <c r="D74" s="7">
        <v>2.0524457617511721E-3</v>
      </c>
    </row>
    <row r="75" spans="2:4" x14ac:dyDescent="0.25">
      <c r="B75" s="4" t="s">
        <v>1473</v>
      </c>
      <c r="C75" s="6">
        <v>3138.87</v>
      </c>
      <c r="D75" s="7">
        <v>2.0516614050603652E-3</v>
      </c>
    </row>
    <row r="76" spans="2:4" x14ac:dyDescent="0.25">
      <c r="B76" s="4" t="s">
        <v>2284</v>
      </c>
      <c r="C76" s="6">
        <v>3123.93</v>
      </c>
      <c r="D76" s="7">
        <v>2.0418961642598215E-3</v>
      </c>
    </row>
    <row r="77" spans="2:4" x14ac:dyDescent="0.25">
      <c r="B77" s="4" t="s">
        <v>170</v>
      </c>
      <c r="C77" s="6">
        <v>3123</v>
      </c>
      <c r="D77" s="7">
        <v>2.0412882878244466E-3</v>
      </c>
    </row>
    <row r="78" spans="2:4" x14ac:dyDescent="0.25">
      <c r="B78" s="4" t="s">
        <v>3102</v>
      </c>
      <c r="C78" s="6">
        <v>3119.7799999999997</v>
      </c>
      <c r="D78" s="7">
        <v>2.0391835973707817E-3</v>
      </c>
    </row>
    <row r="79" spans="2:4" x14ac:dyDescent="0.25">
      <c r="B79" s="4" t="s">
        <v>142</v>
      </c>
      <c r="C79" s="6">
        <v>2946.0900000000006</v>
      </c>
      <c r="D79" s="7">
        <v>1.9256545026822686E-3</v>
      </c>
    </row>
    <row r="80" spans="2:4" x14ac:dyDescent="0.25">
      <c r="B80" s="4" t="s">
        <v>1573</v>
      </c>
      <c r="C80" s="6">
        <v>2918.92</v>
      </c>
      <c r="D80" s="7">
        <v>1.9078953599412532E-3</v>
      </c>
    </row>
    <row r="81" spans="2:4" x14ac:dyDescent="0.25">
      <c r="B81" s="4" t="s">
        <v>3333</v>
      </c>
      <c r="C81" s="6">
        <v>2855.35</v>
      </c>
      <c r="D81" s="7">
        <v>1.8663440642457678E-3</v>
      </c>
    </row>
    <row r="82" spans="2:4" x14ac:dyDescent="0.25">
      <c r="B82" s="4" t="s">
        <v>2280</v>
      </c>
      <c r="C82" s="6">
        <v>2820.92</v>
      </c>
      <c r="D82" s="7">
        <v>1.8438395635253723E-3</v>
      </c>
    </row>
    <row r="83" spans="2:4" x14ac:dyDescent="0.25">
      <c r="B83" s="4" t="s">
        <v>258</v>
      </c>
      <c r="C83" s="6">
        <v>2794.29</v>
      </c>
      <c r="D83" s="7">
        <v>1.8264333812952201E-3</v>
      </c>
    </row>
    <row r="84" spans="2:4" x14ac:dyDescent="0.25">
      <c r="B84" s="4" t="s">
        <v>1986</v>
      </c>
      <c r="C84" s="6">
        <v>2746.03</v>
      </c>
      <c r="D84" s="7">
        <v>1.7948891697132773E-3</v>
      </c>
    </row>
    <row r="85" spans="2:4" x14ac:dyDescent="0.25">
      <c r="B85" s="4" t="s">
        <v>1311</v>
      </c>
      <c r="C85" s="6">
        <v>2575.91</v>
      </c>
      <c r="D85" s="7">
        <v>1.6836935361799134E-3</v>
      </c>
    </row>
    <row r="86" spans="2:4" x14ac:dyDescent="0.25">
      <c r="B86" s="4" t="s">
        <v>294</v>
      </c>
      <c r="C86" s="6">
        <v>2486.12</v>
      </c>
      <c r="D86" s="7">
        <v>1.6250040467903019E-3</v>
      </c>
    </row>
    <row r="87" spans="2:4" x14ac:dyDescent="0.25">
      <c r="B87" s="4" t="s">
        <v>1853</v>
      </c>
      <c r="C87" s="6">
        <v>2454.6800000000003</v>
      </c>
      <c r="D87" s="7">
        <v>1.6044539014911665E-3</v>
      </c>
    </row>
    <row r="88" spans="2:4" x14ac:dyDescent="0.25">
      <c r="B88" s="4" t="s">
        <v>862</v>
      </c>
      <c r="C88" s="6">
        <v>2419.1800000000003</v>
      </c>
      <c r="D88" s="7">
        <v>1.5812500160548016E-3</v>
      </c>
    </row>
    <row r="89" spans="2:4" x14ac:dyDescent="0.25">
      <c r="B89" s="4" t="s">
        <v>1508</v>
      </c>
      <c r="C89" s="6">
        <v>2401.85</v>
      </c>
      <c r="D89" s="7">
        <v>1.5699225981784012E-3</v>
      </c>
    </row>
    <row r="90" spans="2:4" x14ac:dyDescent="0.25">
      <c r="B90" s="4" t="s">
        <v>2533</v>
      </c>
      <c r="C90" s="6">
        <v>2181.2200000000003</v>
      </c>
      <c r="D90" s="7">
        <v>1.4257120842678321E-3</v>
      </c>
    </row>
    <row r="91" spans="2:4" x14ac:dyDescent="0.25">
      <c r="B91" s="4" t="s">
        <v>217</v>
      </c>
      <c r="C91" s="6">
        <v>2108.94</v>
      </c>
      <c r="D91" s="7">
        <v>1.3784676662582415E-3</v>
      </c>
    </row>
    <row r="92" spans="2:4" x14ac:dyDescent="0.25">
      <c r="B92" s="4" t="s">
        <v>125</v>
      </c>
      <c r="C92" s="6">
        <v>2023.38</v>
      </c>
      <c r="D92" s="7">
        <v>1.3225430342037236E-3</v>
      </c>
    </row>
    <row r="93" spans="2:4" x14ac:dyDescent="0.25">
      <c r="B93" s="4" t="s">
        <v>870</v>
      </c>
      <c r="C93" s="6">
        <v>2011.8700000000001</v>
      </c>
      <c r="D93" s="7">
        <v>1.315019746277736E-3</v>
      </c>
    </row>
    <row r="94" spans="2:4" x14ac:dyDescent="0.25">
      <c r="B94" s="4" t="s">
        <v>2497</v>
      </c>
      <c r="C94" s="6">
        <v>2000</v>
      </c>
      <c r="D94" s="7">
        <v>1.3072611513445063E-3</v>
      </c>
    </row>
    <row r="95" spans="2:4" x14ac:dyDescent="0.25">
      <c r="B95" s="4" t="s">
        <v>114</v>
      </c>
      <c r="C95" s="6">
        <v>1986.8699999999997</v>
      </c>
      <c r="D95" s="7">
        <v>1.2986789818859293E-3</v>
      </c>
    </row>
    <row r="96" spans="2:4" x14ac:dyDescent="0.25">
      <c r="B96" s="4" t="s">
        <v>2556</v>
      </c>
      <c r="C96" s="6">
        <v>1980.73</v>
      </c>
      <c r="D96" s="7">
        <v>1.294665690151302E-3</v>
      </c>
    </row>
    <row r="97" spans="2:4" x14ac:dyDescent="0.25">
      <c r="B97" s="4" t="s">
        <v>311</v>
      </c>
      <c r="C97" s="6">
        <v>1980.23</v>
      </c>
      <c r="D97" s="7">
        <v>1.2943388748634659E-3</v>
      </c>
    </row>
    <row r="98" spans="2:4" x14ac:dyDescent="0.25">
      <c r="B98" s="4" t="s">
        <v>553</v>
      </c>
      <c r="C98" s="6">
        <v>1884.25</v>
      </c>
      <c r="D98" s="7">
        <v>1.231603412210443E-3</v>
      </c>
    </row>
    <row r="99" spans="2:4" x14ac:dyDescent="0.25">
      <c r="B99" s="4" t="s">
        <v>2520</v>
      </c>
      <c r="C99" s="6">
        <v>1864.96</v>
      </c>
      <c r="D99" s="7">
        <v>1.2189948784057253E-3</v>
      </c>
    </row>
    <row r="100" spans="2:4" x14ac:dyDescent="0.25">
      <c r="B100" s="4" t="s">
        <v>1674</v>
      </c>
      <c r="C100" s="6">
        <v>1823.04</v>
      </c>
      <c r="D100" s="7">
        <v>1.1915946846735442E-3</v>
      </c>
    </row>
    <row r="101" spans="2:4" x14ac:dyDescent="0.25">
      <c r="B101" s="4" t="s">
        <v>3766</v>
      </c>
      <c r="C101" s="6">
        <v>1808.6799999999998</v>
      </c>
      <c r="D101" s="7">
        <v>1.1822085496068907E-3</v>
      </c>
    </row>
    <row r="102" spans="2:4" x14ac:dyDescent="0.25">
      <c r="B102" s="4" t="s">
        <v>3204</v>
      </c>
      <c r="C102" s="6">
        <v>1704.21</v>
      </c>
      <c r="D102" s="7">
        <v>1.1139237633664106E-3</v>
      </c>
    </row>
    <row r="103" spans="2:4" x14ac:dyDescent="0.25">
      <c r="B103" s="4" t="s">
        <v>635</v>
      </c>
      <c r="C103" s="6">
        <v>1696.9099999999999</v>
      </c>
      <c r="D103" s="7">
        <v>1.1091522601640029E-3</v>
      </c>
    </row>
    <row r="104" spans="2:4" x14ac:dyDescent="0.25">
      <c r="B104" s="4" t="s">
        <v>4002</v>
      </c>
      <c r="C104" s="6">
        <v>1652.33</v>
      </c>
      <c r="D104" s="7">
        <v>1.0800134091005339E-3</v>
      </c>
    </row>
    <row r="105" spans="2:4" x14ac:dyDescent="0.25">
      <c r="B105" s="66" t="s">
        <v>2048</v>
      </c>
      <c r="C105" s="6">
        <v>1652.33</v>
      </c>
      <c r="D105" s="7">
        <v>1.0800134091005339E-3</v>
      </c>
    </row>
    <row r="106" spans="2:4" x14ac:dyDescent="0.25">
      <c r="B106" s="4" t="s">
        <v>3019</v>
      </c>
      <c r="C106" s="6">
        <v>1634.45</v>
      </c>
      <c r="D106" s="7">
        <v>1.0683264944075141E-3</v>
      </c>
    </row>
    <row r="107" spans="2:4" x14ac:dyDescent="0.25">
      <c r="B107" s="4" t="s">
        <v>243</v>
      </c>
      <c r="C107" s="6">
        <v>1628.3</v>
      </c>
      <c r="D107" s="7">
        <v>1.0643066663671298E-3</v>
      </c>
    </row>
    <row r="108" spans="2:4" x14ac:dyDescent="0.25">
      <c r="B108" s="4" t="s">
        <v>130</v>
      </c>
      <c r="C108" s="6">
        <v>1627.54</v>
      </c>
      <c r="D108" s="7">
        <v>1.0638099071296188E-3</v>
      </c>
    </row>
    <row r="109" spans="2:4" x14ac:dyDescent="0.25">
      <c r="B109" s="4" t="s">
        <v>2003</v>
      </c>
      <c r="C109" s="6">
        <v>1605.89</v>
      </c>
      <c r="D109" s="7">
        <v>1.0496588051663147E-3</v>
      </c>
    </row>
    <row r="110" spans="2:4" x14ac:dyDescent="0.25">
      <c r="B110" s="4" t="s">
        <v>2261</v>
      </c>
      <c r="C110" s="6">
        <v>1597.41</v>
      </c>
      <c r="D110" s="7">
        <v>1.0441160178846138E-3</v>
      </c>
    </row>
    <row r="111" spans="2:4" x14ac:dyDescent="0.25">
      <c r="B111" s="4" t="s">
        <v>3129</v>
      </c>
      <c r="C111" s="6">
        <v>1593.0900000000001</v>
      </c>
      <c r="D111" s="7">
        <v>1.0412923337977098E-3</v>
      </c>
    </row>
    <row r="112" spans="2:4" x14ac:dyDescent="0.25">
      <c r="B112" s="4" t="s">
        <v>2479</v>
      </c>
      <c r="C112" s="6">
        <v>1586.4399999999998</v>
      </c>
      <c r="D112" s="7">
        <v>1.0369456904694891E-3</v>
      </c>
    </row>
    <row r="113" spans="2:4" x14ac:dyDescent="0.25">
      <c r="B113" s="4" t="s">
        <v>368</v>
      </c>
      <c r="C113" s="6">
        <v>1566.9599999999998</v>
      </c>
      <c r="D113" s="7">
        <v>1.0242129668553935E-3</v>
      </c>
    </row>
    <row r="114" spans="2:4" x14ac:dyDescent="0.25">
      <c r="B114" s="4" t="s">
        <v>1496</v>
      </c>
      <c r="C114" s="6">
        <v>1520.08</v>
      </c>
      <c r="D114" s="7">
        <v>9.9357076546787858E-4</v>
      </c>
    </row>
    <row r="115" spans="2:4" x14ac:dyDescent="0.25">
      <c r="B115" s="4" t="s">
        <v>3117</v>
      </c>
      <c r="C115" s="6">
        <v>1494.37</v>
      </c>
      <c r="D115" s="7">
        <v>9.7676592336734492E-4</v>
      </c>
    </row>
    <row r="116" spans="2:4" x14ac:dyDescent="0.25">
      <c r="B116" s="4" t="s">
        <v>1120</v>
      </c>
      <c r="C116" s="6">
        <v>1489.43</v>
      </c>
      <c r="D116" s="7">
        <v>9.7353698832352404E-4</v>
      </c>
    </row>
    <row r="117" spans="2:4" x14ac:dyDescent="0.25">
      <c r="B117" s="4" t="s">
        <v>2807</v>
      </c>
      <c r="C117" s="6">
        <v>1482.85</v>
      </c>
      <c r="D117" s="7">
        <v>9.692360991356005E-4</v>
      </c>
    </row>
    <row r="118" spans="2:4" x14ac:dyDescent="0.25">
      <c r="B118" s="4" t="s">
        <v>302</v>
      </c>
      <c r="C118" s="6">
        <v>1416.5199999999998</v>
      </c>
      <c r="D118" s="7">
        <v>9.2588078305125981E-4</v>
      </c>
    </row>
    <row r="119" spans="2:4" x14ac:dyDescent="0.25">
      <c r="B119" s="4" t="s">
        <v>3990</v>
      </c>
      <c r="C119" s="6">
        <v>1357.1</v>
      </c>
      <c r="D119" s="7">
        <v>8.8704205424481469E-4</v>
      </c>
    </row>
    <row r="120" spans="2:4" x14ac:dyDescent="0.25">
      <c r="B120" s="4" t="s">
        <v>1478</v>
      </c>
      <c r="C120" s="6">
        <v>1343.8400000000001</v>
      </c>
      <c r="D120" s="7">
        <v>8.783749128114007E-4</v>
      </c>
    </row>
    <row r="121" spans="2:4" x14ac:dyDescent="0.25">
      <c r="B121" s="4" t="s">
        <v>2062</v>
      </c>
      <c r="C121" s="6">
        <v>1338.73</v>
      </c>
      <c r="D121" s="7">
        <v>8.7503486056971543E-4</v>
      </c>
    </row>
    <row r="122" spans="2:4" x14ac:dyDescent="0.25">
      <c r="B122" s="4" t="s">
        <v>549</v>
      </c>
      <c r="C122" s="6">
        <v>1337.69</v>
      </c>
      <c r="D122" s="7">
        <v>8.7435508477101632E-4</v>
      </c>
    </row>
    <row r="123" spans="2:4" x14ac:dyDescent="0.25">
      <c r="B123" s="4" t="s">
        <v>1515</v>
      </c>
      <c r="C123" s="6">
        <v>1270.1500000000001</v>
      </c>
      <c r="D123" s="7">
        <v>8.3020887569011236E-4</v>
      </c>
    </row>
    <row r="124" spans="2:4" x14ac:dyDescent="0.25">
      <c r="B124" s="4" t="s">
        <v>1847</v>
      </c>
      <c r="C124" s="6">
        <v>1240.5400000000002</v>
      </c>
      <c r="D124" s="7">
        <v>8.1085487434445704E-4</v>
      </c>
    </row>
    <row r="125" spans="2:4" x14ac:dyDescent="0.25">
      <c r="B125" s="4" t="s">
        <v>2465</v>
      </c>
      <c r="C125" s="6">
        <v>1238.44</v>
      </c>
      <c r="D125" s="7">
        <v>8.0948225013554524E-4</v>
      </c>
    </row>
    <row r="126" spans="2:4" x14ac:dyDescent="0.25">
      <c r="B126" s="4" t="s">
        <v>780</v>
      </c>
      <c r="C126" s="6">
        <v>1229.47</v>
      </c>
      <c r="D126" s="7">
        <v>8.0361918387176503E-4</v>
      </c>
    </row>
    <row r="127" spans="2:4" x14ac:dyDescent="0.25">
      <c r="B127" s="4" t="s">
        <v>833</v>
      </c>
      <c r="C127" s="6">
        <v>1226.18</v>
      </c>
      <c r="D127" s="7">
        <v>8.0146873927780342E-4</v>
      </c>
    </row>
    <row r="128" spans="2:4" x14ac:dyDescent="0.25">
      <c r="B128" s="4" t="s">
        <v>2522</v>
      </c>
      <c r="C128" s="6">
        <v>1221.49</v>
      </c>
      <c r="D128" s="7">
        <v>7.9840321187790047E-4</v>
      </c>
    </row>
    <row r="129" spans="2:4" x14ac:dyDescent="0.25">
      <c r="B129" s="4" t="s">
        <v>1867</v>
      </c>
      <c r="C129" s="6">
        <v>1209.8599999999999</v>
      </c>
      <c r="D129" s="7">
        <v>7.9080148828283207E-4</v>
      </c>
    </row>
    <row r="130" spans="2:4" x14ac:dyDescent="0.25">
      <c r="B130" s="4" t="s">
        <v>4173</v>
      </c>
      <c r="C130" s="6">
        <v>1203.33</v>
      </c>
      <c r="D130" s="7">
        <v>7.8653328062369232E-4</v>
      </c>
    </row>
    <row r="131" spans="2:4" x14ac:dyDescent="0.25">
      <c r="B131" s="4" t="s">
        <v>2287</v>
      </c>
      <c r="C131" s="6">
        <v>1197.83</v>
      </c>
      <c r="D131" s="7">
        <v>7.8293831245749494E-4</v>
      </c>
    </row>
    <row r="132" spans="2:4" x14ac:dyDescent="0.25">
      <c r="B132" s="4" t="s">
        <v>3184</v>
      </c>
      <c r="C132" s="6">
        <v>1175.07</v>
      </c>
      <c r="D132" s="7">
        <v>7.6806168055519445E-4</v>
      </c>
    </row>
    <row r="133" spans="2:4" x14ac:dyDescent="0.25">
      <c r="B133" s="4" t="s">
        <v>1538</v>
      </c>
      <c r="C133" s="6">
        <v>1123.46</v>
      </c>
      <c r="D133" s="7">
        <v>7.343278065447495E-4</v>
      </c>
    </row>
    <row r="134" spans="2:4" x14ac:dyDescent="0.25">
      <c r="B134" s="4" t="s">
        <v>464</v>
      </c>
      <c r="C134" s="6">
        <v>1107.95</v>
      </c>
      <c r="D134" s="7">
        <v>7.2418999631607291E-4</v>
      </c>
    </row>
    <row r="135" spans="2:4" x14ac:dyDescent="0.25">
      <c r="B135" s="4" t="s">
        <v>3362</v>
      </c>
      <c r="C135" s="6">
        <v>1084.49</v>
      </c>
      <c r="D135" s="7">
        <v>7.0885582301080175E-4</v>
      </c>
    </row>
    <row r="136" spans="2:4" x14ac:dyDescent="0.25">
      <c r="B136" s="66" t="s">
        <v>2048</v>
      </c>
      <c r="C136" s="6">
        <v>1084.49</v>
      </c>
      <c r="D136" s="7">
        <v>7.0885582301080175E-4</v>
      </c>
    </row>
    <row r="137" spans="2:4" x14ac:dyDescent="0.25">
      <c r="B137" s="4" t="s">
        <v>900</v>
      </c>
      <c r="C137" s="6">
        <v>1074.0300000000002</v>
      </c>
      <c r="D137" s="7">
        <v>7.0201884718927013E-4</v>
      </c>
    </row>
    <row r="138" spans="2:4" x14ac:dyDescent="0.25">
      <c r="B138" s="4" t="s">
        <v>2439</v>
      </c>
      <c r="C138" s="6">
        <v>1070.3800000000001</v>
      </c>
      <c r="D138" s="7">
        <v>6.9963309558806639E-4</v>
      </c>
    </row>
    <row r="139" spans="2:4" x14ac:dyDescent="0.25">
      <c r="B139" s="4" t="s">
        <v>589</v>
      </c>
      <c r="C139" s="6">
        <v>1063.8900000000001</v>
      </c>
      <c r="D139" s="7">
        <v>6.9539103315195347E-4</v>
      </c>
    </row>
    <row r="140" spans="2:4" x14ac:dyDescent="0.25">
      <c r="B140" s="4" t="s">
        <v>264</v>
      </c>
      <c r="C140" s="6">
        <v>1059.23</v>
      </c>
      <c r="D140" s="7">
        <v>6.9234511466932072E-4</v>
      </c>
    </row>
    <row r="141" spans="2:4" x14ac:dyDescent="0.25">
      <c r="B141" s="4" t="s">
        <v>1745</v>
      </c>
      <c r="C141" s="6">
        <v>1037.04</v>
      </c>
      <c r="D141" s="7">
        <v>6.7784105219515335E-4</v>
      </c>
    </row>
    <row r="142" spans="2:4" x14ac:dyDescent="0.25">
      <c r="B142" s="4" t="s">
        <v>1962</v>
      </c>
      <c r="C142" s="6">
        <v>1034.6199999999999</v>
      </c>
      <c r="D142" s="7">
        <v>6.7625926620202648E-4</v>
      </c>
    </row>
    <row r="143" spans="2:4" x14ac:dyDescent="0.25">
      <c r="B143" s="4" t="s">
        <v>2264</v>
      </c>
      <c r="C143" s="6">
        <v>1032.7</v>
      </c>
      <c r="D143" s="7">
        <v>6.7500429549673579E-4</v>
      </c>
    </row>
    <row r="144" spans="2:4" x14ac:dyDescent="0.25">
      <c r="B144" s="4" t="s">
        <v>888</v>
      </c>
      <c r="C144" s="6">
        <v>1021.6700000000001</v>
      </c>
      <c r="D144" s="7">
        <v>6.6779475024707094E-4</v>
      </c>
    </row>
    <row r="145" spans="2:4" x14ac:dyDescent="0.25">
      <c r="B145" s="4" t="s">
        <v>1491</v>
      </c>
      <c r="C145" s="6">
        <v>1004.26</v>
      </c>
      <c r="D145" s="7">
        <v>6.5641504192461692E-4</v>
      </c>
    </row>
    <row r="146" spans="2:4" x14ac:dyDescent="0.25">
      <c r="B146" s="4" t="s">
        <v>2933</v>
      </c>
      <c r="C146" s="6">
        <v>992.91</v>
      </c>
      <c r="D146" s="7">
        <v>6.4899633489073688E-4</v>
      </c>
    </row>
    <row r="147" spans="2:4" x14ac:dyDescent="0.25">
      <c r="B147" s="4" t="s">
        <v>839</v>
      </c>
      <c r="C147" s="6">
        <v>953.67</v>
      </c>
      <c r="D147" s="7">
        <v>6.2334787110135761E-4</v>
      </c>
    </row>
    <row r="148" spans="2:4" x14ac:dyDescent="0.25">
      <c r="B148" s="4" t="s">
        <v>1866</v>
      </c>
      <c r="C148" s="6">
        <v>941.96</v>
      </c>
      <c r="D148" s="7">
        <v>6.1569385706023556E-4</v>
      </c>
    </row>
    <row r="149" spans="2:4" x14ac:dyDescent="0.25">
      <c r="B149" s="4" t="s">
        <v>2747</v>
      </c>
      <c r="C149" s="6">
        <v>907.88000000000011</v>
      </c>
      <c r="D149" s="7">
        <v>5.9341812704132523E-4</v>
      </c>
    </row>
    <row r="150" spans="2:4" x14ac:dyDescent="0.25">
      <c r="B150" s="4" t="s">
        <v>2317</v>
      </c>
      <c r="C150" s="6">
        <v>904.13</v>
      </c>
      <c r="D150" s="7">
        <v>5.9096701238255426E-4</v>
      </c>
    </row>
    <row r="151" spans="2:4" x14ac:dyDescent="0.25">
      <c r="B151" s="4" t="s">
        <v>3364</v>
      </c>
      <c r="C151" s="6">
        <v>901.26</v>
      </c>
      <c r="D151" s="7">
        <v>5.8909109263037486E-4</v>
      </c>
    </row>
    <row r="152" spans="2:4" x14ac:dyDescent="0.25">
      <c r="B152" s="4" t="s">
        <v>1907</v>
      </c>
      <c r="C152" s="6">
        <v>889.9</v>
      </c>
      <c r="D152" s="7">
        <v>5.8166584929073809E-4</v>
      </c>
    </row>
    <row r="153" spans="2:4" x14ac:dyDescent="0.25">
      <c r="B153" s="4" t="s">
        <v>3731</v>
      </c>
      <c r="C153" s="6">
        <v>882.14</v>
      </c>
      <c r="D153" s="7">
        <v>5.7659367602352137E-4</v>
      </c>
    </row>
    <row r="154" spans="2:4" x14ac:dyDescent="0.25">
      <c r="B154" s="66" t="s">
        <v>2048</v>
      </c>
      <c r="C154" s="6">
        <v>882.14</v>
      </c>
      <c r="D154" s="7">
        <v>5.7659367602352137E-4</v>
      </c>
    </row>
    <row r="155" spans="2:4" x14ac:dyDescent="0.25">
      <c r="B155" s="4" t="s">
        <v>2444</v>
      </c>
      <c r="C155" s="6">
        <v>850.45</v>
      </c>
      <c r="D155" s="7">
        <v>5.5588012308046772E-4</v>
      </c>
    </row>
    <row r="156" spans="2:4" x14ac:dyDescent="0.25">
      <c r="B156" s="4" t="s">
        <v>1438</v>
      </c>
      <c r="C156" s="6">
        <v>821.25</v>
      </c>
      <c r="D156" s="7">
        <v>5.3679411027083787E-4</v>
      </c>
    </row>
    <row r="157" spans="2:4" x14ac:dyDescent="0.25">
      <c r="B157" s="4" t="s">
        <v>3457</v>
      </c>
      <c r="C157" s="6">
        <v>742.97</v>
      </c>
      <c r="D157" s="7">
        <v>4.8562790880721392E-4</v>
      </c>
    </row>
    <row r="158" spans="2:4" x14ac:dyDescent="0.25">
      <c r="B158" s="4" t="s">
        <v>347</v>
      </c>
      <c r="C158" s="6">
        <v>705.81</v>
      </c>
      <c r="D158" s="7">
        <v>4.6133899661523293E-4</v>
      </c>
    </row>
    <row r="159" spans="2:4" x14ac:dyDescent="0.25">
      <c r="B159" s="4" t="s">
        <v>1868</v>
      </c>
      <c r="C159" s="6">
        <v>701.08</v>
      </c>
      <c r="D159" s="7">
        <v>4.5824732399230326E-4</v>
      </c>
    </row>
    <row r="160" spans="2:4" x14ac:dyDescent="0.25">
      <c r="B160" s="4" t="s">
        <v>1865</v>
      </c>
      <c r="C160" s="6">
        <v>691.38</v>
      </c>
      <c r="D160" s="7">
        <v>4.5190710740828234E-4</v>
      </c>
    </row>
    <row r="161" spans="2:8" x14ac:dyDescent="0.25">
      <c r="B161" s="4" t="s">
        <v>4153</v>
      </c>
      <c r="C161" s="6">
        <v>683.67</v>
      </c>
      <c r="D161" s="7">
        <v>4.4686761566984929E-4</v>
      </c>
      <c r="H161" s="23"/>
    </row>
    <row r="162" spans="2:8" x14ac:dyDescent="0.25">
      <c r="B162" s="4" t="s">
        <v>3881</v>
      </c>
      <c r="C162" s="6">
        <v>678.91</v>
      </c>
      <c r="D162" s="7">
        <v>4.4375633412964936E-4</v>
      </c>
      <c r="H162" s="23"/>
    </row>
    <row r="163" spans="2:8" x14ac:dyDescent="0.25">
      <c r="B163" s="4" t="s">
        <v>1318</v>
      </c>
      <c r="C163" s="6">
        <v>657.84</v>
      </c>
      <c r="D163" s="7">
        <v>4.2998433790023504E-4</v>
      </c>
      <c r="H163" s="23"/>
    </row>
    <row r="164" spans="2:8" x14ac:dyDescent="0.25">
      <c r="B164" s="4" t="s">
        <v>1258</v>
      </c>
      <c r="C164" s="6">
        <v>617.25</v>
      </c>
      <c r="D164" s="7">
        <v>4.0345347283369826E-4</v>
      </c>
    </row>
    <row r="165" spans="2:8" x14ac:dyDescent="0.25">
      <c r="B165" s="4" t="s">
        <v>2186</v>
      </c>
      <c r="C165" s="6">
        <v>604.1400000000001</v>
      </c>
      <c r="D165" s="7">
        <v>3.9488437598663508E-4</v>
      </c>
    </row>
    <row r="166" spans="2:8" x14ac:dyDescent="0.25">
      <c r="B166" s="4" t="s">
        <v>3830</v>
      </c>
      <c r="C166" s="6">
        <v>585.80999999999995</v>
      </c>
      <c r="D166" s="7">
        <v>3.8290332753456254E-4</v>
      </c>
    </row>
    <row r="167" spans="2:8" x14ac:dyDescent="0.25">
      <c r="B167" s="4" t="s">
        <v>713</v>
      </c>
      <c r="C167" s="6">
        <v>565.08000000000004</v>
      </c>
      <c r="D167" s="7">
        <v>3.6935356570087682E-4</v>
      </c>
    </row>
    <row r="168" spans="2:8" x14ac:dyDescent="0.25">
      <c r="B168" s="4" t="s">
        <v>3974</v>
      </c>
      <c r="C168" s="6">
        <v>562.64</v>
      </c>
      <c r="D168" s="7">
        <v>3.6775870709623647E-4</v>
      </c>
    </row>
    <row r="169" spans="2:8" x14ac:dyDescent="0.25">
      <c r="B169" s="4" t="s">
        <v>3619</v>
      </c>
      <c r="C169" s="6">
        <v>536.44000000000005</v>
      </c>
      <c r="D169" s="7">
        <v>3.5063358601362352E-4</v>
      </c>
    </row>
    <row r="170" spans="2:8" x14ac:dyDescent="0.25">
      <c r="B170" s="4" t="s">
        <v>2253</v>
      </c>
      <c r="C170" s="6">
        <v>485.26</v>
      </c>
      <c r="D170" s="7">
        <v>3.1718077315071757E-4</v>
      </c>
    </row>
    <row r="171" spans="2:8" x14ac:dyDescent="0.25">
      <c r="B171" s="4" t="s">
        <v>3904</v>
      </c>
      <c r="C171" s="6">
        <v>475.97</v>
      </c>
      <c r="D171" s="7">
        <v>3.1110854510272234E-4</v>
      </c>
    </row>
    <row r="172" spans="2:8" x14ac:dyDescent="0.25">
      <c r="B172" s="4" t="s">
        <v>3406</v>
      </c>
      <c r="C172" s="6">
        <v>469.49</v>
      </c>
      <c r="D172" s="7">
        <v>3.0687301897236615E-4</v>
      </c>
    </row>
    <row r="173" spans="2:8" x14ac:dyDescent="0.25">
      <c r="B173" s="66" t="s">
        <v>2048</v>
      </c>
      <c r="C173" s="6">
        <v>469.49</v>
      </c>
      <c r="D173" s="7">
        <v>3.0687301897236615E-4</v>
      </c>
    </row>
    <row r="174" spans="2:8" x14ac:dyDescent="0.25">
      <c r="B174" s="4" t="s">
        <v>1691</v>
      </c>
      <c r="C174" s="6">
        <v>468.82</v>
      </c>
      <c r="D174" s="7">
        <v>3.0643508648666573E-4</v>
      </c>
    </row>
    <row r="175" spans="2:8" x14ac:dyDescent="0.25">
      <c r="B175" s="4" t="s">
        <v>2891</v>
      </c>
      <c r="C175" s="6">
        <v>468.24</v>
      </c>
      <c r="D175" s="7">
        <v>3.0605598075277582E-4</v>
      </c>
    </row>
    <row r="176" spans="2:8" x14ac:dyDescent="0.25">
      <c r="B176" s="4" t="s">
        <v>2096</v>
      </c>
      <c r="C176" s="6">
        <v>466.98</v>
      </c>
      <c r="D176" s="7">
        <v>3.0523240622742876E-4</v>
      </c>
    </row>
    <row r="177" spans="2:4" x14ac:dyDescent="0.25">
      <c r="B177" s="4" t="s">
        <v>3383</v>
      </c>
      <c r="C177" s="6">
        <v>450.65</v>
      </c>
      <c r="D177" s="7">
        <v>2.9455861892670085E-4</v>
      </c>
    </row>
    <row r="178" spans="2:4" x14ac:dyDescent="0.25">
      <c r="B178" s="4" t="s">
        <v>2226</v>
      </c>
      <c r="C178" s="6">
        <v>449.97</v>
      </c>
      <c r="D178" s="7">
        <v>2.9411415013524375E-4</v>
      </c>
    </row>
    <row r="179" spans="2:4" x14ac:dyDescent="0.25">
      <c r="B179" s="4" t="s">
        <v>3543</v>
      </c>
      <c r="C179" s="6">
        <v>442.37</v>
      </c>
      <c r="D179" s="7">
        <v>2.8914655776013463E-4</v>
      </c>
    </row>
    <row r="180" spans="2:4" x14ac:dyDescent="0.25">
      <c r="B180" s="66" t="s">
        <v>2048</v>
      </c>
      <c r="C180" s="6">
        <v>442.37</v>
      </c>
      <c r="D180" s="7">
        <v>2.8914655776013463E-4</v>
      </c>
    </row>
    <row r="181" spans="2:4" x14ac:dyDescent="0.25">
      <c r="B181" s="4" t="s">
        <v>847</v>
      </c>
      <c r="C181" s="6">
        <v>442.21</v>
      </c>
      <c r="D181" s="7">
        <v>2.8904197686802703E-4</v>
      </c>
    </row>
    <row r="182" spans="2:4" x14ac:dyDescent="0.25">
      <c r="B182" s="4" t="s">
        <v>3296</v>
      </c>
      <c r="C182" s="6">
        <v>427.85</v>
      </c>
      <c r="D182" s="7">
        <v>2.7965584180137353E-4</v>
      </c>
    </row>
    <row r="183" spans="2:4" x14ac:dyDescent="0.25">
      <c r="B183" s="4" t="s">
        <v>3256</v>
      </c>
      <c r="C183" s="6">
        <v>425.68</v>
      </c>
      <c r="D183" s="7">
        <v>2.7823746345216469E-4</v>
      </c>
    </row>
    <row r="184" spans="2:4" x14ac:dyDescent="0.25">
      <c r="B184" s="66" t="s">
        <v>2048</v>
      </c>
      <c r="C184" s="6">
        <v>425.68</v>
      </c>
      <c r="D184" s="7">
        <v>2.7823746345216469E-4</v>
      </c>
    </row>
    <row r="185" spans="2:4" x14ac:dyDescent="0.25">
      <c r="B185" s="4" t="s">
        <v>3900</v>
      </c>
      <c r="C185" s="6">
        <v>422.19</v>
      </c>
      <c r="D185" s="7">
        <v>2.7595629274306855E-4</v>
      </c>
    </row>
    <row r="186" spans="2:4" x14ac:dyDescent="0.25">
      <c r="B186" s="4" t="s">
        <v>4110</v>
      </c>
      <c r="C186" s="6">
        <v>410.61</v>
      </c>
      <c r="D186" s="7">
        <v>2.6838725067678389E-4</v>
      </c>
    </row>
    <row r="187" spans="2:4" x14ac:dyDescent="0.25">
      <c r="B187" s="4" t="s">
        <v>3190</v>
      </c>
      <c r="C187" s="6">
        <v>402.99</v>
      </c>
      <c r="D187" s="7">
        <v>2.6340658569016129E-4</v>
      </c>
    </row>
    <row r="188" spans="2:4" x14ac:dyDescent="0.25">
      <c r="B188" s="4" t="s">
        <v>4128</v>
      </c>
      <c r="C188" s="6">
        <v>400.22</v>
      </c>
      <c r="D188" s="7">
        <v>2.6159602899554919E-4</v>
      </c>
    </row>
    <row r="189" spans="2:4" x14ac:dyDescent="0.25">
      <c r="B189" s="4" t="s">
        <v>3089</v>
      </c>
      <c r="C189" s="6">
        <v>398.8</v>
      </c>
      <c r="D189" s="7">
        <v>2.6066787357809454E-4</v>
      </c>
    </row>
    <row r="190" spans="2:4" x14ac:dyDescent="0.25">
      <c r="B190" s="4" t="s">
        <v>2301</v>
      </c>
      <c r="C190" s="6">
        <v>395.75</v>
      </c>
      <c r="D190" s="7">
        <v>2.5867430032229418E-4</v>
      </c>
    </row>
    <row r="191" spans="2:4" x14ac:dyDescent="0.25">
      <c r="B191" s="4" t="s">
        <v>3941</v>
      </c>
      <c r="C191" s="6">
        <v>391.59</v>
      </c>
      <c r="D191" s="7">
        <v>2.5595519712749758E-4</v>
      </c>
    </row>
    <row r="192" spans="2:4" x14ac:dyDescent="0.25">
      <c r="B192" s="4" t="s">
        <v>2106</v>
      </c>
      <c r="C192" s="6">
        <v>390.37</v>
      </c>
      <c r="D192" s="7">
        <v>2.5515776782517746E-4</v>
      </c>
    </row>
    <row r="193" spans="2:4" x14ac:dyDescent="0.25">
      <c r="B193" s="4" t="s">
        <v>4077</v>
      </c>
      <c r="C193" s="6">
        <v>385.21</v>
      </c>
      <c r="D193" s="7">
        <v>2.5178503405470863E-4</v>
      </c>
    </row>
    <row r="194" spans="2:4" x14ac:dyDescent="0.25">
      <c r="B194" s="4" t="s">
        <v>2196</v>
      </c>
      <c r="C194" s="6">
        <v>382.59</v>
      </c>
      <c r="D194" s="7">
        <v>2.5007252194644733E-4</v>
      </c>
    </row>
    <row r="195" spans="2:4" x14ac:dyDescent="0.25">
      <c r="B195" s="4" t="s">
        <v>3324</v>
      </c>
      <c r="C195" s="6">
        <v>380.26</v>
      </c>
      <c r="D195" s="7">
        <v>2.4854956270513095E-4</v>
      </c>
    </row>
    <row r="196" spans="2:4" x14ac:dyDescent="0.25">
      <c r="B196" s="66" t="s">
        <v>2048</v>
      </c>
      <c r="C196" s="6">
        <v>380.26</v>
      </c>
      <c r="D196" s="7">
        <v>2.4854956270513095E-4</v>
      </c>
    </row>
    <row r="197" spans="2:4" x14ac:dyDescent="0.25">
      <c r="B197" s="4" t="s">
        <v>3217</v>
      </c>
      <c r="C197" s="6">
        <v>368.76</v>
      </c>
      <c r="D197" s="7">
        <v>2.4103281108490005E-4</v>
      </c>
    </row>
    <row r="198" spans="2:4" x14ac:dyDescent="0.25">
      <c r="B198" s="4" t="s">
        <v>2515</v>
      </c>
      <c r="C198" s="6">
        <v>367.52</v>
      </c>
      <c r="D198" s="7">
        <v>2.4022230917106647E-4</v>
      </c>
    </row>
    <row r="199" spans="2:4" x14ac:dyDescent="0.25">
      <c r="B199" s="4" t="s">
        <v>2132</v>
      </c>
      <c r="C199" s="6">
        <v>367.38</v>
      </c>
      <c r="D199" s="7">
        <v>2.4013080089047234E-4</v>
      </c>
    </row>
    <row r="200" spans="2:4" x14ac:dyDescent="0.25">
      <c r="B200" s="4" t="s">
        <v>1345</v>
      </c>
      <c r="C200" s="6">
        <v>364.94</v>
      </c>
      <c r="D200" s="7">
        <v>2.3853594228583205E-4</v>
      </c>
    </row>
    <row r="201" spans="2:4" x14ac:dyDescent="0.25">
      <c r="B201" s="4" t="s">
        <v>3614</v>
      </c>
      <c r="C201" s="6">
        <v>362.87</v>
      </c>
      <c r="D201" s="7">
        <v>2.3718292699419048E-4</v>
      </c>
    </row>
    <row r="202" spans="2:4" x14ac:dyDescent="0.25">
      <c r="B202" s="66" t="s">
        <v>2048</v>
      </c>
      <c r="C202" s="6">
        <v>362.87</v>
      </c>
      <c r="D202" s="7">
        <v>2.3718292699419048E-4</v>
      </c>
    </row>
    <row r="203" spans="2:4" x14ac:dyDescent="0.25">
      <c r="B203" s="4" t="s">
        <v>1970</v>
      </c>
      <c r="C203" s="6">
        <v>341.71</v>
      </c>
      <c r="D203" s="7">
        <v>2.233521040129656E-4</v>
      </c>
    </row>
    <row r="204" spans="2:4" x14ac:dyDescent="0.25">
      <c r="B204" s="4" t="s">
        <v>1869</v>
      </c>
      <c r="C204" s="6">
        <v>321.24</v>
      </c>
      <c r="D204" s="7">
        <v>2.099722861289546E-4</v>
      </c>
    </row>
    <row r="205" spans="2:4" x14ac:dyDescent="0.25">
      <c r="B205" s="4" t="s">
        <v>1556</v>
      </c>
      <c r="C205" s="6">
        <v>318.47000000000003</v>
      </c>
      <c r="D205" s="7">
        <v>2.0816172943434246E-4</v>
      </c>
    </row>
    <row r="206" spans="2:4" x14ac:dyDescent="0.25">
      <c r="B206" s="4" t="s">
        <v>3963</v>
      </c>
      <c r="C206" s="6">
        <v>308.04000000000002</v>
      </c>
      <c r="D206" s="7">
        <v>2.0134436253008085E-4</v>
      </c>
    </row>
    <row r="207" spans="2:4" x14ac:dyDescent="0.25">
      <c r="B207" s="4" t="s">
        <v>4070</v>
      </c>
      <c r="C207" s="6">
        <v>305.20999999999998</v>
      </c>
      <c r="D207" s="7">
        <v>1.9949458800092837E-4</v>
      </c>
    </row>
    <row r="208" spans="2:4" x14ac:dyDescent="0.25">
      <c r="B208" s="66" t="s">
        <v>2048</v>
      </c>
      <c r="C208" s="6">
        <v>305.20999999999998</v>
      </c>
      <c r="D208" s="7">
        <v>1.9949458800092837E-4</v>
      </c>
    </row>
    <row r="209" spans="2:4" x14ac:dyDescent="0.25">
      <c r="B209" s="4" t="s">
        <v>4159</v>
      </c>
      <c r="C209" s="6">
        <v>292.22000000000003</v>
      </c>
      <c r="D209" s="7">
        <v>1.9100392682294584E-4</v>
      </c>
    </row>
    <row r="210" spans="2:4" x14ac:dyDescent="0.25">
      <c r="B210" s="4" t="s">
        <v>4122</v>
      </c>
      <c r="C210" s="6">
        <v>289.60000000000002</v>
      </c>
      <c r="D210" s="7">
        <v>1.8929141471468451E-4</v>
      </c>
    </row>
    <row r="211" spans="2:4" x14ac:dyDescent="0.25">
      <c r="B211" s="4" t="s">
        <v>3896</v>
      </c>
      <c r="C211" s="6">
        <v>288.41000000000003</v>
      </c>
      <c r="D211" s="7">
        <v>1.8851359432963454E-4</v>
      </c>
    </row>
    <row r="212" spans="2:4" x14ac:dyDescent="0.25">
      <c r="B212" s="66" t="s">
        <v>2048</v>
      </c>
      <c r="C212" s="6">
        <v>288.41000000000003</v>
      </c>
      <c r="D212" s="7">
        <v>1.8851359432963454E-4</v>
      </c>
    </row>
    <row r="213" spans="2:4" x14ac:dyDescent="0.25">
      <c r="B213" s="4" t="s">
        <v>3148</v>
      </c>
      <c r="C213" s="6">
        <v>287.42</v>
      </c>
      <c r="D213" s="7">
        <v>1.87866500059719E-4</v>
      </c>
    </row>
    <row r="214" spans="2:4" x14ac:dyDescent="0.25">
      <c r="B214" s="4" t="s">
        <v>3954</v>
      </c>
      <c r="C214" s="6">
        <v>281.61</v>
      </c>
      <c r="D214" s="7">
        <v>1.8406890641506322E-4</v>
      </c>
    </row>
    <row r="215" spans="2:4" x14ac:dyDescent="0.25">
      <c r="B215" s="4" t="s">
        <v>1529</v>
      </c>
      <c r="C215" s="6">
        <v>273.69</v>
      </c>
      <c r="D215" s="7">
        <v>1.7889215225573896E-4</v>
      </c>
    </row>
    <row r="216" spans="2:4" x14ac:dyDescent="0.25">
      <c r="B216" s="4" t="s">
        <v>1523</v>
      </c>
      <c r="C216" s="6">
        <v>273.69</v>
      </c>
      <c r="D216" s="7">
        <v>1.7889215225573896E-4</v>
      </c>
    </row>
    <row r="217" spans="2:4" x14ac:dyDescent="0.25">
      <c r="B217" s="4" t="s">
        <v>3237</v>
      </c>
      <c r="C217" s="6">
        <v>269.88</v>
      </c>
      <c r="D217" s="7">
        <v>1.7640181976242767E-4</v>
      </c>
    </row>
    <row r="218" spans="2:4" x14ac:dyDescent="0.25">
      <c r="B218" s="4" t="s">
        <v>3980</v>
      </c>
      <c r="C218" s="6">
        <v>264.91000000000003</v>
      </c>
      <c r="D218" s="7">
        <v>1.731532758013366E-4</v>
      </c>
    </row>
    <row r="219" spans="2:4" x14ac:dyDescent="0.25">
      <c r="B219" s="4" t="s">
        <v>744</v>
      </c>
      <c r="C219" s="6">
        <v>264.47000000000003</v>
      </c>
      <c r="D219" s="7">
        <v>1.7286567834804079E-4</v>
      </c>
    </row>
    <row r="220" spans="2:4" x14ac:dyDescent="0.25">
      <c r="B220" s="4" t="s">
        <v>3946</v>
      </c>
      <c r="C220" s="6">
        <v>258.97000000000003</v>
      </c>
      <c r="D220" s="7">
        <v>1.6927071018184341E-4</v>
      </c>
    </row>
    <row r="221" spans="2:4" x14ac:dyDescent="0.25">
      <c r="B221" s="4" t="s">
        <v>4134</v>
      </c>
      <c r="C221" s="6">
        <v>258.60000000000002</v>
      </c>
      <c r="D221" s="7">
        <v>1.6902886686884466E-4</v>
      </c>
    </row>
    <row r="222" spans="2:4" x14ac:dyDescent="0.25">
      <c r="B222" s="4" t="s">
        <v>3424</v>
      </c>
      <c r="C222" s="6">
        <v>253.78</v>
      </c>
      <c r="D222" s="7">
        <v>1.658783674941044E-4</v>
      </c>
    </row>
    <row r="223" spans="2:4" x14ac:dyDescent="0.25">
      <c r="B223" s="66" t="s">
        <v>2048</v>
      </c>
      <c r="C223" s="6">
        <v>253.78</v>
      </c>
      <c r="D223" s="7">
        <v>1.658783674941044E-4</v>
      </c>
    </row>
    <row r="224" spans="2:4" x14ac:dyDescent="0.25">
      <c r="B224" s="4" t="s">
        <v>4006</v>
      </c>
      <c r="C224" s="6">
        <v>247.81</v>
      </c>
      <c r="D224" s="7">
        <v>1.6197619295734106E-4</v>
      </c>
    </row>
    <row r="225" spans="2:4" x14ac:dyDescent="0.25">
      <c r="B225" s="66" t="s">
        <v>2048</v>
      </c>
      <c r="C225" s="6">
        <v>247.81</v>
      </c>
      <c r="D225" s="7">
        <v>1.6197619295734106E-4</v>
      </c>
    </row>
    <row r="226" spans="2:4" x14ac:dyDescent="0.25">
      <c r="B226" s="4" t="s">
        <v>3555</v>
      </c>
      <c r="C226" s="6">
        <v>242.36</v>
      </c>
      <c r="D226" s="7">
        <v>1.5841390631992727E-4</v>
      </c>
    </row>
    <row r="227" spans="2:4" x14ac:dyDescent="0.25">
      <c r="B227" s="4" t="s">
        <v>3476</v>
      </c>
      <c r="C227" s="6">
        <v>238.7</v>
      </c>
      <c r="D227" s="7">
        <v>1.5602161841296681E-4</v>
      </c>
    </row>
    <row r="228" spans="2:4" x14ac:dyDescent="0.25">
      <c r="B228" s="4" t="s">
        <v>3658</v>
      </c>
      <c r="C228" s="6">
        <v>238.36</v>
      </c>
      <c r="D228" s="7">
        <v>1.5579938401723826E-4</v>
      </c>
    </row>
    <row r="229" spans="2:4" x14ac:dyDescent="0.25">
      <c r="B229" s="66" t="s">
        <v>2048</v>
      </c>
      <c r="C229" s="6">
        <v>238.36</v>
      </c>
      <c r="D229" s="7">
        <v>1.5579938401723826E-4</v>
      </c>
    </row>
    <row r="230" spans="2:4" x14ac:dyDescent="0.25">
      <c r="B230" s="4" t="s">
        <v>3803</v>
      </c>
      <c r="C230" s="6">
        <v>236.22</v>
      </c>
      <c r="D230" s="7">
        <v>1.5440061458529963E-4</v>
      </c>
    </row>
    <row r="231" spans="2:4" x14ac:dyDescent="0.25">
      <c r="B231" s="66" t="s">
        <v>2048</v>
      </c>
      <c r="C231" s="6">
        <v>236.22</v>
      </c>
      <c r="D231" s="7">
        <v>1.5440061458529963E-4</v>
      </c>
    </row>
    <row r="232" spans="2:4" x14ac:dyDescent="0.25">
      <c r="B232" s="4" t="s">
        <v>3064</v>
      </c>
      <c r="C232" s="6">
        <v>236.13</v>
      </c>
      <c r="D232" s="7">
        <v>1.5434178783348913E-4</v>
      </c>
    </row>
    <row r="233" spans="2:4" x14ac:dyDescent="0.25">
      <c r="B233" s="4" t="s">
        <v>3958</v>
      </c>
      <c r="C233" s="6">
        <v>235.34</v>
      </c>
      <c r="D233" s="7">
        <v>1.5382541967870806E-4</v>
      </c>
    </row>
    <row r="234" spans="2:4" x14ac:dyDescent="0.25">
      <c r="B234" s="4" t="s">
        <v>2311</v>
      </c>
      <c r="C234" s="6">
        <v>233.83</v>
      </c>
      <c r="D234" s="7">
        <v>1.5283843750944296E-4</v>
      </c>
    </row>
    <row r="235" spans="2:4" x14ac:dyDescent="0.25">
      <c r="B235" s="4" t="s">
        <v>2945</v>
      </c>
      <c r="C235" s="6">
        <v>226.83</v>
      </c>
      <c r="D235" s="7">
        <v>1.4826302347973718E-4</v>
      </c>
    </row>
    <row r="236" spans="2:4" x14ac:dyDescent="0.25">
      <c r="B236" s="4" t="s">
        <v>4014</v>
      </c>
      <c r="C236" s="6">
        <v>226.09</v>
      </c>
      <c r="D236" s="7">
        <v>1.4777933685373971E-4</v>
      </c>
    </row>
    <row r="237" spans="2:4" x14ac:dyDescent="0.25">
      <c r="B237" s="66" t="s">
        <v>2048</v>
      </c>
      <c r="C237" s="6">
        <v>226.09</v>
      </c>
      <c r="D237" s="7">
        <v>1.4777933685373971E-4</v>
      </c>
    </row>
    <row r="238" spans="2:4" x14ac:dyDescent="0.25">
      <c r="B238" s="4" t="s">
        <v>3329</v>
      </c>
      <c r="C238" s="6">
        <v>224.86</v>
      </c>
      <c r="D238" s="7">
        <v>1.4697537124566285E-4</v>
      </c>
    </row>
    <row r="239" spans="2:4" x14ac:dyDescent="0.25">
      <c r="B239" s="4" t="s">
        <v>3318</v>
      </c>
      <c r="C239" s="6">
        <v>205.74</v>
      </c>
      <c r="D239" s="7">
        <v>1.3447795463880936E-4</v>
      </c>
    </row>
    <row r="240" spans="2:4" x14ac:dyDescent="0.25">
      <c r="B240" s="4" t="s">
        <v>3926</v>
      </c>
      <c r="C240" s="6">
        <v>197.56</v>
      </c>
      <c r="D240" s="7">
        <v>1.2913125652981033E-4</v>
      </c>
    </row>
    <row r="241" spans="2:4" x14ac:dyDescent="0.25">
      <c r="B241" s="66" t="s">
        <v>2048</v>
      </c>
      <c r="C241" s="6">
        <v>197.56</v>
      </c>
      <c r="D241" s="7">
        <v>1.2913125652981033E-4</v>
      </c>
    </row>
    <row r="242" spans="2:4" x14ac:dyDescent="0.25">
      <c r="B242" s="4" t="s">
        <v>1777</v>
      </c>
      <c r="C242" s="6">
        <v>196.55</v>
      </c>
      <c r="D242" s="7">
        <v>1.2847108964838137E-4</v>
      </c>
    </row>
    <row r="243" spans="2:4" x14ac:dyDescent="0.25">
      <c r="B243" s="4" t="s">
        <v>3986</v>
      </c>
      <c r="C243" s="6">
        <v>170.85</v>
      </c>
      <c r="D243" s="7">
        <v>1.1167278385360445E-4</v>
      </c>
    </row>
    <row r="244" spans="2:4" x14ac:dyDescent="0.25">
      <c r="B244" s="4" t="s">
        <v>4146</v>
      </c>
      <c r="C244" s="6">
        <v>118.32</v>
      </c>
      <c r="D244" s="7">
        <v>7.7337569713540987E-5</v>
      </c>
    </row>
    <row r="245" spans="2:4" x14ac:dyDescent="0.25">
      <c r="B245" s="66" t="s">
        <v>2048</v>
      </c>
      <c r="C245" s="6">
        <v>118.32</v>
      </c>
      <c r="D245" s="7">
        <v>7.7337569713540987E-5</v>
      </c>
    </row>
    <row r="246" spans="2:4" x14ac:dyDescent="0.25">
      <c r="B246" s="4" t="s">
        <v>2292</v>
      </c>
      <c r="C246" s="6">
        <v>115.12</v>
      </c>
      <c r="D246" s="7">
        <v>7.5245951871389776E-5</v>
      </c>
    </row>
    <row r="247" spans="2:4" x14ac:dyDescent="0.25">
      <c r="B247" s="4" t="s">
        <v>1948</v>
      </c>
      <c r="C247" s="6"/>
      <c r="D247" s="7">
        <v>0</v>
      </c>
    </row>
    <row r="248" spans="2:4" x14ac:dyDescent="0.25">
      <c r="B248" s="4" t="s">
        <v>1911</v>
      </c>
      <c r="C248" s="6">
        <v>1529916.1899999997</v>
      </c>
      <c r="D248" s="7">
        <v>1</v>
      </c>
    </row>
  </sheetData>
  <mergeCells count="1">
    <mergeCell ref="F6:G27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Dados</vt:lpstr>
      <vt:lpstr>Indicador</vt:lpstr>
      <vt:lpstr>Régua</vt:lpstr>
      <vt:lpstr>Dash Ano</vt:lpstr>
      <vt:lpstr>Dash Vendedor</vt:lpstr>
      <vt:lpstr>Dash Cliente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Silvania</cp:lastModifiedBy>
  <cp:lastPrinted>2021-02-09T13:01:27Z</cp:lastPrinted>
  <dcterms:created xsi:type="dcterms:W3CDTF">2020-09-14T11:35:20Z</dcterms:created>
  <dcterms:modified xsi:type="dcterms:W3CDTF">2023-10-13T19:58:21Z</dcterms:modified>
</cp:coreProperties>
</file>